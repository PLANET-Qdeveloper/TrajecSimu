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t124\Documents\設計引継ぎ2023_第３回\3.ツール\[4]燃料シミュレーション\"/>
    </mc:Choice>
  </mc:AlternateContent>
  <xr:revisionPtr revIDLastSave="0" documentId="13_ncr:1_{B2974328-67BE-48E8-B668-03306D5DF3F1}" xr6:coauthVersionLast="47" xr6:coauthVersionMax="47" xr10:uidLastSave="{00000000-0000-0000-0000-000000000000}"/>
  <bookViews>
    <workbookView xWindow="960" yWindow="0" windowWidth="18240" windowHeight="11370" xr2:uid="{7BF6F648-68A9-43E6-B77F-E9324A9A32C2}"/>
  </bookViews>
  <sheets>
    <sheet name="Sheet1" sheetId="1" r:id="rId1"/>
  </sheets>
  <externalReferences>
    <externalReference r:id="rId2"/>
    <externalReference r:id="rId3"/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4" i="1" l="1"/>
  <c r="D13" i="1" l="1"/>
  <c r="G34" i="1" l="1"/>
  <c r="F34" i="1"/>
  <c r="A35" i="1" l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l="1"/>
  <c r="C635" i="1"/>
  <c r="A637" i="1" l="1"/>
  <c r="C636" i="1"/>
  <c r="N635" i="1"/>
  <c r="A638" i="1" l="1"/>
  <c r="N636" i="1"/>
  <c r="C637" i="1"/>
  <c r="C38" i="1"/>
  <c r="N38" i="1"/>
  <c r="C39" i="1"/>
  <c r="N39" i="1"/>
  <c r="C40" i="1"/>
  <c r="N40" i="1"/>
  <c r="C41" i="1"/>
  <c r="N41" i="1"/>
  <c r="C42" i="1"/>
  <c r="N42" i="1"/>
  <c r="C43" i="1"/>
  <c r="N43" i="1"/>
  <c r="C44" i="1"/>
  <c r="N44" i="1"/>
  <c r="C45" i="1"/>
  <c r="N45" i="1"/>
  <c r="C46" i="1"/>
  <c r="N46" i="1"/>
  <c r="C47" i="1"/>
  <c r="N47" i="1"/>
  <c r="C48" i="1"/>
  <c r="N48" i="1"/>
  <c r="C49" i="1"/>
  <c r="N49" i="1"/>
  <c r="C50" i="1"/>
  <c r="N50" i="1"/>
  <c r="C51" i="1"/>
  <c r="N51" i="1"/>
  <c r="C52" i="1"/>
  <c r="N52" i="1"/>
  <c r="C53" i="1"/>
  <c r="N53" i="1"/>
  <c r="C54" i="1"/>
  <c r="N54" i="1"/>
  <c r="C55" i="1"/>
  <c r="N55" i="1"/>
  <c r="C56" i="1"/>
  <c r="N56" i="1"/>
  <c r="C57" i="1"/>
  <c r="N57" i="1"/>
  <c r="C58" i="1"/>
  <c r="N58" i="1"/>
  <c r="C59" i="1"/>
  <c r="N59" i="1"/>
  <c r="C60" i="1"/>
  <c r="N60" i="1"/>
  <c r="C61" i="1"/>
  <c r="N61" i="1"/>
  <c r="C62" i="1"/>
  <c r="N62" i="1"/>
  <c r="C63" i="1"/>
  <c r="N63" i="1"/>
  <c r="C64" i="1"/>
  <c r="N64" i="1"/>
  <c r="C65" i="1"/>
  <c r="N65" i="1"/>
  <c r="C66" i="1"/>
  <c r="N66" i="1"/>
  <c r="C67" i="1"/>
  <c r="N67" i="1"/>
  <c r="C68" i="1"/>
  <c r="N68" i="1"/>
  <c r="C69" i="1"/>
  <c r="N69" i="1"/>
  <c r="C70" i="1"/>
  <c r="N70" i="1"/>
  <c r="C71" i="1"/>
  <c r="N71" i="1"/>
  <c r="C72" i="1"/>
  <c r="N72" i="1"/>
  <c r="C73" i="1"/>
  <c r="N73" i="1"/>
  <c r="C74" i="1"/>
  <c r="N74" i="1"/>
  <c r="C75" i="1"/>
  <c r="N75" i="1"/>
  <c r="C76" i="1"/>
  <c r="N76" i="1"/>
  <c r="C77" i="1"/>
  <c r="N77" i="1"/>
  <c r="C78" i="1"/>
  <c r="N78" i="1"/>
  <c r="C79" i="1"/>
  <c r="N79" i="1"/>
  <c r="C80" i="1"/>
  <c r="N80" i="1"/>
  <c r="C81" i="1"/>
  <c r="N81" i="1"/>
  <c r="C82" i="1"/>
  <c r="N82" i="1"/>
  <c r="C83" i="1"/>
  <c r="N83" i="1"/>
  <c r="C84" i="1"/>
  <c r="N84" i="1"/>
  <c r="C85" i="1"/>
  <c r="N85" i="1"/>
  <c r="C86" i="1"/>
  <c r="N86" i="1"/>
  <c r="C87" i="1"/>
  <c r="N87" i="1"/>
  <c r="C88" i="1"/>
  <c r="N88" i="1"/>
  <c r="C89" i="1"/>
  <c r="N89" i="1"/>
  <c r="C90" i="1"/>
  <c r="N90" i="1"/>
  <c r="C91" i="1"/>
  <c r="N91" i="1"/>
  <c r="C92" i="1"/>
  <c r="N92" i="1"/>
  <c r="C93" i="1"/>
  <c r="N93" i="1"/>
  <c r="C94" i="1"/>
  <c r="N94" i="1"/>
  <c r="C95" i="1"/>
  <c r="N95" i="1"/>
  <c r="C96" i="1"/>
  <c r="N96" i="1"/>
  <c r="C97" i="1"/>
  <c r="N97" i="1"/>
  <c r="C98" i="1"/>
  <c r="N98" i="1"/>
  <c r="C99" i="1"/>
  <c r="N99" i="1"/>
  <c r="C100" i="1"/>
  <c r="N100" i="1"/>
  <c r="C101" i="1"/>
  <c r="N101" i="1"/>
  <c r="C102" i="1"/>
  <c r="N102" i="1"/>
  <c r="C103" i="1"/>
  <c r="N103" i="1"/>
  <c r="C104" i="1"/>
  <c r="N104" i="1"/>
  <c r="C105" i="1"/>
  <c r="N105" i="1"/>
  <c r="C106" i="1"/>
  <c r="N106" i="1"/>
  <c r="C107" i="1"/>
  <c r="N107" i="1"/>
  <c r="C108" i="1"/>
  <c r="N108" i="1"/>
  <c r="C109" i="1"/>
  <c r="N109" i="1"/>
  <c r="C110" i="1"/>
  <c r="N110" i="1"/>
  <c r="C111" i="1"/>
  <c r="N111" i="1"/>
  <c r="C112" i="1"/>
  <c r="N112" i="1"/>
  <c r="C113" i="1"/>
  <c r="N113" i="1"/>
  <c r="C114" i="1"/>
  <c r="N114" i="1"/>
  <c r="C115" i="1"/>
  <c r="N115" i="1"/>
  <c r="C116" i="1"/>
  <c r="N116" i="1"/>
  <c r="C117" i="1"/>
  <c r="N117" i="1"/>
  <c r="C118" i="1"/>
  <c r="N118" i="1"/>
  <c r="C119" i="1"/>
  <c r="N119" i="1"/>
  <c r="C120" i="1"/>
  <c r="N120" i="1"/>
  <c r="C121" i="1"/>
  <c r="N121" i="1"/>
  <c r="C122" i="1"/>
  <c r="N122" i="1"/>
  <c r="C123" i="1"/>
  <c r="N123" i="1"/>
  <c r="C124" i="1"/>
  <c r="N124" i="1"/>
  <c r="C125" i="1"/>
  <c r="N125" i="1"/>
  <c r="C126" i="1"/>
  <c r="N126" i="1"/>
  <c r="C127" i="1"/>
  <c r="N127" i="1"/>
  <c r="C128" i="1"/>
  <c r="N128" i="1"/>
  <c r="C129" i="1"/>
  <c r="N129" i="1"/>
  <c r="C130" i="1"/>
  <c r="N130" i="1"/>
  <c r="C131" i="1"/>
  <c r="N131" i="1"/>
  <c r="C132" i="1"/>
  <c r="N132" i="1"/>
  <c r="C133" i="1"/>
  <c r="N133" i="1"/>
  <c r="C134" i="1"/>
  <c r="N134" i="1"/>
  <c r="C135" i="1"/>
  <c r="N135" i="1"/>
  <c r="C136" i="1"/>
  <c r="N136" i="1"/>
  <c r="C137" i="1"/>
  <c r="N137" i="1"/>
  <c r="C138" i="1"/>
  <c r="N138" i="1"/>
  <c r="C139" i="1"/>
  <c r="N139" i="1"/>
  <c r="C140" i="1"/>
  <c r="N140" i="1"/>
  <c r="C141" i="1"/>
  <c r="N141" i="1"/>
  <c r="C142" i="1"/>
  <c r="N142" i="1"/>
  <c r="C143" i="1"/>
  <c r="N143" i="1"/>
  <c r="C144" i="1"/>
  <c r="N144" i="1"/>
  <c r="C145" i="1"/>
  <c r="N145" i="1"/>
  <c r="C146" i="1"/>
  <c r="N146" i="1"/>
  <c r="C147" i="1"/>
  <c r="N147" i="1"/>
  <c r="C148" i="1"/>
  <c r="N148" i="1"/>
  <c r="C149" i="1"/>
  <c r="N149" i="1"/>
  <c r="C150" i="1"/>
  <c r="N150" i="1"/>
  <c r="C151" i="1"/>
  <c r="N151" i="1"/>
  <c r="C152" i="1"/>
  <c r="N152" i="1"/>
  <c r="C153" i="1"/>
  <c r="N153" i="1"/>
  <c r="C154" i="1"/>
  <c r="N154" i="1"/>
  <c r="C155" i="1"/>
  <c r="N155" i="1"/>
  <c r="C156" i="1"/>
  <c r="N156" i="1"/>
  <c r="C157" i="1"/>
  <c r="N157" i="1"/>
  <c r="C158" i="1"/>
  <c r="N158" i="1"/>
  <c r="C159" i="1"/>
  <c r="N159" i="1"/>
  <c r="C160" i="1"/>
  <c r="N160" i="1"/>
  <c r="C161" i="1"/>
  <c r="N161" i="1"/>
  <c r="C162" i="1"/>
  <c r="N162" i="1"/>
  <c r="C163" i="1"/>
  <c r="N163" i="1"/>
  <c r="C164" i="1"/>
  <c r="N164" i="1"/>
  <c r="C165" i="1"/>
  <c r="N165" i="1"/>
  <c r="C166" i="1"/>
  <c r="N166" i="1"/>
  <c r="C167" i="1"/>
  <c r="N167" i="1"/>
  <c r="C168" i="1"/>
  <c r="N168" i="1"/>
  <c r="C169" i="1"/>
  <c r="N169" i="1"/>
  <c r="C170" i="1"/>
  <c r="N170" i="1"/>
  <c r="C171" i="1"/>
  <c r="N171" i="1"/>
  <c r="C172" i="1"/>
  <c r="N172" i="1"/>
  <c r="C173" i="1"/>
  <c r="N173" i="1"/>
  <c r="C174" i="1"/>
  <c r="N174" i="1"/>
  <c r="C175" i="1"/>
  <c r="N175" i="1"/>
  <c r="C176" i="1"/>
  <c r="N176" i="1"/>
  <c r="C177" i="1"/>
  <c r="N177" i="1"/>
  <c r="C178" i="1"/>
  <c r="N178" i="1"/>
  <c r="C179" i="1"/>
  <c r="N179" i="1"/>
  <c r="C180" i="1"/>
  <c r="N180" i="1"/>
  <c r="C181" i="1"/>
  <c r="N181" i="1"/>
  <c r="C182" i="1"/>
  <c r="N182" i="1"/>
  <c r="C183" i="1"/>
  <c r="N183" i="1"/>
  <c r="C184" i="1"/>
  <c r="N184" i="1"/>
  <c r="C185" i="1"/>
  <c r="N185" i="1"/>
  <c r="C186" i="1"/>
  <c r="N186" i="1"/>
  <c r="C187" i="1"/>
  <c r="N187" i="1"/>
  <c r="C188" i="1"/>
  <c r="N188" i="1"/>
  <c r="C189" i="1"/>
  <c r="N189" i="1"/>
  <c r="C190" i="1"/>
  <c r="N190" i="1"/>
  <c r="C191" i="1"/>
  <c r="N191" i="1"/>
  <c r="C192" i="1"/>
  <c r="N192" i="1"/>
  <c r="C193" i="1"/>
  <c r="N193" i="1"/>
  <c r="C194" i="1"/>
  <c r="N194" i="1"/>
  <c r="C195" i="1"/>
  <c r="N195" i="1"/>
  <c r="C196" i="1"/>
  <c r="N196" i="1"/>
  <c r="C197" i="1"/>
  <c r="N197" i="1"/>
  <c r="C198" i="1"/>
  <c r="N198" i="1"/>
  <c r="C199" i="1"/>
  <c r="N199" i="1"/>
  <c r="C200" i="1"/>
  <c r="N200" i="1"/>
  <c r="C201" i="1"/>
  <c r="N201" i="1"/>
  <c r="C202" i="1"/>
  <c r="N202" i="1"/>
  <c r="C203" i="1"/>
  <c r="N203" i="1"/>
  <c r="C204" i="1"/>
  <c r="N204" i="1"/>
  <c r="C205" i="1"/>
  <c r="N205" i="1"/>
  <c r="C206" i="1"/>
  <c r="N206" i="1"/>
  <c r="C207" i="1"/>
  <c r="N207" i="1"/>
  <c r="C208" i="1"/>
  <c r="N208" i="1"/>
  <c r="C209" i="1"/>
  <c r="N209" i="1"/>
  <c r="C210" i="1"/>
  <c r="N210" i="1"/>
  <c r="C211" i="1"/>
  <c r="N211" i="1"/>
  <c r="C212" i="1"/>
  <c r="N212" i="1"/>
  <c r="C213" i="1"/>
  <c r="N213" i="1"/>
  <c r="C214" i="1"/>
  <c r="N214" i="1"/>
  <c r="C215" i="1"/>
  <c r="N215" i="1"/>
  <c r="C216" i="1"/>
  <c r="N216" i="1"/>
  <c r="C217" i="1"/>
  <c r="N217" i="1"/>
  <c r="C218" i="1"/>
  <c r="N218" i="1"/>
  <c r="C219" i="1"/>
  <c r="N219" i="1"/>
  <c r="C220" i="1"/>
  <c r="N220" i="1"/>
  <c r="C221" i="1"/>
  <c r="N221" i="1"/>
  <c r="C222" i="1"/>
  <c r="N222" i="1"/>
  <c r="C223" i="1"/>
  <c r="N223" i="1"/>
  <c r="C224" i="1"/>
  <c r="N224" i="1"/>
  <c r="C225" i="1"/>
  <c r="N225" i="1"/>
  <c r="C226" i="1"/>
  <c r="N226" i="1"/>
  <c r="C227" i="1"/>
  <c r="N227" i="1"/>
  <c r="C228" i="1"/>
  <c r="N228" i="1"/>
  <c r="C229" i="1"/>
  <c r="N229" i="1"/>
  <c r="C230" i="1"/>
  <c r="N230" i="1"/>
  <c r="C231" i="1"/>
  <c r="N231" i="1"/>
  <c r="C232" i="1"/>
  <c r="N232" i="1"/>
  <c r="C233" i="1"/>
  <c r="N233" i="1"/>
  <c r="C234" i="1"/>
  <c r="N234" i="1"/>
  <c r="C235" i="1"/>
  <c r="N235" i="1"/>
  <c r="C236" i="1"/>
  <c r="N236" i="1"/>
  <c r="C237" i="1"/>
  <c r="N237" i="1"/>
  <c r="C238" i="1"/>
  <c r="N238" i="1"/>
  <c r="C239" i="1"/>
  <c r="N239" i="1"/>
  <c r="C240" i="1"/>
  <c r="N240" i="1"/>
  <c r="C241" i="1"/>
  <c r="N241" i="1"/>
  <c r="C242" i="1"/>
  <c r="N242" i="1"/>
  <c r="C243" i="1"/>
  <c r="N243" i="1"/>
  <c r="C244" i="1"/>
  <c r="N244" i="1"/>
  <c r="C245" i="1"/>
  <c r="N245" i="1"/>
  <c r="C246" i="1"/>
  <c r="N246" i="1"/>
  <c r="C247" i="1"/>
  <c r="N247" i="1"/>
  <c r="C248" i="1"/>
  <c r="N248" i="1"/>
  <c r="C249" i="1"/>
  <c r="N249" i="1"/>
  <c r="C250" i="1"/>
  <c r="N250" i="1"/>
  <c r="C251" i="1"/>
  <c r="N251" i="1"/>
  <c r="C252" i="1"/>
  <c r="N252" i="1"/>
  <c r="C253" i="1"/>
  <c r="N253" i="1"/>
  <c r="C254" i="1"/>
  <c r="N254" i="1"/>
  <c r="C255" i="1"/>
  <c r="N255" i="1"/>
  <c r="C256" i="1"/>
  <c r="N256" i="1"/>
  <c r="C257" i="1"/>
  <c r="N257" i="1"/>
  <c r="C258" i="1"/>
  <c r="N258" i="1"/>
  <c r="C259" i="1"/>
  <c r="N259" i="1"/>
  <c r="C260" i="1"/>
  <c r="N260" i="1"/>
  <c r="C261" i="1"/>
  <c r="N261" i="1"/>
  <c r="C262" i="1"/>
  <c r="N262" i="1"/>
  <c r="C263" i="1"/>
  <c r="N263" i="1"/>
  <c r="C264" i="1"/>
  <c r="N264" i="1"/>
  <c r="C265" i="1"/>
  <c r="N265" i="1"/>
  <c r="C266" i="1"/>
  <c r="N266" i="1"/>
  <c r="C267" i="1"/>
  <c r="N267" i="1"/>
  <c r="C268" i="1"/>
  <c r="N268" i="1"/>
  <c r="C269" i="1"/>
  <c r="N269" i="1"/>
  <c r="C270" i="1"/>
  <c r="N270" i="1"/>
  <c r="C271" i="1"/>
  <c r="N271" i="1"/>
  <c r="C272" i="1"/>
  <c r="N272" i="1"/>
  <c r="C273" i="1"/>
  <c r="N273" i="1"/>
  <c r="C274" i="1"/>
  <c r="N274" i="1"/>
  <c r="C275" i="1"/>
  <c r="N275" i="1"/>
  <c r="C276" i="1"/>
  <c r="N276" i="1"/>
  <c r="C277" i="1"/>
  <c r="N277" i="1"/>
  <c r="C278" i="1"/>
  <c r="N278" i="1"/>
  <c r="C279" i="1"/>
  <c r="N279" i="1"/>
  <c r="C280" i="1"/>
  <c r="N280" i="1"/>
  <c r="C281" i="1"/>
  <c r="N281" i="1"/>
  <c r="C282" i="1"/>
  <c r="N282" i="1"/>
  <c r="C283" i="1"/>
  <c r="N283" i="1"/>
  <c r="C284" i="1"/>
  <c r="N284" i="1"/>
  <c r="C285" i="1"/>
  <c r="N285" i="1"/>
  <c r="C286" i="1"/>
  <c r="N286" i="1"/>
  <c r="C287" i="1"/>
  <c r="N287" i="1"/>
  <c r="C288" i="1"/>
  <c r="N288" i="1"/>
  <c r="C289" i="1"/>
  <c r="N289" i="1"/>
  <c r="C290" i="1"/>
  <c r="N290" i="1"/>
  <c r="C291" i="1"/>
  <c r="N291" i="1"/>
  <c r="C292" i="1"/>
  <c r="N292" i="1"/>
  <c r="C293" i="1"/>
  <c r="N293" i="1"/>
  <c r="C294" i="1"/>
  <c r="N294" i="1"/>
  <c r="C295" i="1"/>
  <c r="N295" i="1"/>
  <c r="C296" i="1"/>
  <c r="N296" i="1"/>
  <c r="C297" i="1"/>
  <c r="N297" i="1"/>
  <c r="C298" i="1"/>
  <c r="N298" i="1"/>
  <c r="C299" i="1"/>
  <c r="N299" i="1"/>
  <c r="C300" i="1"/>
  <c r="N300" i="1"/>
  <c r="C301" i="1"/>
  <c r="N301" i="1"/>
  <c r="C302" i="1"/>
  <c r="N302" i="1"/>
  <c r="C303" i="1"/>
  <c r="N303" i="1"/>
  <c r="C304" i="1"/>
  <c r="N304" i="1"/>
  <c r="C305" i="1"/>
  <c r="N305" i="1"/>
  <c r="C306" i="1"/>
  <c r="N306" i="1"/>
  <c r="C307" i="1"/>
  <c r="N307" i="1"/>
  <c r="C308" i="1"/>
  <c r="N308" i="1"/>
  <c r="C309" i="1"/>
  <c r="N309" i="1"/>
  <c r="C310" i="1"/>
  <c r="N310" i="1"/>
  <c r="C311" i="1"/>
  <c r="N311" i="1"/>
  <c r="C312" i="1"/>
  <c r="N312" i="1"/>
  <c r="C313" i="1"/>
  <c r="N313" i="1"/>
  <c r="C314" i="1"/>
  <c r="N314" i="1"/>
  <c r="C315" i="1"/>
  <c r="N315" i="1"/>
  <c r="C316" i="1"/>
  <c r="N316" i="1"/>
  <c r="C317" i="1"/>
  <c r="N317" i="1"/>
  <c r="C318" i="1"/>
  <c r="N318" i="1"/>
  <c r="C319" i="1"/>
  <c r="N319" i="1"/>
  <c r="C320" i="1"/>
  <c r="N320" i="1"/>
  <c r="C321" i="1"/>
  <c r="N321" i="1"/>
  <c r="C322" i="1"/>
  <c r="N322" i="1"/>
  <c r="C323" i="1"/>
  <c r="N323" i="1"/>
  <c r="C324" i="1"/>
  <c r="N324" i="1"/>
  <c r="C325" i="1"/>
  <c r="N325" i="1"/>
  <c r="C326" i="1"/>
  <c r="N326" i="1"/>
  <c r="C327" i="1"/>
  <c r="N327" i="1"/>
  <c r="C328" i="1"/>
  <c r="N328" i="1"/>
  <c r="C329" i="1"/>
  <c r="N329" i="1"/>
  <c r="C330" i="1"/>
  <c r="N330" i="1"/>
  <c r="C331" i="1"/>
  <c r="N331" i="1"/>
  <c r="C332" i="1"/>
  <c r="N332" i="1"/>
  <c r="C333" i="1"/>
  <c r="N333" i="1"/>
  <c r="C334" i="1"/>
  <c r="N334" i="1"/>
  <c r="C335" i="1"/>
  <c r="N335" i="1"/>
  <c r="C336" i="1"/>
  <c r="N336" i="1"/>
  <c r="C337" i="1"/>
  <c r="N337" i="1"/>
  <c r="C338" i="1"/>
  <c r="N338" i="1"/>
  <c r="C339" i="1"/>
  <c r="N339" i="1"/>
  <c r="C340" i="1"/>
  <c r="N340" i="1"/>
  <c r="C341" i="1"/>
  <c r="N341" i="1"/>
  <c r="C342" i="1"/>
  <c r="N342" i="1"/>
  <c r="C343" i="1"/>
  <c r="N343" i="1"/>
  <c r="C344" i="1"/>
  <c r="N344" i="1"/>
  <c r="C345" i="1"/>
  <c r="N345" i="1"/>
  <c r="C346" i="1"/>
  <c r="N346" i="1"/>
  <c r="C347" i="1"/>
  <c r="N347" i="1"/>
  <c r="C348" i="1"/>
  <c r="N348" i="1"/>
  <c r="C349" i="1"/>
  <c r="N349" i="1"/>
  <c r="C350" i="1"/>
  <c r="N350" i="1"/>
  <c r="C351" i="1"/>
  <c r="N351" i="1"/>
  <c r="C352" i="1"/>
  <c r="N352" i="1"/>
  <c r="C353" i="1"/>
  <c r="N353" i="1"/>
  <c r="C354" i="1"/>
  <c r="N354" i="1"/>
  <c r="C355" i="1"/>
  <c r="N355" i="1"/>
  <c r="C356" i="1"/>
  <c r="N356" i="1"/>
  <c r="C357" i="1"/>
  <c r="N357" i="1"/>
  <c r="C358" i="1"/>
  <c r="N358" i="1"/>
  <c r="C359" i="1"/>
  <c r="N359" i="1"/>
  <c r="C360" i="1"/>
  <c r="N360" i="1"/>
  <c r="C361" i="1"/>
  <c r="N361" i="1"/>
  <c r="C362" i="1"/>
  <c r="N362" i="1"/>
  <c r="C363" i="1"/>
  <c r="N363" i="1"/>
  <c r="C364" i="1"/>
  <c r="N364" i="1"/>
  <c r="C365" i="1"/>
  <c r="N365" i="1"/>
  <c r="C366" i="1"/>
  <c r="N366" i="1"/>
  <c r="C367" i="1"/>
  <c r="N367" i="1"/>
  <c r="C368" i="1"/>
  <c r="N368" i="1"/>
  <c r="C369" i="1"/>
  <c r="N369" i="1"/>
  <c r="C370" i="1"/>
  <c r="N370" i="1"/>
  <c r="C371" i="1"/>
  <c r="N371" i="1"/>
  <c r="C372" i="1"/>
  <c r="N372" i="1"/>
  <c r="C373" i="1"/>
  <c r="N373" i="1"/>
  <c r="C374" i="1"/>
  <c r="N374" i="1"/>
  <c r="C375" i="1"/>
  <c r="N375" i="1"/>
  <c r="C376" i="1"/>
  <c r="N376" i="1"/>
  <c r="C377" i="1"/>
  <c r="N377" i="1"/>
  <c r="C378" i="1"/>
  <c r="N378" i="1"/>
  <c r="C379" i="1"/>
  <c r="N379" i="1"/>
  <c r="C380" i="1"/>
  <c r="N380" i="1"/>
  <c r="C381" i="1"/>
  <c r="N381" i="1"/>
  <c r="C382" i="1"/>
  <c r="N382" i="1"/>
  <c r="C383" i="1"/>
  <c r="N383" i="1"/>
  <c r="C384" i="1"/>
  <c r="N384" i="1"/>
  <c r="C385" i="1"/>
  <c r="N385" i="1"/>
  <c r="C386" i="1"/>
  <c r="N386" i="1"/>
  <c r="C387" i="1"/>
  <c r="N387" i="1"/>
  <c r="C388" i="1"/>
  <c r="N388" i="1"/>
  <c r="C389" i="1"/>
  <c r="N389" i="1"/>
  <c r="C390" i="1"/>
  <c r="N390" i="1"/>
  <c r="C391" i="1"/>
  <c r="N391" i="1"/>
  <c r="C392" i="1"/>
  <c r="N392" i="1"/>
  <c r="C393" i="1"/>
  <c r="N393" i="1"/>
  <c r="C394" i="1"/>
  <c r="N394" i="1"/>
  <c r="C395" i="1"/>
  <c r="N395" i="1"/>
  <c r="C396" i="1"/>
  <c r="N396" i="1"/>
  <c r="C397" i="1"/>
  <c r="N397" i="1"/>
  <c r="C398" i="1"/>
  <c r="N398" i="1"/>
  <c r="C399" i="1"/>
  <c r="N399" i="1"/>
  <c r="C400" i="1"/>
  <c r="N400" i="1"/>
  <c r="C401" i="1"/>
  <c r="N401" i="1"/>
  <c r="C402" i="1"/>
  <c r="N402" i="1"/>
  <c r="C403" i="1"/>
  <c r="N403" i="1"/>
  <c r="C404" i="1"/>
  <c r="N404" i="1"/>
  <c r="C405" i="1"/>
  <c r="N405" i="1"/>
  <c r="C406" i="1"/>
  <c r="N406" i="1"/>
  <c r="C407" i="1"/>
  <c r="N407" i="1"/>
  <c r="C408" i="1"/>
  <c r="N408" i="1"/>
  <c r="C409" i="1"/>
  <c r="N409" i="1"/>
  <c r="C410" i="1"/>
  <c r="N410" i="1"/>
  <c r="C411" i="1"/>
  <c r="N411" i="1"/>
  <c r="C412" i="1"/>
  <c r="N412" i="1"/>
  <c r="C413" i="1"/>
  <c r="N413" i="1"/>
  <c r="C414" i="1"/>
  <c r="N414" i="1"/>
  <c r="C415" i="1"/>
  <c r="N415" i="1"/>
  <c r="C416" i="1"/>
  <c r="N416" i="1"/>
  <c r="C417" i="1"/>
  <c r="N417" i="1"/>
  <c r="C418" i="1"/>
  <c r="N418" i="1"/>
  <c r="C419" i="1"/>
  <c r="N419" i="1"/>
  <c r="C420" i="1"/>
  <c r="N420" i="1"/>
  <c r="C421" i="1"/>
  <c r="N421" i="1"/>
  <c r="C422" i="1"/>
  <c r="N422" i="1"/>
  <c r="C423" i="1"/>
  <c r="N423" i="1"/>
  <c r="C424" i="1"/>
  <c r="N424" i="1"/>
  <c r="C425" i="1"/>
  <c r="N425" i="1"/>
  <c r="C426" i="1"/>
  <c r="N426" i="1"/>
  <c r="C427" i="1"/>
  <c r="N427" i="1"/>
  <c r="C428" i="1"/>
  <c r="N428" i="1"/>
  <c r="C429" i="1"/>
  <c r="N429" i="1"/>
  <c r="C430" i="1"/>
  <c r="N430" i="1"/>
  <c r="C431" i="1"/>
  <c r="N431" i="1"/>
  <c r="C432" i="1"/>
  <c r="N432" i="1"/>
  <c r="C433" i="1"/>
  <c r="N433" i="1"/>
  <c r="C434" i="1"/>
  <c r="N434" i="1"/>
  <c r="C435" i="1"/>
  <c r="N435" i="1"/>
  <c r="C436" i="1"/>
  <c r="N436" i="1"/>
  <c r="C437" i="1"/>
  <c r="N437" i="1"/>
  <c r="C438" i="1"/>
  <c r="N438" i="1"/>
  <c r="C439" i="1"/>
  <c r="N439" i="1"/>
  <c r="C440" i="1"/>
  <c r="N440" i="1"/>
  <c r="C441" i="1"/>
  <c r="N441" i="1"/>
  <c r="C442" i="1"/>
  <c r="N442" i="1"/>
  <c r="C443" i="1"/>
  <c r="N443" i="1"/>
  <c r="C444" i="1"/>
  <c r="N444" i="1"/>
  <c r="C445" i="1"/>
  <c r="N445" i="1"/>
  <c r="C446" i="1"/>
  <c r="N446" i="1"/>
  <c r="C447" i="1"/>
  <c r="N447" i="1"/>
  <c r="C448" i="1"/>
  <c r="N448" i="1"/>
  <c r="C449" i="1"/>
  <c r="N449" i="1"/>
  <c r="C450" i="1"/>
  <c r="N450" i="1"/>
  <c r="C451" i="1"/>
  <c r="N451" i="1"/>
  <c r="C452" i="1"/>
  <c r="N452" i="1"/>
  <c r="C453" i="1"/>
  <c r="N453" i="1"/>
  <c r="C454" i="1"/>
  <c r="N454" i="1"/>
  <c r="C455" i="1"/>
  <c r="N455" i="1"/>
  <c r="C456" i="1"/>
  <c r="N456" i="1"/>
  <c r="C457" i="1"/>
  <c r="N457" i="1"/>
  <c r="C458" i="1"/>
  <c r="N458" i="1"/>
  <c r="C459" i="1"/>
  <c r="N459" i="1"/>
  <c r="C460" i="1"/>
  <c r="N460" i="1"/>
  <c r="C461" i="1"/>
  <c r="N461" i="1"/>
  <c r="C462" i="1"/>
  <c r="N462" i="1"/>
  <c r="C463" i="1"/>
  <c r="N463" i="1"/>
  <c r="C464" i="1"/>
  <c r="N464" i="1"/>
  <c r="C465" i="1"/>
  <c r="N465" i="1"/>
  <c r="C466" i="1"/>
  <c r="N466" i="1"/>
  <c r="C467" i="1"/>
  <c r="N467" i="1"/>
  <c r="C468" i="1"/>
  <c r="N468" i="1"/>
  <c r="C469" i="1"/>
  <c r="N469" i="1"/>
  <c r="C470" i="1"/>
  <c r="N470" i="1"/>
  <c r="C471" i="1"/>
  <c r="N471" i="1"/>
  <c r="C472" i="1"/>
  <c r="N472" i="1"/>
  <c r="C473" i="1"/>
  <c r="N473" i="1"/>
  <c r="C474" i="1"/>
  <c r="N474" i="1"/>
  <c r="C475" i="1"/>
  <c r="N475" i="1"/>
  <c r="C476" i="1"/>
  <c r="N476" i="1"/>
  <c r="C477" i="1"/>
  <c r="N477" i="1"/>
  <c r="C478" i="1"/>
  <c r="N478" i="1"/>
  <c r="C479" i="1"/>
  <c r="N479" i="1"/>
  <c r="C480" i="1"/>
  <c r="N480" i="1"/>
  <c r="C481" i="1"/>
  <c r="N481" i="1"/>
  <c r="C482" i="1"/>
  <c r="N482" i="1"/>
  <c r="C483" i="1"/>
  <c r="N483" i="1"/>
  <c r="C484" i="1"/>
  <c r="N484" i="1"/>
  <c r="C485" i="1"/>
  <c r="N485" i="1"/>
  <c r="C486" i="1"/>
  <c r="N486" i="1"/>
  <c r="C487" i="1"/>
  <c r="N487" i="1"/>
  <c r="C488" i="1"/>
  <c r="N488" i="1"/>
  <c r="C489" i="1"/>
  <c r="N489" i="1"/>
  <c r="C490" i="1"/>
  <c r="N490" i="1"/>
  <c r="C491" i="1"/>
  <c r="N491" i="1"/>
  <c r="C492" i="1"/>
  <c r="N492" i="1"/>
  <c r="C493" i="1"/>
  <c r="N493" i="1"/>
  <c r="C494" i="1"/>
  <c r="N494" i="1"/>
  <c r="C495" i="1"/>
  <c r="N495" i="1"/>
  <c r="C496" i="1"/>
  <c r="N496" i="1"/>
  <c r="C497" i="1"/>
  <c r="N497" i="1"/>
  <c r="C498" i="1"/>
  <c r="N498" i="1"/>
  <c r="C499" i="1"/>
  <c r="N499" i="1"/>
  <c r="C500" i="1"/>
  <c r="N500" i="1"/>
  <c r="C501" i="1"/>
  <c r="N501" i="1"/>
  <c r="C502" i="1"/>
  <c r="N502" i="1"/>
  <c r="C503" i="1"/>
  <c r="N503" i="1"/>
  <c r="C504" i="1"/>
  <c r="N504" i="1"/>
  <c r="C505" i="1"/>
  <c r="N505" i="1"/>
  <c r="C506" i="1"/>
  <c r="N506" i="1"/>
  <c r="C507" i="1"/>
  <c r="N507" i="1"/>
  <c r="C508" i="1"/>
  <c r="N508" i="1"/>
  <c r="C509" i="1"/>
  <c r="N509" i="1"/>
  <c r="C510" i="1"/>
  <c r="N510" i="1"/>
  <c r="C511" i="1"/>
  <c r="N511" i="1"/>
  <c r="C512" i="1"/>
  <c r="N512" i="1"/>
  <c r="C513" i="1"/>
  <c r="N513" i="1"/>
  <c r="C514" i="1"/>
  <c r="N514" i="1"/>
  <c r="C515" i="1"/>
  <c r="N515" i="1"/>
  <c r="C516" i="1"/>
  <c r="N516" i="1"/>
  <c r="C517" i="1"/>
  <c r="N517" i="1"/>
  <c r="C518" i="1"/>
  <c r="N518" i="1"/>
  <c r="C519" i="1"/>
  <c r="N519" i="1"/>
  <c r="C520" i="1"/>
  <c r="N520" i="1"/>
  <c r="C521" i="1"/>
  <c r="N521" i="1"/>
  <c r="C522" i="1"/>
  <c r="N522" i="1"/>
  <c r="C523" i="1"/>
  <c r="N523" i="1"/>
  <c r="C524" i="1"/>
  <c r="N524" i="1"/>
  <c r="C525" i="1"/>
  <c r="N525" i="1"/>
  <c r="C526" i="1"/>
  <c r="N526" i="1"/>
  <c r="C527" i="1"/>
  <c r="N527" i="1"/>
  <c r="C528" i="1"/>
  <c r="N528" i="1"/>
  <c r="C529" i="1"/>
  <c r="N529" i="1"/>
  <c r="C530" i="1"/>
  <c r="N530" i="1"/>
  <c r="C531" i="1"/>
  <c r="N531" i="1"/>
  <c r="C532" i="1"/>
  <c r="N532" i="1"/>
  <c r="C533" i="1"/>
  <c r="N533" i="1"/>
  <c r="C534" i="1"/>
  <c r="N534" i="1"/>
  <c r="C535" i="1"/>
  <c r="N535" i="1"/>
  <c r="C536" i="1"/>
  <c r="N536" i="1"/>
  <c r="C537" i="1"/>
  <c r="N537" i="1"/>
  <c r="C538" i="1"/>
  <c r="N538" i="1"/>
  <c r="C539" i="1"/>
  <c r="N539" i="1"/>
  <c r="C540" i="1"/>
  <c r="N540" i="1"/>
  <c r="C541" i="1"/>
  <c r="N541" i="1"/>
  <c r="C542" i="1"/>
  <c r="N542" i="1"/>
  <c r="C543" i="1"/>
  <c r="N543" i="1"/>
  <c r="C544" i="1"/>
  <c r="N544" i="1"/>
  <c r="C545" i="1"/>
  <c r="N545" i="1"/>
  <c r="C546" i="1"/>
  <c r="N546" i="1"/>
  <c r="C547" i="1"/>
  <c r="N547" i="1"/>
  <c r="C548" i="1"/>
  <c r="N548" i="1"/>
  <c r="C549" i="1"/>
  <c r="N549" i="1"/>
  <c r="C550" i="1"/>
  <c r="N550" i="1"/>
  <c r="C551" i="1"/>
  <c r="N551" i="1"/>
  <c r="C552" i="1"/>
  <c r="N552" i="1"/>
  <c r="C553" i="1"/>
  <c r="N553" i="1"/>
  <c r="C554" i="1"/>
  <c r="N554" i="1"/>
  <c r="C555" i="1"/>
  <c r="N555" i="1"/>
  <c r="C556" i="1"/>
  <c r="N556" i="1"/>
  <c r="C557" i="1"/>
  <c r="N557" i="1"/>
  <c r="C558" i="1"/>
  <c r="N558" i="1"/>
  <c r="C559" i="1"/>
  <c r="N559" i="1"/>
  <c r="C560" i="1"/>
  <c r="N560" i="1"/>
  <c r="C561" i="1"/>
  <c r="N561" i="1"/>
  <c r="C562" i="1"/>
  <c r="N562" i="1"/>
  <c r="C563" i="1"/>
  <c r="N563" i="1"/>
  <c r="C564" i="1"/>
  <c r="N564" i="1"/>
  <c r="C565" i="1"/>
  <c r="N565" i="1"/>
  <c r="C566" i="1"/>
  <c r="N566" i="1"/>
  <c r="C567" i="1"/>
  <c r="N567" i="1"/>
  <c r="C568" i="1"/>
  <c r="N568" i="1"/>
  <c r="C569" i="1"/>
  <c r="N569" i="1"/>
  <c r="C570" i="1"/>
  <c r="N570" i="1"/>
  <c r="C571" i="1"/>
  <c r="N571" i="1"/>
  <c r="C572" i="1"/>
  <c r="N572" i="1"/>
  <c r="C573" i="1"/>
  <c r="N573" i="1"/>
  <c r="C574" i="1"/>
  <c r="N574" i="1"/>
  <c r="C575" i="1"/>
  <c r="N575" i="1"/>
  <c r="C576" i="1"/>
  <c r="N576" i="1"/>
  <c r="C577" i="1"/>
  <c r="N577" i="1"/>
  <c r="C578" i="1"/>
  <c r="N578" i="1"/>
  <c r="C579" i="1"/>
  <c r="N579" i="1"/>
  <c r="C580" i="1"/>
  <c r="N580" i="1"/>
  <c r="C581" i="1"/>
  <c r="N581" i="1"/>
  <c r="C582" i="1"/>
  <c r="N582" i="1"/>
  <c r="C583" i="1"/>
  <c r="N583" i="1"/>
  <c r="C584" i="1"/>
  <c r="N584" i="1"/>
  <c r="C585" i="1"/>
  <c r="N585" i="1"/>
  <c r="C586" i="1"/>
  <c r="N586" i="1"/>
  <c r="C587" i="1"/>
  <c r="N587" i="1"/>
  <c r="C588" i="1"/>
  <c r="N588" i="1"/>
  <c r="C589" i="1"/>
  <c r="N589" i="1"/>
  <c r="C590" i="1"/>
  <c r="N590" i="1"/>
  <c r="C591" i="1"/>
  <c r="N591" i="1"/>
  <c r="C592" i="1"/>
  <c r="N592" i="1"/>
  <c r="C593" i="1"/>
  <c r="N593" i="1"/>
  <c r="C594" i="1"/>
  <c r="N594" i="1"/>
  <c r="C595" i="1"/>
  <c r="N595" i="1"/>
  <c r="C596" i="1"/>
  <c r="N596" i="1"/>
  <c r="C597" i="1"/>
  <c r="N597" i="1"/>
  <c r="C598" i="1"/>
  <c r="N598" i="1"/>
  <c r="C599" i="1"/>
  <c r="N599" i="1"/>
  <c r="C600" i="1"/>
  <c r="N600" i="1"/>
  <c r="C601" i="1"/>
  <c r="N601" i="1"/>
  <c r="C602" i="1"/>
  <c r="N602" i="1"/>
  <c r="C603" i="1"/>
  <c r="N603" i="1"/>
  <c r="C604" i="1"/>
  <c r="N604" i="1"/>
  <c r="C605" i="1"/>
  <c r="N605" i="1"/>
  <c r="C606" i="1"/>
  <c r="N606" i="1"/>
  <c r="C607" i="1"/>
  <c r="N607" i="1"/>
  <c r="C608" i="1"/>
  <c r="N608" i="1"/>
  <c r="C609" i="1"/>
  <c r="N609" i="1"/>
  <c r="C610" i="1"/>
  <c r="N610" i="1"/>
  <c r="C611" i="1"/>
  <c r="N611" i="1"/>
  <c r="C612" i="1"/>
  <c r="N612" i="1"/>
  <c r="C613" i="1"/>
  <c r="N613" i="1"/>
  <c r="C614" i="1"/>
  <c r="N614" i="1"/>
  <c r="C615" i="1"/>
  <c r="N615" i="1"/>
  <c r="C616" i="1"/>
  <c r="N616" i="1"/>
  <c r="C617" i="1"/>
  <c r="N617" i="1"/>
  <c r="C618" i="1"/>
  <c r="N618" i="1"/>
  <c r="C619" i="1"/>
  <c r="N619" i="1"/>
  <c r="C620" i="1"/>
  <c r="N620" i="1"/>
  <c r="C621" i="1"/>
  <c r="N621" i="1"/>
  <c r="C622" i="1"/>
  <c r="N622" i="1"/>
  <c r="C623" i="1"/>
  <c r="N623" i="1"/>
  <c r="C624" i="1"/>
  <c r="N624" i="1"/>
  <c r="C625" i="1"/>
  <c r="N625" i="1"/>
  <c r="C626" i="1"/>
  <c r="N626" i="1"/>
  <c r="C627" i="1"/>
  <c r="N627" i="1"/>
  <c r="C628" i="1"/>
  <c r="N628" i="1"/>
  <c r="C629" i="1"/>
  <c r="N629" i="1"/>
  <c r="C630" i="1"/>
  <c r="N630" i="1"/>
  <c r="C631" i="1"/>
  <c r="N631" i="1"/>
  <c r="C632" i="1"/>
  <c r="N632" i="1"/>
  <c r="C633" i="1"/>
  <c r="N633" i="1"/>
  <c r="C634" i="1"/>
  <c r="N634" i="1"/>
  <c r="E34" i="1"/>
  <c r="C37" i="1"/>
  <c r="N37" i="1"/>
  <c r="N35" i="1"/>
  <c r="N36" i="1"/>
  <c r="C35" i="1"/>
  <c r="C36" i="1"/>
  <c r="N34" i="1"/>
  <c r="A639" i="1" l="1"/>
  <c r="C638" i="1"/>
  <c r="N637" i="1"/>
  <c r="H34" i="1"/>
  <c r="B35" i="1"/>
  <c r="E35" i="1" s="1"/>
  <c r="I34" i="1" l="1"/>
  <c r="J34" i="1" s="1"/>
  <c r="A640" i="1"/>
  <c r="C639" i="1"/>
  <c r="N638" i="1"/>
  <c r="B36" i="1"/>
  <c r="E36" i="1" s="1"/>
  <c r="F35" i="1" l="1"/>
  <c r="G35" i="1" s="1"/>
  <c r="K34" i="1"/>
  <c r="M34" i="1" s="1" a="1"/>
  <c r="M34" i="1" s="1"/>
  <c r="A641" i="1"/>
  <c r="C640" i="1"/>
  <c r="N639" i="1"/>
  <c r="B37" i="1"/>
  <c r="E37" i="1" s="1"/>
  <c r="L34" i="1" l="1" a="1"/>
  <c r="L34" i="1" s="1"/>
  <c r="V34" i="1" s="1"/>
  <c r="W34" i="1" s="1"/>
  <c r="P34" i="1"/>
  <c r="Q34" i="1" s="1"/>
  <c r="T34" i="1"/>
  <c r="U34" i="1" s="1"/>
  <c r="H35" i="1"/>
  <c r="I35" i="1" s="1"/>
  <c r="A642" i="1"/>
  <c r="N640" i="1"/>
  <c r="C641" i="1"/>
  <c r="B38" i="1"/>
  <c r="E38" i="1" s="1"/>
  <c r="J35" i="1" l="1"/>
  <c r="A643" i="1"/>
  <c r="C642" i="1"/>
  <c r="N641" i="1"/>
  <c r="B39" i="1"/>
  <c r="E39" i="1" s="1"/>
  <c r="F36" i="1" l="1"/>
  <c r="G36" i="1" s="1"/>
  <c r="H36" i="1" s="1"/>
  <c r="K35" i="1"/>
  <c r="M35" i="1" s="1" a="1"/>
  <c r="M35" i="1" s="1"/>
  <c r="A644" i="1"/>
  <c r="C643" i="1"/>
  <c r="N642" i="1"/>
  <c r="B40" i="1"/>
  <c r="E40" i="1" s="1"/>
  <c r="A645" i="1"/>
  <c r="C644" i="1"/>
  <c r="N643" i="1"/>
  <c r="L35" i="1" l="1" a="1"/>
  <c r="L35" i="1" s="1"/>
  <c r="V35" i="1" s="1"/>
  <c r="W35" i="1" s="1"/>
  <c r="B41" i="1"/>
  <c r="E41" i="1" s="1"/>
  <c r="B42" i="1" s="1"/>
  <c r="E42" i="1" s="1"/>
  <c r="P35" i="1"/>
  <c r="Q35" i="1" s="1"/>
  <c r="R35" i="1" s="1"/>
  <c r="T35" i="1"/>
  <c r="U35" i="1" s="1"/>
  <c r="I36" i="1"/>
  <c r="J36" i="1" s="1"/>
  <c r="A646" i="1"/>
  <c r="N644" i="1"/>
  <c r="C645" i="1"/>
  <c r="F37" i="1" l="1"/>
  <c r="G37" i="1" s="1"/>
  <c r="H37" i="1" s="1"/>
  <c r="K36" i="1"/>
  <c r="L36" i="1" s="1" a="1"/>
  <c r="L36" i="1" s="1"/>
  <c r="V36" i="1" s="1"/>
  <c r="W36" i="1" s="1"/>
  <c r="A647" i="1"/>
  <c r="C646" i="1"/>
  <c r="N645" i="1"/>
  <c r="B43" i="1"/>
  <c r="E43" i="1" s="1"/>
  <c r="A648" i="1"/>
  <c r="C647" i="1"/>
  <c r="N646" i="1"/>
  <c r="M36" i="1" l="1" a="1"/>
  <c r="M36" i="1" s="1"/>
  <c r="T36" i="1" s="1"/>
  <c r="U36" i="1" s="1"/>
  <c r="I37" i="1"/>
  <c r="J37" i="1" s="1"/>
  <c r="F38" i="1" s="1"/>
  <c r="G38" i="1" s="1"/>
  <c r="H38" i="1" s="1"/>
  <c r="B44" i="1"/>
  <c r="E44" i="1" s="1"/>
  <c r="A649" i="1"/>
  <c r="N648" i="1" s="1"/>
  <c r="C648" i="1"/>
  <c r="N647" i="1"/>
  <c r="A650" i="1"/>
  <c r="C649" i="1"/>
  <c r="I38" i="1" l="1"/>
  <c r="J38" i="1" s="1"/>
  <c r="F39" i="1" s="1"/>
  <c r="G39" i="1" s="1"/>
  <c r="H39" i="1" s="1"/>
  <c r="B45" i="1"/>
  <c r="E45" i="1" s="1"/>
  <c r="P36" i="1"/>
  <c r="Q36" i="1" s="1"/>
  <c r="R36" i="1" s="1"/>
  <c r="K37" i="1"/>
  <c r="L37" i="1" s="1" a="1"/>
  <c r="L37" i="1" s="1"/>
  <c r="V37" i="1" s="1"/>
  <c r="W37" i="1" s="1"/>
  <c r="A651" i="1"/>
  <c r="C650" i="1"/>
  <c r="N649" i="1"/>
  <c r="A652" i="1"/>
  <c r="C651" i="1"/>
  <c r="N650" i="1"/>
  <c r="K38" i="1" l="1"/>
  <c r="L38" i="1" s="1" a="1"/>
  <c r="L38" i="1" s="1"/>
  <c r="V38" i="1" s="1"/>
  <c r="W38" i="1" s="1"/>
  <c r="M37" i="1" a="1"/>
  <c r="M37" i="1" s="1"/>
  <c r="I39" i="1"/>
  <c r="J39" i="1" s="1"/>
  <c r="F40" i="1" s="1"/>
  <c r="G40" i="1" s="1"/>
  <c r="H40" i="1" s="1"/>
  <c r="B46" i="1"/>
  <c r="A653" i="1"/>
  <c r="A654" i="1" s="1"/>
  <c r="C652" i="1"/>
  <c r="N651" i="1"/>
  <c r="M38" i="1" l="1" a="1"/>
  <c r="M38" i="1" s="1"/>
  <c r="P38" i="1" s="1"/>
  <c r="Q38" i="1" s="1"/>
  <c r="K39" i="1"/>
  <c r="M39" i="1" s="1" a="1"/>
  <c r="M39" i="1" s="1"/>
  <c r="P39" i="1" s="1"/>
  <c r="Q39" i="1" s="1"/>
  <c r="E46" i="1"/>
  <c r="B47" i="1" s="1"/>
  <c r="P37" i="1"/>
  <c r="Q37" i="1" s="1"/>
  <c r="R37" i="1" s="1"/>
  <c r="T37" i="1"/>
  <c r="U37" i="1" s="1"/>
  <c r="C653" i="1"/>
  <c r="N652" i="1"/>
  <c r="I40" i="1"/>
  <c r="J40" i="1" s="1"/>
  <c r="A655" i="1"/>
  <c r="N654" i="1" s="1"/>
  <c r="C654" i="1"/>
  <c r="N653" i="1"/>
  <c r="R38" i="1" l="1"/>
  <c r="R39" i="1" s="1"/>
  <c r="T38" i="1"/>
  <c r="U38" i="1" s="1"/>
  <c r="L39" i="1" a="1"/>
  <c r="L39" i="1" s="1"/>
  <c r="V39" i="1" s="1"/>
  <c r="W39" i="1" s="1"/>
  <c r="E47" i="1"/>
  <c r="B48" i="1" s="1"/>
  <c r="T39" i="1"/>
  <c r="U39" i="1" s="1"/>
  <c r="F41" i="1"/>
  <c r="G41" i="1" s="1"/>
  <c r="H41" i="1" s="1"/>
  <c r="C655" i="1"/>
  <c r="A656" i="1"/>
  <c r="N655" i="1" s="1"/>
  <c r="K40" i="1"/>
  <c r="M40" i="1" s="1" a="1"/>
  <c r="M40" i="1" s="1"/>
  <c r="P40" i="1" s="1"/>
  <c r="Q40" i="1" s="1"/>
  <c r="A657" i="1"/>
  <c r="C656" i="1"/>
  <c r="L40" i="1" l="1" a="1"/>
  <c r="L40" i="1" s="1"/>
  <c r="V40" i="1" s="1"/>
  <c r="W40" i="1" s="1"/>
  <c r="R40" i="1"/>
  <c r="I41" i="1"/>
  <c r="J41" i="1" s="1"/>
  <c r="K41" i="1" s="1"/>
  <c r="M41" i="1" s="1" a="1"/>
  <c r="M41" i="1" s="1"/>
  <c r="E48" i="1"/>
  <c r="B49" i="1" s="1"/>
  <c r="T40" i="1"/>
  <c r="U40" i="1" s="1"/>
  <c r="A658" i="1"/>
  <c r="A659" i="1" s="1"/>
  <c r="N656" i="1"/>
  <c r="C657" i="1"/>
  <c r="N657" i="1"/>
  <c r="F42" i="1" l="1"/>
  <c r="G42" i="1" s="1"/>
  <c r="H42" i="1" s="1"/>
  <c r="E49" i="1"/>
  <c r="B50" i="1" s="1"/>
  <c r="L41" i="1" a="1"/>
  <c r="L41" i="1" s="1"/>
  <c r="V41" i="1" s="1"/>
  <c r="W41" i="1" s="1"/>
  <c r="C658" i="1"/>
  <c r="P41" i="1"/>
  <c r="Q41" i="1" s="1"/>
  <c r="R41" i="1" s="1"/>
  <c r="A660" i="1"/>
  <c r="C659" i="1"/>
  <c r="N658" i="1"/>
  <c r="I42" i="1" l="1"/>
  <c r="J42" i="1" s="1"/>
  <c r="K42" i="1" s="1"/>
  <c r="L42" i="1" s="1" a="1"/>
  <c r="L42" i="1" s="1"/>
  <c r="E50" i="1"/>
  <c r="B51" i="1" s="1"/>
  <c r="A661" i="1"/>
  <c r="C661" i="1" s="1"/>
  <c r="C660" i="1"/>
  <c r="N659" i="1"/>
  <c r="A662" i="1"/>
  <c r="N660" i="1"/>
  <c r="F43" i="1" l="1"/>
  <c r="G43" i="1" s="1"/>
  <c r="H43" i="1" s="1"/>
  <c r="I43" i="1" s="1"/>
  <c r="J43" i="1" s="1"/>
  <c r="K43" i="1" s="1"/>
  <c r="M43" i="1" s="1" a="1"/>
  <c r="M43" i="1" s="1"/>
  <c r="E51" i="1"/>
  <c r="B52" i="1" s="1"/>
  <c r="M42" i="1" a="1"/>
  <c r="M42" i="1" s="1"/>
  <c r="T42" i="1" s="1"/>
  <c r="U42" i="1" s="1"/>
  <c r="A663" i="1"/>
  <c r="A664" i="1" s="1"/>
  <c r="C662" i="1"/>
  <c r="N661" i="1"/>
  <c r="F44" i="1" l="1"/>
  <c r="G44" i="1" s="1"/>
  <c r="H44" i="1" s="1"/>
  <c r="L43" i="1" a="1"/>
  <c r="L43" i="1" s="1"/>
  <c r="V43" i="1" s="1"/>
  <c r="W43" i="1" s="1"/>
  <c r="E52" i="1"/>
  <c r="B53" i="1" s="1"/>
  <c r="P42" i="1"/>
  <c r="Q42" i="1" s="1"/>
  <c r="R42" i="1" s="1"/>
  <c r="T43" i="1"/>
  <c r="U43" i="1" s="1"/>
  <c r="T41" i="1"/>
  <c r="U41" i="1" s="1"/>
  <c r="N662" i="1"/>
  <c r="C663" i="1"/>
  <c r="P43" i="1"/>
  <c r="Q43" i="1" s="1"/>
  <c r="A665" i="1"/>
  <c r="C664" i="1"/>
  <c r="N663" i="1"/>
  <c r="I44" i="1" l="1"/>
  <c r="J44" i="1" s="1"/>
  <c r="K44" i="1" s="1"/>
  <c r="L44" i="1" s="1" a="1"/>
  <c r="L44" i="1" s="1"/>
  <c r="E53" i="1"/>
  <c r="B54" i="1" s="1"/>
  <c r="R43" i="1"/>
  <c r="A666" i="1"/>
  <c r="N664" i="1"/>
  <c r="C665" i="1"/>
  <c r="A667" i="1"/>
  <c r="C666" i="1"/>
  <c r="N665" i="1"/>
  <c r="F45" i="1" l="1"/>
  <c r="G45" i="1" s="1"/>
  <c r="H45" i="1" s="1"/>
  <c r="E54" i="1"/>
  <c r="B55" i="1" s="1"/>
  <c r="E55" i="1" s="1"/>
  <c r="M44" i="1" a="1"/>
  <c r="M44" i="1" s="1"/>
  <c r="P44" i="1" s="1"/>
  <c r="Q44" i="1" s="1"/>
  <c r="R44" i="1" s="1"/>
  <c r="A668" i="1"/>
  <c r="C667" i="1"/>
  <c r="N666" i="1"/>
  <c r="I45" i="1" l="1"/>
  <c r="J45" i="1" s="1"/>
  <c r="K45" i="1" s="1"/>
  <c r="M45" i="1" s="1" a="1"/>
  <c r="M45" i="1" s="1"/>
  <c r="B56" i="1"/>
  <c r="T44" i="1"/>
  <c r="U44" i="1" s="1"/>
  <c r="V42" i="1"/>
  <c r="W42" i="1" s="1"/>
  <c r="A669" i="1"/>
  <c r="C668" i="1"/>
  <c r="N667" i="1"/>
  <c r="A670" i="1"/>
  <c r="N668" i="1"/>
  <c r="C669" i="1"/>
  <c r="F46" i="1" l="1"/>
  <c r="G46" i="1" s="1"/>
  <c r="H46" i="1" s="1"/>
  <c r="L45" i="1" a="1"/>
  <c r="L45" i="1" s="1"/>
  <c r="V45" i="1" s="1"/>
  <c r="W45" i="1" s="1"/>
  <c r="E56" i="1"/>
  <c r="B57" i="1" s="1"/>
  <c r="T45" i="1"/>
  <c r="U45" i="1" s="1"/>
  <c r="A671" i="1"/>
  <c r="C670" i="1"/>
  <c r="N669" i="1"/>
  <c r="I46" i="1" l="1"/>
  <c r="J46" i="1" s="1"/>
  <c r="F47" i="1" s="1"/>
  <c r="G47" i="1" s="1"/>
  <c r="H47" i="1" s="1"/>
  <c r="E57" i="1"/>
  <c r="B58" i="1" s="1"/>
  <c r="A672" i="1"/>
  <c r="A673" i="1" s="1"/>
  <c r="C671" i="1"/>
  <c r="N670" i="1"/>
  <c r="N671" i="1"/>
  <c r="K46" i="1" l="1"/>
  <c r="L46" i="1" s="1" a="1"/>
  <c r="L46" i="1" s="1"/>
  <c r="E58" i="1"/>
  <c r="B59" i="1" s="1"/>
  <c r="C672" i="1"/>
  <c r="I47" i="1"/>
  <c r="J47" i="1" s="1"/>
  <c r="A674" i="1"/>
  <c r="N672" i="1"/>
  <c r="C673" i="1"/>
  <c r="M46" i="1" l="1" a="1"/>
  <c r="M46" i="1" s="1"/>
  <c r="T46" i="1" s="1"/>
  <c r="U46" i="1" s="1"/>
  <c r="E59" i="1"/>
  <c r="B60" i="1" s="1"/>
  <c r="V44" i="1"/>
  <c r="W44" i="1" s="1"/>
  <c r="F48" i="1"/>
  <c r="G48" i="1" s="1"/>
  <c r="H48" i="1" s="1"/>
  <c r="K47" i="1"/>
  <c r="M47" i="1" s="1" a="1"/>
  <c r="M47" i="1" s="1"/>
  <c r="A675" i="1"/>
  <c r="C674" i="1"/>
  <c r="N673" i="1"/>
  <c r="A676" i="1"/>
  <c r="C675" i="1"/>
  <c r="N674" i="1"/>
  <c r="P46" i="1" l="1"/>
  <c r="Q46" i="1" s="1"/>
  <c r="L47" i="1" a="1"/>
  <c r="L47" i="1" s="1"/>
  <c r="V47" i="1" s="1"/>
  <c r="W47" i="1" s="1"/>
  <c r="E60" i="1"/>
  <c r="B61" i="1" s="1"/>
  <c r="P47" i="1"/>
  <c r="Q47" i="1" s="1"/>
  <c r="I48" i="1"/>
  <c r="J48" i="1" s="1"/>
  <c r="A677" i="1"/>
  <c r="C676" i="1"/>
  <c r="N675" i="1"/>
  <c r="E61" i="1" l="1"/>
  <c r="B62" i="1" s="1"/>
  <c r="P45" i="1"/>
  <c r="Q45" i="1" s="1"/>
  <c r="R45" i="1" s="1"/>
  <c r="R46" i="1" s="1"/>
  <c r="R47" i="1" s="1"/>
  <c r="F49" i="1"/>
  <c r="G49" i="1" s="1"/>
  <c r="H49" i="1" s="1"/>
  <c r="K48" i="1"/>
  <c r="M48" i="1" s="1" a="1"/>
  <c r="M48" i="1" s="1"/>
  <c r="A678" i="1"/>
  <c r="A679" i="1" s="1"/>
  <c r="N676" i="1"/>
  <c r="C677" i="1"/>
  <c r="N677" i="1"/>
  <c r="L48" i="1" l="1" a="1"/>
  <c r="L48" i="1" s="1"/>
  <c r="V48" i="1" s="1"/>
  <c r="W48" i="1" s="1"/>
  <c r="E62" i="1"/>
  <c r="B63" i="1" s="1"/>
  <c r="C678" i="1"/>
  <c r="P48" i="1"/>
  <c r="Q48" i="1" s="1"/>
  <c r="R48" i="1" s="1"/>
  <c r="I49" i="1"/>
  <c r="J49" i="1" s="1"/>
  <c r="A680" i="1"/>
  <c r="C679" i="1"/>
  <c r="N678" i="1"/>
  <c r="E63" i="1" l="1"/>
  <c r="B64" i="1" s="1"/>
  <c r="V46" i="1"/>
  <c r="W46" i="1" s="1"/>
  <c r="F50" i="1"/>
  <c r="G50" i="1" s="1"/>
  <c r="H50" i="1" s="1"/>
  <c r="K49" i="1"/>
  <c r="L49" i="1" s="1" a="1"/>
  <c r="L49" i="1" s="1"/>
  <c r="A681" i="1"/>
  <c r="C680" i="1"/>
  <c r="N679" i="1"/>
  <c r="A682" i="1"/>
  <c r="N680" i="1"/>
  <c r="C681" i="1"/>
  <c r="E64" i="1" l="1"/>
  <c r="B65" i="1" s="1"/>
  <c r="M49" i="1" a="1"/>
  <c r="M49" i="1" s="1"/>
  <c r="P49" i="1" s="1"/>
  <c r="Q49" i="1" s="1"/>
  <c r="R49" i="1" s="1"/>
  <c r="I50" i="1"/>
  <c r="J50" i="1" s="1"/>
  <c r="A683" i="1"/>
  <c r="C682" i="1"/>
  <c r="N681" i="1"/>
  <c r="E65" i="1" l="1"/>
  <c r="B66" i="1" s="1"/>
  <c r="T49" i="1"/>
  <c r="U49" i="1" s="1"/>
  <c r="K50" i="1"/>
  <c r="L50" i="1" s="1" a="1"/>
  <c r="L50" i="1" s="1"/>
  <c r="V50" i="1" s="1"/>
  <c r="W50" i="1" s="1"/>
  <c r="F51" i="1"/>
  <c r="G51" i="1" s="1"/>
  <c r="H51" i="1" s="1"/>
  <c r="A684" i="1"/>
  <c r="A685" i="1" s="1"/>
  <c r="C683" i="1"/>
  <c r="N682" i="1"/>
  <c r="N683" i="1"/>
  <c r="E66" i="1" l="1"/>
  <c r="B67" i="1" s="1"/>
  <c r="T47" i="1"/>
  <c r="U47" i="1" s="1"/>
  <c r="M50" i="1" a="1"/>
  <c r="M50" i="1" s="1"/>
  <c r="T50" i="1" s="1"/>
  <c r="U50" i="1" s="1"/>
  <c r="C684" i="1"/>
  <c r="I51" i="1"/>
  <c r="J51" i="1" s="1"/>
  <c r="A686" i="1"/>
  <c r="N684" i="1"/>
  <c r="C685" i="1"/>
  <c r="E67" i="1" l="1"/>
  <c r="B68" i="1" s="1"/>
  <c r="F52" i="1"/>
  <c r="G52" i="1" s="1"/>
  <c r="H52" i="1" s="1"/>
  <c r="K51" i="1"/>
  <c r="L51" i="1" s="1" a="1"/>
  <c r="L51" i="1" s="1"/>
  <c r="V51" i="1" s="1"/>
  <c r="W51" i="1" s="1"/>
  <c r="A687" i="1"/>
  <c r="C687" i="1" s="1"/>
  <c r="C686" i="1"/>
  <c r="N685" i="1"/>
  <c r="A688" i="1"/>
  <c r="E68" i="1" l="1"/>
  <c r="B69" i="1" s="1"/>
  <c r="M51" i="1" a="1"/>
  <c r="M51" i="1" s="1"/>
  <c r="P51" i="1" s="1"/>
  <c r="Q51" i="1" s="1"/>
  <c r="N686" i="1"/>
  <c r="I52" i="1"/>
  <c r="J52" i="1" s="1"/>
  <c r="A689" i="1"/>
  <c r="C688" i="1"/>
  <c r="N687" i="1"/>
  <c r="E69" i="1" l="1"/>
  <c r="B70" i="1" s="1"/>
  <c r="T48" i="1"/>
  <c r="U48" i="1" s="1"/>
  <c r="K52" i="1"/>
  <c r="L52" i="1" s="1" a="1"/>
  <c r="L52" i="1" s="1"/>
  <c r="V52" i="1" s="1"/>
  <c r="W52" i="1" s="1"/>
  <c r="F53" i="1"/>
  <c r="G53" i="1" s="1"/>
  <c r="H53" i="1" s="1"/>
  <c r="A690" i="1"/>
  <c r="A691" i="1" s="1"/>
  <c r="N688" i="1"/>
  <c r="C689" i="1"/>
  <c r="N689" i="1"/>
  <c r="M52" i="1" l="1" a="1"/>
  <c r="M52" i="1" s="1"/>
  <c r="T52" i="1" s="1"/>
  <c r="U52" i="1" s="1"/>
  <c r="E70" i="1"/>
  <c r="B71" i="1" s="1"/>
  <c r="C690" i="1"/>
  <c r="I53" i="1"/>
  <c r="J53" i="1" s="1"/>
  <c r="A692" i="1"/>
  <c r="C691" i="1"/>
  <c r="N690" i="1"/>
  <c r="E71" i="1" l="1"/>
  <c r="B72" i="1" s="1"/>
  <c r="V49" i="1"/>
  <c r="W49" i="1" s="1"/>
  <c r="K53" i="1"/>
  <c r="M53" i="1" s="1" a="1"/>
  <c r="M53" i="1" s="1"/>
  <c r="P53" i="1" s="1"/>
  <c r="Q53" i="1" s="1"/>
  <c r="F54" i="1"/>
  <c r="G54" i="1" s="1"/>
  <c r="H54" i="1" s="1"/>
  <c r="A693" i="1"/>
  <c r="N692" i="1" s="1"/>
  <c r="C692" i="1"/>
  <c r="N691" i="1"/>
  <c r="A694" i="1"/>
  <c r="E72" i="1" l="1"/>
  <c r="B73" i="1" s="1"/>
  <c r="L53" i="1" a="1"/>
  <c r="L53" i="1" s="1"/>
  <c r="V53" i="1" s="1"/>
  <c r="W53" i="1" s="1"/>
  <c r="C693" i="1"/>
  <c r="T53" i="1"/>
  <c r="U53" i="1" s="1"/>
  <c r="I54" i="1"/>
  <c r="J54" i="1" s="1"/>
  <c r="A695" i="1"/>
  <c r="C694" i="1"/>
  <c r="N693" i="1"/>
  <c r="E73" i="1" l="1"/>
  <c r="B74" i="1" s="1"/>
  <c r="P50" i="1"/>
  <c r="Q50" i="1" s="1"/>
  <c r="R50" i="1" s="1"/>
  <c r="R51" i="1" s="1"/>
  <c r="K54" i="1"/>
  <c r="M54" i="1" s="1" a="1"/>
  <c r="M54" i="1" s="1"/>
  <c r="P54" i="1" s="1"/>
  <c r="Q54" i="1" s="1"/>
  <c r="F55" i="1"/>
  <c r="G55" i="1" s="1"/>
  <c r="H55" i="1" s="1"/>
  <c r="A696" i="1"/>
  <c r="A697" i="1" s="1"/>
  <c r="C695" i="1"/>
  <c r="N694" i="1"/>
  <c r="E74" i="1" l="1"/>
  <c r="B75" i="1" s="1"/>
  <c r="L54" i="1" a="1"/>
  <c r="L54" i="1" s="1"/>
  <c r="N695" i="1"/>
  <c r="C696" i="1"/>
  <c r="T54" i="1"/>
  <c r="U54" i="1" s="1"/>
  <c r="I55" i="1"/>
  <c r="J55" i="1" s="1"/>
  <c r="A698" i="1"/>
  <c r="N696" i="1"/>
  <c r="C697" i="1"/>
  <c r="E75" i="1" l="1"/>
  <c r="B76" i="1" s="1"/>
  <c r="F56" i="1"/>
  <c r="G56" i="1" s="1"/>
  <c r="H56" i="1" s="1"/>
  <c r="K55" i="1"/>
  <c r="M55" i="1" s="1" a="1"/>
  <c r="M55" i="1" s="1"/>
  <c r="A699" i="1"/>
  <c r="A700" i="1" s="1"/>
  <c r="C698" i="1"/>
  <c r="N697" i="1"/>
  <c r="C699" i="1"/>
  <c r="E76" i="1" l="1"/>
  <c r="B77" i="1" s="1"/>
  <c r="L55" i="1" a="1"/>
  <c r="L55" i="1" s="1"/>
  <c r="V55" i="1" s="1"/>
  <c r="W55" i="1" s="1"/>
  <c r="T51" i="1"/>
  <c r="U51" i="1" s="1"/>
  <c r="N698" i="1"/>
  <c r="P55" i="1"/>
  <c r="Q55" i="1" s="1"/>
  <c r="I56" i="1"/>
  <c r="J56" i="1" s="1"/>
  <c r="A701" i="1"/>
  <c r="C700" i="1"/>
  <c r="N699" i="1"/>
  <c r="E77" i="1" l="1"/>
  <c r="K56" i="1"/>
  <c r="M56" i="1" s="1" a="1"/>
  <c r="M56" i="1" s="1"/>
  <c r="F57" i="1"/>
  <c r="G57" i="1" s="1"/>
  <c r="H57" i="1" s="1"/>
  <c r="A702" i="1"/>
  <c r="A703" i="1" s="1"/>
  <c r="N700" i="1"/>
  <c r="C701" i="1"/>
  <c r="C702" i="1"/>
  <c r="N701" i="1"/>
  <c r="B78" i="1" l="1"/>
  <c r="L56" i="1" a="1"/>
  <c r="L56" i="1" s="1"/>
  <c r="V56" i="1" s="1"/>
  <c r="W56" i="1" s="1"/>
  <c r="T56" i="1"/>
  <c r="U56" i="1" s="1"/>
  <c r="I57" i="1"/>
  <c r="J57" i="1" s="1"/>
  <c r="A704" i="1"/>
  <c r="C703" i="1"/>
  <c r="N702" i="1"/>
  <c r="E78" i="1" l="1"/>
  <c r="B79" i="1" s="1"/>
  <c r="K57" i="1"/>
  <c r="M57" i="1" s="1" a="1"/>
  <c r="M57" i="1" s="1"/>
  <c r="F58" i="1"/>
  <c r="G58" i="1" s="1"/>
  <c r="H58" i="1" s="1"/>
  <c r="A705" i="1"/>
  <c r="C704" i="1"/>
  <c r="N703" i="1"/>
  <c r="A706" i="1"/>
  <c r="N704" i="1"/>
  <c r="C705" i="1"/>
  <c r="E79" i="1" l="1"/>
  <c r="B80" i="1" s="1"/>
  <c r="P52" i="1"/>
  <c r="Q52" i="1" s="1"/>
  <c r="R52" i="1" s="1"/>
  <c r="R53" i="1" s="1"/>
  <c r="R54" i="1" s="1"/>
  <c r="R55" i="1" s="1"/>
  <c r="L57" i="1" a="1"/>
  <c r="L57" i="1" s="1"/>
  <c r="V57" i="1" s="1"/>
  <c r="W57" i="1" s="1"/>
  <c r="P57" i="1"/>
  <c r="Q57" i="1" s="1"/>
  <c r="I58" i="1"/>
  <c r="J58" i="1" s="1"/>
  <c r="A707" i="1"/>
  <c r="C706" i="1"/>
  <c r="N705" i="1"/>
  <c r="E80" i="1" l="1"/>
  <c r="B81" i="1" s="1"/>
  <c r="F59" i="1"/>
  <c r="G59" i="1" s="1"/>
  <c r="H59" i="1" s="1"/>
  <c r="K58" i="1"/>
  <c r="L58" i="1" s="1" a="1"/>
  <c r="L58" i="1" s="1"/>
  <c r="A708" i="1"/>
  <c r="C707" i="1"/>
  <c r="N706" i="1"/>
  <c r="A709" i="1"/>
  <c r="C708" i="1"/>
  <c r="N707" i="1"/>
  <c r="M58" i="1" l="1" a="1"/>
  <c r="M58" i="1" s="1"/>
  <c r="T58" i="1" s="1"/>
  <c r="U58" i="1" s="1"/>
  <c r="E81" i="1"/>
  <c r="B82" i="1" s="1"/>
  <c r="I59" i="1"/>
  <c r="J59" i="1" s="1"/>
  <c r="A710" i="1"/>
  <c r="N708" i="1"/>
  <c r="C709" i="1"/>
  <c r="P58" i="1" l="1"/>
  <c r="Q58" i="1" s="1"/>
  <c r="E82" i="1"/>
  <c r="V54" i="1"/>
  <c r="W54" i="1" s="1"/>
  <c r="F60" i="1"/>
  <c r="G60" i="1" s="1"/>
  <c r="H60" i="1" s="1"/>
  <c r="K59" i="1"/>
  <c r="M59" i="1" s="1" a="1"/>
  <c r="M59" i="1" s="1"/>
  <c r="P59" i="1" s="1"/>
  <c r="Q59" i="1" s="1"/>
  <c r="A711" i="1"/>
  <c r="C710" i="1"/>
  <c r="N709" i="1"/>
  <c r="A712" i="1"/>
  <c r="C711" i="1"/>
  <c r="N710" i="1"/>
  <c r="L59" i="1" l="1" a="1"/>
  <c r="L59" i="1" s="1"/>
  <c r="B83" i="1"/>
  <c r="T59" i="1"/>
  <c r="U59" i="1" s="1"/>
  <c r="I60" i="1"/>
  <c r="J60" i="1" s="1"/>
  <c r="A713" i="1"/>
  <c r="C712" i="1"/>
  <c r="N711" i="1"/>
  <c r="E83" i="1" l="1"/>
  <c r="B84" i="1" s="1"/>
  <c r="K60" i="1"/>
  <c r="M60" i="1" s="1" a="1"/>
  <c r="M60" i="1" s="1"/>
  <c r="F61" i="1"/>
  <c r="G61" i="1" s="1"/>
  <c r="H61" i="1" s="1"/>
  <c r="A714" i="1"/>
  <c r="C714" i="1" s="1"/>
  <c r="N712" i="1"/>
  <c r="C713" i="1"/>
  <c r="A715" i="1"/>
  <c r="N713" i="1"/>
  <c r="L60" i="1" l="1" a="1"/>
  <c r="L60" i="1" s="1"/>
  <c r="V60" i="1" s="1"/>
  <c r="W60" i="1" s="1"/>
  <c r="E84" i="1"/>
  <c r="B85" i="1" s="1"/>
  <c r="T60" i="1"/>
  <c r="U60" i="1" s="1"/>
  <c r="P60" i="1"/>
  <c r="Q60" i="1" s="1"/>
  <c r="I61" i="1"/>
  <c r="J61" i="1" s="1"/>
  <c r="A716" i="1"/>
  <c r="C715" i="1"/>
  <c r="N714" i="1"/>
  <c r="E85" i="1" l="1"/>
  <c r="B86" i="1" s="1"/>
  <c r="T55" i="1"/>
  <c r="U55" i="1" s="1"/>
  <c r="K61" i="1"/>
  <c r="M61" i="1" s="1" a="1"/>
  <c r="M61" i="1" s="1"/>
  <c r="F62" i="1"/>
  <c r="G62" i="1" s="1"/>
  <c r="H62" i="1" s="1"/>
  <c r="A717" i="1"/>
  <c r="A718" i="1" s="1"/>
  <c r="C716" i="1"/>
  <c r="N715" i="1"/>
  <c r="C717" i="1"/>
  <c r="L61" i="1" l="1" a="1"/>
  <c r="L61" i="1" s="1"/>
  <c r="V61" i="1" s="1"/>
  <c r="W61" i="1" s="1"/>
  <c r="E86" i="1"/>
  <c r="B87" i="1" s="1"/>
  <c r="N716" i="1"/>
  <c r="T61" i="1"/>
  <c r="U61" i="1" s="1"/>
  <c r="I62" i="1"/>
  <c r="J62" i="1" s="1"/>
  <c r="A719" i="1"/>
  <c r="C718" i="1"/>
  <c r="N717" i="1"/>
  <c r="E87" i="1" l="1"/>
  <c r="B88" i="1" s="1"/>
  <c r="P56" i="1"/>
  <c r="Q56" i="1" s="1"/>
  <c r="R56" i="1" s="1"/>
  <c r="R57" i="1" s="1"/>
  <c r="R58" i="1" s="1"/>
  <c r="R59" i="1" s="1"/>
  <c r="R60" i="1" s="1"/>
  <c r="F63" i="1"/>
  <c r="G63" i="1" s="1"/>
  <c r="H63" i="1" s="1"/>
  <c r="K62" i="1"/>
  <c r="L62" i="1" s="1" a="1"/>
  <c r="L62" i="1" s="1"/>
  <c r="A720" i="1"/>
  <c r="C720" i="1" s="1"/>
  <c r="C719" i="1"/>
  <c r="N718" i="1"/>
  <c r="A721" i="1"/>
  <c r="M62" i="1" l="1" a="1"/>
  <c r="M62" i="1" s="1"/>
  <c r="P62" i="1" s="1"/>
  <c r="Q62" i="1" s="1"/>
  <c r="E88" i="1"/>
  <c r="B89" i="1" s="1"/>
  <c r="N719" i="1"/>
  <c r="I63" i="1"/>
  <c r="J63" i="1" s="1"/>
  <c r="A722" i="1"/>
  <c r="N720" i="1"/>
  <c r="C721" i="1"/>
  <c r="T62" i="1" l="1"/>
  <c r="U62" i="1" s="1"/>
  <c r="E89" i="1"/>
  <c r="B90" i="1" s="1"/>
  <c r="F64" i="1"/>
  <c r="G64" i="1" s="1"/>
  <c r="H64" i="1" s="1"/>
  <c r="K63" i="1"/>
  <c r="L63" i="1" s="1" a="1"/>
  <c r="L63" i="1" s="1"/>
  <c r="V63" i="1" s="1"/>
  <c r="W63" i="1" s="1"/>
  <c r="A723" i="1"/>
  <c r="C723" i="1" s="1"/>
  <c r="C722" i="1"/>
  <c r="N721" i="1"/>
  <c r="A724" i="1"/>
  <c r="E90" i="1" l="1"/>
  <c r="B91" i="1" s="1"/>
  <c r="M63" i="1" a="1"/>
  <c r="M63" i="1" s="1"/>
  <c r="P63" i="1" s="1"/>
  <c r="Q63" i="1" s="1"/>
  <c r="T57" i="1"/>
  <c r="U57" i="1" s="1"/>
  <c r="N722" i="1"/>
  <c r="I64" i="1"/>
  <c r="J64" i="1" s="1"/>
  <c r="A725" i="1"/>
  <c r="C724" i="1"/>
  <c r="N723" i="1"/>
  <c r="E91" i="1" l="1"/>
  <c r="B92" i="1" s="1"/>
  <c r="K64" i="1"/>
  <c r="L64" i="1" s="1" a="1"/>
  <c r="L64" i="1" s="1"/>
  <c r="F65" i="1"/>
  <c r="G65" i="1" s="1"/>
  <c r="H65" i="1" s="1"/>
  <c r="A726" i="1"/>
  <c r="A727" i="1" s="1"/>
  <c r="N724" i="1"/>
  <c r="C725" i="1"/>
  <c r="C726" i="1"/>
  <c r="N725" i="1"/>
  <c r="E92" i="1" l="1"/>
  <c r="B93" i="1" s="1"/>
  <c r="M64" i="1" a="1"/>
  <c r="M64" i="1" s="1"/>
  <c r="T64" i="1" s="1"/>
  <c r="U64" i="1" s="1"/>
  <c r="I65" i="1"/>
  <c r="J65" i="1" s="1"/>
  <c r="A728" i="1"/>
  <c r="C727" i="1"/>
  <c r="N726" i="1"/>
  <c r="P64" i="1" l="1"/>
  <c r="Q64" i="1" s="1"/>
  <c r="E93" i="1"/>
  <c r="B94" i="1" s="1"/>
  <c r="V58" i="1"/>
  <c r="W58" i="1" s="1"/>
  <c r="K65" i="1"/>
  <c r="M65" i="1" s="1" a="1"/>
  <c r="M65" i="1" s="1"/>
  <c r="F66" i="1"/>
  <c r="G66" i="1" s="1"/>
  <c r="H66" i="1" s="1"/>
  <c r="A729" i="1"/>
  <c r="A730" i="1" s="1"/>
  <c r="C728" i="1"/>
  <c r="N727" i="1"/>
  <c r="E94" i="1" l="1"/>
  <c r="B95" i="1" s="1"/>
  <c r="L65" i="1" a="1"/>
  <c r="L65" i="1" s="1"/>
  <c r="V65" i="1" s="1"/>
  <c r="W65" i="1" s="1"/>
  <c r="C729" i="1"/>
  <c r="N728" i="1"/>
  <c r="T65" i="1"/>
  <c r="U65" i="1" s="1"/>
  <c r="I66" i="1"/>
  <c r="J66" i="1" s="1"/>
  <c r="A731" i="1"/>
  <c r="C730" i="1"/>
  <c r="N729" i="1"/>
  <c r="E95" i="1" l="1"/>
  <c r="B96" i="1" s="1"/>
  <c r="V59" i="1"/>
  <c r="W59" i="1" s="1"/>
  <c r="K66" i="1"/>
  <c r="L66" i="1" s="1" a="1"/>
  <c r="L66" i="1" s="1"/>
  <c r="V66" i="1" s="1"/>
  <c r="W66" i="1" s="1"/>
  <c r="F67" i="1"/>
  <c r="G67" i="1" s="1"/>
  <c r="H67" i="1" s="1"/>
  <c r="A732" i="1"/>
  <c r="C731" i="1"/>
  <c r="N730" i="1"/>
  <c r="A733" i="1"/>
  <c r="C732" i="1"/>
  <c r="N731" i="1"/>
  <c r="M66" i="1" l="1" a="1"/>
  <c r="M66" i="1" s="1"/>
  <c r="T66" i="1" s="1"/>
  <c r="U66" i="1" s="1"/>
  <c r="E96" i="1"/>
  <c r="B97" i="1" s="1"/>
  <c r="I67" i="1"/>
  <c r="J67" i="1" s="1"/>
  <c r="A734" i="1"/>
  <c r="N732" i="1"/>
  <c r="C733" i="1"/>
  <c r="E97" i="1" l="1"/>
  <c r="B98" i="1" s="1"/>
  <c r="F68" i="1"/>
  <c r="G68" i="1" s="1"/>
  <c r="H68" i="1" s="1"/>
  <c r="K67" i="1"/>
  <c r="L67" i="1" s="1" a="1"/>
  <c r="L67" i="1" s="1"/>
  <c r="V67" i="1" s="1"/>
  <c r="W67" i="1" s="1"/>
  <c r="A735" i="1"/>
  <c r="C734" i="1"/>
  <c r="N733" i="1"/>
  <c r="A736" i="1"/>
  <c r="C735" i="1"/>
  <c r="N734" i="1"/>
  <c r="E98" i="1" l="1"/>
  <c r="B99" i="1" s="1"/>
  <c r="M67" i="1" a="1"/>
  <c r="M67" i="1" s="1"/>
  <c r="P67" i="1" s="1"/>
  <c r="Q67" i="1" s="1"/>
  <c r="P61" i="1"/>
  <c r="Q61" i="1" s="1"/>
  <c r="R61" i="1" s="1"/>
  <c r="R62" i="1" s="1"/>
  <c r="R63" i="1" s="1"/>
  <c r="R64" i="1" s="1"/>
  <c r="I68" i="1"/>
  <c r="J68" i="1" s="1"/>
  <c r="A737" i="1"/>
  <c r="C736" i="1"/>
  <c r="N735" i="1"/>
  <c r="T67" i="1" l="1"/>
  <c r="U67" i="1" s="1"/>
  <c r="E99" i="1"/>
  <c r="B100" i="1" s="1"/>
  <c r="F69" i="1"/>
  <c r="G69" i="1" s="1"/>
  <c r="H69" i="1" s="1"/>
  <c r="K68" i="1"/>
  <c r="L68" i="1" s="1" a="1"/>
  <c r="L68" i="1" s="1"/>
  <c r="V68" i="1" s="1"/>
  <c r="W68" i="1" s="1"/>
  <c r="A738" i="1"/>
  <c r="C738" i="1" s="1"/>
  <c r="N736" i="1"/>
  <c r="C737" i="1"/>
  <c r="A739" i="1"/>
  <c r="N737" i="1"/>
  <c r="M68" i="1" l="1" a="1"/>
  <c r="M68" i="1" s="1"/>
  <c r="T68" i="1" s="1"/>
  <c r="U68" i="1" s="1"/>
  <c r="E100" i="1"/>
  <c r="B101" i="1" s="1"/>
  <c r="I69" i="1"/>
  <c r="J69" i="1" s="1"/>
  <c r="A740" i="1"/>
  <c r="C739" i="1"/>
  <c r="N738" i="1"/>
  <c r="E101" i="1" l="1"/>
  <c r="B102" i="1" s="1"/>
  <c r="V62" i="1"/>
  <c r="W62" i="1" s="1"/>
  <c r="F70" i="1"/>
  <c r="G70" i="1" s="1"/>
  <c r="H70" i="1" s="1"/>
  <c r="K69" i="1"/>
  <c r="M69" i="1" s="1" a="1"/>
  <c r="M69" i="1" s="1"/>
  <c r="A741" i="1"/>
  <c r="C740" i="1"/>
  <c r="N739" i="1"/>
  <c r="A742" i="1"/>
  <c r="N740" i="1"/>
  <c r="C741" i="1"/>
  <c r="L69" i="1" l="1" a="1"/>
  <c r="L69" i="1" s="1"/>
  <c r="V69" i="1" s="1"/>
  <c r="W69" i="1" s="1"/>
  <c r="E102" i="1"/>
  <c r="B103" i="1" s="1"/>
  <c r="E103" i="1" s="1"/>
  <c r="T69" i="1"/>
  <c r="U69" i="1" s="1"/>
  <c r="P69" i="1"/>
  <c r="Q69" i="1" s="1"/>
  <c r="I70" i="1"/>
  <c r="J70" i="1" s="1"/>
  <c r="A743" i="1"/>
  <c r="C742" i="1"/>
  <c r="N741" i="1"/>
  <c r="B104" i="1" l="1"/>
  <c r="T63" i="1"/>
  <c r="U63" i="1" s="1"/>
  <c r="F71" i="1"/>
  <c r="G71" i="1" s="1"/>
  <c r="H71" i="1" s="1"/>
  <c r="K70" i="1"/>
  <c r="L70" i="1" s="1" a="1"/>
  <c r="L70" i="1" s="1"/>
  <c r="V70" i="1" s="1"/>
  <c r="W70" i="1" s="1"/>
  <c r="A744" i="1"/>
  <c r="C744" i="1" s="1"/>
  <c r="C743" i="1"/>
  <c r="N742" i="1"/>
  <c r="A745" i="1"/>
  <c r="N743" i="1"/>
  <c r="M70" i="1" l="1" a="1"/>
  <c r="M70" i="1" s="1"/>
  <c r="P70" i="1" s="1"/>
  <c r="Q70" i="1" s="1"/>
  <c r="E104" i="1"/>
  <c r="B105" i="1" s="1"/>
  <c r="I71" i="1"/>
  <c r="J71" i="1" s="1"/>
  <c r="A746" i="1"/>
  <c r="N744" i="1"/>
  <c r="C745" i="1"/>
  <c r="E105" i="1" l="1"/>
  <c r="B106" i="1" s="1"/>
  <c r="F72" i="1"/>
  <c r="G72" i="1" s="1"/>
  <c r="H72" i="1" s="1"/>
  <c r="K71" i="1"/>
  <c r="M71" i="1" s="1" a="1"/>
  <c r="M71" i="1" s="1"/>
  <c r="A747" i="1"/>
  <c r="N746" i="1" s="1"/>
  <c r="C746" i="1"/>
  <c r="N745" i="1"/>
  <c r="A748" i="1"/>
  <c r="C747" i="1"/>
  <c r="E106" i="1" l="1"/>
  <c r="B107" i="1" s="1"/>
  <c r="V64" i="1"/>
  <c r="W64" i="1" s="1"/>
  <c r="T71" i="1"/>
  <c r="U71" i="1" s="1"/>
  <c r="L71" i="1" a="1"/>
  <c r="L71" i="1" s="1"/>
  <c r="V71" i="1" s="1"/>
  <c r="W71" i="1" s="1"/>
  <c r="P71" i="1"/>
  <c r="Q71" i="1" s="1"/>
  <c r="I72" i="1"/>
  <c r="J72" i="1" s="1"/>
  <c r="A749" i="1"/>
  <c r="C748" i="1"/>
  <c r="N747" i="1"/>
  <c r="E107" i="1" l="1"/>
  <c r="B108" i="1" s="1"/>
  <c r="F73" i="1"/>
  <c r="G73" i="1" s="1"/>
  <c r="H73" i="1" s="1"/>
  <c r="K72" i="1"/>
  <c r="M72" i="1" s="1" a="1"/>
  <c r="M72" i="1" s="1"/>
  <c r="A750" i="1"/>
  <c r="C750" i="1" s="1"/>
  <c r="N748" i="1"/>
  <c r="C749" i="1"/>
  <c r="A751" i="1"/>
  <c r="L72" i="1" l="1" a="1"/>
  <c r="L72" i="1" s="1"/>
  <c r="V72" i="1" s="1"/>
  <c r="W72" i="1" s="1"/>
  <c r="E108" i="1"/>
  <c r="B109" i="1" s="1"/>
  <c r="P72" i="1"/>
  <c r="Q72" i="1" s="1"/>
  <c r="N749" i="1"/>
  <c r="T72" i="1"/>
  <c r="U72" i="1" s="1"/>
  <c r="I73" i="1"/>
  <c r="J73" i="1" s="1"/>
  <c r="A752" i="1"/>
  <c r="C751" i="1"/>
  <c r="N750" i="1"/>
  <c r="E109" i="1" l="1"/>
  <c r="B110" i="1" s="1"/>
  <c r="P65" i="1"/>
  <c r="Q65" i="1" s="1"/>
  <c r="R65" i="1" s="1"/>
  <c r="F74" i="1"/>
  <c r="G74" i="1" s="1"/>
  <c r="H74" i="1" s="1"/>
  <c r="K73" i="1"/>
  <c r="M73" i="1" s="1" a="1"/>
  <c r="M73" i="1" s="1"/>
  <c r="A753" i="1"/>
  <c r="C752" i="1"/>
  <c r="N751" i="1"/>
  <c r="A754" i="1"/>
  <c r="N752" i="1"/>
  <c r="C753" i="1"/>
  <c r="E110" i="1" l="1"/>
  <c r="B111" i="1" s="1"/>
  <c r="P73" i="1"/>
  <c r="Q73" i="1" s="1"/>
  <c r="L73" i="1" a="1"/>
  <c r="L73" i="1" s="1"/>
  <c r="V73" i="1" s="1"/>
  <c r="W73" i="1" s="1"/>
  <c r="T73" i="1"/>
  <c r="U73" i="1" s="1"/>
  <c r="I74" i="1"/>
  <c r="J74" i="1" s="1"/>
  <c r="A755" i="1"/>
  <c r="C754" i="1"/>
  <c r="N753" i="1"/>
  <c r="E111" i="1" l="1"/>
  <c r="B112" i="1" s="1"/>
  <c r="P66" i="1"/>
  <c r="Q66" i="1" s="1"/>
  <c r="R66" i="1" s="1"/>
  <c r="R67" i="1" s="1"/>
  <c r="K74" i="1"/>
  <c r="M74" i="1" s="1" a="1"/>
  <c r="M74" i="1" s="1"/>
  <c r="F75" i="1"/>
  <c r="G75" i="1" s="1"/>
  <c r="H75" i="1" s="1"/>
  <c r="A756" i="1"/>
  <c r="A757" i="1" s="1"/>
  <c r="C755" i="1"/>
  <c r="N754" i="1"/>
  <c r="C756" i="1"/>
  <c r="N755" i="1"/>
  <c r="L74" i="1" l="1" a="1"/>
  <c r="L74" i="1" s="1"/>
  <c r="V74" i="1" s="1"/>
  <c r="W74" i="1" s="1"/>
  <c r="E112" i="1"/>
  <c r="B113" i="1" s="1"/>
  <c r="T74" i="1"/>
  <c r="U74" i="1" s="1"/>
  <c r="I75" i="1"/>
  <c r="J75" i="1" s="1"/>
  <c r="A758" i="1"/>
  <c r="N756" i="1"/>
  <c r="C757" i="1"/>
  <c r="E113" i="1" l="1"/>
  <c r="B114" i="1" s="1"/>
  <c r="F76" i="1"/>
  <c r="G76" i="1" s="1"/>
  <c r="H76" i="1" s="1"/>
  <c r="K75" i="1"/>
  <c r="M75" i="1" s="1" a="1"/>
  <c r="M75" i="1" s="1"/>
  <c r="A759" i="1"/>
  <c r="A760" i="1" s="1"/>
  <c r="C758" i="1"/>
  <c r="N757" i="1"/>
  <c r="N758" i="1"/>
  <c r="E114" i="1" l="1"/>
  <c r="B115" i="1" s="1"/>
  <c r="P68" i="1"/>
  <c r="Q68" i="1" s="1"/>
  <c r="R68" i="1" s="1"/>
  <c r="R69" i="1" s="1"/>
  <c r="R70" i="1" s="1"/>
  <c r="R71" i="1" s="1"/>
  <c r="R72" i="1" s="1"/>
  <c r="R73" i="1" s="1"/>
  <c r="L75" i="1" a="1"/>
  <c r="L75" i="1" s="1"/>
  <c r="V75" i="1" s="1"/>
  <c r="W75" i="1" s="1"/>
  <c r="C759" i="1"/>
  <c r="T75" i="1"/>
  <c r="U75" i="1" s="1"/>
  <c r="I76" i="1"/>
  <c r="J76" i="1" s="1"/>
  <c r="A761" i="1"/>
  <c r="C760" i="1"/>
  <c r="N759" i="1"/>
  <c r="E115" i="1" l="1"/>
  <c r="B116" i="1" s="1"/>
  <c r="K76" i="1"/>
  <c r="L76" i="1" s="1" a="1"/>
  <c r="L76" i="1" s="1"/>
  <c r="V76" i="1" s="1"/>
  <c r="W76" i="1" s="1"/>
  <c r="F77" i="1"/>
  <c r="G77" i="1" s="1"/>
  <c r="H77" i="1" s="1"/>
  <c r="A762" i="1"/>
  <c r="C762" i="1" s="1"/>
  <c r="N760" i="1"/>
  <c r="C761" i="1"/>
  <c r="A763" i="1"/>
  <c r="N761" i="1"/>
  <c r="M76" i="1" l="1" a="1"/>
  <c r="M76" i="1" s="1"/>
  <c r="T76" i="1" s="1"/>
  <c r="U76" i="1" s="1"/>
  <c r="E116" i="1"/>
  <c r="B117" i="1" s="1"/>
  <c r="I77" i="1"/>
  <c r="J77" i="1" s="1"/>
  <c r="A764" i="1"/>
  <c r="C763" i="1"/>
  <c r="N762" i="1"/>
  <c r="E117" i="1" l="1"/>
  <c r="B118" i="1" s="1"/>
  <c r="P76" i="1"/>
  <c r="Q76" i="1" s="1"/>
  <c r="K77" i="1"/>
  <c r="L77" i="1" s="1" a="1"/>
  <c r="L77" i="1" s="1"/>
  <c r="V77" i="1" s="1"/>
  <c r="W77" i="1" s="1"/>
  <c r="F78" i="1"/>
  <c r="G78" i="1" s="1"/>
  <c r="H78" i="1" s="1"/>
  <c r="A765" i="1"/>
  <c r="A766" i="1" s="1"/>
  <c r="C764" i="1"/>
  <c r="N763" i="1"/>
  <c r="C765" i="1"/>
  <c r="M77" i="1" l="1" a="1"/>
  <c r="M77" i="1" s="1"/>
  <c r="P77" i="1" s="1"/>
  <c r="Q77" i="1" s="1"/>
  <c r="E118" i="1"/>
  <c r="B119" i="1" s="1"/>
  <c r="T70" i="1"/>
  <c r="U70" i="1" s="1"/>
  <c r="N764" i="1"/>
  <c r="I78" i="1"/>
  <c r="J78" i="1" s="1"/>
  <c r="A767" i="1"/>
  <c r="C766" i="1"/>
  <c r="N765" i="1"/>
  <c r="E119" i="1" l="1"/>
  <c r="B120" i="1" s="1"/>
  <c r="F79" i="1"/>
  <c r="G79" i="1" s="1"/>
  <c r="H79" i="1" s="1"/>
  <c r="K78" i="1"/>
  <c r="L78" i="1" s="1" a="1"/>
  <c r="L78" i="1" s="1"/>
  <c r="V78" i="1" s="1"/>
  <c r="W78" i="1" s="1"/>
  <c r="A768" i="1"/>
  <c r="C768" i="1" s="1"/>
  <c r="C767" i="1"/>
  <c r="N766" i="1"/>
  <c r="A769" i="1"/>
  <c r="N767" i="1"/>
  <c r="M78" i="1" l="1" a="1"/>
  <c r="M78" i="1" s="1"/>
  <c r="T78" i="1" s="1"/>
  <c r="U78" i="1" s="1"/>
  <c r="E120" i="1"/>
  <c r="B121" i="1" s="1"/>
  <c r="I79" i="1"/>
  <c r="J79" i="1" s="1"/>
  <c r="A770" i="1"/>
  <c r="N768" i="1"/>
  <c r="C769" i="1"/>
  <c r="E121" i="1" l="1"/>
  <c r="B122" i="1" s="1"/>
  <c r="F80" i="1"/>
  <c r="G80" i="1" s="1"/>
  <c r="H80" i="1" s="1"/>
  <c r="K79" i="1"/>
  <c r="M79" i="1" s="1" a="1"/>
  <c r="M79" i="1" s="1"/>
  <c r="A771" i="1"/>
  <c r="C770" i="1"/>
  <c r="N769" i="1"/>
  <c r="A772" i="1"/>
  <c r="C771" i="1"/>
  <c r="N770" i="1"/>
  <c r="L79" i="1" l="1" a="1"/>
  <c r="L79" i="1" s="1"/>
  <c r="V79" i="1" s="1"/>
  <c r="W79" i="1" s="1"/>
  <c r="T79" i="1"/>
  <c r="U79" i="1" s="1"/>
  <c r="E122" i="1"/>
  <c r="P79" i="1"/>
  <c r="Q79" i="1" s="1"/>
  <c r="I80" i="1"/>
  <c r="J80" i="1" s="1"/>
  <c r="A773" i="1"/>
  <c r="C772" i="1"/>
  <c r="N771" i="1"/>
  <c r="B123" i="1" l="1"/>
  <c r="F81" i="1"/>
  <c r="G81" i="1" s="1"/>
  <c r="H81" i="1" s="1"/>
  <c r="K80" i="1"/>
  <c r="L80" i="1" s="1" a="1"/>
  <c r="L80" i="1" s="1"/>
  <c r="V80" i="1" s="1"/>
  <c r="W80" i="1" s="1"/>
  <c r="A774" i="1"/>
  <c r="N772" i="1"/>
  <c r="C773" i="1"/>
  <c r="A775" i="1"/>
  <c r="C774" i="1"/>
  <c r="N773" i="1"/>
  <c r="M80" i="1" l="1" a="1"/>
  <c r="M80" i="1" s="1"/>
  <c r="T80" i="1" s="1"/>
  <c r="U80" i="1" s="1"/>
  <c r="E123" i="1"/>
  <c r="B124" i="1" s="1"/>
  <c r="I81" i="1"/>
  <c r="J81" i="1" s="1"/>
  <c r="A776" i="1"/>
  <c r="C775" i="1"/>
  <c r="N774" i="1"/>
  <c r="E124" i="1" l="1"/>
  <c r="B125" i="1" s="1"/>
  <c r="F82" i="1"/>
  <c r="G82" i="1" s="1"/>
  <c r="H82" i="1" s="1"/>
  <c r="K81" i="1"/>
  <c r="L81" i="1" s="1" a="1"/>
  <c r="L81" i="1" s="1"/>
  <c r="A777" i="1"/>
  <c r="N776" i="1" s="1"/>
  <c r="C776" i="1"/>
  <c r="N775" i="1"/>
  <c r="A778" i="1"/>
  <c r="M81" i="1" l="1" a="1"/>
  <c r="M81" i="1" s="1"/>
  <c r="T81" i="1" s="1"/>
  <c r="U81" i="1" s="1"/>
  <c r="V81" i="1"/>
  <c r="W81" i="1" s="1"/>
  <c r="E125" i="1"/>
  <c r="B126" i="1" s="1"/>
  <c r="P74" i="1"/>
  <c r="Q74" i="1" s="1"/>
  <c r="R74" i="1" s="1"/>
  <c r="C777" i="1"/>
  <c r="I82" i="1"/>
  <c r="J82" i="1" s="1"/>
  <c r="A779" i="1"/>
  <c r="C778" i="1"/>
  <c r="N777" i="1"/>
  <c r="P81" i="1" l="1"/>
  <c r="Q81" i="1" s="1"/>
  <c r="E126" i="1"/>
  <c r="B127" i="1" s="1"/>
  <c r="F83" i="1"/>
  <c r="G83" i="1" s="1"/>
  <c r="H83" i="1" s="1"/>
  <c r="K82" i="1"/>
  <c r="M82" i="1" s="1" a="1"/>
  <c r="M82" i="1" s="1"/>
  <c r="P82" i="1" s="1"/>
  <c r="Q82" i="1" s="1"/>
  <c r="A780" i="1"/>
  <c r="A781" i="1" s="1"/>
  <c r="C779" i="1"/>
  <c r="N778" i="1"/>
  <c r="C780" i="1"/>
  <c r="N779" i="1"/>
  <c r="L82" i="1" l="1" a="1"/>
  <c r="L82" i="1" s="1"/>
  <c r="T82" i="1"/>
  <c r="U82" i="1" s="1"/>
  <c r="E127" i="1"/>
  <c r="B128" i="1" s="1"/>
  <c r="P75" i="1"/>
  <c r="Q75" i="1" s="1"/>
  <c r="R75" i="1" s="1"/>
  <c r="R76" i="1" s="1"/>
  <c r="R77" i="1" s="1"/>
  <c r="I83" i="1"/>
  <c r="J83" i="1" s="1"/>
  <c r="A782" i="1"/>
  <c r="N780" i="1"/>
  <c r="C781" i="1"/>
  <c r="E128" i="1" l="1"/>
  <c r="B129" i="1" s="1"/>
  <c r="K83" i="1"/>
  <c r="M83" i="1" s="1" a="1"/>
  <c r="M83" i="1" s="1"/>
  <c r="F84" i="1"/>
  <c r="G84" i="1" s="1"/>
  <c r="H84" i="1" s="1"/>
  <c r="A783" i="1"/>
  <c r="A784" i="1" s="1"/>
  <c r="C782" i="1"/>
  <c r="N781" i="1"/>
  <c r="C783" i="1"/>
  <c r="N782" i="1"/>
  <c r="L83" i="1" l="1" a="1"/>
  <c r="L83" i="1" s="1"/>
  <c r="V83" i="1" s="1"/>
  <c r="W83" i="1" s="1"/>
  <c r="E129" i="1"/>
  <c r="B130" i="1" s="1"/>
  <c r="T83" i="1"/>
  <c r="U83" i="1" s="1"/>
  <c r="I84" i="1"/>
  <c r="J84" i="1" s="1"/>
  <c r="A785" i="1"/>
  <c r="C784" i="1"/>
  <c r="N783" i="1"/>
  <c r="E130" i="1" l="1"/>
  <c r="T77" i="1"/>
  <c r="U77" i="1" s="1"/>
  <c r="F85" i="1"/>
  <c r="G85" i="1" s="1"/>
  <c r="H85" i="1" s="1"/>
  <c r="K84" i="1"/>
  <c r="M84" i="1" s="1" a="1"/>
  <c r="M84" i="1" s="1"/>
  <c r="P84" i="1" s="1"/>
  <c r="Q84" i="1" s="1"/>
  <c r="A786" i="1"/>
  <c r="N784" i="1"/>
  <c r="C785" i="1"/>
  <c r="A787" i="1"/>
  <c r="C786" i="1"/>
  <c r="N785" i="1"/>
  <c r="L84" i="1" l="1" a="1"/>
  <c r="L84" i="1" s="1"/>
  <c r="B131" i="1"/>
  <c r="T84" i="1"/>
  <c r="U84" i="1" s="1"/>
  <c r="I85" i="1"/>
  <c r="J85" i="1" s="1"/>
  <c r="A788" i="1"/>
  <c r="C787" i="1"/>
  <c r="N786" i="1"/>
  <c r="E131" i="1" l="1"/>
  <c r="B132" i="1" s="1"/>
  <c r="F86" i="1"/>
  <c r="G86" i="1" s="1"/>
  <c r="H86" i="1" s="1"/>
  <c r="K85" i="1"/>
  <c r="L85" i="1" s="1" a="1"/>
  <c r="L85" i="1" s="1"/>
  <c r="V85" i="1" s="1"/>
  <c r="W85" i="1" s="1"/>
  <c r="A789" i="1"/>
  <c r="C788" i="1"/>
  <c r="N787" i="1"/>
  <c r="A790" i="1"/>
  <c r="N788" i="1"/>
  <c r="C789" i="1"/>
  <c r="M85" i="1" l="1" a="1"/>
  <c r="M85" i="1" s="1"/>
  <c r="P85" i="1" s="1"/>
  <c r="Q85" i="1" s="1"/>
  <c r="E132" i="1"/>
  <c r="B133" i="1" s="1"/>
  <c r="I86" i="1"/>
  <c r="J86" i="1" s="1"/>
  <c r="A791" i="1"/>
  <c r="C790" i="1"/>
  <c r="N789" i="1"/>
  <c r="E133" i="1" l="1"/>
  <c r="P78" i="1"/>
  <c r="Q78" i="1" s="1"/>
  <c r="R78" i="1" s="1"/>
  <c r="R79" i="1" s="1"/>
  <c r="K86" i="1"/>
  <c r="M86" i="1" s="1" a="1"/>
  <c r="M86" i="1" s="1"/>
  <c r="T86" i="1" s="1"/>
  <c r="U86" i="1" s="1"/>
  <c r="F87" i="1"/>
  <c r="G87" i="1" s="1"/>
  <c r="H87" i="1" s="1"/>
  <c r="A792" i="1"/>
  <c r="C792" i="1" s="1"/>
  <c r="C791" i="1"/>
  <c r="N790" i="1"/>
  <c r="A793" i="1"/>
  <c r="L86" i="1" l="1" a="1"/>
  <c r="L86" i="1" s="1"/>
  <c r="V86" i="1" s="1"/>
  <c r="W86" i="1" s="1"/>
  <c r="B134" i="1"/>
  <c r="N791" i="1"/>
  <c r="P86" i="1"/>
  <c r="Q86" i="1" s="1"/>
  <c r="I87" i="1"/>
  <c r="J87" i="1" s="1"/>
  <c r="A794" i="1"/>
  <c r="N792" i="1"/>
  <c r="C793" i="1"/>
  <c r="E134" i="1" l="1"/>
  <c r="B135" i="1" s="1"/>
  <c r="F88" i="1"/>
  <c r="G88" i="1" s="1"/>
  <c r="H88" i="1" s="1"/>
  <c r="K87" i="1"/>
  <c r="M87" i="1" s="1" a="1"/>
  <c r="M87" i="1" s="1"/>
  <c r="A795" i="1"/>
  <c r="C794" i="1"/>
  <c r="N793" i="1"/>
  <c r="A796" i="1"/>
  <c r="C795" i="1"/>
  <c r="N794" i="1"/>
  <c r="L87" i="1" l="1" a="1"/>
  <c r="L87" i="1" s="1"/>
  <c r="V87" i="1" s="1"/>
  <c r="W87" i="1" s="1"/>
  <c r="E135" i="1"/>
  <c r="B136" i="1" s="1"/>
  <c r="T87" i="1"/>
  <c r="U87" i="1" s="1"/>
  <c r="I88" i="1"/>
  <c r="J88" i="1" s="1"/>
  <c r="A797" i="1"/>
  <c r="C796" i="1"/>
  <c r="N795" i="1"/>
  <c r="E136" i="1" l="1"/>
  <c r="B137" i="1" s="1"/>
  <c r="P80" i="1"/>
  <c r="Q80" i="1" s="1"/>
  <c r="R80" i="1" s="1"/>
  <c r="R81" i="1" s="1"/>
  <c r="R82" i="1" s="1"/>
  <c r="F89" i="1"/>
  <c r="G89" i="1" s="1"/>
  <c r="H89" i="1" s="1"/>
  <c r="K88" i="1"/>
  <c r="M88" i="1" s="1" a="1"/>
  <c r="M88" i="1" s="1"/>
  <c r="A798" i="1"/>
  <c r="N796" i="1"/>
  <c r="C797" i="1"/>
  <c r="A799" i="1"/>
  <c r="C798" i="1"/>
  <c r="N797" i="1"/>
  <c r="L88" i="1" l="1" a="1"/>
  <c r="L88" i="1" s="1"/>
  <c r="V88" i="1" s="1"/>
  <c r="W88" i="1" s="1"/>
  <c r="E137" i="1"/>
  <c r="B138" i="1" s="1"/>
  <c r="P88" i="1"/>
  <c r="Q88" i="1" s="1"/>
  <c r="I89" i="1"/>
  <c r="J89" i="1" s="1"/>
  <c r="A800" i="1"/>
  <c r="C799" i="1"/>
  <c r="N798" i="1"/>
  <c r="E138" i="1" l="1"/>
  <c r="B139" i="1" s="1"/>
  <c r="K89" i="1"/>
  <c r="M89" i="1" s="1" a="1"/>
  <c r="M89" i="1" s="1"/>
  <c r="F90" i="1"/>
  <c r="G90" i="1" s="1"/>
  <c r="H90" i="1" s="1"/>
  <c r="A801" i="1"/>
  <c r="C800" i="1"/>
  <c r="N799" i="1"/>
  <c r="A802" i="1"/>
  <c r="N800" i="1"/>
  <c r="C801" i="1"/>
  <c r="L89" i="1" l="1" a="1"/>
  <c r="L89" i="1" s="1"/>
  <c r="V89" i="1" s="1"/>
  <c r="W89" i="1" s="1"/>
  <c r="E139" i="1"/>
  <c r="B140" i="1" s="1"/>
  <c r="T89" i="1"/>
  <c r="U89" i="1" s="1"/>
  <c r="I90" i="1"/>
  <c r="J90" i="1" s="1"/>
  <c r="A803" i="1"/>
  <c r="C802" i="1"/>
  <c r="N801" i="1"/>
  <c r="E140" i="1" l="1"/>
  <c r="B141" i="1" s="1"/>
  <c r="V82" i="1"/>
  <c r="W82" i="1" s="1"/>
  <c r="K90" i="1"/>
  <c r="L90" i="1" s="1" a="1"/>
  <c r="L90" i="1" s="1"/>
  <c r="F91" i="1"/>
  <c r="G91" i="1" s="1"/>
  <c r="H91" i="1" s="1"/>
  <c r="A804" i="1"/>
  <c r="C803" i="1"/>
  <c r="N802" i="1"/>
  <c r="A805" i="1"/>
  <c r="C804" i="1"/>
  <c r="N803" i="1"/>
  <c r="M90" i="1" l="1" a="1"/>
  <c r="M90" i="1" s="1"/>
  <c r="T90" i="1" s="1"/>
  <c r="U90" i="1" s="1"/>
  <c r="E141" i="1"/>
  <c r="B142" i="1" s="1"/>
  <c r="I91" i="1"/>
  <c r="J91" i="1" s="1"/>
  <c r="A806" i="1"/>
  <c r="N804" i="1"/>
  <c r="C805" i="1"/>
  <c r="P90" i="1" l="1"/>
  <c r="Q90" i="1" s="1"/>
  <c r="E142" i="1"/>
  <c r="B143" i="1" s="1"/>
  <c r="P83" i="1"/>
  <c r="Q83" i="1" s="1"/>
  <c r="R83" i="1" s="1"/>
  <c r="R84" i="1" s="1"/>
  <c r="R85" i="1" s="1"/>
  <c r="R86" i="1" s="1"/>
  <c r="F92" i="1"/>
  <c r="G92" i="1" s="1"/>
  <c r="H92" i="1" s="1"/>
  <c r="K91" i="1"/>
  <c r="M91" i="1" s="1" a="1"/>
  <c r="M91" i="1" s="1"/>
  <c r="P91" i="1" s="1"/>
  <c r="Q91" i="1" s="1"/>
  <c r="A807" i="1"/>
  <c r="C806" i="1"/>
  <c r="N805" i="1"/>
  <c r="A808" i="1"/>
  <c r="C807" i="1"/>
  <c r="N806" i="1"/>
  <c r="L91" i="1" l="1" a="1"/>
  <c r="L91" i="1" s="1"/>
  <c r="V91" i="1" s="1"/>
  <c r="W91" i="1" s="1"/>
  <c r="T91" i="1"/>
  <c r="U91" i="1" s="1"/>
  <c r="E143" i="1"/>
  <c r="B144" i="1" s="1"/>
  <c r="I92" i="1"/>
  <c r="J92" i="1" s="1"/>
  <c r="A809" i="1"/>
  <c r="C808" i="1"/>
  <c r="N807" i="1"/>
  <c r="E144" i="1" l="1"/>
  <c r="B145" i="1" s="1"/>
  <c r="V84" i="1"/>
  <c r="W84" i="1" s="1"/>
  <c r="F93" i="1"/>
  <c r="G93" i="1" s="1"/>
  <c r="H93" i="1" s="1"/>
  <c r="K92" i="1"/>
  <c r="L92" i="1" s="1" a="1"/>
  <c r="L92" i="1" s="1"/>
  <c r="A810" i="1"/>
  <c r="N808" i="1"/>
  <c r="C809" i="1"/>
  <c r="A811" i="1"/>
  <c r="C810" i="1"/>
  <c r="N809" i="1"/>
  <c r="M92" i="1" l="1" a="1"/>
  <c r="M92" i="1" s="1"/>
  <c r="T92" i="1" s="1"/>
  <c r="U92" i="1" s="1"/>
  <c r="E145" i="1"/>
  <c r="B146" i="1" s="1"/>
  <c r="I93" i="1"/>
  <c r="J93" i="1" s="1"/>
  <c r="A812" i="1"/>
  <c r="C811" i="1"/>
  <c r="N810" i="1"/>
  <c r="P92" i="1" l="1"/>
  <c r="Q92" i="1" s="1"/>
  <c r="E146" i="1"/>
  <c r="B147" i="1" s="1"/>
  <c r="T85" i="1"/>
  <c r="U85" i="1" s="1"/>
  <c r="F94" i="1"/>
  <c r="G94" i="1" s="1"/>
  <c r="H94" i="1" s="1"/>
  <c r="K93" i="1"/>
  <c r="L93" i="1" s="1" a="1"/>
  <c r="L93" i="1" s="1"/>
  <c r="V93" i="1" s="1"/>
  <c r="W93" i="1" s="1"/>
  <c r="A813" i="1"/>
  <c r="A814" i="1" s="1"/>
  <c r="C812" i="1"/>
  <c r="N811" i="1"/>
  <c r="M93" i="1" l="1" a="1"/>
  <c r="M93" i="1" s="1"/>
  <c r="P93" i="1" s="1"/>
  <c r="Q93" i="1" s="1"/>
  <c r="E147" i="1"/>
  <c r="B148" i="1" s="1"/>
  <c r="C813" i="1"/>
  <c r="N812" i="1"/>
  <c r="I94" i="1"/>
  <c r="J94" i="1" s="1"/>
  <c r="A815" i="1"/>
  <c r="C814" i="1"/>
  <c r="N813" i="1"/>
  <c r="E148" i="1" l="1"/>
  <c r="B149" i="1" s="1"/>
  <c r="F95" i="1"/>
  <c r="G95" i="1" s="1"/>
  <c r="H95" i="1" s="1"/>
  <c r="K94" i="1"/>
  <c r="L94" i="1" s="1" a="1"/>
  <c r="L94" i="1" s="1"/>
  <c r="V94" i="1" s="1"/>
  <c r="W94" i="1" s="1"/>
  <c r="A816" i="1"/>
  <c r="N815" i="1" s="1"/>
  <c r="C815" i="1"/>
  <c r="N814" i="1"/>
  <c r="A817" i="1"/>
  <c r="C816" i="1"/>
  <c r="M94" i="1" l="1" a="1"/>
  <c r="M94" i="1" s="1"/>
  <c r="P94" i="1" s="1"/>
  <c r="Q94" i="1" s="1"/>
  <c r="E149" i="1"/>
  <c r="B150" i="1" s="1"/>
  <c r="I95" i="1"/>
  <c r="J95" i="1" s="1"/>
  <c r="A818" i="1"/>
  <c r="N816" i="1"/>
  <c r="C817" i="1"/>
  <c r="T94" i="1" l="1"/>
  <c r="U94" i="1" s="1"/>
  <c r="E150" i="1"/>
  <c r="B151" i="1" s="1"/>
  <c r="P87" i="1"/>
  <c r="Q87" i="1" s="1"/>
  <c r="R87" i="1" s="1"/>
  <c r="R88" i="1" s="1"/>
  <c r="F96" i="1"/>
  <c r="G96" i="1" s="1"/>
  <c r="H96" i="1" s="1"/>
  <c r="K95" i="1"/>
  <c r="L95" i="1" s="1" a="1"/>
  <c r="L95" i="1" s="1"/>
  <c r="V95" i="1" s="1"/>
  <c r="W95" i="1" s="1"/>
  <c r="A819" i="1"/>
  <c r="C818" i="1"/>
  <c r="N817" i="1"/>
  <c r="A820" i="1"/>
  <c r="C819" i="1"/>
  <c r="N818" i="1"/>
  <c r="M95" i="1" l="1" a="1"/>
  <c r="M95" i="1" s="1"/>
  <c r="T95" i="1" s="1"/>
  <c r="U95" i="1" s="1"/>
  <c r="E151" i="1"/>
  <c r="B152" i="1" s="1"/>
  <c r="I96" i="1"/>
  <c r="J96" i="1" s="1"/>
  <c r="A821" i="1"/>
  <c r="C820" i="1"/>
  <c r="N819" i="1"/>
  <c r="E152" i="1" l="1"/>
  <c r="B153" i="1" s="1"/>
  <c r="T88" i="1"/>
  <c r="U88" i="1" s="1"/>
  <c r="F97" i="1"/>
  <c r="G97" i="1" s="1"/>
  <c r="H97" i="1" s="1"/>
  <c r="K96" i="1"/>
  <c r="L96" i="1" s="1" a="1"/>
  <c r="L96" i="1" s="1"/>
  <c r="V96" i="1" s="1"/>
  <c r="W96" i="1" s="1"/>
  <c r="A822" i="1"/>
  <c r="N820" i="1"/>
  <c r="C821" i="1"/>
  <c r="A823" i="1"/>
  <c r="C822" i="1"/>
  <c r="N821" i="1"/>
  <c r="M96" i="1" l="1" a="1"/>
  <c r="M96" i="1" s="1"/>
  <c r="T96" i="1" s="1"/>
  <c r="U96" i="1" s="1"/>
  <c r="E153" i="1"/>
  <c r="B154" i="1" s="1"/>
  <c r="I97" i="1"/>
  <c r="J97" i="1" s="1"/>
  <c r="A824" i="1"/>
  <c r="C823" i="1"/>
  <c r="N822" i="1"/>
  <c r="E154" i="1" l="1"/>
  <c r="B155" i="1" s="1"/>
  <c r="P89" i="1"/>
  <c r="Q89" i="1" s="1"/>
  <c r="R89" i="1" s="1"/>
  <c r="R90" i="1" s="1"/>
  <c r="R91" i="1" s="1"/>
  <c r="R92" i="1" s="1"/>
  <c r="R93" i="1" s="1"/>
  <c r="R94" i="1" s="1"/>
  <c r="F98" i="1"/>
  <c r="G98" i="1" s="1"/>
  <c r="H98" i="1" s="1"/>
  <c r="K97" i="1"/>
  <c r="M97" i="1" s="1" a="1"/>
  <c r="M97" i="1" s="1"/>
  <c r="A825" i="1"/>
  <c r="N824" i="1" s="1"/>
  <c r="C824" i="1"/>
  <c r="N823" i="1"/>
  <c r="A826" i="1"/>
  <c r="L97" i="1" l="1" a="1"/>
  <c r="L97" i="1" s="1"/>
  <c r="V97" i="1" s="1"/>
  <c r="W97" i="1" s="1"/>
  <c r="E155" i="1"/>
  <c r="B156" i="1" s="1"/>
  <c r="C825" i="1"/>
  <c r="T97" i="1"/>
  <c r="U97" i="1" s="1"/>
  <c r="I98" i="1"/>
  <c r="J98" i="1" s="1"/>
  <c r="A827" i="1"/>
  <c r="C826" i="1"/>
  <c r="N825" i="1"/>
  <c r="E156" i="1" l="1"/>
  <c r="B157" i="1" s="1"/>
  <c r="F99" i="1"/>
  <c r="G99" i="1" s="1"/>
  <c r="H99" i="1" s="1"/>
  <c r="K98" i="1"/>
  <c r="M98" i="1" s="1" a="1"/>
  <c r="M98" i="1" s="1"/>
  <c r="A828" i="1"/>
  <c r="C827" i="1"/>
  <c r="N826" i="1"/>
  <c r="A829" i="1"/>
  <c r="C828" i="1"/>
  <c r="N827" i="1"/>
  <c r="L98" i="1" l="1" a="1"/>
  <c r="L98" i="1" s="1"/>
  <c r="V98" i="1" s="1"/>
  <c r="W98" i="1" s="1"/>
  <c r="T98" i="1"/>
  <c r="U98" i="1" s="1"/>
  <c r="E157" i="1"/>
  <c r="B158" i="1" s="1"/>
  <c r="V90" i="1"/>
  <c r="W90" i="1" s="1"/>
  <c r="P98" i="1"/>
  <c r="Q98" i="1" s="1"/>
  <c r="I99" i="1"/>
  <c r="J99" i="1" s="1"/>
  <c r="A830" i="1"/>
  <c r="N828" i="1"/>
  <c r="C829" i="1"/>
  <c r="E158" i="1" l="1"/>
  <c r="F100" i="1"/>
  <c r="G100" i="1" s="1"/>
  <c r="H100" i="1" s="1"/>
  <c r="K99" i="1"/>
  <c r="L99" i="1" s="1" a="1"/>
  <c r="L99" i="1" s="1"/>
  <c r="V99" i="1" s="1"/>
  <c r="W99" i="1" s="1"/>
  <c r="A831" i="1"/>
  <c r="C830" i="1"/>
  <c r="N829" i="1"/>
  <c r="A832" i="1"/>
  <c r="C831" i="1"/>
  <c r="N830" i="1"/>
  <c r="M99" i="1" l="1" a="1"/>
  <c r="M99" i="1" s="1"/>
  <c r="T99" i="1" s="1"/>
  <c r="U99" i="1" s="1"/>
  <c r="B159" i="1"/>
  <c r="I100" i="1"/>
  <c r="J100" i="1" s="1"/>
  <c r="A833" i="1"/>
  <c r="C832" i="1"/>
  <c r="N831" i="1"/>
  <c r="E159" i="1" l="1"/>
  <c r="B160" i="1" s="1"/>
  <c r="F101" i="1"/>
  <c r="G101" i="1" s="1"/>
  <c r="H101" i="1" s="1"/>
  <c r="K100" i="1"/>
  <c r="M100" i="1" s="1" a="1"/>
  <c r="M100" i="1" s="1"/>
  <c r="A834" i="1"/>
  <c r="N832" i="1"/>
  <c r="C833" i="1"/>
  <c r="A835" i="1"/>
  <c r="C834" i="1"/>
  <c r="N833" i="1"/>
  <c r="L100" i="1" l="1" a="1"/>
  <c r="L100" i="1" s="1"/>
  <c r="V100" i="1" s="1"/>
  <c r="W100" i="1" s="1"/>
  <c r="T100" i="1"/>
  <c r="U100" i="1" s="1"/>
  <c r="E160" i="1"/>
  <c r="B161" i="1" s="1"/>
  <c r="V92" i="1"/>
  <c r="W92" i="1" s="1"/>
  <c r="P100" i="1"/>
  <c r="Q100" i="1" s="1"/>
  <c r="I101" i="1"/>
  <c r="J101" i="1" s="1"/>
  <c r="A836" i="1"/>
  <c r="C835" i="1"/>
  <c r="N834" i="1"/>
  <c r="E161" i="1" l="1"/>
  <c r="B162" i="1" s="1"/>
  <c r="K101" i="1"/>
  <c r="L101" i="1" s="1" a="1"/>
  <c r="L101" i="1" s="1"/>
  <c r="V101" i="1" s="1"/>
  <c r="W101" i="1" s="1"/>
  <c r="F102" i="1"/>
  <c r="G102" i="1" s="1"/>
  <c r="H102" i="1" s="1"/>
  <c r="A837" i="1"/>
  <c r="N836" i="1" s="1"/>
  <c r="C836" i="1"/>
  <c r="N835" i="1"/>
  <c r="A838" i="1"/>
  <c r="M101" i="1" l="1" a="1"/>
  <c r="M101" i="1" s="1"/>
  <c r="T101" i="1" s="1"/>
  <c r="U101" i="1" s="1"/>
  <c r="T93" i="1"/>
  <c r="U93" i="1" s="1"/>
  <c r="E162" i="1"/>
  <c r="C837" i="1"/>
  <c r="I102" i="1"/>
  <c r="J102" i="1" s="1"/>
  <c r="A839" i="1"/>
  <c r="C838" i="1"/>
  <c r="N837" i="1"/>
  <c r="P101" i="1" l="1"/>
  <c r="Q101" i="1" s="1"/>
  <c r="B163" i="1"/>
  <c r="F103" i="1"/>
  <c r="G103" i="1" s="1"/>
  <c r="H103" i="1" s="1"/>
  <c r="K102" i="1"/>
  <c r="L102" i="1" s="1" a="1"/>
  <c r="L102" i="1" s="1"/>
  <c r="V102" i="1" s="1"/>
  <c r="W102" i="1" s="1"/>
  <c r="A840" i="1"/>
  <c r="C839" i="1"/>
  <c r="N838" i="1"/>
  <c r="A841" i="1"/>
  <c r="C840" i="1"/>
  <c r="N839" i="1"/>
  <c r="M102" i="1" l="1" a="1"/>
  <c r="M102" i="1" s="1"/>
  <c r="P102" i="1" s="1"/>
  <c r="Q102" i="1" s="1"/>
  <c r="E163" i="1"/>
  <c r="B164" i="1" s="1"/>
  <c r="I103" i="1"/>
  <c r="J103" i="1" s="1"/>
  <c r="A842" i="1"/>
  <c r="N840" i="1"/>
  <c r="C841" i="1"/>
  <c r="E164" i="1" l="1"/>
  <c r="B165" i="1" s="1"/>
  <c r="F104" i="1"/>
  <c r="G104" i="1" s="1"/>
  <c r="H104" i="1" s="1"/>
  <c r="K103" i="1"/>
  <c r="L103" i="1" s="1" a="1"/>
  <c r="L103" i="1" s="1"/>
  <c r="V103" i="1" s="1"/>
  <c r="W103" i="1" s="1"/>
  <c r="A843" i="1"/>
  <c r="C842" i="1"/>
  <c r="N841" i="1"/>
  <c r="A844" i="1"/>
  <c r="C843" i="1"/>
  <c r="N842" i="1"/>
  <c r="M103" i="1" l="1" a="1"/>
  <c r="M103" i="1" s="1"/>
  <c r="P103" i="1" s="1"/>
  <c r="Q103" i="1" s="1"/>
  <c r="E165" i="1"/>
  <c r="B166" i="1" s="1"/>
  <c r="I104" i="1"/>
  <c r="J104" i="1" s="1"/>
  <c r="A845" i="1"/>
  <c r="C844" i="1"/>
  <c r="N843" i="1"/>
  <c r="T103" i="1" l="1"/>
  <c r="U103" i="1" s="1"/>
  <c r="E166" i="1"/>
  <c r="B167" i="1" s="1"/>
  <c r="P95" i="1"/>
  <c r="Q95" i="1" s="1"/>
  <c r="R95" i="1" s="1"/>
  <c r="F105" i="1"/>
  <c r="G105" i="1" s="1"/>
  <c r="H105" i="1" s="1"/>
  <c r="K104" i="1"/>
  <c r="L104" i="1" s="1" a="1"/>
  <c r="L104" i="1" s="1"/>
  <c r="V104" i="1" s="1"/>
  <c r="W104" i="1" s="1"/>
  <c r="A846" i="1"/>
  <c r="A847" i="1" s="1"/>
  <c r="N844" i="1"/>
  <c r="C845" i="1"/>
  <c r="M104" i="1" l="1" a="1"/>
  <c r="M104" i="1" s="1"/>
  <c r="T104" i="1" s="1"/>
  <c r="U104" i="1" s="1"/>
  <c r="E167" i="1"/>
  <c r="B168" i="1" s="1"/>
  <c r="N845" i="1"/>
  <c r="C846" i="1"/>
  <c r="I105" i="1"/>
  <c r="J105" i="1" s="1"/>
  <c r="A848" i="1"/>
  <c r="C847" i="1"/>
  <c r="N846" i="1"/>
  <c r="E168" i="1" l="1"/>
  <c r="B169" i="1" s="1"/>
  <c r="P96" i="1"/>
  <c r="Q96" i="1" s="1"/>
  <c r="R96" i="1" s="1"/>
  <c r="F106" i="1"/>
  <c r="G106" i="1" s="1"/>
  <c r="H106" i="1" s="1"/>
  <c r="K105" i="1"/>
  <c r="M105" i="1" s="1" a="1"/>
  <c r="M105" i="1" s="1"/>
  <c r="T105" i="1" s="1"/>
  <c r="U105" i="1" s="1"/>
  <c r="A849" i="1"/>
  <c r="C848" i="1"/>
  <c r="N847" i="1"/>
  <c r="A850" i="1"/>
  <c r="N848" i="1"/>
  <c r="C849" i="1"/>
  <c r="L105" i="1" l="1" a="1"/>
  <c r="L105" i="1" s="1"/>
  <c r="P105" i="1"/>
  <c r="Q105" i="1" s="1"/>
  <c r="E169" i="1"/>
  <c r="I106" i="1"/>
  <c r="J106" i="1" s="1"/>
  <c r="A851" i="1"/>
  <c r="C850" i="1"/>
  <c r="N849" i="1"/>
  <c r="P97" i="1" l="1"/>
  <c r="Q97" i="1" s="1"/>
  <c r="R97" i="1" s="1"/>
  <c r="R98" i="1" s="1"/>
  <c r="B170" i="1"/>
  <c r="F107" i="1"/>
  <c r="G107" i="1" s="1"/>
  <c r="H107" i="1" s="1"/>
  <c r="K106" i="1"/>
  <c r="L106" i="1" s="1" a="1"/>
  <c r="L106" i="1" s="1"/>
  <c r="A852" i="1"/>
  <c r="C851" i="1"/>
  <c r="N850" i="1"/>
  <c r="A853" i="1"/>
  <c r="C852" i="1"/>
  <c r="N851" i="1"/>
  <c r="M106" i="1" l="1" a="1"/>
  <c r="M106" i="1" s="1"/>
  <c r="P106" i="1" s="1"/>
  <c r="Q106" i="1" s="1"/>
  <c r="V106" i="1"/>
  <c r="W106" i="1" s="1"/>
  <c r="E170" i="1"/>
  <c r="B171" i="1" s="1"/>
  <c r="I107" i="1"/>
  <c r="J107" i="1" s="1"/>
  <c r="A854" i="1"/>
  <c r="N852" i="1"/>
  <c r="C853" i="1"/>
  <c r="T106" i="1" l="1"/>
  <c r="U106" i="1" s="1"/>
  <c r="E171" i="1"/>
  <c r="B172" i="1" s="1"/>
  <c r="F108" i="1"/>
  <c r="G108" i="1" s="1"/>
  <c r="H108" i="1" s="1"/>
  <c r="K107" i="1"/>
  <c r="M107" i="1" s="1" a="1"/>
  <c r="M107" i="1" s="1"/>
  <c r="P107" i="1" s="1"/>
  <c r="Q107" i="1" s="1"/>
  <c r="A855" i="1"/>
  <c r="C854" i="1"/>
  <c r="N853" i="1"/>
  <c r="A856" i="1"/>
  <c r="C855" i="1"/>
  <c r="N854" i="1"/>
  <c r="L107" i="1" l="1" a="1"/>
  <c r="L107" i="1" s="1"/>
  <c r="T107" i="1"/>
  <c r="U107" i="1" s="1"/>
  <c r="E172" i="1"/>
  <c r="B173" i="1" s="1"/>
  <c r="I108" i="1"/>
  <c r="J108" i="1" s="1"/>
  <c r="A857" i="1"/>
  <c r="C856" i="1"/>
  <c r="N855" i="1"/>
  <c r="E173" i="1" l="1"/>
  <c r="B174" i="1" s="1"/>
  <c r="F109" i="1"/>
  <c r="G109" i="1" s="1"/>
  <c r="H109" i="1" s="1"/>
  <c r="K108" i="1"/>
  <c r="M108" i="1" s="1" a="1"/>
  <c r="M108" i="1" s="1"/>
  <c r="A858" i="1"/>
  <c r="N856" i="1"/>
  <c r="C857" i="1"/>
  <c r="A859" i="1"/>
  <c r="C858" i="1"/>
  <c r="N857" i="1"/>
  <c r="L108" i="1" l="1" a="1"/>
  <c r="L108" i="1" s="1"/>
  <c r="V108" i="1" s="1"/>
  <c r="W108" i="1" s="1"/>
  <c r="E174" i="1"/>
  <c r="B175" i="1" s="1"/>
  <c r="P99" i="1"/>
  <c r="Q99" i="1" s="1"/>
  <c r="R99" i="1" s="1"/>
  <c r="R100" i="1" s="1"/>
  <c r="R101" i="1" s="1"/>
  <c r="R102" i="1" s="1"/>
  <c r="R103" i="1" s="1"/>
  <c r="P108" i="1"/>
  <c r="Q108" i="1" s="1"/>
  <c r="I109" i="1"/>
  <c r="J109" i="1" s="1"/>
  <c r="A860" i="1"/>
  <c r="C859" i="1"/>
  <c r="N858" i="1"/>
  <c r="E175" i="1" l="1"/>
  <c r="B176" i="1" s="1"/>
  <c r="F110" i="1"/>
  <c r="G110" i="1" s="1"/>
  <c r="H110" i="1" s="1"/>
  <c r="K109" i="1"/>
  <c r="M109" i="1" s="1" a="1"/>
  <c r="M109" i="1" s="1"/>
  <c r="A861" i="1"/>
  <c r="C860" i="1"/>
  <c r="N859" i="1"/>
  <c r="A862" i="1"/>
  <c r="N860" i="1"/>
  <c r="C861" i="1"/>
  <c r="L109" i="1" l="1" a="1"/>
  <c r="L109" i="1" s="1"/>
  <c r="V109" i="1" s="1"/>
  <c r="W109" i="1" s="1"/>
  <c r="E176" i="1"/>
  <c r="B177" i="1" s="1"/>
  <c r="T109" i="1"/>
  <c r="U109" i="1" s="1"/>
  <c r="I110" i="1"/>
  <c r="J110" i="1" s="1"/>
  <c r="A863" i="1"/>
  <c r="C862" i="1"/>
  <c r="N861" i="1"/>
  <c r="E177" i="1" l="1"/>
  <c r="B178" i="1" s="1"/>
  <c r="F111" i="1"/>
  <c r="G111" i="1" s="1"/>
  <c r="H111" i="1" s="1"/>
  <c r="K110" i="1"/>
  <c r="M110" i="1" s="1" a="1"/>
  <c r="M110" i="1" s="1"/>
  <c r="A864" i="1"/>
  <c r="N863" i="1" s="1"/>
  <c r="C863" i="1"/>
  <c r="N862" i="1"/>
  <c r="A865" i="1"/>
  <c r="C864" i="1"/>
  <c r="L110" i="1" l="1" a="1"/>
  <c r="L110" i="1" s="1"/>
  <c r="V110" i="1" s="1"/>
  <c r="W110" i="1" s="1"/>
  <c r="E178" i="1"/>
  <c r="B179" i="1" s="1"/>
  <c r="P110" i="1"/>
  <c r="Q110" i="1" s="1"/>
  <c r="T110" i="1"/>
  <c r="U110" i="1" s="1"/>
  <c r="I111" i="1"/>
  <c r="J111" i="1" s="1"/>
  <c r="A866" i="1"/>
  <c r="N864" i="1"/>
  <c r="C865" i="1"/>
  <c r="E179" i="1" l="1"/>
  <c r="B180" i="1" s="1"/>
  <c r="T102" i="1"/>
  <c r="U102" i="1" s="1"/>
  <c r="F112" i="1"/>
  <c r="G112" i="1" s="1"/>
  <c r="H112" i="1" s="1"/>
  <c r="K111" i="1"/>
  <c r="L111" i="1" s="1" a="1"/>
  <c r="L111" i="1" s="1"/>
  <c r="V111" i="1" s="1"/>
  <c r="W111" i="1" s="1"/>
  <c r="A867" i="1"/>
  <c r="C867" i="1" s="1"/>
  <c r="C866" i="1"/>
  <c r="N865" i="1"/>
  <c r="A868" i="1"/>
  <c r="N866" i="1"/>
  <c r="M111" i="1" l="1" a="1"/>
  <c r="M111" i="1" s="1"/>
  <c r="P111" i="1" s="1"/>
  <c r="Q111" i="1" s="1"/>
  <c r="E180" i="1"/>
  <c r="B181" i="1" s="1"/>
  <c r="I112" i="1"/>
  <c r="J112" i="1" s="1"/>
  <c r="A869" i="1"/>
  <c r="C868" i="1"/>
  <c r="N867" i="1"/>
  <c r="E181" i="1" l="1"/>
  <c r="B182" i="1" s="1"/>
  <c r="K112" i="1"/>
  <c r="L112" i="1" s="1" a="1"/>
  <c r="L112" i="1" s="1"/>
  <c r="V112" i="1" s="1"/>
  <c r="W112" i="1" s="1"/>
  <c r="F113" i="1"/>
  <c r="G113" i="1" s="1"/>
  <c r="H113" i="1" s="1"/>
  <c r="A870" i="1"/>
  <c r="N868" i="1"/>
  <c r="C869" i="1"/>
  <c r="A871" i="1"/>
  <c r="C870" i="1"/>
  <c r="N869" i="1"/>
  <c r="M112" i="1" l="1" a="1"/>
  <c r="M112" i="1" s="1"/>
  <c r="P112" i="1" s="1"/>
  <c r="Q112" i="1" s="1"/>
  <c r="E182" i="1"/>
  <c r="B183" i="1" s="1"/>
  <c r="I113" i="1"/>
  <c r="J113" i="1" s="1"/>
  <c r="A872" i="1"/>
  <c r="C871" i="1"/>
  <c r="N870" i="1"/>
  <c r="E183" i="1" l="1"/>
  <c r="B184" i="1" s="1"/>
  <c r="P104" i="1"/>
  <c r="Q104" i="1" s="1"/>
  <c r="R104" i="1" s="1"/>
  <c r="R105" i="1" s="1"/>
  <c r="R106" i="1" s="1"/>
  <c r="R107" i="1" s="1"/>
  <c r="R108" i="1" s="1"/>
  <c r="F114" i="1"/>
  <c r="G114" i="1" s="1"/>
  <c r="H114" i="1" s="1"/>
  <c r="K113" i="1"/>
  <c r="L113" i="1" s="1" a="1"/>
  <c r="L113" i="1" s="1"/>
  <c r="A873" i="1"/>
  <c r="C872" i="1"/>
  <c r="N871" i="1"/>
  <c r="A874" i="1"/>
  <c r="N872" i="1"/>
  <c r="C873" i="1"/>
  <c r="M113" i="1" l="1" a="1"/>
  <c r="M113" i="1" s="1"/>
  <c r="T113" i="1" s="1"/>
  <c r="U113" i="1" s="1"/>
  <c r="E184" i="1"/>
  <c r="B185" i="1" s="1"/>
  <c r="I114" i="1"/>
  <c r="J114" i="1" s="1"/>
  <c r="A875" i="1"/>
  <c r="C874" i="1"/>
  <c r="N873" i="1"/>
  <c r="A876" i="1"/>
  <c r="C875" i="1"/>
  <c r="N874" i="1"/>
  <c r="P113" i="1" l="1"/>
  <c r="Q113" i="1" s="1"/>
  <c r="E185" i="1"/>
  <c r="B186" i="1" s="1"/>
  <c r="K114" i="1"/>
  <c r="L114" i="1" s="1" a="1"/>
  <c r="L114" i="1" s="1"/>
  <c r="V114" i="1" s="1"/>
  <c r="W114" i="1" s="1"/>
  <c r="F115" i="1"/>
  <c r="G115" i="1" s="1"/>
  <c r="H115" i="1" s="1"/>
  <c r="A877" i="1"/>
  <c r="C876" i="1"/>
  <c r="N875" i="1"/>
  <c r="M114" i="1" l="1" a="1"/>
  <c r="M114" i="1" s="1"/>
  <c r="T114" i="1" s="1"/>
  <c r="U114" i="1" s="1"/>
  <c r="E186" i="1"/>
  <c r="B187" i="1" s="1"/>
  <c r="V105" i="1"/>
  <c r="W105" i="1" s="1"/>
  <c r="I115" i="1"/>
  <c r="J115" i="1" s="1"/>
  <c r="A878" i="1"/>
  <c r="C878" i="1" s="1"/>
  <c r="N876" i="1"/>
  <c r="C877" i="1"/>
  <c r="P114" i="1" l="1"/>
  <c r="Q114" i="1" s="1"/>
  <c r="E187" i="1"/>
  <c r="B188" i="1" s="1"/>
  <c r="K115" i="1"/>
  <c r="M115" i="1" s="1" a="1"/>
  <c r="M115" i="1" s="1"/>
  <c r="P115" i="1" s="1"/>
  <c r="Q115" i="1" s="1"/>
  <c r="N877" i="1"/>
  <c r="A879" i="1"/>
  <c r="A880" i="1" s="1"/>
  <c r="F116" i="1"/>
  <c r="G116" i="1" s="1"/>
  <c r="H116" i="1" s="1"/>
  <c r="C879" i="1"/>
  <c r="N878" i="1"/>
  <c r="L115" i="1" l="1" a="1"/>
  <c r="L115" i="1" s="1"/>
  <c r="V115" i="1" s="1"/>
  <c r="W115" i="1" s="1"/>
  <c r="T115" i="1"/>
  <c r="U115" i="1" s="1"/>
  <c r="E188" i="1"/>
  <c r="B189" i="1" s="1"/>
  <c r="I116" i="1"/>
  <c r="J116" i="1" s="1"/>
  <c r="A881" i="1"/>
  <c r="C880" i="1"/>
  <c r="N879" i="1"/>
  <c r="A882" i="1"/>
  <c r="N880" i="1"/>
  <c r="C881" i="1"/>
  <c r="E189" i="1" l="1"/>
  <c r="B190" i="1" s="1"/>
  <c r="F117" i="1"/>
  <c r="G117" i="1" s="1"/>
  <c r="H117" i="1" s="1"/>
  <c r="K116" i="1"/>
  <c r="L116" i="1" s="1" a="1"/>
  <c r="L116" i="1" s="1"/>
  <c r="V116" i="1" s="1"/>
  <c r="W116" i="1" s="1"/>
  <c r="A883" i="1"/>
  <c r="C882" i="1"/>
  <c r="N881" i="1"/>
  <c r="M116" i="1" l="1" a="1"/>
  <c r="M116" i="1" s="1"/>
  <c r="T116" i="1" s="1"/>
  <c r="U116" i="1" s="1"/>
  <c r="E190" i="1"/>
  <c r="B191" i="1" s="1"/>
  <c r="V107" i="1"/>
  <c r="W107" i="1" s="1"/>
  <c r="I117" i="1"/>
  <c r="J117" i="1" s="1"/>
  <c r="A884" i="1"/>
  <c r="C883" i="1"/>
  <c r="N882" i="1"/>
  <c r="A885" i="1"/>
  <c r="C884" i="1"/>
  <c r="N883" i="1"/>
  <c r="P116" i="1" l="1"/>
  <c r="Q116" i="1" s="1"/>
  <c r="K117" i="1"/>
  <c r="M117" i="1" s="1" a="1"/>
  <c r="M117" i="1" s="1"/>
  <c r="P117" i="1" s="1"/>
  <c r="Q117" i="1" s="1"/>
  <c r="E191" i="1"/>
  <c r="B192" i="1" s="1"/>
  <c r="F118" i="1"/>
  <c r="G118" i="1" s="1"/>
  <c r="H118" i="1" s="1"/>
  <c r="A886" i="1"/>
  <c r="N884" i="1"/>
  <c r="C885" i="1"/>
  <c r="L117" i="1" l="1" a="1"/>
  <c r="L117" i="1" s="1"/>
  <c r="V117" i="1" s="1"/>
  <c r="W117" i="1" s="1"/>
  <c r="E192" i="1"/>
  <c r="B193" i="1" s="1"/>
  <c r="T108" i="1"/>
  <c r="U108" i="1" s="1"/>
  <c r="T117" i="1"/>
  <c r="U117" i="1" s="1"/>
  <c r="I118" i="1"/>
  <c r="J118" i="1" s="1"/>
  <c r="K118" i="1" s="1"/>
  <c r="A887" i="1"/>
  <c r="C886" i="1"/>
  <c r="N885" i="1"/>
  <c r="A888" i="1"/>
  <c r="C887" i="1"/>
  <c r="N886" i="1"/>
  <c r="E193" i="1" l="1"/>
  <c r="B194" i="1" s="1"/>
  <c r="M118" i="1" a="1"/>
  <c r="M118" i="1" s="1"/>
  <c r="T118" i="1" s="1"/>
  <c r="U118" i="1" s="1"/>
  <c r="L118" i="1" a="1"/>
  <c r="L118" i="1" s="1"/>
  <c r="V118" i="1" s="1"/>
  <c r="W118" i="1" s="1"/>
  <c r="F119" i="1"/>
  <c r="G119" i="1" s="1"/>
  <c r="H119" i="1" s="1"/>
  <c r="A889" i="1"/>
  <c r="C888" i="1"/>
  <c r="N887" i="1"/>
  <c r="P118" i="1" l="1"/>
  <c r="Q118" i="1" s="1"/>
  <c r="E194" i="1"/>
  <c r="B195" i="1" s="1"/>
  <c r="I119" i="1"/>
  <c r="J119" i="1" s="1"/>
  <c r="A890" i="1"/>
  <c r="N888" i="1"/>
  <c r="C889" i="1"/>
  <c r="A891" i="1"/>
  <c r="C890" i="1"/>
  <c r="N889" i="1"/>
  <c r="E195" i="1" l="1"/>
  <c r="B196" i="1" s="1"/>
  <c r="P109" i="1"/>
  <c r="Q109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K119" i="1"/>
  <c r="M119" i="1" s="1" a="1"/>
  <c r="M119" i="1" s="1"/>
  <c r="T119" i="1" s="1"/>
  <c r="U119" i="1" s="1"/>
  <c r="F120" i="1"/>
  <c r="G120" i="1" s="1"/>
  <c r="H120" i="1" s="1"/>
  <c r="A892" i="1"/>
  <c r="C891" i="1"/>
  <c r="N890" i="1"/>
  <c r="L119" i="1" l="1" a="1"/>
  <c r="L119" i="1" s="1"/>
  <c r="V119" i="1" s="1"/>
  <c r="W119" i="1" s="1"/>
  <c r="P119" i="1"/>
  <c r="Q119" i="1" s="1"/>
  <c r="R119" i="1" s="1"/>
  <c r="E196" i="1"/>
  <c r="B197" i="1" s="1"/>
  <c r="I120" i="1"/>
  <c r="J120" i="1" s="1"/>
  <c r="K120" i="1" s="1"/>
  <c r="A893" i="1"/>
  <c r="C892" i="1"/>
  <c r="N891" i="1"/>
  <c r="A894" i="1"/>
  <c r="N892" i="1"/>
  <c r="C893" i="1"/>
  <c r="E197" i="1" l="1"/>
  <c r="B198" i="1" s="1"/>
  <c r="M120" i="1" a="1"/>
  <c r="M120" i="1" s="1"/>
  <c r="P120" i="1" s="1"/>
  <c r="Q120" i="1" s="1"/>
  <c r="R120" i="1" s="1"/>
  <c r="L120" i="1" a="1"/>
  <c r="L120" i="1" s="1"/>
  <c r="V120" i="1" s="1"/>
  <c r="W120" i="1" s="1"/>
  <c r="F121" i="1"/>
  <c r="G121" i="1" s="1"/>
  <c r="H121" i="1" s="1"/>
  <c r="A895" i="1"/>
  <c r="C894" i="1"/>
  <c r="N893" i="1"/>
  <c r="E198" i="1" l="1"/>
  <c r="B199" i="1" s="1"/>
  <c r="T120" i="1"/>
  <c r="U120" i="1" s="1"/>
  <c r="I121" i="1"/>
  <c r="J121" i="1" s="1"/>
  <c r="A896" i="1"/>
  <c r="C895" i="1"/>
  <c r="N894" i="1"/>
  <c r="A897" i="1"/>
  <c r="C896" i="1"/>
  <c r="N895" i="1"/>
  <c r="K121" i="1" l="1"/>
  <c r="M121" i="1" s="1" a="1"/>
  <c r="M121" i="1" s="1"/>
  <c r="T121" i="1" s="1"/>
  <c r="U121" i="1" s="1"/>
  <c r="F122" i="1"/>
  <c r="G122" i="1" s="1"/>
  <c r="H122" i="1" s="1"/>
  <c r="E199" i="1"/>
  <c r="B200" i="1" s="1"/>
  <c r="T111" i="1"/>
  <c r="U111" i="1" s="1"/>
  <c r="A898" i="1"/>
  <c r="N896" i="1"/>
  <c r="C897" i="1"/>
  <c r="L121" i="1" l="1" a="1"/>
  <c r="L121" i="1" s="1"/>
  <c r="V121" i="1" s="1"/>
  <c r="W121" i="1" s="1"/>
  <c r="E200" i="1"/>
  <c r="B201" i="1" s="1"/>
  <c r="P121" i="1"/>
  <c r="Q121" i="1" s="1"/>
  <c r="R121" i="1" s="1"/>
  <c r="I122" i="1"/>
  <c r="J122" i="1" s="1"/>
  <c r="F123" i="1" s="1"/>
  <c r="G123" i="1" s="1"/>
  <c r="A899" i="1"/>
  <c r="C898" i="1"/>
  <c r="N897" i="1"/>
  <c r="A900" i="1"/>
  <c r="C899" i="1"/>
  <c r="N898" i="1"/>
  <c r="E201" i="1" l="1"/>
  <c r="B202" i="1" s="1"/>
  <c r="K122" i="1"/>
  <c r="M122" i="1" s="1" a="1"/>
  <c r="M122" i="1" s="1"/>
  <c r="P122" i="1" s="1"/>
  <c r="Q122" i="1" s="1"/>
  <c r="R122" i="1" s="1"/>
  <c r="T112" i="1"/>
  <c r="U112" i="1" s="1"/>
  <c r="H123" i="1"/>
  <c r="A901" i="1"/>
  <c r="C900" i="1"/>
  <c r="N899" i="1"/>
  <c r="L122" i="1" l="1" a="1"/>
  <c r="L122" i="1" s="1"/>
  <c r="V122" i="1" s="1"/>
  <c r="W122" i="1" s="1"/>
  <c r="T122" i="1"/>
  <c r="U122" i="1" s="1"/>
  <c r="E202" i="1"/>
  <c r="B203" i="1" s="1"/>
  <c r="I123" i="1"/>
  <c r="J123" i="1" s="1"/>
  <c r="A902" i="1"/>
  <c r="N900" i="1"/>
  <c r="C901" i="1"/>
  <c r="A903" i="1"/>
  <c r="C902" i="1"/>
  <c r="N901" i="1"/>
  <c r="E203" i="1" l="1"/>
  <c r="B204" i="1" s="1"/>
  <c r="K123" i="1"/>
  <c r="M123" i="1" s="1" a="1"/>
  <c r="M123" i="1" s="1"/>
  <c r="T123" i="1" s="1"/>
  <c r="U123" i="1" s="1"/>
  <c r="F124" i="1"/>
  <c r="G124" i="1" s="1"/>
  <c r="H124" i="1" s="1"/>
  <c r="A904" i="1"/>
  <c r="C903" i="1"/>
  <c r="N902" i="1"/>
  <c r="L123" i="1" l="1" a="1"/>
  <c r="L123" i="1" s="1"/>
  <c r="V123" i="1" s="1"/>
  <c r="W123" i="1" s="1"/>
  <c r="P123" i="1"/>
  <c r="Q123" i="1" s="1"/>
  <c r="R123" i="1" s="1"/>
  <c r="E204" i="1"/>
  <c r="B205" i="1" s="1"/>
  <c r="V113" i="1"/>
  <c r="W113" i="1" s="1"/>
  <c r="I124" i="1"/>
  <c r="J124" i="1" s="1"/>
  <c r="K124" i="1" s="1"/>
  <c r="A905" i="1"/>
  <c r="C904" i="1"/>
  <c r="N903" i="1"/>
  <c r="A906" i="1"/>
  <c r="N904" i="1"/>
  <c r="C905" i="1"/>
  <c r="F125" i="1" l="1"/>
  <c r="G125" i="1" s="1"/>
  <c r="H125" i="1" s="1"/>
  <c r="E205" i="1"/>
  <c r="B206" i="1" s="1"/>
  <c r="L124" i="1" a="1"/>
  <c r="L124" i="1" s="1"/>
  <c r="V124" i="1" s="1"/>
  <c r="W124" i="1" s="1"/>
  <c r="M124" i="1" a="1"/>
  <c r="M124" i="1" s="1"/>
  <c r="T124" i="1" s="1"/>
  <c r="U124" i="1" s="1"/>
  <c r="A907" i="1"/>
  <c r="C906" i="1"/>
  <c r="N905" i="1"/>
  <c r="E206" i="1" l="1"/>
  <c r="B207" i="1" s="1"/>
  <c r="P124" i="1"/>
  <c r="Q124" i="1" s="1"/>
  <c r="R124" i="1" s="1"/>
  <c r="I125" i="1"/>
  <c r="J125" i="1" s="1"/>
  <c r="A908" i="1"/>
  <c r="C907" i="1"/>
  <c r="N906" i="1"/>
  <c r="A909" i="1"/>
  <c r="C908" i="1"/>
  <c r="N907" i="1"/>
  <c r="E207" i="1" l="1"/>
  <c r="B208" i="1" s="1"/>
  <c r="K125" i="1"/>
  <c r="L125" i="1" s="1" a="1"/>
  <c r="L125" i="1" s="1"/>
  <c r="V125" i="1" s="1"/>
  <c r="W125" i="1" s="1"/>
  <c r="F126" i="1"/>
  <c r="G126" i="1" s="1"/>
  <c r="H126" i="1" s="1"/>
  <c r="A910" i="1"/>
  <c r="N908" i="1"/>
  <c r="C909" i="1"/>
  <c r="M125" i="1" l="1" a="1"/>
  <c r="M125" i="1" s="1"/>
  <c r="T125" i="1" s="1"/>
  <c r="U125" i="1" s="1"/>
  <c r="E208" i="1"/>
  <c r="B209" i="1" s="1"/>
  <c r="I126" i="1"/>
  <c r="J126" i="1" s="1"/>
  <c r="F127" i="1" s="1"/>
  <c r="G127" i="1" s="1"/>
  <c r="A911" i="1"/>
  <c r="C910" i="1"/>
  <c r="N909" i="1"/>
  <c r="A912" i="1"/>
  <c r="C911" i="1"/>
  <c r="N910" i="1"/>
  <c r="P125" i="1" l="1"/>
  <c r="Q125" i="1" s="1"/>
  <c r="R125" i="1" s="1"/>
  <c r="K126" i="1"/>
  <c r="M126" i="1" s="1" a="1"/>
  <c r="M126" i="1" s="1"/>
  <c r="P126" i="1" s="1"/>
  <c r="Q126" i="1" s="1"/>
  <c r="E209" i="1"/>
  <c r="B210" i="1" s="1"/>
  <c r="H127" i="1"/>
  <c r="A913" i="1"/>
  <c r="C912" i="1"/>
  <c r="N911" i="1"/>
  <c r="L126" i="1" l="1" a="1"/>
  <c r="L126" i="1" s="1"/>
  <c r="V126" i="1" s="1"/>
  <c r="W126" i="1" s="1"/>
  <c r="R126" i="1"/>
  <c r="E210" i="1"/>
  <c r="B211" i="1" s="1"/>
  <c r="T126" i="1"/>
  <c r="U126" i="1" s="1"/>
  <c r="I127" i="1"/>
  <c r="J127" i="1" s="1"/>
  <c r="A914" i="1"/>
  <c r="N912" i="1"/>
  <c r="C913" i="1"/>
  <c r="A915" i="1"/>
  <c r="C914" i="1"/>
  <c r="N913" i="1"/>
  <c r="K127" i="1" l="1"/>
  <c r="M127" i="1" s="1" a="1"/>
  <c r="M127" i="1" s="1"/>
  <c r="P127" i="1" s="1"/>
  <c r="Q127" i="1" s="1"/>
  <c r="R127" i="1" s="1"/>
  <c r="E211" i="1"/>
  <c r="B212" i="1" s="1"/>
  <c r="F128" i="1"/>
  <c r="G128" i="1" s="1"/>
  <c r="H128" i="1" s="1"/>
  <c r="A916" i="1"/>
  <c r="C915" i="1"/>
  <c r="N914" i="1"/>
  <c r="L127" i="1" l="1" a="1"/>
  <c r="L127" i="1" s="1"/>
  <c r="V127" i="1" s="1"/>
  <c r="W127" i="1" s="1"/>
  <c r="T127" i="1"/>
  <c r="U127" i="1" s="1"/>
  <c r="E212" i="1"/>
  <c r="B213" i="1" s="1"/>
  <c r="I128" i="1"/>
  <c r="J128" i="1" s="1"/>
  <c r="A917" i="1"/>
  <c r="C916" i="1"/>
  <c r="N915" i="1"/>
  <c r="A918" i="1"/>
  <c r="N916" i="1"/>
  <c r="C917" i="1"/>
  <c r="F129" i="1" l="1"/>
  <c r="G129" i="1" s="1"/>
  <c r="H129" i="1" s="1"/>
  <c r="E213" i="1"/>
  <c r="B214" i="1" s="1"/>
  <c r="K128" i="1"/>
  <c r="M128" i="1" s="1" a="1"/>
  <c r="M128" i="1" s="1"/>
  <c r="T128" i="1" s="1"/>
  <c r="U128" i="1" s="1"/>
  <c r="A919" i="1"/>
  <c r="C918" i="1"/>
  <c r="N917" i="1"/>
  <c r="L128" i="1" l="1" a="1"/>
  <c r="L128" i="1" s="1"/>
  <c r="V128" i="1" s="1"/>
  <c r="W128" i="1" s="1"/>
  <c r="E214" i="1"/>
  <c r="B215" i="1" s="1"/>
  <c r="P128" i="1"/>
  <c r="Q128" i="1" s="1"/>
  <c r="R128" i="1" s="1"/>
  <c r="I129" i="1"/>
  <c r="J129" i="1" s="1"/>
  <c r="A920" i="1"/>
  <c r="C919" i="1"/>
  <c r="N918" i="1"/>
  <c r="A921" i="1"/>
  <c r="C920" i="1"/>
  <c r="N919" i="1"/>
  <c r="E215" i="1" l="1"/>
  <c r="B216" i="1" s="1"/>
  <c r="F130" i="1"/>
  <c r="G130" i="1" s="1"/>
  <c r="H130" i="1" s="1"/>
  <c r="K129" i="1"/>
  <c r="M129" i="1" s="1" a="1"/>
  <c r="M129" i="1" s="1"/>
  <c r="T129" i="1" s="1"/>
  <c r="U129" i="1" s="1"/>
  <c r="A922" i="1"/>
  <c r="N920" i="1"/>
  <c r="C921" i="1"/>
  <c r="L129" i="1" l="1" a="1"/>
  <c r="L129" i="1" s="1"/>
  <c r="V129" i="1" s="1"/>
  <c r="W129" i="1" s="1"/>
  <c r="E216" i="1"/>
  <c r="B217" i="1" s="1"/>
  <c r="P129" i="1"/>
  <c r="Q129" i="1" s="1"/>
  <c r="R129" i="1" s="1"/>
  <c r="I130" i="1"/>
  <c r="J130" i="1" s="1"/>
  <c r="A923" i="1"/>
  <c r="C922" i="1"/>
  <c r="N921" i="1"/>
  <c r="A924" i="1"/>
  <c r="C923" i="1"/>
  <c r="N922" i="1"/>
  <c r="F131" i="1" l="1"/>
  <c r="G131" i="1" s="1"/>
  <c r="H131" i="1" s="1"/>
  <c r="E217" i="1"/>
  <c r="B218" i="1" s="1"/>
  <c r="K130" i="1"/>
  <c r="M130" i="1" s="1" a="1"/>
  <c r="M130" i="1" s="1"/>
  <c r="T130" i="1" s="1"/>
  <c r="U130" i="1" s="1"/>
  <c r="A925" i="1"/>
  <c r="C924" i="1"/>
  <c r="N923" i="1"/>
  <c r="L130" i="1" l="1" a="1"/>
  <c r="L130" i="1" s="1"/>
  <c r="V130" i="1" s="1"/>
  <c r="W130" i="1" s="1"/>
  <c r="E218" i="1"/>
  <c r="B219" i="1" s="1"/>
  <c r="P130" i="1"/>
  <c r="Q130" i="1" s="1"/>
  <c r="R130" i="1" s="1"/>
  <c r="I131" i="1"/>
  <c r="J131" i="1" s="1"/>
  <c r="K131" i="1" s="1"/>
  <c r="A926" i="1"/>
  <c r="N924" i="1"/>
  <c r="C925" i="1"/>
  <c r="A927" i="1"/>
  <c r="C926" i="1"/>
  <c r="N925" i="1"/>
  <c r="E219" i="1" l="1"/>
  <c r="B220" i="1" s="1"/>
  <c r="M131" i="1" a="1"/>
  <c r="M131" i="1" s="1"/>
  <c r="T131" i="1" s="1"/>
  <c r="U131" i="1" s="1"/>
  <c r="L131" i="1" a="1"/>
  <c r="L131" i="1" s="1"/>
  <c r="V131" i="1" s="1"/>
  <c r="W131" i="1" s="1"/>
  <c r="F132" i="1"/>
  <c r="G132" i="1" s="1"/>
  <c r="H132" i="1" s="1"/>
  <c r="A928" i="1"/>
  <c r="C927" i="1"/>
  <c r="N926" i="1"/>
  <c r="E220" i="1" l="1"/>
  <c r="B221" i="1" s="1"/>
  <c r="P131" i="1"/>
  <c r="Q131" i="1" s="1"/>
  <c r="R131" i="1" s="1"/>
  <c r="I132" i="1"/>
  <c r="J132" i="1" s="1"/>
  <c r="A929" i="1"/>
  <c r="C928" i="1"/>
  <c r="N927" i="1"/>
  <c r="A930" i="1"/>
  <c r="N928" i="1"/>
  <c r="C929" i="1"/>
  <c r="E221" i="1" l="1"/>
  <c r="B222" i="1" s="1"/>
  <c r="F133" i="1"/>
  <c r="G133" i="1" s="1"/>
  <c r="H133" i="1" s="1"/>
  <c r="K132" i="1"/>
  <c r="M132" i="1" s="1" a="1"/>
  <c r="M132" i="1" s="1"/>
  <c r="T132" i="1" s="1"/>
  <c r="U132" i="1" s="1"/>
  <c r="A931" i="1"/>
  <c r="C930" i="1"/>
  <c r="N929" i="1"/>
  <c r="L132" i="1" l="1" a="1"/>
  <c r="L132" i="1" s="1"/>
  <c r="V132" i="1" s="1"/>
  <c r="W132" i="1" s="1"/>
  <c r="E222" i="1"/>
  <c r="B223" i="1" s="1"/>
  <c r="P132" i="1"/>
  <c r="Q132" i="1" s="1"/>
  <c r="R132" i="1" s="1"/>
  <c r="I133" i="1"/>
  <c r="J133" i="1" s="1"/>
  <c r="A932" i="1"/>
  <c r="C932" i="1" s="1"/>
  <c r="C931" i="1"/>
  <c r="N930" i="1"/>
  <c r="N931" i="1"/>
  <c r="K133" i="1" l="1"/>
  <c r="L133" i="1" s="1" a="1"/>
  <c r="L133" i="1" s="1"/>
  <c r="V133" i="1" s="1"/>
  <c r="W133" i="1" s="1"/>
  <c r="F134" i="1"/>
  <c r="G134" i="1" s="1"/>
  <c r="H134" i="1" s="1"/>
  <c r="E223" i="1"/>
  <c r="B224" i="1" s="1"/>
  <c r="A933" i="1"/>
  <c r="A934" i="1"/>
  <c r="N932" i="1"/>
  <c r="C933" i="1"/>
  <c r="M133" i="1" l="1" a="1"/>
  <c r="M133" i="1" s="1"/>
  <c r="P133" i="1" s="1"/>
  <c r="Q133" i="1" s="1"/>
  <c r="R133" i="1" s="1"/>
  <c r="E224" i="1"/>
  <c r="B225" i="1" s="1"/>
  <c r="I134" i="1"/>
  <c r="J134" i="1" s="1"/>
  <c r="A935" i="1"/>
  <c r="C934" i="1"/>
  <c r="N933" i="1"/>
  <c r="A936" i="1"/>
  <c r="C935" i="1"/>
  <c r="N934" i="1"/>
  <c r="T133" i="1" l="1"/>
  <c r="U133" i="1" s="1"/>
  <c r="E225" i="1"/>
  <c r="B226" i="1" s="1"/>
  <c r="F135" i="1"/>
  <c r="G135" i="1" s="1"/>
  <c r="H135" i="1" s="1"/>
  <c r="K134" i="1"/>
  <c r="M134" i="1" s="1" a="1"/>
  <c r="M134" i="1" s="1"/>
  <c r="P134" i="1" s="1"/>
  <c r="Q134" i="1" s="1"/>
  <c r="R134" i="1" s="1"/>
  <c r="A937" i="1"/>
  <c r="C936" i="1"/>
  <c r="N935" i="1"/>
  <c r="L134" i="1" l="1" a="1"/>
  <c r="L134" i="1" s="1"/>
  <c r="V134" i="1" s="1"/>
  <c r="W134" i="1" s="1"/>
  <c r="T134" i="1"/>
  <c r="U134" i="1" s="1"/>
  <c r="E226" i="1"/>
  <c r="B227" i="1" s="1"/>
  <c r="I135" i="1"/>
  <c r="J135" i="1" s="1"/>
  <c r="A938" i="1"/>
  <c r="N936" i="1"/>
  <c r="C937" i="1"/>
  <c r="A939" i="1"/>
  <c r="C938" i="1"/>
  <c r="N937" i="1"/>
  <c r="E227" i="1" l="1"/>
  <c r="B228" i="1" s="1"/>
  <c r="K135" i="1"/>
  <c r="M135" i="1" s="1" a="1"/>
  <c r="M135" i="1" s="1"/>
  <c r="P135" i="1" s="1"/>
  <c r="Q135" i="1" s="1"/>
  <c r="R135" i="1" s="1"/>
  <c r="F136" i="1"/>
  <c r="G136" i="1" s="1"/>
  <c r="H136" i="1" s="1"/>
  <c r="A940" i="1"/>
  <c r="C939" i="1"/>
  <c r="N938" i="1"/>
  <c r="L135" i="1" l="1" a="1"/>
  <c r="L135" i="1" s="1"/>
  <c r="V135" i="1" s="1"/>
  <c r="W135" i="1" s="1"/>
  <c r="T135" i="1"/>
  <c r="U135" i="1" s="1"/>
  <c r="E228" i="1"/>
  <c r="B229" i="1" s="1"/>
  <c r="I136" i="1"/>
  <c r="J136" i="1" s="1"/>
  <c r="A941" i="1"/>
  <c r="C940" i="1"/>
  <c r="N939" i="1"/>
  <c r="A942" i="1"/>
  <c r="N940" i="1"/>
  <c r="C941" i="1"/>
  <c r="E229" i="1" l="1"/>
  <c r="B230" i="1" s="1"/>
  <c r="K136" i="1"/>
  <c r="L136" i="1" s="1" a="1"/>
  <c r="L136" i="1" s="1"/>
  <c r="V136" i="1" s="1"/>
  <c r="W136" i="1" s="1"/>
  <c r="F137" i="1"/>
  <c r="G137" i="1" s="1"/>
  <c r="H137" i="1" s="1"/>
  <c r="A943" i="1"/>
  <c r="C942" i="1"/>
  <c r="N941" i="1"/>
  <c r="M136" i="1" l="1" a="1"/>
  <c r="M136" i="1" s="1"/>
  <c r="T136" i="1" s="1"/>
  <c r="U136" i="1" s="1"/>
  <c r="E230" i="1"/>
  <c r="B231" i="1" s="1"/>
  <c r="I137" i="1"/>
  <c r="J137" i="1" s="1"/>
  <c r="A944" i="1"/>
  <c r="C943" i="1"/>
  <c r="N942" i="1"/>
  <c r="A945" i="1"/>
  <c r="C944" i="1"/>
  <c r="N943" i="1"/>
  <c r="P136" i="1" l="1"/>
  <c r="Q136" i="1" s="1"/>
  <c r="R136" i="1" s="1"/>
  <c r="K137" i="1"/>
  <c r="L137" i="1" s="1" a="1"/>
  <c r="L137" i="1" s="1"/>
  <c r="V137" i="1" s="1"/>
  <c r="W137" i="1" s="1"/>
  <c r="F138" i="1"/>
  <c r="G138" i="1" s="1"/>
  <c r="H138" i="1" s="1"/>
  <c r="E231" i="1"/>
  <c r="B232" i="1" s="1"/>
  <c r="A946" i="1"/>
  <c r="N944" i="1"/>
  <c r="C945" i="1"/>
  <c r="M137" i="1" l="1" a="1"/>
  <c r="M137" i="1" s="1"/>
  <c r="P137" i="1" s="1"/>
  <c r="Q137" i="1" s="1"/>
  <c r="R137" i="1" s="1"/>
  <c r="E232" i="1"/>
  <c r="B233" i="1" s="1"/>
  <c r="I138" i="1"/>
  <c r="J138" i="1" s="1"/>
  <c r="A947" i="1"/>
  <c r="C946" i="1"/>
  <c r="N945" i="1"/>
  <c r="A948" i="1"/>
  <c r="C947" i="1"/>
  <c r="N946" i="1"/>
  <c r="T137" i="1" l="1"/>
  <c r="U137" i="1" s="1"/>
  <c r="F139" i="1"/>
  <c r="G139" i="1" s="1"/>
  <c r="H139" i="1" s="1"/>
  <c r="E233" i="1"/>
  <c r="B234" i="1" s="1"/>
  <c r="K138" i="1"/>
  <c r="M138" i="1" s="1" a="1"/>
  <c r="M138" i="1" s="1"/>
  <c r="P138" i="1" s="1"/>
  <c r="Q138" i="1" s="1"/>
  <c r="R138" i="1" s="1"/>
  <c r="A949" i="1"/>
  <c r="C948" i="1"/>
  <c r="N947" i="1"/>
  <c r="L138" i="1" l="1" a="1"/>
  <c r="L138" i="1" s="1"/>
  <c r="V138" i="1" s="1"/>
  <c r="W138" i="1" s="1"/>
  <c r="T138" i="1"/>
  <c r="U138" i="1" s="1"/>
  <c r="E234" i="1"/>
  <c r="B235" i="1" s="1"/>
  <c r="I139" i="1"/>
  <c r="J139" i="1" s="1"/>
  <c r="A950" i="1"/>
  <c r="N948" i="1"/>
  <c r="C949" i="1"/>
  <c r="A951" i="1"/>
  <c r="C950" i="1"/>
  <c r="N949" i="1"/>
  <c r="E235" i="1" l="1"/>
  <c r="B236" i="1" s="1"/>
  <c r="K139" i="1"/>
  <c r="L139" i="1" s="1" a="1"/>
  <c r="L139" i="1" s="1"/>
  <c r="V139" i="1" s="1"/>
  <c r="W139" i="1" s="1"/>
  <c r="F140" i="1"/>
  <c r="G140" i="1" s="1"/>
  <c r="H140" i="1" s="1"/>
  <c r="A952" i="1"/>
  <c r="C951" i="1"/>
  <c r="N950" i="1"/>
  <c r="M139" i="1" l="1" a="1"/>
  <c r="M139" i="1" s="1"/>
  <c r="P139" i="1" s="1"/>
  <c r="Q139" i="1" s="1"/>
  <c r="R139" i="1" s="1"/>
  <c r="E236" i="1"/>
  <c r="B237" i="1" s="1"/>
  <c r="I140" i="1"/>
  <c r="J140" i="1" s="1"/>
  <c r="A953" i="1"/>
  <c r="C952" i="1"/>
  <c r="N951" i="1"/>
  <c r="A954" i="1"/>
  <c r="N952" i="1"/>
  <c r="C953" i="1"/>
  <c r="T139" i="1" l="1"/>
  <c r="U139" i="1" s="1"/>
  <c r="E237" i="1"/>
  <c r="B238" i="1" s="1"/>
  <c r="F141" i="1"/>
  <c r="G141" i="1" s="1"/>
  <c r="H141" i="1" s="1"/>
  <c r="K140" i="1"/>
  <c r="M140" i="1" s="1" a="1"/>
  <c r="M140" i="1" s="1"/>
  <c r="T140" i="1" s="1"/>
  <c r="U140" i="1" s="1"/>
  <c r="A955" i="1"/>
  <c r="C954" i="1"/>
  <c r="N953" i="1"/>
  <c r="L140" i="1" l="1" a="1"/>
  <c r="L140" i="1" s="1"/>
  <c r="V140" i="1" s="1"/>
  <c r="W140" i="1" s="1"/>
  <c r="E238" i="1"/>
  <c r="B239" i="1" s="1"/>
  <c r="P140" i="1"/>
  <c r="Q140" i="1" s="1"/>
  <c r="R140" i="1" s="1"/>
  <c r="I141" i="1"/>
  <c r="J141" i="1" s="1"/>
  <c r="A956" i="1"/>
  <c r="C955" i="1"/>
  <c r="N954" i="1"/>
  <c r="A957" i="1"/>
  <c r="C956" i="1"/>
  <c r="N955" i="1"/>
  <c r="E239" i="1" l="1"/>
  <c r="B240" i="1" s="1"/>
  <c r="K141" i="1"/>
  <c r="M141" i="1" s="1" a="1"/>
  <c r="M141" i="1" s="1"/>
  <c r="T141" i="1" s="1"/>
  <c r="U141" i="1" s="1"/>
  <c r="F142" i="1"/>
  <c r="G142" i="1" s="1"/>
  <c r="H142" i="1" s="1"/>
  <c r="A958" i="1"/>
  <c r="N956" i="1"/>
  <c r="C957" i="1"/>
  <c r="L141" i="1" l="1" a="1"/>
  <c r="L141" i="1" s="1"/>
  <c r="V141" i="1" s="1"/>
  <c r="W141" i="1" s="1"/>
  <c r="P141" i="1"/>
  <c r="Q141" i="1" s="1"/>
  <c r="R141" i="1" s="1"/>
  <c r="E240" i="1"/>
  <c r="I142" i="1"/>
  <c r="J142" i="1" s="1"/>
  <c r="A959" i="1"/>
  <c r="C958" i="1"/>
  <c r="N957" i="1"/>
  <c r="A960" i="1"/>
  <c r="C959" i="1"/>
  <c r="N958" i="1"/>
  <c r="K142" i="1" l="1"/>
  <c r="M142" i="1" s="1" a="1"/>
  <c r="M142" i="1" s="1"/>
  <c r="T142" i="1" s="1"/>
  <c r="U142" i="1" s="1"/>
  <c r="F143" i="1"/>
  <c r="G143" i="1" s="1"/>
  <c r="H143" i="1" s="1"/>
  <c r="B241" i="1"/>
  <c r="A961" i="1"/>
  <c r="C960" i="1"/>
  <c r="N959" i="1"/>
  <c r="L142" i="1" l="1" a="1"/>
  <c r="L142" i="1" s="1"/>
  <c r="V142" i="1" s="1"/>
  <c r="W142" i="1" s="1"/>
  <c r="E241" i="1"/>
  <c r="B242" i="1" s="1"/>
  <c r="P142" i="1"/>
  <c r="Q142" i="1" s="1"/>
  <c r="R142" i="1" s="1"/>
  <c r="I143" i="1"/>
  <c r="J143" i="1" s="1"/>
  <c r="A962" i="1"/>
  <c r="N960" i="1"/>
  <c r="C961" i="1"/>
  <c r="A963" i="1"/>
  <c r="C962" i="1"/>
  <c r="N961" i="1"/>
  <c r="E242" i="1" l="1"/>
  <c r="B243" i="1" s="1"/>
  <c r="K143" i="1"/>
  <c r="L143" i="1" s="1" a="1"/>
  <c r="L143" i="1" s="1"/>
  <c r="V143" i="1" s="1"/>
  <c r="W143" i="1" s="1"/>
  <c r="F144" i="1"/>
  <c r="G144" i="1" s="1"/>
  <c r="H144" i="1" s="1"/>
  <c r="A964" i="1"/>
  <c r="C963" i="1"/>
  <c r="N962" i="1"/>
  <c r="M143" i="1" l="1" a="1"/>
  <c r="M143" i="1" s="1"/>
  <c r="P143" i="1" s="1"/>
  <c r="Q143" i="1" s="1"/>
  <c r="R143" i="1" s="1"/>
  <c r="E243" i="1"/>
  <c r="B244" i="1" s="1"/>
  <c r="I144" i="1"/>
  <c r="J144" i="1" s="1"/>
  <c r="F145" i="1" s="1"/>
  <c r="G145" i="1" s="1"/>
  <c r="A965" i="1"/>
  <c r="C964" i="1"/>
  <c r="N963" i="1"/>
  <c r="A966" i="1"/>
  <c r="N964" i="1"/>
  <c r="C965" i="1"/>
  <c r="T143" i="1" l="1"/>
  <c r="U143" i="1" s="1"/>
  <c r="E244" i="1"/>
  <c r="B245" i="1" s="1"/>
  <c r="K144" i="1"/>
  <c r="L144" i="1" s="1" a="1"/>
  <c r="L144" i="1" s="1"/>
  <c r="V144" i="1" s="1"/>
  <c r="W144" i="1" s="1"/>
  <c r="H145" i="1"/>
  <c r="A967" i="1"/>
  <c r="C966" i="1"/>
  <c r="N965" i="1"/>
  <c r="M144" i="1" l="1" a="1"/>
  <c r="M144" i="1" s="1"/>
  <c r="T144" i="1" s="1"/>
  <c r="U144" i="1" s="1"/>
  <c r="E245" i="1"/>
  <c r="B246" i="1" s="1"/>
  <c r="I145" i="1"/>
  <c r="J145" i="1" s="1"/>
  <c r="A968" i="1"/>
  <c r="C967" i="1"/>
  <c r="N966" i="1"/>
  <c r="A969" i="1"/>
  <c r="C968" i="1"/>
  <c r="N967" i="1"/>
  <c r="P144" i="1" l="1"/>
  <c r="Q144" i="1" s="1"/>
  <c r="R144" i="1" s="1"/>
  <c r="E246" i="1"/>
  <c r="B247" i="1" s="1"/>
  <c r="F146" i="1"/>
  <c r="G146" i="1" s="1"/>
  <c r="H146" i="1" s="1"/>
  <c r="K145" i="1"/>
  <c r="M145" i="1" s="1" a="1"/>
  <c r="M145" i="1" s="1"/>
  <c r="P145" i="1" s="1"/>
  <c r="Q145" i="1" s="1"/>
  <c r="A970" i="1"/>
  <c r="N968" i="1"/>
  <c r="C969" i="1"/>
  <c r="R145" i="1" l="1"/>
  <c r="L145" i="1" a="1"/>
  <c r="L145" i="1" s="1"/>
  <c r="V145" i="1" s="1"/>
  <c r="W145" i="1" s="1"/>
  <c r="T145" i="1"/>
  <c r="U145" i="1" s="1"/>
  <c r="E247" i="1"/>
  <c r="B248" i="1" s="1"/>
  <c r="I146" i="1"/>
  <c r="J146" i="1" s="1"/>
  <c r="A971" i="1"/>
  <c r="C970" i="1"/>
  <c r="N969" i="1"/>
  <c r="A972" i="1"/>
  <c r="C971" i="1"/>
  <c r="N970" i="1"/>
  <c r="E248" i="1" l="1"/>
  <c r="B249" i="1" s="1"/>
  <c r="K146" i="1"/>
  <c r="L146" i="1" s="1" a="1"/>
  <c r="L146" i="1" s="1"/>
  <c r="V146" i="1" s="1"/>
  <c r="W146" i="1" s="1"/>
  <c r="F147" i="1"/>
  <c r="G147" i="1" s="1"/>
  <c r="H147" i="1" s="1"/>
  <c r="A973" i="1"/>
  <c r="C972" i="1"/>
  <c r="N971" i="1"/>
  <c r="M146" i="1" l="1" a="1"/>
  <c r="M146" i="1" s="1"/>
  <c r="T146" i="1" s="1"/>
  <c r="U146" i="1" s="1"/>
  <c r="E249" i="1"/>
  <c r="B250" i="1" s="1"/>
  <c r="I147" i="1"/>
  <c r="J147" i="1" s="1"/>
  <c r="K147" i="1" s="1"/>
  <c r="A974" i="1"/>
  <c r="N972" i="1"/>
  <c r="C973" i="1"/>
  <c r="A975" i="1"/>
  <c r="C974" i="1"/>
  <c r="N973" i="1"/>
  <c r="P146" i="1" l="1"/>
  <c r="Q146" i="1" s="1"/>
  <c r="R146" i="1" s="1"/>
  <c r="E250" i="1"/>
  <c r="B251" i="1" s="1"/>
  <c r="L147" i="1" a="1"/>
  <c r="L147" i="1" s="1"/>
  <c r="V147" i="1" s="1"/>
  <c r="W147" i="1" s="1"/>
  <c r="M147" i="1" a="1"/>
  <c r="M147" i="1" s="1"/>
  <c r="T147" i="1" s="1"/>
  <c r="U147" i="1" s="1"/>
  <c r="F148" i="1"/>
  <c r="G148" i="1" s="1"/>
  <c r="H148" i="1" s="1"/>
  <c r="A976" i="1"/>
  <c r="N974" i="1"/>
  <c r="C975" i="1"/>
  <c r="E251" i="1" l="1"/>
  <c r="B252" i="1" s="1"/>
  <c r="P147" i="1"/>
  <c r="Q147" i="1" s="1"/>
  <c r="R147" i="1" s="1"/>
  <c r="I148" i="1"/>
  <c r="J148" i="1" s="1"/>
  <c r="A977" i="1"/>
  <c r="N975" i="1"/>
  <c r="C976" i="1"/>
  <c r="A978" i="1"/>
  <c r="C977" i="1"/>
  <c r="N976" i="1"/>
  <c r="E252" i="1" l="1"/>
  <c r="B253" i="1" s="1"/>
  <c r="K148" i="1"/>
  <c r="M148" i="1" s="1" a="1"/>
  <c r="M148" i="1" s="1"/>
  <c r="T148" i="1" s="1"/>
  <c r="U148" i="1" s="1"/>
  <c r="F149" i="1"/>
  <c r="G149" i="1" s="1"/>
  <c r="H149" i="1" s="1"/>
  <c r="A979" i="1"/>
  <c r="N977" i="1"/>
  <c r="C978" i="1"/>
  <c r="L148" i="1" l="1" a="1"/>
  <c r="L148" i="1" s="1"/>
  <c r="V148" i="1" s="1"/>
  <c r="W148" i="1" s="1"/>
  <c r="P148" i="1"/>
  <c r="Q148" i="1" s="1"/>
  <c r="R148" i="1" s="1"/>
  <c r="E253" i="1"/>
  <c r="B254" i="1" s="1"/>
  <c r="I149" i="1"/>
  <c r="J149" i="1" s="1"/>
  <c r="A980" i="1"/>
  <c r="N978" i="1"/>
  <c r="C979" i="1"/>
  <c r="A981" i="1"/>
  <c r="N979" i="1"/>
  <c r="C980" i="1"/>
  <c r="F150" i="1" l="1"/>
  <c r="G150" i="1" s="1"/>
  <c r="H150" i="1" s="1"/>
  <c r="E254" i="1"/>
  <c r="B255" i="1" s="1"/>
  <c r="K149" i="1"/>
  <c r="M149" i="1" s="1" a="1"/>
  <c r="M149" i="1" s="1"/>
  <c r="P149" i="1" s="1"/>
  <c r="Q149" i="1" s="1"/>
  <c r="R149" i="1" s="1"/>
  <c r="A982" i="1"/>
  <c r="C981" i="1"/>
  <c r="N980" i="1"/>
  <c r="L149" i="1" l="1" a="1"/>
  <c r="L149" i="1" s="1"/>
  <c r="V149" i="1" s="1"/>
  <c r="W149" i="1" s="1"/>
  <c r="T149" i="1"/>
  <c r="U149" i="1" s="1"/>
  <c r="E255" i="1"/>
  <c r="B256" i="1" s="1"/>
  <c r="I150" i="1"/>
  <c r="J150" i="1" s="1"/>
  <c r="A983" i="1"/>
  <c r="N981" i="1"/>
  <c r="C982" i="1"/>
  <c r="A984" i="1"/>
  <c r="N982" i="1"/>
  <c r="C983" i="1"/>
  <c r="E256" i="1" l="1"/>
  <c r="K150" i="1"/>
  <c r="M150" i="1" s="1" a="1"/>
  <c r="M150" i="1" s="1"/>
  <c r="T150" i="1" s="1"/>
  <c r="U150" i="1" s="1"/>
  <c r="F151" i="1"/>
  <c r="G151" i="1" s="1"/>
  <c r="H151" i="1" s="1"/>
  <c r="A985" i="1"/>
  <c r="N983" i="1"/>
  <c r="C984" i="1"/>
  <c r="L150" i="1" l="1" a="1"/>
  <c r="L150" i="1" s="1"/>
  <c r="V150" i="1" s="1"/>
  <c r="W150" i="1" s="1"/>
  <c r="P150" i="1"/>
  <c r="Q150" i="1" s="1"/>
  <c r="R150" i="1" s="1"/>
  <c r="B257" i="1"/>
  <c r="I151" i="1"/>
  <c r="J151" i="1" s="1"/>
  <c r="A986" i="1"/>
  <c r="C985" i="1"/>
  <c r="N984" i="1"/>
  <c r="A987" i="1"/>
  <c r="N985" i="1"/>
  <c r="C986" i="1"/>
  <c r="E257" i="1" l="1"/>
  <c r="B258" i="1" s="1"/>
  <c r="F152" i="1"/>
  <c r="G152" i="1" s="1"/>
  <c r="H152" i="1" s="1"/>
  <c r="K151" i="1"/>
  <c r="L151" i="1" s="1" a="1"/>
  <c r="L151" i="1" s="1"/>
  <c r="V151" i="1" s="1"/>
  <c r="W151" i="1" s="1"/>
  <c r="A988" i="1"/>
  <c r="N986" i="1"/>
  <c r="C987" i="1"/>
  <c r="M151" i="1" l="1" a="1"/>
  <c r="M151" i="1" s="1"/>
  <c r="P151" i="1" s="1"/>
  <c r="Q151" i="1" s="1"/>
  <c r="R151" i="1" s="1"/>
  <c r="E258" i="1"/>
  <c r="B259" i="1" s="1"/>
  <c r="I152" i="1"/>
  <c r="J152" i="1" s="1"/>
  <c r="A989" i="1"/>
  <c r="N987" i="1"/>
  <c r="C988" i="1"/>
  <c r="A990" i="1"/>
  <c r="C989" i="1"/>
  <c r="N988" i="1"/>
  <c r="T151" i="1" l="1"/>
  <c r="U151" i="1" s="1"/>
  <c r="E259" i="1"/>
  <c r="B260" i="1" s="1"/>
  <c r="F153" i="1"/>
  <c r="G153" i="1" s="1"/>
  <c r="H153" i="1" s="1"/>
  <c r="K152" i="1"/>
  <c r="M152" i="1" s="1" a="1"/>
  <c r="M152" i="1" s="1"/>
  <c r="T152" i="1" s="1"/>
  <c r="U152" i="1" s="1"/>
  <c r="A991" i="1"/>
  <c r="N989" i="1"/>
  <c r="C990" i="1"/>
  <c r="L152" i="1" l="1" a="1"/>
  <c r="L152" i="1" s="1"/>
  <c r="V152" i="1" s="1"/>
  <c r="W152" i="1" s="1"/>
  <c r="E260" i="1"/>
  <c r="B261" i="1" s="1"/>
  <c r="P152" i="1"/>
  <c r="Q152" i="1" s="1"/>
  <c r="R152" i="1" s="1"/>
  <c r="I153" i="1"/>
  <c r="J153" i="1" s="1"/>
  <c r="A992" i="1"/>
  <c r="N990" i="1"/>
  <c r="C991" i="1"/>
  <c r="A993" i="1"/>
  <c r="N991" i="1"/>
  <c r="C992" i="1"/>
  <c r="F154" i="1" l="1"/>
  <c r="G154" i="1" s="1"/>
  <c r="H154" i="1" s="1"/>
  <c r="K153" i="1"/>
  <c r="M153" i="1" s="1" a="1"/>
  <c r="M153" i="1" s="1"/>
  <c r="P153" i="1" s="1"/>
  <c r="Q153" i="1" s="1"/>
  <c r="R153" i="1" s="1"/>
  <c r="E261" i="1"/>
  <c r="A994" i="1"/>
  <c r="N992" i="1"/>
  <c r="C993" i="1"/>
  <c r="L153" i="1" l="1" a="1"/>
  <c r="L153" i="1" s="1"/>
  <c r="V153" i="1" s="1"/>
  <c r="W153" i="1" s="1"/>
  <c r="B262" i="1"/>
  <c r="T153" i="1"/>
  <c r="U153" i="1" s="1"/>
  <c r="I154" i="1"/>
  <c r="J154" i="1" s="1"/>
  <c r="A995" i="1"/>
  <c r="N993" i="1"/>
  <c r="C994" i="1"/>
  <c r="A996" i="1"/>
  <c r="N994" i="1"/>
  <c r="C995" i="1"/>
  <c r="F155" i="1" l="1"/>
  <c r="G155" i="1" s="1"/>
  <c r="H155" i="1" s="1"/>
  <c r="E262" i="1"/>
  <c r="K154" i="1"/>
  <c r="M154" i="1" s="1" a="1"/>
  <c r="M154" i="1" s="1"/>
  <c r="T154" i="1" s="1"/>
  <c r="U154" i="1" s="1"/>
  <c r="A997" i="1"/>
  <c r="N995" i="1"/>
  <c r="C996" i="1"/>
  <c r="L154" i="1" l="1" a="1"/>
  <c r="L154" i="1" s="1"/>
  <c r="V154" i="1" s="1"/>
  <c r="W154" i="1" s="1"/>
  <c r="P154" i="1"/>
  <c r="Q154" i="1" s="1"/>
  <c r="R154" i="1" s="1"/>
  <c r="B263" i="1"/>
  <c r="I155" i="1"/>
  <c r="J155" i="1" s="1"/>
  <c r="A998" i="1"/>
  <c r="C997" i="1"/>
  <c r="N996" i="1"/>
  <c r="A999" i="1"/>
  <c r="N997" i="1"/>
  <c r="C998" i="1"/>
  <c r="E263" i="1" l="1"/>
  <c r="B264" i="1" s="1"/>
  <c r="K155" i="1"/>
  <c r="M155" i="1" s="1" a="1"/>
  <c r="M155" i="1" s="1"/>
  <c r="T155" i="1" s="1"/>
  <c r="U155" i="1" s="1"/>
  <c r="F156" i="1"/>
  <c r="G156" i="1" s="1"/>
  <c r="H156" i="1" s="1"/>
  <c r="A1000" i="1"/>
  <c r="N998" i="1"/>
  <c r="C999" i="1"/>
  <c r="L155" i="1" l="1" a="1"/>
  <c r="L155" i="1" s="1"/>
  <c r="V155" i="1" s="1"/>
  <c r="W155" i="1" s="1"/>
  <c r="E264" i="1"/>
  <c r="B265" i="1" s="1"/>
  <c r="P155" i="1"/>
  <c r="Q155" i="1" s="1"/>
  <c r="R155" i="1" s="1"/>
  <c r="I156" i="1"/>
  <c r="J156" i="1" s="1"/>
  <c r="A1001" i="1"/>
  <c r="N999" i="1"/>
  <c r="C1000" i="1"/>
  <c r="A1002" i="1"/>
  <c r="C1001" i="1"/>
  <c r="N1000" i="1"/>
  <c r="F157" i="1" l="1"/>
  <c r="G157" i="1" s="1"/>
  <c r="H157" i="1" s="1"/>
  <c r="K156" i="1"/>
  <c r="M156" i="1" s="1" a="1"/>
  <c r="M156" i="1" s="1"/>
  <c r="T156" i="1" s="1"/>
  <c r="U156" i="1" s="1"/>
  <c r="E265" i="1"/>
  <c r="B266" i="1" s="1"/>
  <c r="A1003" i="1"/>
  <c r="N1001" i="1"/>
  <c r="C1002" i="1"/>
  <c r="L156" i="1" l="1" a="1"/>
  <c r="L156" i="1" s="1"/>
  <c r="V156" i="1" s="1"/>
  <c r="W156" i="1" s="1"/>
  <c r="P156" i="1"/>
  <c r="Q156" i="1" s="1"/>
  <c r="R156" i="1" s="1"/>
  <c r="E266" i="1"/>
  <c r="B267" i="1" s="1"/>
  <c r="I157" i="1"/>
  <c r="J157" i="1" s="1"/>
  <c r="A1004" i="1"/>
  <c r="N1002" i="1"/>
  <c r="C1003" i="1"/>
  <c r="A1005" i="1"/>
  <c r="N1003" i="1"/>
  <c r="C1004" i="1"/>
  <c r="K157" i="1" l="1"/>
  <c r="L157" i="1" s="1" a="1"/>
  <c r="L157" i="1" s="1"/>
  <c r="V157" i="1" s="1"/>
  <c r="W157" i="1" s="1"/>
  <c r="E267" i="1"/>
  <c r="F158" i="1"/>
  <c r="G158" i="1" s="1"/>
  <c r="H158" i="1" s="1"/>
  <c r="A1006" i="1"/>
  <c r="C1005" i="1"/>
  <c r="N1004" i="1"/>
  <c r="M157" i="1" l="1" a="1"/>
  <c r="M157" i="1" s="1"/>
  <c r="T157" i="1" s="1"/>
  <c r="U157" i="1" s="1"/>
  <c r="B268" i="1"/>
  <c r="I158" i="1"/>
  <c r="J158" i="1" s="1"/>
  <c r="A1007" i="1"/>
  <c r="N1005" i="1"/>
  <c r="C1006" i="1"/>
  <c r="A1008" i="1"/>
  <c r="N1006" i="1"/>
  <c r="C1007" i="1"/>
  <c r="P157" i="1" l="1"/>
  <c r="Q157" i="1" s="1"/>
  <c r="R157" i="1" s="1"/>
  <c r="E268" i="1"/>
  <c r="B269" i="1" s="1"/>
  <c r="K158" i="1"/>
  <c r="M158" i="1" s="1" a="1"/>
  <c r="M158" i="1" s="1"/>
  <c r="P158" i="1" s="1"/>
  <c r="Q158" i="1" s="1"/>
  <c r="F159" i="1"/>
  <c r="G159" i="1" s="1"/>
  <c r="H159" i="1" s="1"/>
  <c r="A1009" i="1"/>
  <c r="N1007" i="1"/>
  <c r="C1008" i="1"/>
  <c r="R158" i="1" l="1"/>
  <c r="L158" i="1" a="1"/>
  <c r="L158" i="1" s="1"/>
  <c r="V158" i="1" s="1"/>
  <c r="W158" i="1" s="1"/>
  <c r="T158" i="1"/>
  <c r="U158" i="1" s="1"/>
  <c r="E269" i="1"/>
  <c r="B270" i="1" s="1"/>
  <c r="I159" i="1"/>
  <c r="J159" i="1" s="1"/>
  <c r="A1010" i="1"/>
  <c r="C1009" i="1"/>
  <c r="N1008" i="1"/>
  <c r="A1011" i="1"/>
  <c r="N1009" i="1"/>
  <c r="C1010" i="1"/>
  <c r="E270" i="1" l="1"/>
  <c r="B271" i="1" s="1"/>
  <c r="K159" i="1"/>
  <c r="L159" i="1" s="1" a="1"/>
  <c r="L159" i="1" s="1"/>
  <c r="V159" i="1" s="1"/>
  <c r="W159" i="1" s="1"/>
  <c r="F160" i="1"/>
  <c r="G160" i="1" s="1"/>
  <c r="H160" i="1" s="1"/>
  <c r="A1012" i="1"/>
  <c r="N1010" i="1"/>
  <c r="C1011" i="1"/>
  <c r="M159" i="1" l="1" a="1"/>
  <c r="M159" i="1" s="1"/>
  <c r="P159" i="1" s="1"/>
  <c r="Q159" i="1" s="1"/>
  <c r="R159" i="1" s="1"/>
  <c r="E271" i="1"/>
  <c r="B272" i="1" s="1"/>
  <c r="I160" i="1"/>
  <c r="J160" i="1" s="1"/>
  <c r="A1013" i="1"/>
  <c r="N1011" i="1"/>
  <c r="C1012" i="1"/>
  <c r="A1014" i="1"/>
  <c r="C1013" i="1"/>
  <c r="N1012" i="1"/>
  <c r="T159" i="1" l="1"/>
  <c r="U159" i="1" s="1"/>
  <c r="F161" i="1"/>
  <c r="G161" i="1" s="1"/>
  <c r="H161" i="1" s="1"/>
  <c r="E272" i="1"/>
  <c r="B273" i="1" s="1"/>
  <c r="K160" i="1"/>
  <c r="L160" i="1" s="1" a="1"/>
  <c r="L160" i="1" s="1"/>
  <c r="V160" i="1" s="1"/>
  <c r="W160" i="1" s="1"/>
  <c r="A1015" i="1"/>
  <c r="N1013" i="1"/>
  <c r="C1014" i="1"/>
  <c r="M160" i="1" l="1" a="1"/>
  <c r="M160" i="1" s="1"/>
  <c r="T160" i="1" s="1"/>
  <c r="U160" i="1" s="1"/>
  <c r="E273" i="1"/>
  <c r="B274" i="1" s="1"/>
  <c r="I161" i="1"/>
  <c r="J161" i="1" s="1"/>
  <c r="A1016" i="1"/>
  <c r="N1014" i="1"/>
  <c r="C1015" i="1"/>
  <c r="A1017" i="1"/>
  <c r="N1015" i="1"/>
  <c r="C1016" i="1"/>
  <c r="P160" i="1" l="1"/>
  <c r="Q160" i="1" s="1"/>
  <c r="R160" i="1" s="1"/>
  <c r="E274" i="1"/>
  <c r="B275" i="1" s="1"/>
  <c r="K161" i="1"/>
  <c r="L161" i="1" s="1" a="1"/>
  <c r="L161" i="1" s="1"/>
  <c r="V161" i="1" s="1"/>
  <c r="W161" i="1" s="1"/>
  <c r="F162" i="1"/>
  <c r="G162" i="1" s="1"/>
  <c r="H162" i="1" s="1"/>
  <c r="A1018" i="1"/>
  <c r="C1017" i="1"/>
  <c r="N1016" i="1"/>
  <c r="M161" i="1" l="1" a="1"/>
  <c r="M161" i="1" s="1"/>
  <c r="T161" i="1" s="1"/>
  <c r="U161" i="1" s="1"/>
  <c r="E275" i="1"/>
  <c r="B276" i="1" s="1"/>
  <c r="I162" i="1"/>
  <c r="J162" i="1" s="1"/>
  <c r="A1019" i="1"/>
  <c r="N1017" i="1"/>
  <c r="C1018" i="1"/>
  <c r="A1020" i="1"/>
  <c r="N1018" i="1"/>
  <c r="C1019" i="1"/>
  <c r="P161" i="1" l="1"/>
  <c r="Q161" i="1" s="1"/>
  <c r="R161" i="1" s="1"/>
  <c r="K162" i="1"/>
  <c r="M162" i="1" s="1" a="1"/>
  <c r="M162" i="1" s="1"/>
  <c r="P162" i="1" s="1"/>
  <c r="Q162" i="1" s="1"/>
  <c r="F163" i="1"/>
  <c r="G163" i="1" s="1"/>
  <c r="H163" i="1" s="1"/>
  <c r="E276" i="1"/>
  <c r="B277" i="1" s="1"/>
  <c r="A1021" i="1"/>
  <c r="N1019" i="1"/>
  <c r="C1020" i="1"/>
  <c r="R162" i="1" l="1"/>
  <c r="L162" i="1" a="1"/>
  <c r="L162" i="1" s="1"/>
  <c r="V162" i="1" s="1"/>
  <c r="W162" i="1" s="1"/>
  <c r="T162" i="1"/>
  <c r="U162" i="1" s="1"/>
  <c r="E277" i="1"/>
  <c r="B278" i="1" s="1"/>
  <c r="I163" i="1"/>
  <c r="J163" i="1" s="1"/>
  <c r="F164" i="1" s="1"/>
  <c r="G164" i="1" s="1"/>
  <c r="A1022" i="1"/>
  <c r="C1021" i="1"/>
  <c r="N1020" i="1"/>
  <c r="A1023" i="1"/>
  <c r="N1021" i="1"/>
  <c r="C1022" i="1"/>
  <c r="E278" i="1" l="1"/>
  <c r="B279" i="1" s="1"/>
  <c r="K163" i="1"/>
  <c r="L163" i="1" s="1" a="1"/>
  <c r="L163" i="1" s="1"/>
  <c r="V163" i="1" s="1"/>
  <c r="W163" i="1" s="1"/>
  <c r="H164" i="1"/>
  <c r="A1024" i="1"/>
  <c r="N1022" i="1"/>
  <c r="C1023" i="1"/>
  <c r="M163" i="1" l="1" a="1"/>
  <c r="M163" i="1" s="1"/>
  <c r="P163" i="1" s="1"/>
  <c r="Q163" i="1" s="1"/>
  <c r="R163" i="1" s="1"/>
  <c r="E279" i="1"/>
  <c r="B280" i="1" s="1"/>
  <c r="I164" i="1"/>
  <c r="J164" i="1" s="1"/>
  <c r="A1025" i="1"/>
  <c r="N1023" i="1"/>
  <c r="C1024" i="1"/>
  <c r="A1026" i="1"/>
  <c r="N1024" i="1"/>
  <c r="C1025" i="1"/>
  <c r="T163" i="1" l="1"/>
  <c r="U163" i="1" s="1"/>
  <c r="E280" i="1"/>
  <c r="B281" i="1" s="1"/>
  <c r="K164" i="1"/>
  <c r="M164" i="1" s="1" a="1"/>
  <c r="M164" i="1" s="1"/>
  <c r="P164" i="1" s="1"/>
  <c r="Q164" i="1" s="1"/>
  <c r="R164" i="1" s="1"/>
  <c r="F165" i="1"/>
  <c r="G165" i="1" s="1"/>
  <c r="H165" i="1" s="1"/>
  <c r="A1027" i="1"/>
  <c r="N1025" i="1"/>
  <c r="C1026" i="1"/>
  <c r="L164" i="1" l="1" a="1"/>
  <c r="L164" i="1" s="1"/>
  <c r="V164" i="1" s="1"/>
  <c r="W164" i="1" s="1"/>
  <c r="E281" i="1"/>
  <c r="B282" i="1" s="1"/>
  <c r="T164" i="1"/>
  <c r="U164" i="1" s="1"/>
  <c r="I165" i="1"/>
  <c r="J165" i="1" s="1"/>
  <c r="A1028" i="1"/>
  <c r="N1026" i="1"/>
  <c r="C1027" i="1"/>
  <c r="A1029" i="1"/>
  <c r="N1027" i="1"/>
  <c r="C1028" i="1"/>
  <c r="K165" i="1" l="1"/>
  <c r="L165" i="1" s="1" a="1"/>
  <c r="L165" i="1" s="1"/>
  <c r="V165" i="1" s="1"/>
  <c r="W165" i="1" s="1"/>
  <c r="E282" i="1"/>
  <c r="B283" i="1" s="1"/>
  <c r="F166" i="1"/>
  <c r="G166" i="1" s="1"/>
  <c r="H166" i="1" s="1"/>
  <c r="A1030" i="1"/>
  <c r="C1029" i="1"/>
  <c r="N1028" i="1"/>
  <c r="M165" i="1" l="1" a="1"/>
  <c r="M165" i="1" s="1"/>
  <c r="P165" i="1" s="1"/>
  <c r="Q165" i="1" s="1"/>
  <c r="R165" i="1" s="1"/>
  <c r="E283" i="1"/>
  <c r="B284" i="1" s="1"/>
  <c r="I166" i="1"/>
  <c r="J166" i="1" s="1"/>
  <c r="N1029" i="1"/>
  <c r="C1030" i="1"/>
  <c r="A1031" i="1"/>
  <c r="A1032" i="1"/>
  <c r="N1030" i="1"/>
  <c r="C1031" i="1"/>
  <c r="T165" i="1" l="1"/>
  <c r="U165" i="1" s="1"/>
  <c r="E284" i="1"/>
  <c r="B285" i="1" s="1"/>
  <c r="K166" i="1"/>
  <c r="L166" i="1" s="1" a="1"/>
  <c r="L166" i="1" s="1"/>
  <c r="V166" i="1" s="1"/>
  <c r="W166" i="1" s="1"/>
  <c r="F167" i="1"/>
  <c r="G167" i="1" s="1"/>
  <c r="H167" i="1" s="1"/>
  <c r="N1031" i="1"/>
  <c r="A1033" i="1"/>
  <c r="C1032" i="1"/>
  <c r="M166" i="1" l="1" a="1"/>
  <c r="M166" i="1" s="1"/>
  <c r="P166" i="1" s="1"/>
  <c r="Q166" i="1" s="1"/>
  <c r="R166" i="1" s="1"/>
  <c r="E285" i="1"/>
  <c r="B286" i="1" s="1"/>
  <c r="I167" i="1"/>
  <c r="J167" i="1" s="1"/>
  <c r="A1034" i="1"/>
  <c r="C1033" i="1"/>
  <c r="N1032" i="1"/>
  <c r="N1034" i="1"/>
  <c r="N1033" i="1"/>
  <c r="C1034" i="1"/>
  <c r="T166" i="1" l="1"/>
  <c r="U166" i="1" s="1"/>
  <c r="E286" i="1"/>
  <c r="B287" i="1" s="1"/>
  <c r="F168" i="1"/>
  <c r="G168" i="1" s="1"/>
  <c r="H168" i="1" s="1"/>
  <c r="K167" i="1"/>
  <c r="L167" i="1" s="1" a="1"/>
  <c r="L167" i="1" s="1"/>
  <c r="V167" i="1" s="1"/>
  <c r="W167" i="1" s="1"/>
  <c r="M167" i="1" l="1" a="1"/>
  <c r="M167" i="1" s="1"/>
  <c r="P167" i="1" s="1"/>
  <c r="Q167" i="1" s="1"/>
  <c r="R167" i="1" s="1"/>
  <c r="E287" i="1"/>
  <c r="B288" i="1" s="1"/>
  <c r="I168" i="1"/>
  <c r="J168" i="1" s="1"/>
  <c r="T167" i="1" l="1"/>
  <c r="U167" i="1" s="1"/>
  <c r="E288" i="1"/>
  <c r="B289" i="1" s="1"/>
  <c r="F169" i="1"/>
  <c r="G169" i="1" s="1"/>
  <c r="H169" i="1" s="1"/>
  <c r="K168" i="1"/>
  <c r="L168" i="1" s="1" a="1"/>
  <c r="L168" i="1" s="1"/>
  <c r="V168" i="1" s="1"/>
  <c r="W168" i="1" s="1"/>
  <c r="M168" i="1" l="1" a="1"/>
  <c r="M168" i="1" s="1"/>
  <c r="T168" i="1" s="1"/>
  <c r="U168" i="1" s="1"/>
  <c r="E289" i="1"/>
  <c r="B290" i="1" s="1"/>
  <c r="I169" i="1"/>
  <c r="J169" i="1" s="1"/>
  <c r="P168" i="1" l="1"/>
  <c r="Q168" i="1" s="1"/>
  <c r="R168" i="1" s="1"/>
  <c r="K169" i="1"/>
  <c r="L169" i="1" s="1" a="1"/>
  <c r="L169" i="1" s="1"/>
  <c r="V169" i="1" s="1"/>
  <c r="W169" i="1" s="1"/>
  <c r="E290" i="1"/>
  <c r="B291" i="1" s="1"/>
  <c r="F170" i="1"/>
  <c r="G170" i="1" s="1"/>
  <c r="H170" i="1" s="1"/>
  <c r="M169" i="1" l="1" a="1"/>
  <c r="M169" i="1" s="1"/>
  <c r="P169" i="1" s="1"/>
  <c r="Q169" i="1" s="1"/>
  <c r="R169" i="1" s="1"/>
  <c r="E291" i="1"/>
  <c r="B292" i="1" s="1"/>
  <c r="I170" i="1"/>
  <c r="J170" i="1" s="1"/>
  <c r="T169" i="1" l="1"/>
  <c r="U169" i="1" s="1"/>
  <c r="F171" i="1"/>
  <c r="G171" i="1" s="1"/>
  <c r="H171" i="1" s="1"/>
  <c r="E292" i="1"/>
  <c r="B293" i="1" s="1"/>
  <c r="K170" i="1"/>
  <c r="M170" i="1" s="1" a="1"/>
  <c r="M170" i="1" s="1"/>
  <c r="P170" i="1" s="1"/>
  <c r="Q170" i="1" s="1"/>
  <c r="R170" i="1" s="1"/>
  <c r="L170" i="1" l="1" a="1"/>
  <c r="L170" i="1" s="1"/>
  <c r="V170" i="1" s="1"/>
  <c r="W170" i="1" s="1"/>
  <c r="T170" i="1"/>
  <c r="U170" i="1" s="1"/>
  <c r="E293" i="1"/>
  <c r="B294" i="1" s="1"/>
  <c r="I171" i="1"/>
  <c r="J171" i="1" s="1"/>
  <c r="E294" i="1" l="1"/>
  <c r="B295" i="1" s="1"/>
  <c r="K171" i="1"/>
  <c r="L171" i="1" s="1" a="1"/>
  <c r="L171" i="1" s="1"/>
  <c r="V171" i="1" s="1"/>
  <c r="W171" i="1" s="1"/>
  <c r="F172" i="1"/>
  <c r="G172" i="1" s="1"/>
  <c r="H172" i="1" s="1"/>
  <c r="M171" i="1" l="1" a="1"/>
  <c r="M171" i="1" s="1"/>
  <c r="T171" i="1" s="1"/>
  <c r="U171" i="1" s="1"/>
  <c r="E295" i="1"/>
  <c r="B296" i="1" s="1"/>
  <c r="I172" i="1"/>
  <c r="J172" i="1" s="1"/>
  <c r="P171" i="1" l="1"/>
  <c r="Q171" i="1" s="1"/>
  <c r="R171" i="1" s="1"/>
  <c r="F173" i="1"/>
  <c r="G173" i="1" s="1"/>
  <c r="H173" i="1" s="1"/>
  <c r="E296" i="1"/>
  <c r="B297" i="1" s="1"/>
  <c r="K172" i="1"/>
  <c r="M172" i="1" s="1" a="1"/>
  <c r="M172" i="1" s="1"/>
  <c r="T172" i="1" s="1"/>
  <c r="U172" i="1" s="1"/>
  <c r="L172" i="1" l="1" a="1"/>
  <c r="L172" i="1" s="1"/>
  <c r="V172" i="1" s="1"/>
  <c r="W172" i="1" s="1"/>
  <c r="E297" i="1"/>
  <c r="B298" i="1" s="1"/>
  <c r="P172" i="1"/>
  <c r="Q172" i="1" s="1"/>
  <c r="R172" i="1" s="1"/>
  <c r="I173" i="1"/>
  <c r="J173" i="1" s="1"/>
  <c r="F174" i="1" s="1"/>
  <c r="G174" i="1" s="1"/>
  <c r="E298" i="1" l="1"/>
  <c r="B299" i="1" s="1"/>
  <c r="K173" i="1"/>
  <c r="M173" i="1" s="1" a="1"/>
  <c r="M173" i="1" s="1"/>
  <c r="P173" i="1" s="1"/>
  <c r="Q173" i="1" s="1"/>
  <c r="R173" i="1" s="1"/>
  <c r="H174" i="1"/>
  <c r="L173" i="1" l="1" a="1"/>
  <c r="L173" i="1" s="1"/>
  <c r="V173" i="1" s="1"/>
  <c r="W173" i="1" s="1"/>
  <c r="E299" i="1"/>
  <c r="B300" i="1" s="1"/>
  <c r="T173" i="1"/>
  <c r="U173" i="1" s="1"/>
  <c r="I174" i="1"/>
  <c r="J174" i="1" s="1"/>
  <c r="E300" i="1" l="1"/>
  <c r="B301" i="1" s="1"/>
  <c r="F175" i="1"/>
  <c r="G175" i="1" s="1"/>
  <c r="H175" i="1" s="1"/>
  <c r="K174" i="1"/>
  <c r="L174" i="1" s="1" a="1"/>
  <c r="L174" i="1" s="1"/>
  <c r="V174" i="1" s="1"/>
  <c r="W174" i="1" s="1"/>
  <c r="M174" i="1" l="1" a="1"/>
  <c r="M174" i="1" s="1"/>
  <c r="P174" i="1" s="1"/>
  <c r="Q174" i="1" s="1"/>
  <c r="R174" i="1" s="1"/>
  <c r="E301" i="1"/>
  <c r="B302" i="1" s="1"/>
  <c r="I175" i="1"/>
  <c r="J175" i="1" s="1"/>
  <c r="K175" i="1" s="1"/>
  <c r="T174" i="1" l="1"/>
  <c r="U174" i="1" s="1"/>
  <c r="F176" i="1"/>
  <c r="G176" i="1" s="1"/>
  <c r="H176" i="1" s="1"/>
  <c r="M175" i="1" a="1"/>
  <c r="M175" i="1" s="1"/>
  <c r="T175" i="1" s="1"/>
  <c r="U175" i="1" s="1"/>
  <c r="L175" i="1" a="1"/>
  <c r="L175" i="1" s="1"/>
  <c r="V175" i="1" s="1"/>
  <c r="W175" i="1" s="1"/>
  <c r="E302" i="1"/>
  <c r="B303" i="1" s="1"/>
  <c r="P175" i="1" l="1"/>
  <c r="Q175" i="1" s="1"/>
  <c r="R175" i="1" s="1"/>
  <c r="E303" i="1"/>
  <c r="B304" i="1" s="1"/>
  <c r="I176" i="1"/>
  <c r="J176" i="1" s="1"/>
  <c r="K176" i="1" l="1"/>
  <c r="L176" i="1" s="1" a="1"/>
  <c r="L176" i="1" s="1"/>
  <c r="V176" i="1" s="1"/>
  <c r="W176" i="1" s="1"/>
  <c r="E304" i="1"/>
  <c r="B305" i="1" s="1"/>
  <c r="F177" i="1"/>
  <c r="G177" i="1" s="1"/>
  <c r="H177" i="1" s="1"/>
  <c r="M176" i="1" l="1" a="1"/>
  <c r="M176" i="1" s="1"/>
  <c r="T176" i="1" s="1"/>
  <c r="U176" i="1" s="1"/>
  <c r="E305" i="1"/>
  <c r="B306" i="1" s="1"/>
  <c r="I177" i="1"/>
  <c r="J177" i="1" s="1"/>
  <c r="F178" i="1" s="1"/>
  <c r="G178" i="1" s="1"/>
  <c r="P176" i="1" l="1"/>
  <c r="Q176" i="1" s="1"/>
  <c r="R176" i="1" s="1"/>
  <c r="K177" i="1"/>
  <c r="M177" i="1" s="1" a="1"/>
  <c r="M177" i="1" s="1"/>
  <c r="P177" i="1" s="1"/>
  <c r="Q177" i="1" s="1"/>
  <c r="E306" i="1"/>
  <c r="B307" i="1" s="1"/>
  <c r="H178" i="1"/>
  <c r="I178" i="1" s="1"/>
  <c r="J178" i="1" s="1"/>
  <c r="F179" i="1" s="1"/>
  <c r="R177" i="1" l="1"/>
  <c r="L177" i="1" a="1"/>
  <c r="L177" i="1" s="1"/>
  <c r="V177" i="1" s="1"/>
  <c r="W177" i="1" s="1"/>
  <c r="E307" i="1"/>
  <c r="B308" i="1" s="1"/>
  <c r="T177" i="1"/>
  <c r="U177" i="1" s="1"/>
  <c r="K178" i="1"/>
  <c r="L178" i="1" s="1" a="1"/>
  <c r="L178" i="1" s="1"/>
  <c r="V178" i="1" s="1"/>
  <c r="W178" i="1" s="1"/>
  <c r="G179" i="1"/>
  <c r="M178" i="1" l="1" a="1"/>
  <c r="M178" i="1" s="1"/>
  <c r="T178" i="1" s="1"/>
  <c r="U178" i="1" s="1"/>
  <c r="E308" i="1"/>
  <c r="B309" i="1" s="1"/>
  <c r="H179" i="1"/>
  <c r="P178" i="1" l="1"/>
  <c r="Q178" i="1" s="1"/>
  <c r="R178" i="1" s="1"/>
  <c r="E309" i="1"/>
  <c r="I179" i="1"/>
  <c r="J179" i="1" s="1"/>
  <c r="K179" i="1" l="1"/>
  <c r="L179" i="1" s="1" a="1"/>
  <c r="L179" i="1" s="1"/>
  <c r="V179" i="1" s="1"/>
  <c r="W179" i="1" s="1"/>
  <c r="B310" i="1"/>
  <c r="F180" i="1"/>
  <c r="G180" i="1" s="1"/>
  <c r="H180" i="1" s="1"/>
  <c r="M179" i="1" l="1" a="1"/>
  <c r="M179" i="1" s="1"/>
  <c r="T179" i="1" s="1"/>
  <c r="U179" i="1" s="1"/>
  <c r="E310" i="1"/>
  <c r="B311" i="1" s="1"/>
  <c r="I180" i="1"/>
  <c r="J180" i="1" s="1"/>
  <c r="P179" i="1" l="1"/>
  <c r="Q179" i="1" s="1"/>
  <c r="R179" i="1" s="1"/>
  <c r="E311" i="1"/>
  <c r="B312" i="1" s="1"/>
  <c r="K180" i="1"/>
  <c r="M180" i="1" s="1" a="1"/>
  <c r="M180" i="1" s="1"/>
  <c r="P180" i="1" s="1"/>
  <c r="Q180" i="1" s="1"/>
  <c r="F181" i="1"/>
  <c r="G181" i="1" s="1"/>
  <c r="H181" i="1" s="1"/>
  <c r="L180" i="1" l="1" a="1"/>
  <c r="L180" i="1" s="1"/>
  <c r="V180" i="1" s="1"/>
  <c r="W180" i="1" s="1"/>
  <c r="R180" i="1"/>
  <c r="E312" i="1"/>
  <c r="B313" i="1" s="1"/>
  <c r="T180" i="1"/>
  <c r="U180" i="1" s="1"/>
  <c r="I181" i="1"/>
  <c r="J181" i="1" s="1"/>
  <c r="K181" i="1" l="1"/>
  <c r="M181" i="1" s="1" a="1"/>
  <c r="M181" i="1" s="1"/>
  <c r="T181" i="1" s="1"/>
  <c r="U181" i="1" s="1"/>
  <c r="E313" i="1"/>
  <c r="F182" i="1"/>
  <c r="G182" i="1" s="1"/>
  <c r="H182" i="1" s="1"/>
  <c r="L181" i="1" l="1" a="1"/>
  <c r="L181" i="1" s="1"/>
  <c r="V181" i="1" s="1"/>
  <c r="W181" i="1" s="1"/>
  <c r="P181" i="1"/>
  <c r="Q181" i="1" s="1"/>
  <c r="R181" i="1" s="1"/>
  <c r="B314" i="1"/>
  <c r="I182" i="1"/>
  <c r="J182" i="1" s="1"/>
  <c r="F183" i="1" s="1"/>
  <c r="G183" i="1" s="1"/>
  <c r="K182" i="1" l="1"/>
  <c r="L182" i="1" s="1" a="1"/>
  <c r="L182" i="1" s="1"/>
  <c r="V182" i="1" s="1"/>
  <c r="W182" i="1" s="1"/>
  <c r="E314" i="1"/>
  <c r="B315" i="1" s="1"/>
  <c r="H183" i="1"/>
  <c r="M182" i="1" l="1" a="1"/>
  <c r="M182" i="1" s="1"/>
  <c r="P182" i="1" s="1"/>
  <c r="Q182" i="1" s="1"/>
  <c r="R182" i="1" s="1"/>
  <c r="E315" i="1"/>
  <c r="B316" i="1" s="1"/>
  <c r="I183" i="1"/>
  <c r="J183" i="1" s="1"/>
  <c r="T182" i="1" l="1"/>
  <c r="U182" i="1" s="1"/>
  <c r="E316" i="1"/>
  <c r="B317" i="1" s="1"/>
  <c r="K183" i="1"/>
  <c r="M183" i="1" s="1" a="1"/>
  <c r="M183" i="1" s="1"/>
  <c r="T183" i="1" s="1"/>
  <c r="U183" i="1" s="1"/>
  <c r="F184" i="1"/>
  <c r="G184" i="1" s="1"/>
  <c r="H184" i="1" s="1"/>
  <c r="L183" i="1" l="1" a="1"/>
  <c r="L183" i="1" s="1"/>
  <c r="V183" i="1" s="1"/>
  <c r="W183" i="1" s="1"/>
  <c r="E317" i="1"/>
  <c r="B318" i="1" s="1"/>
  <c r="P183" i="1"/>
  <c r="Q183" i="1" s="1"/>
  <c r="R183" i="1" s="1"/>
  <c r="I184" i="1"/>
  <c r="J184" i="1" s="1"/>
  <c r="F185" i="1" l="1"/>
  <c r="G185" i="1" s="1"/>
  <c r="H185" i="1" s="1"/>
  <c r="E318" i="1"/>
  <c r="B319" i="1" s="1"/>
  <c r="K184" i="1"/>
  <c r="M184" i="1" s="1" a="1"/>
  <c r="M184" i="1" s="1"/>
  <c r="P184" i="1" s="1"/>
  <c r="Q184" i="1" s="1"/>
  <c r="R184" i="1" s="1"/>
  <c r="L184" i="1" l="1" a="1"/>
  <c r="L184" i="1" s="1"/>
  <c r="V184" i="1" s="1"/>
  <c r="W184" i="1" s="1"/>
  <c r="T184" i="1"/>
  <c r="U184" i="1" s="1"/>
  <c r="E319" i="1"/>
  <c r="I185" i="1"/>
  <c r="J185" i="1" s="1"/>
  <c r="K185" i="1" l="1"/>
  <c r="L185" i="1" s="1" a="1"/>
  <c r="L185" i="1" s="1"/>
  <c r="V185" i="1" s="1"/>
  <c r="W185" i="1" s="1"/>
  <c r="B320" i="1"/>
  <c r="F186" i="1"/>
  <c r="G186" i="1" s="1"/>
  <c r="H186" i="1" s="1"/>
  <c r="M185" i="1" l="1" a="1"/>
  <c r="M185" i="1" s="1"/>
  <c r="P185" i="1" s="1"/>
  <c r="Q185" i="1" s="1"/>
  <c r="R185" i="1" s="1"/>
  <c r="E320" i="1"/>
  <c r="B321" i="1" s="1"/>
  <c r="I186" i="1"/>
  <c r="J186" i="1" s="1"/>
  <c r="F187" i="1" s="1"/>
  <c r="G187" i="1" s="1"/>
  <c r="T185" i="1" l="1"/>
  <c r="U185" i="1" s="1"/>
  <c r="E321" i="1"/>
  <c r="B322" i="1" s="1"/>
  <c r="K186" i="1"/>
  <c r="L186" i="1" s="1" a="1"/>
  <c r="L186" i="1" s="1"/>
  <c r="V186" i="1" s="1"/>
  <c r="W186" i="1" s="1"/>
  <c r="H187" i="1"/>
  <c r="M186" i="1" l="1" a="1"/>
  <c r="M186" i="1" s="1"/>
  <c r="T186" i="1" s="1"/>
  <c r="U186" i="1" s="1"/>
  <c r="E322" i="1"/>
  <c r="B323" i="1" s="1"/>
  <c r="I187" i="1"/>
  <c r="J187" i="1" s="1"/>
  <c r="K187" i="1" s="1"/>
  <c r="P186" i="1" l="1"/>
  <c r="Q186" i="1" s="1"/>
  <c r="R186" i="1" s="1"/>
  <c r="M187" i="1" a="1"/>
  <c r="M187" i="1" s="1"/>
  <c r="P187" i="1" s="1"/>
  <c r="Q187" i="1" s="1"/>
  <c r="L187" i="1" a="1"/>
  <c r="L187" i="1" s="1"/>
  <c r="V187" i="1" s="1"/>
  <c r="W187" i="1" s="1"/>
  <c r="E323" i="1"/>
  <c r="B324" i="1" s="1"/>
  <c r="F188" i="1"/>
  <c r="G188" i="1" s="1"/>
  <c r="H188" i="1" s="1"/>
  <c r="I188" i="1" s="1"/>
  <c r="R187" i="1" l="1"/>
  <c r="T187" i="1"/>
  <c r="U187" i="1" s="1"/>
  <c r="E324" i="1"/>
  <c r="J188" i="1"/>
  <c r="K188" i="1" l="1"/>
  <c r="M188" i="1" s="1" a="1"/>
  <c r="M188" i="1" s="1"/>
  <c r="P188" i="1" s="1"/>
  <c r="Q188" i="1" s="1"/>
  <c r="R188" i="1" s="1"/>
  <c r="F189" i="1"/>
  <c r="G189" i="1" s="1"/>
  <c r="H189" i="1" s="1"/>
  <c r="B325" i="1"/>
  <c r="L188" i="1" l="1" a="1"/>
  <c r="L188" i="1" s="1"/>
  <c r="V188" i="1" s="1"/>
  <c r="W188" i="1" s="1"/>
  <c r="T188" i="1"/>
  <c r="U188" i="1" s="1"/>
  <c r="E325" i="1"/>
  <c r="B326" i="1" s="1"/>
  <c r="I189" i="1"/>
  <c r="J189" i="1" s="1"/>
  <c r="F190" i="1" s="1"/>
  <c r="G190" i="1" s="1"/>
  <c r="E326" i="1" l="1"/>
  <c r="B327" i="1" s="1"/>
  <c r="K189" i="1"/>
  <c r="M189" i="1" s="1" a="1"/>
  <c r="M189" i="1" s="1"/>
  <c r="T189" i="1" s="1"/>
  <c r="U189" i="1" s="1"/>
  <c r="H190" i="1"/>
  <c r="L189" i="1" l="1" a="1"/>
  <c r="L189" i="1" s="1"/>
  <c r="V189" i="1" s="1"/>
  <c r="W189" i="1" s="1"/>
  <c r="E327" i="1"/>
  <c r="B328" i="1" s="1"/>
  <c r="P189" i="1"/>
  <c r="Q189" i="1" s="1"/>
  <c r="R189" i="1" s="1"/>
  <c r="I190" i="1"/>
  <c r="J190" i="1" s="1"/>
  <c r="K190" i="1" s="1"/>
  <c r="F191" i="1" l="1"/>
  <c r="G191" i="1" s="1"/>
  <c r="H191" i="1" s="1"/>
  <c r="L190" i="1" a="1"/>
  <c r="L190" i="1" s="1"/>
  <c r="V190" i="1" s="1"/>
  <c r="W190" i="1" s="1"/>
  <c r="M190" i="1" a="1"/>
  <c r="M190" i="1" s="1"/>
  <c r="P190" i="1" s="1"/>
  <c r="Q190" i="1" s="1"/>
  <c r="R190" i="1" s="1"/>
  <c r="E328" i="1"/>
  <c r="B329" i="1" s="1"/>
  <c r="E329" i="1" l="1"/>
  <c r="B330" i="1" s="1"/>
  <c r="T190" i="1"/>
  <c r="U190" i="1" s="1"/>
  <c r="I191" i="1"/>
  <c r="J191" i="1" s="1"/>
  <c r="F192" i="1" s="1"/>
  <c r="G192" i="1" s="1"/>
  <c r="K191" i="1" l="1"/>
  <c r="M191" i="1" s="1" a="1"/>
  <c r="M191" i="1" s="1"/>
  <c r="P191" i="1" s="1"/>
  <c r="Q191" i="1" s="1"/>
  <c r="R191" i="1" s="1"/>
  <c r="E330" i="1"/>
  <c r="B331" i="1" s="1"/>
  <c r="H192" i="1"/>
  <c r="L191" i="1" l="1" a="1"/>
  <c r="L191" i="1" s="1"/>
  <c r="V191" i="1" s="1"/>
  <c r="W191" i="1" s="1"/>
  <c r="T191" i="1"/>
  <c r="U191" i="1" s="1"/>
  <c r="E331" i="1"/>
  <c r="B332" i="1" s="1"/>
  <c r="I192" i="1"/>
  <c r="J192" i="1" s="1"/>
  <c r="K192" i="1" l="1"/>
  <c r="M192" i="1" s="1" a="1"/>
  <c r="M192" i="1" s="1"/>
  <c r="P192" i="1" s="1"/>
  <c r="Q192" i="1" s="1"/>
  <c r="R192" i="1" s="1"/>
  <c r="E332" i="1"/>
  <c r="B333" i="1" s="1"/>
  <c r="E333" i="1" s="1"/>
  <c r="F193" i="1"/>
  <c r="G193" i="1" s="1"/>
  <c r="H193" i="1" s="1"/>
  <c r="L192" i="1" l="1" a="1"/>
  <c r="L192" i="1" s="1"/>
  <c r="V192" i="1" s="1"/>
  <c r="W192" i="1" s="1"/>
  <c r="T192" i="1"/>
  <c r="U192" i="1" s="1"/>
  <c r="B334" i="1"/>
  <c r="I193" i="1"/>
  <c r="J193" i="1" s="1"/>
  <c r="K193" i="1" l="1"/>
  <c r="M193" i="1" s="1" a="1"/>
  <c r="M193" i="1" s="1"/>
  <c r="T193" i="1" s="1"/>
  <c r="U193" i="1" s="1"/>
  <c r="E334" i="1"/>
  <c r="B335" i="1" s="1"/>
  <c r="F194" i="1"/>
  <c r="G194" i="1" s="1"/>
  <c r="H194" i="1" s="1"/>
  <c r="L193" i="1" l="1" a="1"/>
  <c r="L193" i="1" s="1"/>
  <c r="V193" i="1" s="1"/>
  <c r="W193" i="1" s="1"/>
  <c r="P193" i="1"/>
  <c r="Q193" i="1" s="1"/>
  <c r="R193" i="1" s="1"/>
  <c r="E335" i="1"/>
  <c r="B336" i="1" s="1"/>
  <c r="I194" i="1"/>
  <c r="J194" i="1" s="1"/>
  <c r="K194" i="1" s="1"/>
  <c r="F195" i="1" l="1"/>
  <c r="G195" i="1" s="1"/>
  <c r="H195" i="1" s="1"/>
  <c r="M194" i="1" a="1"/>
  <c r="M194" i="1" s="1"/>
  <c r="P194" i="1" s="1"/>
  <c r="Q194" i="1" s="1"/>
  <c r="R194" i="1" s="1"/>
  <c r="L194" i="1" a="1"/>
  <c r="L194" i="1" s="1"/>
  <c r="V194" i="1" s="1"/>
  <c r="W194" i="1" s="1"/>
  <c r="E336" i="1"/>
  <c r="B337" i="1" s="1"/>
  <c r="T194" i="1" l="1"/>
  <c r="U194" i="1" s="1"/>
  <c r="E337" i="1"/>
  <c r="B338" i="1" s="1"/>
  <c r="I195" i="1"/>
  <c r="J195" i="1" s="1"/>
  <c r="F196" i="1" l="1"/>
  <c r="G196" i="1" s="1"/>
  <c r="H196" i="1" s="1"/>
  <c r="K195" i="1"/>
  <c r="M195" i="1" s="1" a="1"/>
  <c r="M195" i="1" s="1"/>
  <c r="P195" i="1" s="1"/>
  <c r="Q195" i="1" s="1"/>
  <c r="R195" i="1" s="1"/>
  <c r="E338" i="1"/>
  <c r="B339" i="1" s="1"/>
  <c r="L195" i="1" l="1" a="1"/>
  <c r="L195" i="1" s="1"/>
  <c r="V195" i="1" s="1"/>
  <c r="W195" i="1" s="1"/>
  <c r="T195" i="1"/>
  <c r="U195" i="1" s="1"/>
  <c r="E339" i="1"/>
  <c r="B340" i="1" s="1"/>
  <c r="I196" i="1"/>
  <c r="J196" i="1" s="1"/>
  <c r="F197" i="1" s="1"/>
  <c r="G197" i="1" s="1"/>
  <c r="E340" i="1" l="1"/>
  <c r="B341" i="1" s="1"/>
  <c r="K196" i="1"/>
  <c r="M196" i="1" s="1" a="1"/>
  <c r="M196" i="1" s="1"/>
  <c r="P196" i="1" s="1"/>
  <c r="Q196" i="1" s="1"/>
  <c r="R196" i="1" s="1"/>
  <c r="H197" i="1"/>
  <c r="L196" i="1" l="1" a="1"/>
  <c r="L196" i="1" s="1"/>
  <c r="V196" i="1" s="1"/>
  <c r="W196" i="1" s="1"/>
  <c r="E341" i="1"/>
  <c r="B342" i="1" s="1"/>
  <c r="T196" i="1"/>
  <c r="U196" i="1" s="1"/>
  <c r="I197" i="1"/>
  <c r="J197" i="1" s="1"/>
  <c r="F198" i="1" s="1"/>
  <c r="G198" i="1" s="1"/>
  <c r="K197" i="1" l="1"/>
  <c r="M197" i="1" s="1" a="1"/>
  <c r="M197" i="1" s="1"/>
  <c r="T197" i="1" s="1"/>
  <c r="U197" i="1" s="1"/>
  <c r="E342" i="1"/>
  <c r="B343" i="1" s="1"/>
  <c r="E343" i="1" s="1"/>
  <c r="H198" i="1"/>
  <c r="L197" i="1" l="1" a="1"/>
  <c r="L197" i="1" s="1"/>
  <c r="V197" i="1" s="1"/>
  <c r="W197" i="1" s="1"/>
  <c r="P197" i="1"/>
  <c r="Q197" i="1" s="1"/>
  <c r="R197" i="1" s="1"/>
  <c r="B344" i="1"/>
  <c r="I198" i="1"/>
  <c r="J198" i="1" s="1"/>
  <c r="K198" i="1" l="1"/>
  <c r="M198" i="1" s="1" a="1"/>
  <c r="M198" i="1" s="1"/>
  <c r="T198" i="1" s="1"/>
  <c r="U198" i="1" s="1"/>
  <c r="E344" i="1"/>
  <c r="B345" i="1" s="1"/>
  <c r="F199" i="1"/>
  <c r="G199" i="1" s="1"/>
  <c r="H199" i="1" s="1"/>
  <c r="L198" i="1" l="1" a="1"/>
  <c r="L198" i="1" s="1"/>
  <c r="V198" i="1" s="1"/>
  <c r="W198" i="1" s="1"/>
  <c r="P198" i="1"/>
  <c r="Q198" i="1" s="1"/>
  <c r="R198" i="1" s="1"/>
  <c r="E345" i="1"/>
  <c r="B346" i="1" s="1"/>
  <c r="I199" i="1"/>
  <c r="J199" i="1" s="1"/>
  <c r="K199" i="1" s="1"/>
  <c r="F200" i="1" l="1"/>
  <c r="G200" i="1" s="1"/>
  <c r="H200" i="1" s="1"/>
  <c r="E346" i="1"/>
  <c r="B347" i="1" s="1"/>
  <c r="M199" i="1" a="1"/>
  <c r="M199" i="1" s="1"/>
  <c r="T199" i="1" s="1"/>
  <c r="U199" i="1" s="1"/>
  <c r="L199" i="1" a="1"/>
  <c r="L199" i="1" s="1"/>
  <c r="V199" i="1" s="1"/>
  <c r="W199" i="1" s="1"/>
  <c r="P199" i="1" l="1"/>
  <c r="Q199" i="1" s="1"/>
  <c r="R199" i="1" s="1"/>
  <c r="E347" i="1"/>
  <c r="B348" i="1" s="1"/>
  <c r="I200" i="1"/>
  <c r="J200" i="1" s="1"/>
  <c r="E348" i="1" l="1"/>
  <c r="B349" i="1" s="1"/>
  <c r="K200" i="1"/>
  <c r="M200" i="1" s="1" a="1"/>
  <c r="M200" i="1" s="1"/>
  <c r="P200" i="1" s="1"/>
  <c r="Q200" i="1" s="1"/>
  <c r="R200" i="1" s="1"/>
  <c r="F201" i="1"/>
  <c r="G201" i="1" s="1"/>
  <c r="H201" i="1" s="1"/>
  <c r="L200" i="1" l="1" a="1"/>
  <c r="L200" i="1" s="1"/>
  <c r="V200" i="1" s="1"/>
  <c r="W200" i="1" s="1"/>
  <c r="E349" i="1"/>
  <c r="B350" i="1" s="1"/>
  <c r="T200" i="1"/>
  <c r="U200" i="1" s="1"/>
  <c r="I201" i="1"/>
  <c r="J201" i="1" s="1"/>
  <c r="E350" i="1" l="1"/>
  <c r="B351" i="1" s="1"/>
  <c r="K201" i="1"/>
  <c r="M201" i="1" s="1" a="1"/>
  <c r="M201" i="1" s="1"/>
  <c r="P201" i="1" s="1"/>
  <c r="Q201" i="1" s="1"/>
  <c r="R201" i="1" s="1"/>
  <c r="F202" i="1"/>
  <c r="G202" i="1" s="1"/>
  <c r="H202" i="1" s="1"/>
  <c r="L201" i="1" l="1" a="1"/>
  <c r="L201" i="1" s="1"/>
  <c r="V201" i="1" s="1"/>
  <c r="W201" i="1" s="1"/>
  <c r="E351" i="1"/>
  <c r="B352" i="1" s="1"/>
  <c r="T201" i="1"/>
  <c r="U201" i="1" s="1"/>
  <c r="I202" i="1"/>
  <c r="J202" i="1" s="1"/>
  <c r="F203" i="1" l="1"/>
  <c r="G203" i="1" s="1"/>
  <c r="H203" i="1" s="1"/>
  <c r="E352" i="1"/>
  <c r="B353" i="1" s="1"/>
  <c r="K202" i="1"/>
  <c r="M202" i="1" s="1" a="1"/>
  <c r="M202" i="1" s="1"/>
  <c r="T202" i="1" s="1"/>
  <c r="U202" i="1" s="1"/>
  <c r="L202" i="1" l="1" a="1"/>
  <c r="L202" i="1" s="1"/>
  <c r="V202" i="1" s="1"/>
  <c r="W202" i="1" s="1"/>
  <c r="P202" i="1"/>
  <c r="Q202" i="1" s="1"/>
  <c r="R202" i="1" s="1"/>
  <c r="E353" i="1"/>
  <c r="B354" i="1" s="1"/>
  <c r="I203" i="1"/>
  <c r="J203" i="1" s="1"/>
  <c r="F204" i="1" s="1"/>
  <c r="G204" i="1" s="1"/>
  <c r="E354" i="1" l="1"/>
  <c r="B355" i="1" s="1"/>
  <c r="K203" i="1"/>
  <c r="M203" i="1" s="1" a="1"/>
  <c r="M203" i="1" s="1"/>
  <c r="P203" i="1" s="1"/>
  <c r="Q203" i="1" s="1"/>
  <c r="R203" i="1" s="1"/>
  <c r="H204" i="1"/>
  <c r="I204" i="1" s="1"/>
  <c r="L203" i="1" l="1" a="1"/>
  <c r="L203" i="1" s="1"/>
  <c r="V203" i="1" s="1"/>
  <c r="W203" i="1" s="1"/>
  <c r="E355" i="1"/>
  <c r="B356" i="1" s="1"/>
  <c r="T203" i="1"/>
  <c r="U203" i="1" s="1"/>
  <c r="J204" i="1"/>
  <c r="K204" i="1" s="1"/>
  <c r="M204" i="1" l="1" a="1"/>
  <c r="M204" i="1" s="1"/>
  <c r="T204" i="1" s="1"/>
  <c r="U204" i="1" s="1"/>
  <c r="L204" i="1" a="1"/>
  <c r="L204" i="1" s="1"/>
  <c r="V204" i="1" s="1"/>
  <c r="W204" i="1" s="1"/>
  <c r="F205" i="1"/>
  <c r="G205" i="1" s="1"/>
  <c r="H205" i="1" s="1"/>
  <c r="I205" i="1" s="1"/>
  <c r="E356" i="1"/>
  <c r="B357" i="1" s="1"/>
  <c r="P204" i="1" l="1"/>
  <c r="Q204" i="1" s="1"/>
  <c r="R204" i="1" s="1"/>
  <c r="E357" i="1"/>
  <c r="B358" i="1" s="1"/>
  <c r="J205" i="1"/>
  <c r="F206" i="1" l="1"/>
  <c r="G206" i="1" s="1"/>
  <c r="H206" i="1" s="1"/>
  <c r="K205" i="1"/>
  <c r="M205" i="1" s="1" a="1"/>
  <c r="M205" i="1" s="1"/>
  <c r="T205" i="1" s="1"/>
  <c r="U205" i="1" s="1"/>
  <c r="E358" i="1"/>
  <c r="B359" i="1" s="1"/>
  <c r="L205" i="1" l="1" a="1"/>
  <c r="L205" i="1" s="1"/>
  <c r="V205" i="1" s="1"/>
  <c r="W205" i="1" s="1"/>
  <c r="P205" i="1"/>
  <c r="Q205" i="1" s="1"/>
  <c r="R205" i="1" s="1"/>
  <c r="E359" i="1"/>
  <c r="B360" i="1" s="1"/>
  <c r="I206" i="1"/>
  <c r="J206" i="1" s="1"/>
  <c r="K206" i="1" s="1"/>
  <c r="F207" i="1" l="1"/>
  <c r="G207" i="1" s="1"/>
  <c r="H207" i="1" s="1"/>
  <c r="I207" i="1" s="1"/>
  <c r="E360" i="1"/>
  <c r="B361" i="1" s="1"/>
  <c r="E361" i="1" s="1"/>
  <c r="L206" i="1" a="1"/>
  <c r="L206" i="1" s="1"/>
  <c r="V206" i="1" s="1"/>
  <c r="W206" i="1" s="1"/>
  <c r="M206" i="1" a="1"/>
  <c r="M206" i="1" s="1"/>
  <c r="T206" i="1" s="1"/>
  <c r="U206" i="1" s="1"/>
  <c r="P206" i="1" l="1"/>
  <c r="Q206" i="1" s="1"/>
  <c r="R206" i="1" s="1"/>
  <c r="B362" i="1"/>
  <c r="J207" i="1"/>
  <c r="F208" i="1" s="1"/>
  <c r="G208" i="1" s="1"/>
  <c r="K207" i="1" l="1"/>
  <c r="M207" i="1" s="1" a="1"/>
  <c r="M207" i="1" s="1"/>
  <c r="P207" i="1" s="1"/>
  <c r="Q207" i="1" s="1"/>
  <c r="R207" i="1" s="1"/>
  <c r="E362" i="1"/>
  <c r="B363" i="1" s="1"/>
  <c r="H208" i="1"/>
  <c r="L207" i="1" l="1" a="1"/>
  <c r="L207" i="1" s="1"/>
  <c r="V207" i="1" s="1"/>
  <c r="W207" i="1" s="1"/>
  <c r="E363" i="1"/>
  <c r="B364" i="1" s="1"/>
  <c r="T207" i="1"/>
  <c r="U207" i="1" s="1"/>
  <c r="I208" i="1"/>
  <c r="J208" i="1" s="1"/>
  <c r="E364" i="1" l="1"/>
  <c r="B365" i="1" s="1"/>
  <c r="K208" i="1"/>
  <c r="L208" i="1" s="1" a="1"/>
  <c r="L208" i="1" s="1"/>
  <c r="V208" i="1" s="1"/>
  <c r="W208" i="1" s="1"/>
  <c r="F209" i="1"/>
  <c r="G209" i="1" s="1"/>
  <c r="H209" i="1" s="1"/>
  <c r="M208" i="1" l="1" a="1"/>
  <c r="M208" i="1" s="1"/>
  <c r="P208" i="1" s="1"/>
  <c r="Q208" i="1" s="1"/>
  <c r="R208" i="1" s="1"/>
  <c r="E365" i="1"/>
  <c r="B366" i="1" s="1"/>
  <c r="I209" i="1"/>
  <c r="J209" i="1" s="1"/>
  <c r="T208" i="1" l="1"/>
  <c r="U208" i="1" s="1"/>
  <c r="K209" i="1"/>
  <c r="L209" i="1" s="1" a="1"/>
  <c r="L209" i="1" s="1"/>
  <c r="V209" i="1" s="1"/>
  <c r="W209" i="1" s="1"/>
  <c r="E366" i="1"/>
  <c r="B367" i="1" s="1"/>
  <c r="F210" i="1"/>
  <c r="G210" i="1" s="1"/>
  <c r="H210" i="1" s="1"/>
  <c r="M209" i="1" l="1" a="1"/>
  <c r="M209" i="1" s="1"/>
  <c r="P209" i="1" s="1"/>
  <c r="Q209" i="1" s="1"/>
  <c r="R209" i="1" s="1"/>
  <c r="E367" i="1"/>
  <c r="B368" i="1" s="1"/>
  <c r="I210" i="1"/>
  <c r="J210" i="1" s="1"/>
  <c r="T209" i="1" l="1"/>
  <c r="U209" i="1" s="1"/>
  <c r="E368" i="1"/>
  <c r="B369" i="1" s="1"/>
  <c r="K210" i="1"/>
  <c r="M210" i="1" s="1" a="1"/>
  <c r="M210" i="1" s="1"/>
  <c r="P210" i="1" s="1"/>
  <c r="Q210" i="1" s="1"/>
  <c r="R210" i="1" s="1"/>
  <c r="F211" i="1"/>
  <c r="G211" i="1" s="1"/>
  <c r="H211" i="1" s="1"/>
  <c r="L210" i="1" l="1" a="1"/>
  <c r="L210" i="1" s="1"/>
  <c r="V210" i="1" s="1"/>
  <c r="W210" i="1" s="1"/>
  <c r="E369" i="1"/>
  <c r="B370" i="1" s="1"/>
  <c r="T210" i="1"/>
  <c r="U210" i="1" s="1"/>
  <c r="I211" i="1"/>
  <c r="J211" i="1" s="1"/>
  <c r="K211" i="1" s="1"/>
  <c r="M211" i="1" l="1" a="1"/>
  <c r="M211" i="1" s="1"/>
  <c r="T211" i="1" s="1"/>
  <c r="U211" i="1" s="1"/>
  <c r="L211" i="1" a="1"/>
  <c r="L211" i="1" s="1"/>
  <c r="V211" i="1" s="1"/>
  <c r="W211" i="1" s="1"/>
  <c r="E370" i="1"/>
  <c r="B371" i="1" s="1"/>
  <c r="F212" i="1"/>
  <c r="G212" i="1" s="1"/>
  <c r="H212" i="1" s="1"/>
  <c r="P211" i="1" l="1"/>
  <c r="Q211" i="1" s="1"/>
  <c r="R211" i="1" s="1"/>
  <c r="E371" i="1"/>
  <c r="B372" i="1" s="1"/>
  <c r="I212" i="1"/>
  <c r="J212" i="1" s="1"/>
  <c r="K212" i="1" s="1"/>
  <c r="E372" i="1" l="1"/>
  <c r="B373" i="1" s="1"/>
  <c r="M212" i="1" a="1"/>
  <c r="M212" i="1" s="1"/>
  <c r="T212" i="1" s="1"/>
  <c r="U212" i="1" s="1"/>
  <c r="L212" i="1" a="1"/>
  <c r="L212" i="1" s="1"/>
  <c r="V212" i="1" s="1"/>
  <c r="W212" i="1" s="1"/>
  <c r="F213" i="1"/>
  <c r="G213" i="1" s="1"/>
  <c r="H213" i="1" s="1"/>
  <c r="E373" i="1" l="1"/>
  <c r="B374" i="1" s="1"/>
  <c r="P212" i="1"/>
  <c r="Q212" i="1" s="1"/>
  <c r="R212" i="1" s="1"/>
  <c r="I213" i="1"/>
  <c r="J213" i="1" s="1"/>
  <c r="E374" i="1" l="1"/>
  <c r="B375" i="1" s="1"/>
  <c r="K213" i="1"/>
  <c r="M213" i="1" s="1" a="1"/>
  <c r="M213" i="1" s="1"/>
  <c r="T213" i="1" s="1"/>
  <c r="U213" i="1" s="1"/>
  <c r="F214" i="1"/>
  <c r="G214" i="1" s="1"/>
  <c r="H214" i="1" s="1"/>
  <c r="L213" i="1" l="1" a="1"/>
  <c r="L213" i="1" s="1"/>
  <c r="V213" i="1" s="1"/>
  <c r="W213" i="1" s="1"/>
  <c r="P213" i="1"/>
  <c r="Q213" i="1" s="1"/>
  <c r="R213" i="1" s="1"/>
  <c r="E375" i="1"/>
  <c r="B376" i="1" s="1"/>
  <c r="I214" i="1"/>
  <c r="J214" i="1" s="1"/>
  <c r="F215" i="1" s="1"/>
  <c r="G215" i="1" s="1"/>
  <c r="E376" i="1" l="1"/>
  <c r="B377" i="1" s="1"/>
  <c r="K214" i="1"/>
  <c r="M214" i="1" s="1" a="1"/>
  <c r="M214" i="1" s="1"/>
  <c r="P214" i="1" s="1"/>
  <c r="Q214" i="1" s="1"/>
  <c r="R214" i="1" s="1"/>
  <c r="H215" i="1"/>
  <c r="I215" i="1" s="1"/>
  <c r="L214" i="1" l="1" a="1"/>
  <c r="L214" i="1" s="1"/>
  <c r="V214" i="1" s="1"/>
  <c r="W214" i="1" s="1"/>
  <c r="E377" i="1"/>
  <c r="B378" i="1" s="1"/>
  <c r="T214" i="1"/>
  <c r="U214" i="1" s="1"/>
  <c r="J215" i="1"/>
  <c r="F216" i="1" s="1"/>
  <c r="G216" i="1" s="1"/>
  <c r="E378" i="1" l="1"/>
  <c r="B379" i="1" s="1"/>
  <c r="K215" i="1"/>
  <c r="M215" i="1" s="1" a="1"/>
  <c r="M215" i="1" s="1"/>
  <c r="P215" i="1" s="1"/>
  <c r="Q215" i="1" s="1"/>
  <c r="R215" i="1" s="1"/>
  <c r="H216" i="1"/>
  <c r="L215" i="1" l="1" a="1"/>
  <c r="L215" i="1" s="1"/>
  <c r="V215" i="1" s="1"/>
  <c r="W215" i="1" s="1"/>
  <c r="E379" i="1"/>
  <c r="B380" i="1" s="1"/>
  <c r="T215" i="1"/>
  <c r="U215" i="1" s="1"/>
  <c r="I216" i="1"/>
  <c r="J216" i="1" s="1"/>
  <c r="K216" i="1" l="1"/>
  <c r="L216" i="1" s="1" a="1"/>
  <c r="L216" i="1" s="1"/>
  <c r="V216" i="1" s="1"/>
  <c r="W216" i="1" s="1"/>
  <c r="E380" i="1"/>
  <c r="F217" i="1"/>
  <c r="G217" i="1" s="1"/>
  <c r="H217" i="1" s="1"/>
  <c r="M216" i="1" l="1" a="1"/>
  <c r="M216" i="1" s="1"/>
  <c r="P216" i="1" s="1"/>
  <c r="Q216" i="1" s="1"/>
  <c r="R216" i="1" s="1"/>
  <c r="B381" i="1"/>
  <c r="I217" i="1"/>
  <c r="J217" i="1" s="1"/>
  <c r="T216" i="1" l="1"/>
  <c r="U216" i="1" s="1"/>
  <c r="E381" i="1"/>
  <c r="B382" i="1" s="1"/>
  <c r="F218" i="1"/>
  <c r="G218" i="1" s="1"/>
  <c r="H218" i="1" s="1"/>
  <c r="K217" i="1"/>
  <c r="M217" i="1" s="1" a="1"/>
  <c r="M217" i="1" s="1"/>
  <c r="T217" i="1" s="1"/>
  <c r="U217" i="1" s="1"/>
  <c r="L217" i="1" l="1" a="1"/>
  <c r="L217" i="1" s="1"/>
  <c r="V217" i="1" s="1"/>
  <c r="W217" i="1" s="1"/>
  <c r="E382" i="1"/>
  <c r="B383" i="1" s="1"/>
  <c r="P217" i="1"/>
  <c r="Q217" i="1" s="1"/>
  <c r="R217" i="1" s="1"/>
  <c r="I218" i="1"/>
  <c r="J218" i="1" s="1"/>
  <c r="K218" i="1" l="1"/>
  <c r="M218" i="1" s="1" a="1"/>
  <c r="M218" i="1" s="1"/>
  <c r="T218" i="1" s="1"/>
  <c r="U218" i="1" s="1"/>
  <c r="E383" i="1"/>
  <c r="F219" i="1"/>
  <c r="G219" i="1" s="1"/>
  <c r="H219" i="1" s="1"/>
  <c r="L218" i="1" l="1" a="1"/>
  <c r="L218" i="1" s="1"/>
  <c r="V218" i="1" s="1"/>
  <c r="W218" i="1" s="1"/>
  <c r="B384" i="1"/>
  <c r="P218" i="1"/>
  <c r="Q218" i="1" s="1"/>
  <c r="R218" i="1" s="1"/>
  <c r="I219" i="1"/>
  <c r="J219" i="1" s="1"/>
  <c r="F220" i="1" s="1"/>
  <c r="G220" i="1" s="1"/>
  <c r="K219" i="1" l="1"/>
  <c r="M219" i="1" s="1" a="1"/>
  <c r="M219" i="1" s="1"/>
  <c r="P219" i="1" s="1"/>
  <c r="Q219" i="1" s="1"/>
  <c r="R219" i="1" s="1"/>
  <c r="E384" i="1"/>
  <c r="H220" i="1"/>
  <c r="L219" i="1" l="1" a="1"/>
  <c r="L219" i="1" s="1"/>
  <c r="V219" i="1" s="1"/>
  <c r="W219" i="1" s="1"/>
  <c r="T219" i="1"/>
  <c r="U219" i="1" s="1"/>
  <c r="B385" i="1"/>
  <c r="I220" i="1"/>
  <c r="J220" i="1" s="1"/>
  <c r="F221" i="1" l="1"/>
  <c r="G221" i="1" s="1"/>
  <c r="H221" i="1" s="1"/>
  <c r="E385" i="1"/>
  <c r="K220" i="1"/>
  <c r="L220" i="1" s="1" a="1"/>
  <c r="L220" i="1" s="1"/>
  <c r="V220" i="1" s="1"/>
  <c r="W220" i="1" s="1"/>
  <c r="M220" i="1" l="1" a="1"/>
  <c r="M220" i="1" s="1"/>
  <c r="T220" i="1" s="1"/>
  <c r="U220" i="1" s="1"/>
  <c r="B386" i="1"/>
  <c r="I221" i="1"/>
  <c r="J221" i="1" s="1"/>
  <c r="P220" i="1" l="1"/>
  <c r="Q220" i="1" s="1"/>
  <c r="R220" i="1" s="1"/>
  <c r="F222" i="1"/>
  <c r="G222" i="1" s="1"/>
  <c r="H222" i="1" s="1"/>
  <c r="K221" i="1"/>
  <c r="L221" i="1" s="1" a="1"/>
  <c r="L221" i="1" s="1"/>
  <c r="V221" i="1" s="1"/>
  <c r="W221" i="1" s="1"/>
  <c r="E386" i="1"/>
  <c r="M221" i="1" l="1" a="1"/>
  <c r="M221" i="1" s="1"/>
  <c r="T221" i="1" s="1"/>
  <c r="U221" i="1" s="1"/>
  <c r="B387" i="1"/>
  <c r="I222" i="1"/>
  <c r="J222" i="1" s="1"/>
  <c r="F223" i="1" s="1"/>
  <c r="G223" i="1" s="1"/>
  <c r="P221" i="1" l="1"/>
  <c r="Q221" i="1" s="1"/>
  <c r="R221" i="1" s="1"/>
  <c r="K222" i="1"/>
  <c r="L222" i="1" s="1" a="1"/>
  <c r="L222" i="1" s="1"/>
  <c r="V222" i="1" s="1"/>
  <c r="W222" i="1" s="1"/>
  <c r="E387" i="1"/>
  <c r="H223" i="1"/>
  <c r="M222" i="1" l="1" a="1"/>
  <c r="M222" i="1" s="1"/>
  <c r="T222" i="1" s="1"/>
  <c r="U222" i="1" s="1"/>
  <c r="B388" i="1"/>
  <c r="I223" i="1"/>
  <c r="J223" i="1" s="1"/>
  <c r="P222" i="1" l="1"/>
  <c r="Q222" i="1" s="1"/>
  <c r="R222" i="1" s="1"/>
  <c r="K223" i="1"/>
  <c r="L223" i="1" s="1" a="1"/>
  <c r="L223" i="1" s="1"/>
  <c r="V223" i="1" s="1"/>
  <c r="W223" i="1" s="1"/>
  <c r="E388" i="1"/>
  <c r="B389" i="1" s="1"/>
  <c r="F224" i="1"/>
  <c r="G224" i="1" s="1"/>
  <c r="H224" i="1" s="1"/>
  <c r="M223" i="1" l="1" a="1"/>
  <c r="M223" i="1" s="1"/>
  <c r="T223" i="1" s="1"/>
  <c r="U223" i="1" s="1"/>
  <c r="E389" i="1"/>
  <c r="B390" i="1" s="1"/>
  <c r="I224" i="1"/>
  <c r="J224" i="1" s="1"/>
  <c r="P223" i="1" l="1"/>
  <c r="Q223" i="1" s="1"/>
  <c r="R223" i="1" s="1"/>
  <c r="E390" i="1"/>
  <c r="B391" i="1" s="1"/>
  <c r="K224" i="1"/>
  <c r="L224" i="1" s="1" a="1"/>
  <c r="L224" i="1" s="1"/>
  <c r="V224" i="1" s="1"/>
  <c r="W224" i="1" s="1"/>
  <c r="F225" i="1"/>
  <c r="G225" i="1" s="1"/>
  <c r="H225" i="1" s="1"/>
  <c r="M224" i="1" l="1" a="1"/>
  <c r="M224" i="1" s="1"/>
  <c r="P224" i="1" s="1"/>
  <c r="Q224" i="1" s="1"/>
  <c r="R224" i="1" s="1"/>
  <c r="E391" i="1"/>
  <c r="B392" i="1" s="1"/>
  <c r="I225" i="1"/>
  <c r="J225" i="1" s="1"/>
  <c r="T224" i="1" l="1"/>
  <c r="U224" i="1" s="1"/>
  <c r="E392" i="1"/>
  <c r="B393" i="1" s="1"/>
  <c r="K225" i="1"/>
  <c r="M225" i="1" s="1" a="1"/>
  <c r="M225" i="1" s="1"/>
  <c r="P225" i="1" s="1"/>
  <c r="Q225" i="1" s="1"/>
  <c r="R225" i="1" s="1"/>
  <c r="F226" i="1"/>
  <c r="G226" i="1" s="1"/>
  <c r="H226" i="1" s="1"/>
  <c r="L225" i="1" l="1" a="1"/>
  <c r="L225" i="1" s="1"/>
  <c r="V225" i="1" s="1"/>
  <c r="W225" i="1" s="1"/>
  <c r="E393" i="1"/>
  <c r="B394" i="1" s="1"/>
  <c r="T225" i="1"/>
  <c r="U225" i="1" s="1"/>
  <c r="I226" i="1"/>
  <c r="J226" i="1" s="1"/>
  <c r="K226" i="1" l="1"/>
  <c r="M226" i="1" s="1" a="1"/>
  <c r="M226" i="1" s="1"/>
  <c r="P226" i="1" s="1"/>
  <c r="Q226" i="1" s="1"/>
  <c r="R226" i="1" s="1"/>
  <c r="E394" i="1"/>
  <c r="B395" i="1" s="1"/>
  <c r="F227" i="1"/>
  <c r="G227" i="1" s="1"/>
  <c r="H227" i="1" s="1"/>
  <c r="L226" i="1" l="1" a="1"/>
  <c r="L226" i="1" s="1"/>
  <c r="V226" i="1" s="1"/>
  <c r="W226" i="1" s="1"/>
  <c r="T226" i="1"/>
  <c r="U226" i="1" s="1"/>
  <c r="E395" i="1"/>
  <c r="B396" i="1" s="1"/>
  <c r="I227" i="1"/>
  <c r="J227" i="1" s="1"/>
  <c r="F228" i="1" l="1"/>
  <c r="G228" i="1" s="1"/>
  <c r="H228" i="1" s="1"/>
  <c r="E396" i="1"/>
  <c r="B397" i="1" s="1"/>
  <c r="K227" i="1"/>
  <c r="L227" i="1" s="1" a="1"/>
  <c r="L227" i="1" s="1"/>
  <c r="V227" i="1" s="1"/>
  <c r="W227" i="1" s="1"/>
  <c r="M227" i="1" l="1" a="1"/>
  <c r="M227" i="1" s="1"/>
  <c r="T227" i="1" s="1"/>
  <c r="U227" i="1" s="1"/>
  <c r="E397" i="1"/>
  <c r="B398" i="1" s="1"/>
  <c r="I228" i="1"/>
  <c r="J228" i="1" s="1"/>
  <c r="P227" i="1" l="1"/>
  <c r="Q227" i="1" s="1"/>
  <c r="R227" i="1" s="1"/>
  <c r="K228" i="1"/>
  <c r="L228" i="1" s="1" a="1"/>
  <c r="L228" i="1" s="1"/>
  <c r="V228" i="1" s="1"/>
  <c r="W228" i="1" s="1"/>
  <c r="E398" i="1"/>
  <c r="F229" i="1"/>
  <c r="G229" i="1" s="1"/>
  <c r="H229" i="1" s="1"/>
  <c r="M228" i="1" l="1" a="1"/>
  <c r="M228" i="1" s="1"/>
  <c r="P228" i="1" s="1"/>
  <c r="Q228" i="1" s="1"/>
  <c r="R228" i="1" s="1"/>
  <c r="B399" i="1"/>
  <c r="I229" i="1"/>
  <c r="J229" i="1" s="1"/>
  <c r="K229" i="1" s="1"/>
  <c r="T228" i="1" l="1"/>
  <c r="U228" i="1" s="1"/>
  <c r="F230" i="1"/>
  <c r="G230" i="1" s="1"/>
  <c r="H230" i="1" s="1"/>
  <c r="E399" i="1"/>
  <c r="B400" i="1" s="1"/>
  <c r="L229" i="1" a="1"/>
  <c r="L229" i="1" s="1"/>
  <c r="V229" i="1" s="1"/>
  <c r="W229" i="1" s="1"/>
  <c r="M229" i="1" a="1"/>
  <c r="M229" i="1" s="1"/>
  <c r="T229" i="1" s="1"/>
  <c r="U229" i="1" s="1"/>
  <c r="P229" i="1" l="1"/>
  <c r="Q229" i="1" s="1"/>
  <c r="R229" i="1" s="1"/>
  <c r="E400" i="1"/>
  <c r="B401" i="1" s="1"/>
  <c r="I230" i="1"/>
  <c r="J230" i="1" s="1"/>
  <c r="E401" i="1" l="1"/>
  <c r="B402" i="1" s="1"/>
  <c r="K230" i="1"/>
  <c r="M230" i="1" s="1" a="1"/>
  <c r="M230" i="1" s="1"/>
  <c r="T230" i="1" s="1"/>
  <c r="U230" i="1" s="1"/>
  <c r="F231" i="1"/>
  <c r="G231" i="1" s="1"/>
  <c r="H231" i="1" s="1"/>
  <c r="L230" i="1" l="1" a="1"/>
  <c r="L230" i="1" s="1"/>
  <c r="V230" i="1" s="1"/>
  <c r="W230" i="1" s="1"/>
  <c r="E402" i="1"/>
  <c r="B403" i="1" s="1"/>
  <c r="P230" i="1"/>
  <c r="Q230" i="1" s="1"/>
  <c r="R230" i="1" s="1"/>
  <c r="I231" i="1"/>
  <c r="J231" i="1" s="1"/>
  <c r="E403" i="1" l="1"/>
  <c r="B404" i="1" s="1"/>
  <c r="K231" i="1"/>
  <c r="M231" i="1" s="1" a="1"/>
  <c r="M231" i="1" s="1"/>
  <c r="P231" i="1" s="1"/>
  <c r="Q231" i="1" s="1"/>
  <c r="R231" i="1" s="1"/>
  <c r="F232" i="1"/>
  <c r="G232" i="1" s="1"/>
  <c r="H232" i="1" s="1"/>
  <c r="L231" i="1" l="1" a="1"/>
  <c r="L231" i="1" s="1"/>
  <c r="V231" i="1" s="1"/>
  <c r="W231" i="1" s="1"/>
  <c r="T231" i="1"/>
  <c r="U231" i="1" s="1"/>
  <c r="E404" i="1"/>
  <c r="B405" i="1" s="1"/>
  <c r="I232" i="1"/>
  <c r="J232" i="1" s="1"/>
  <c r="K232" i="1" s="1"/>
  <c r="E405" i="1" l="1"/>
  <c r="F233" i="1"/>
  <c r="G233" i="1" s="1"/>
  <c r="H233" i="1" s="1"/>
  <c r="L232" i="1" a="1"/>
  <c r="L232" i="1" s="1"/>
  <c r="V232" i="1" s="1"/>
  <c r="W232" i="1" s="1"/>
  <c r="M232" i="1" a="1"/>
  <c r="M232" i="1" s="1"/>
  <c r="P232" i="1" s="1"/>
  <c r="Q232" i="1" s="1"/>
  <c r="R232" i="1" s="1"/>
  <c r="T232" i="1" l="1"/>
  <c r="U232" i="1" s="1"/>
  <c r="B406" i="1"/>
  <c r="I233" i="1"/>
  <c r="J233" i="1" s="1"/>
  <c r="F234" i="1" s="1"/>
  <c r="G234" i="1" s="1"/>
  <c r="K233" i="1" l="1"/>
  <c r="L233" i="1" s="1" a="1"/>
  <c r="L233" i="1" s="1"/>
  <c r="V233" i="1" s="1"/>
  <c r="W233" i="1" s="1"/>
  <c r="E406" i="1"/>
  <c r="B407" i="1" s="1"/>
  <c r="H234" i="1"/>
  <c r="M233" i="1" l="1" a="1"/>
  <c r="M233" i="1" s="1"/>
  <c r="P233" i="1" s="1"/>
  <c r="Q233" i="1" s="1"/>
  <c r="R233" i="1" s="1"/>
  <c r="E407" i="1"/>
  <c r="B408" i="1" s="1"/>
  <c r="I234" i="1"/>
  <c r="J234" i="1" s="1"/>
  <c r="K234" i="1" s="1"/>
  <c r="T233" i="1" l="1"/>
  <c r="U233" i="1" s="1"/>
  <c r="E408" i="1"/>
  <c r="B409" i="1" s="1"/>
  <c r="M234" i="1" a="1"/>
  <c r="M234" i="1" s="1"/>
  <c r="P234" i="1" s="1"/>
  <c r="Q234" i="1" s="1"/>
  <c r="R234" i="1" s="1"/>
  <c r="L234" i="1" a="1"/>
  <c r="L234" i="1" s="1"/>
  <c r="V234" i="1" s="1"/>
  <c r="W234" i="1" s="1"/>
  <c r="F235" i="1"/>
  <c r="G235" i="1" s="1"/>
  <c r="H235" i="1" s="1"/>
  <c r="E409" i="1" l="1"/>
  <c r="B410" i="1" s="1"/>
  <c r="T234" i="1"/>
  <c r="U234" i="1" s="1"/>
  <c r="I235" i="1"/>
  <c r="J235" i="1" s="1"/>
  <c r="E410" i="1" l="1"/>
  <c r="B411" i="1" s="1"/>
  <c r="F236" i="1"/>
  <c r="G236" i="1" s="1"/>
  <c r="H236" i="1" s="1"/>
  <c r="K235" i="1"/>
  <c r="M235" i="1" s="1" a="1"/>
  <c r="M235" i="1" s="1"/>
  <c r="P235" i="1" s="1"/>
  <c r="Q235" i="1" s="1"/>
  <c r="R235" i="1" s="1"/>
  <c r="L235" i="1" l="1" a="1"/>
  <c r="L235" i="1" s="1"/>
  <c r="V235" i="1" s="1"/>
  <c r="W235" i="1" s="1"/>
  <c r="E411" i="1"/>
  <c r="B412" i="1" s="1"/>
  <c r="T235" i="1"/>
  <c r="U235" i="1" s="1"/>
  <c r="I236" i="1"/>
  <c r="J236" i="1" s="1"/>
  <c r="K236" i="1" s="1"/>
  <c r="E412" i="1" l="1"/>
  <c r="B413" i="1" s="1"/>
  <c r="L236" i="1" a="1"/>
  <c r="L236" i="1" s="1"/>
  <c r="V236" i="1" s="1"/>
  <c r="W236" i="1" s="1"/>
  <c r="M236" i="1" a="1"/>
  <c r="M236" i="1" s="1"/>
  <c r="T236" i="1" s="1"/>
  <c r="U236" i="1" s="1"/>
  <c r="F237" i="1"/>
  <c r="G237" i="1" s="1"/>
  <c r="H237" i="1" s="1"/>
  <c r="P236" i="1" l="1"/>
  <c r="Q236" i="1" s="1"/>
  <c r="R236" i="1" s="1"/>
  <c r="E413" i="1"/>
  <c r="B414" i="1" s="1"/>
  <c r="I237" i="1"/>
  <c r="J237" i="1" s="1"/>
  <c r="E414" i="1" l="1"/>
  <c r="B415" i="1" s="1"/>
  <c r="K237" i="1"/>
  <c r="L237" i="1" s="1" a="1"/>
  <c r="L237" i="1" s="1"/>
  <c r="V237" i="1" s="1"/>
  <c r="W237" i="1" s="1"/>
  <c r="F238" i="1"/>
  <c r="G238" i="1" s="1"/>
  <c r="H238" i="1" s="1"/>
  <c r="M237" i="1" l="1" a="1"/>
  <c r="M237" i="1" s="1"/>
  <c r="T237" i="1" s="1"/>
  <c r="U237" i="1" s="1"/>
  <c r="E415" i="1"/>
  <c r="B416" i="1" s="1"/>
  <c r="I238" i="1"/>
  <c r="J238" i="1" s="1"/>
  <c r="P237" i="1" l="1"/>
  <c r="Q237" i="1" s="1"/>
  <c r="R237" i="1" s="1"/>
  <c r="K238" i="1"/>
  <c r="M238" i="1" s="1" a="1"/>
  <c r="M238" i="1" s="1"/>
  <c r="P238" i="1" s="1"/>
  <c r="Q238" i="1" s="1"/>
  <c r="F239" i="1"/>
  <c r="G239" i="1" s="1"/>
  <c r="H239" i="1" s="1"/>
  <c r="E416" i="1"/>
  <c r="B417" i="1" s="1"/>
  <c r="R238" i="1" l="1"/>
  <c r="L238" i="1" a="1"/>
  <c r="L238" i="1" s="1"/>
  <c r="V238" i="1" s="1"/>
  <c r="W238" i="1" s="1"/>
  <c r="E417" i="1"/>
  <c r="B418" i="1" s="1"/>
  <c r="T238" i="1"/>
  <c r="U238" i="1" s="1"/>
  <c r="I239" i="1"/>
  <c r="J239" i="1" s="1"/>
  <c r="K239" i="1" l="1"/>
  <c r="M239" i="1" s="1" a="1"/>
  <c r="M239" i="1" s="1"/>
  <c r="T239" i="1" s="1"/>
  <c r="U239" i="1" s="1"/>
  <c r="E418" i="1"/>
  <c r="B419" i="1" s="1"/>
  <c r="F240" i="1"/>
  <c r="G240" i="1" s="1"/>
  <c r="H240" i="1" s="1"/>
  <c r="L239" i="1" l="1" a="1"/>
  <c r="L239" i="1" s="1"/>
  <c r="V239" i="1" s="1"/>
  <c r="W239" i="1" s="1"/>
  <c r="E419" i="1"/>
  <c r="B420" i="1" s="1"/>
  <c r="P239" i="1"/>
  <c r="Q239" i="1" s="1"/>
  <c r="R239" i="1" s="1"/>
  <c r="I240" i="1"/>
  <c r="J240" i="1" s="1"/>
  <c r="K240" i="1" l="1"/>
  <c r="M240" i="1" s="1" a="1"/>
  <c r="M240" i="1" s="1"/>
  <c r="P240" i="1" s="1"/>
  <c r="Q240" i="1" s="1"/>
  <c r="R240" i="1" s="1"/>
  <c r="E420" i="1"/>
  <c r="B421" i="1" s="1"/>
  <c r="F241" i="1"/>
  <c r="G241" i="1" s="1"/>
  <c r="H241" i="1" s="1"/>
  <c r="L240" i="1" l="1" a="1"/>
  <c r="L240" i="1" s="1"/>
  <c r="V240" i="1" s="1"/>
  <c r="W240" i="1" s="1"/>
  <c r="E421" i="1"/>
  <c r="B422" i="1" s="1"/>
  <c r="T240" i="1"/>
  <c r="U240" i="1" s="1"/>
  <c r="I241" i="1"/>
  <c r="J241" i="1" s="1"/>
  <c r="E422" i="1" l="1"/>
  <c r="B423" i="1" s="1"/>
  <c r="K241" i="1"/>
  <c r="L241" i="1" s="1" a="1"/>
  <c r="L241" i="1" s="1"/>
  <c r="V241" i="1" s="1"/>
  <c r="W241" i="1" s="1"/>
  <c r="F242" i="1"/>
  <c r="G242" i="1" s="1"/>
  <c r="H242" i="1" s="1"/>
  <c r="M241" i="1" l="1" a="1"/>
  <c r="M241" i="1" s="1"/>
  <c r="T241" i="1" s="1"/>
  <c r="U241" i="1" s="1"/>
  <c r="E423" i="1"/>
  <c r="B424" i="1" s="1"/>
  <c r="I242" i="1"/>
  <c r="J242" i="1" s="1"/>
  <c r="P241" i="1" l="1"/>
  <c r="Q241" i="1" s="1"/>
  <c r="R241" i="1" s="1"/>
  <c r="K242" i="1"/>
  <c r="M242" i="1" s="1" a="1"/>
  <c r="M242" i="1" s="1"/>
  <c r="P242" i="1" s="1"/>
  <c r="Q242" i="1" s="1"/>
  <c r="E424" i="1"/>
  <c r="B425" i="1" s="1"/>
  <c r="F243" i="1"/>
  <c r="G243" i="1" s="1"/>
  <c r="H243" i="1" s="1"/>
  <c r="R242" i="1" l="1"/>
  <c r="L242" i="1" a="1"/>
  <c r="L242" i="1" s="1"/>
  <c r="V242" i="1" s="1"/>
  <c r="W242" i="1" s="1"/>
  <c r="T242" i="1"/>
  <c r="U242" i="1" s="1"/>
  <c r="E425" i="1"/>
  <c r="B426" i="1" s="1"/>
  <c r="I243" i="1"/>
  <c r="J243" i="1" s="1"/>
  <c r="E426" i="1" l="1"/>
  <c r="B427" i="1" s="1"/>
  <c r="F244" i="1"/>
  <c r="G244" i="1" s="1"/>
  <c r="H244" i="1" s="1"/>
  <c r="K243" i="1"/>
  <c r="M243" i="1" s="1" a="1"/>
  <c r="M243" i="1" s="1"/>
  <c r="P243" i="1" s="1"/>
  <c r="Q243" i="1" s="1"/>
  <c r="R243" i="1" s="1"/>
  <c r="L243" i="1" l="1" a="1"/>
  <c r="L243" i="1" s="1"/>
  <c r="V243" i="1" s="1"/>
  <c r="W243" i="1" s="1"/>
  <c r="T243" i="1"/>
  <c r="U243" i="1" s="1"/>
  <c r="E427" i="1"/>
  <c r="B428" i="1" s="1"/>
  <c r="I244" i="1"/>
  <c r="J244" i="1" s="1"/>
  <c r="E428" i="1" l="1"/>
  <c r="B429" i="1" s="1"/>
  <c r="K244" i="1"/>
  <c r="M244" i="1" s="1" a="1"/>
  <c r="M244" i="1" s="1"/>
  <c r="P244" i="1" s="1"/>
  <c r="Q244" i="1" s="1"/>
  <c r="R244" i="1" s="1"/>
  <c r="F245" i="1"/>
  <c r="G245" i="1" s="1"/>
  <c r="H245" i="1" s="1"/>
  <c r="L244" i="1" l="1" a="1"/>
  <c r="L244" i="1" s="1"/>
  <c r="V244" i="1" s="1"/>
  <c r="W244" i="1" s="1"/>
  <c r="E429" i="1"/>
  <c r="B430" i="1" s="1"/>
  <c r="T244" i="1"/>
  <c r="U244" i="1" s="1"/>
  <c r="I245" i="1"/>
  <c r="J245" i="1" s="1"/>
  <c r="K245" i="1" l="1"/>
  <c r="L245" i="1" s="1" a="1"/>
  <c r="L245" i="1" s="1"/>
  <c r="V245" i="1" s="1"/>
  <c r="W245" i="1" s="1"/>
  <c r="E430" i="1"/>
  <c r="B431" i="1" s="1"/>
  <c r="F246" i="1"/>
  <c r="G246" i="1" s="1"/>
  <c r="H246" i="1" s="1"/>
  <c r="M245" i="1" l="1" a="1"/>
  <c r="M245" i="1" s="1"/>
  <c r="P245" i="1" s="1"/>
  <c r="Q245" i="1" s="1"/>
  <c r="R245" i="1" s="1"/>
  <c r="E431" i="1"/>
  <c r="I246" i="1"/>
  <c r="J246" i="1" s="1"/>
  <c r="F247" i="1" s="1"/>
  <c r="G247" i="1" s="1"/>
  <c r="T245" i="1" l="1"/>
  <c r="U245" i="1" s="1"/>
  <c r="K246" i="1"/>
  <c r="L246" i="1" s="1" a="1"/>
  <c r="L246" i="1" s="1"/>
  <c r="V246" i="1" s="1"/>
  <c r="W246" i="1" s="1"/>
  <c r="B432" i="1"/>
  <c r="H247" i="1"/>
  <c r="M246" i="1" l="1" a="1"/>
  <c r="M246" i="1" s="1"/>
  <c r="T246" i="1" s="1"/>
  <c r="U246" i="1" s="1"/>
  <c r="E432" i="1"/>
  <c r="B433" i="1" s="1"/>
  <c r="I247" i="1"/>
  <c r="J247" i="1" s="1"/>
  <c r="P246" i="1" l="1"/>
  <c r="Q246" i="1" s="1"/>
  <c r="R246" i="1" s="1"/>
  <c r="E433" i="1"/>
  <c r="B434" i="1" s="1"/>
  <c r="K247" i="1"/>
  <c r="L247" i="1" a="1"/>
  <c r="L247" i="1" s="1"/>
  <c r="V247" i="1" s="1"/>
  <c r="W247" i="1" s="1"/>
  <c r="M247" i="1" a="1"/>
  <c r="M247" i="1" s="1"/>
  <c r="T247" i="1" s="1"/>
  <c r="U247" i="1" s="1"/>
  <c r="F248" i="1"/>
  <c r="G248" i="1" s="1"/>
  <c r="H248" i="1" s="1"/>
  <c r="P247" i="1" l="1"/>
  <c r="Q247" i="1" s="1"/>
  <c r="R247" i="1" s="1"/>
  <c r="E434" i="1"/>
  <c r="B435" i="1" s="1"/>
  <c r="I248" i="1"/>
  <c r="J248" i="1" s="1"/>
  <c r="K248" i="1" l="1"/>
  <c r="M248" i="1" a="1"/>
  <c r="M248" i="1" s="1"/>
  <c r="P248" i="1" s="1"/>
  <c r="Q248" i="1" s="1"/>
  <c r="R248" i="1" s="1"/>
  <c r="L248" i="1" a="1"/>
  <c r="L248" i="1" s="1"/>
  <c r="V248" i="1" s="1"/>
  <c r="W248" i="1" s="1"/>
  <c r="E435" i="1"/>
  <c r="B436" i="1" s="1"/>
  <c r="F249" i="1"/>
  <c r="G249" i="1" s="1"/>
  <c r="H249" i="1" s="1"/>
  <c r="E436" i="1" l="1"/>
  <c r="B437" i="1" s="1"/>
  <c r="T248" i="1"/>
  <c r="U248" i="1" s="1"/>
  <c r="I249" i="1"/>
  <c r="J249" i="1" s="1"/>
  <c r="E437" i="1" l="1"/>
  <c r="B438" i="1" s="1"/>
  <c r="K249" i="1"/>
  <c r="M249" i="1" a="1"/>
  <c r="M249" i="1" s="1"/>
  <c r="T249" i="1" s="1"/>
  <c r="U249" i="1" s="1"/>
  <c r="L249" i="1" a="1"/>
  <c r="L249" i="1" s="1"/>
  <c r="V249" i="1" s="1"/>
  <c r="W249" i="1" s="1"/>
  <c r="F250" i="1"/>
  <c r="G250" i="1" s="1"/>
  <c r="H250" i="1" s="1"/>
  <c r="E438" i="1" l="1"/>
  <c r="B439" i="1" s="1"/>
  <c r="P249" i="1"/>
  <c r="Q249" i="1" s="1"/>
  <c r="R249" i="1" s="1"/>
  <c r="I250" i="1"/>
  <c r="J250" i="1" s="1"/>
  <c r="F251" i="1" s="1"/>
  <c r="G251" i="1" s="1"/>
  <c r="E439" i="1" l="1"/>
  <c r="B440" i="1" s="1"/>
  <c r="K250" i="1"/>
  <c r="M250" i="1" a="1"/>
  <c r="M250" i="1" s="1"/>
  <c r="T250" i="1" s="1"/>
  <c r="U250" i="1" s="1"/>
  <c r="L250" i="1" a="1"/>
  <c r="L250" i="1" s="1"/>
  <c r="V250" i="1" s="1"/>
  <c r="W250" i="1" s="1"/>
  <c r="H251" i="1"/>
  <c r="P250" i="1" l="1"/>
  <c r="Q250" i="1" s="1"/>
  <c r="R250" i="1" s="1"/>
  <c r="E440" i="1"/>
  <c r="B441" i="1" s="1"/>
  <c r="I251" i="1"/>
  <c r="J251" i="1" s="1"/>
  <c r="F252" i="1" s="1"/>
  <c r="G252" i="1" s="1"/>
  <c r="M251" i="1" l="1" a="1"/>
  <c r="M251" i="1" s="1"/>
  <c r="P251" i="1" s="1"/>
  <c r="Q251" i="1" s="1"/>
  <c r="R251" i="1" s="1"/>
  <c r="L251" i="1" a="1"/>
  <c r="L251" i="1" s="1"/>
  <c r="V251" i="1" s="1"/>
  <c r="W251" i="1" s="1"/>
  <c r="E441" i="1"/>
  <c r="B442" i="1" s="1"/>
  <c r="K251" i="1"/>
  <c r="H252" i="1"/>
  <c r="T251" i="1" l="1"/>
  <c r="U251" i="1" s="1"/>
  <c r="E442" i="1"/>
  <c r="B443" i="1" s="1"/>
  <c r="I252" i="1"/>
  <c r="J252" i="1" s="1"/>
  <c r="E443" i="1" l="1"/>
  <c r="B444" i="1" s="1"/>
  <c r="K252" i="1"/>
  <c r="M252" i="1" a="1"/>
  <c r="M252" i="1" s="1"/>
  <c r="T252" i="1" s="1"/>
  <c r="U252" i="1" s="1"/>
  <c r="L252" i="1" a="1"/>
  <c r="L252" i="1" s="1"/>
  <c r="V252" i="1" s="1"/>
  <c r="W252" i="1" s="1"/>
  <c r="F253" i="1"/>
  <c r="G253" i="1" s="1"/>
  <c r="H253" i="1" s="1"/>
  <c r="E444" i="1" l="1"/>
  <c r="B445" i="1" s="1"/>
  <c r="E445" i="1" s="1"/>
  <c r="P252" i="1"/>
  <c r="Q252" i="1" s="1"/>
  <c r="R252" i="1" s="1"/>
  <c r="I253" i="1"/>
  <c r="J253" i="1" s="1"/>
  <c r="B446" i="1" l="1"/>
  <c r="K253" i="1"/>
  <c r="M253" i="1" a="1"/>
  <c r="M253" i="1" s="1"/>
  <c r="P253" i="1" s="1"/>
  <c r="Q253" i="1" s="1"/>
  <c r="R253" i="1" s="1"/>
  <c r="L253" i="1" a="1"/>
  <c r="L253" i="1" s="1"/>
  <c r="V253" i="1" s="1"/>
  <c r="W253" i="1" s="1"/>
  <c r="F254" i="1"/>
  <c r="G254" i="1" s="1"/>
  <c r="H254" i="1" s="1"/>
  <c r="T253" i="1" l="1"/>
  <c r="U253" i="1" s="1"/>
  <c r="E446" i="1"/>
  <c r="B447" i="1" s="1"/>
  <c r="I254" i="1"/>
  <c r="E447" i="1" l="1"/>
  <c r="B448" i="1" s="1"/>
  <c r="J254" i="1"/>
  <c r="K254" i="1" l="1"/>
  <c r="L254" i="1" a="1"/>
  <c r="L254" i="1" s="1"/>
  <c r="V254" i="1" s="1"/>
  <c r="W254" i="1" s="1"/>
  <c r="M254" i="1" a="1"/>
  <c r="M254" i="1" s="1"/>
  <c r="P254" i="1" s="1"/>
  <c r="Q254" i="1" s="1"/>
  <c r="R254" i="1" s="1"/>
  <c r="E448" i="1"/>
  <c r="B449" i="1" s="1"/>
  <c r="F255" i="1"/>
  <c r="G255" i="1" s="1"/>
  <c r="H255" i="1" s="1"/>
  <c r="E449" i="1" l="1"/>
  <c r="B450" i="1" s="1"/>
  <c r="T254" i="1"/>
  <c r="U254" i="1" s="1"/>
  <c r="I255" i="1"/>
  <c r="J255" i="1" s="1"/>
  <c r="F256" i="1" s="1"/>
  <c r="G256" i="1" s="1"/>
  <c r="H256" i="1" s="1"/>
  <c r="K255" i="1" l="1"/>
  <c r="M255" i="1" a="1"/>
  <c r="M255" i="1" s="1"/>
  <c r="L255" i="1" a="1"/>
  <c r="L255" i="1" s="1"/>
  <c r="V255" i="1" s="1"/>
  <c r="W255" i="1" s="1"/>
  <c r="E450" i="1"/>
  <c r="B451" i="1" s="1"/>
  <c r="I256" i="1"/>
  <c r="J256" i="1" s="1"/>
  <c r="K256" i="1" l="1"/>
  <c r="M256" i="1" a="1"/>
  <c r="M256" i="1" s="1"/>
  <c r="T256" i="1" s="1"/>
  <c r="U256" i="1" s="1"/>
  <c r="L256" i="1" a="1"/>
  <c r="L256" i="1" s="1"/>
  <c r="V256" i="1" s="1"/>
  <c r="W256" i="1" s="1"/>
  <c r="P255" i="1"/>
  <c r="Q255" i="1" s="1"/>
  <c r="R255" i="1" s="1"/>
  <c r="T255" i="1"/>
  <c r="U255" i="1" s="1"/>
  <c r="E451" i="1"/>
  <c r="B452" i="1" s="1"/>
  <c r="F257" i="1"/>
  <c r="G257" i="1" s="1"/>
  <c r="H257" i="1" s="1"/>
  <c r="P256" i="1" l="1"/>
  <c r="Q256" i="1" s="1"/>
  <c r="R256" i="1" s="1"/>
  <c r="E452" i="1"/>
  <c r="B453" i="1" s="1"/>
  <c r="I257" i="1"/>
  <c r="J257" i="1" s="1"/>
  <c r="K257" i="1" l="1"/>
  <c r="M257" i="1" a="1"/>
  <c r="M257" i="1" s="1"/>
  <c r="P257" i="1" s="1"/>
  <c r="Q257" i="1" s="1"/>
  <c r="R257" i="1" s="1"/>
  <c r="L257" i="1" a="1"/>
  <c r="L257" i="1" s="1"/>
  <c r="V257" i="1" s="1"/>
  <c r="W257" i="1" s="1"/>
  <c r="E453" i="1"/>
  <c r="B454" i="1" s="1"/>
  <c r="F258" i="1"/>
  <c r="G258" i="1" s="1"/>
  <c r="H258" i="1" s="1"/>
  <c r="E454" i="1" l="1"/>
  <c r="B455" i="1" s="1"/>
  <c r="T257" i="1"/>
  <c r="U257" i="1" s="1"/>
  <c r="I258" i="1"/>
  <c r="J258" i="1" s="1"/>
  <c r="F259" i="1" l="1"/>
  <c r="G259" i="1" s="1"/>
  <c r="H259" i="1" s="1"/>
  <c r="M258" i="1" a="1"/>
  <c r="M258" i="1" s="1"/>
  <c r="T258" i="1" s="1"/>
  <c r="U258" i="1" s="1"/>
  <c r="L258" i="1" a="1"/>
  <c r="L258" i="1" s="1"/>
  <c r="V258" i="1" s="1"/>
  <c r="W258" i="1" s="1"/>
  <c r="E455" i="1"/>
  <c r="B456" i="1" s="1"/>
  <c r="K258" i="1"/>
  <c r="P258" i="1" l="1"/>
  <c r="Q258" i="1" s="1"/>
  <c r="R258" i="1" s="1"/>
  <c r="E456" i="1"/>
  <c r="B457" i="1" s="1"/>
  <c r="I259" i="1"/>
  <c r="J259" i="1" s="1"/>
  <c r="F260" i="1" s="1"/>
  <c r="G260" i="1" s="1"/>
  <c r="L259" i="1" l="1" a="1"/>
  <c r="L259" i="1" s="1"/>
  <c r="V259" i="1" s="1"/>
  <c r="W259" i="1" s="1"/>
  <c r="M259" i="1" a="1"/>
  <c r="M259" i="1" s="1"/>
  <c r="P259" i="1" s="1"/>
  <c r="Q259" i="1" s="1"/>
  <c r="R259" i="1" s="1"/>
  <c r="K259" i="1"/>
  <c r="E457" i="1"/>
  <c r="B458" i="1" s="1"/>
  <c r="H260" i="1"/>
  <c r="T259" i="1" l="1"/>
  <c r="U259" i="1" s="1"/>
  <c r="E458" i="1"/>
  <c r="B459" i="1" s="1"/>
  <c r="I260" i="1"/>
  <c r="J260" i="1" s="1"/>
  <c r="K260" i="1" l="1"/>
  <c r="M260" i="1" a="1"/>
  <c r="M260" i="1" s="1"/>
  <c r="T260" i="1" s="1"/>
  <c r="U260" i="1" s="1"/>
  <c r="L260" i="1" a="1"/>
  <c r="L260" i="1" s="1"/>
  <c r="V260" i="1" s="1"/>
  <c r="W260" i="1" s="1"/>
  <c r="E459" i="1"/>
  <c r="B460" i="1" s="1"/>
  <c r="F261" i="1"/>
  <c r="G261" i="1" s="1"/>
  <c r="H261" i="1" s="1"/>
  <c r="E460" i="1" l="1"/>
  <c r="B461" i="1" s="1"/>
  <c r="P260" i="1"/>
  <c r="Q260" i="1" s="1"/>
  <c r="R260" i="1" s="1"/>
  <c r="I261" i="1"/>
  <c r="J261" i="1" s="1"/>
  <c r="F262" i="1" s="1"/>
  <c r="G262" i="1" s="1"/>
  <c r="E461" i="1" l="1"/>
  <c r="B462" i="1" s="1"/>
  <c r="K261" i="1"/>
  <c r="M261" i="1" a="1"/>
  <c r="M261" i="1" s="1"/>
  <c r="T261" i="1" s="1"/>
  <c r="U261" i="1" s="1"/>
  <c r="L261" i="1" a="1"/>
  <c r="L261" i="1" s="1"/>
  <c r="V261" i="1" s="1"/>
  <c r="W261" i="1" s="1"/>
  <c r="H262" i="1"/>
  <c r="P261" i="1" l="1"/>
  <c r="Q261" i="1" s="1"/>
  <c r="R261" i="1" s="1"/>
  <c r="E462" i="1"/>
  <c r="B463" i="1" s="1"/>
  <c r="I262" i="1"/>
  <c r="J262" i="1" s="1"/>
  <c r="E463" i="1" l="1"/>
  <c r="B464" i="1" s="1"/>
  <c r="K262" i="1"/>
  <c r="M262" i="1" a="1"/>
  <c r="M262" i="1" s="1"/>
  <c r="P262" i="1" s="1"/>
  <c r="Q262" i="1" s="1"/>
  <c r="R262" i="1" s="1"/>
  <c r="L262" i="1" a="1"/>
  <c r="L262" i="1" s="1"/>
  <c r="V262" i="1" s="1"/>
  <c r="W262" i="1" s="1"/>
  <c r="F263" i="1"/>
  <c r="G263" i="1" s="1"/>
  <c r="H263" i="1" s="1"/>
  <c r="T262" i="1" l="1"/>
  <c r="U262" i="1" s="1"/>
  <c r="E464" i="1"/>
  <c r="B465" i="1" s="1"/>
  <c r="I263" i="1"/>
  <c r="J263" i="1" s="1"/>
  <c r="F264" i="1" s="1"/>
  <c r="G264" i="1" s="1"/>
  <c r="E465" i="1" l="1"/>
  <c r="B466" i="1" s="1"/>
  <c r="K263" i="1"/>
  <c r="M263" i="1" a="1"/>
  <c r="M263" i="1" s="1"/>
  <c r="P263" i="1" s="1"/>
  <c r="Q263" i="1" s="1"/>
  <c r="R263" i="1" s="1"/>
  <c r="L263" i="1" a="1"/>
  <c r="L263" i="1" s="1"/>
  <c r="V263" i="1" s="1"/>
  <c r="W263" i="1" s="1"/>
  <c r="H264" i="1"/>
  <c r="T263" i="1" l="1"/>
  <c r="U263" i="1" s="1"/>
  <c r="E466" i="1"/>
  <c r="B467" i="1" s="1"/>
  <c r="I264" i="1"/>
  <c r="J264" i="1" s="1"/>
  <c r="F265" i="1" s="1"/>
  <c r="G265" i="1" s="1"/>
  <c r="E467" i="1" l="1"/>
  <c r="B468" i="1" s="1"/>
  <c r="K264" i="1"/>
  <c r="M264" i="1" a="1"/>
  <c r="M264" i="1" s="1"/>
  <c r="P264" i="1" s="1"/>
  <c r="Q264" i="1" s="1"/>
  <c r="R264" i="1" s="1"/>
  <c r="L264" i="1" a="1"/>
  <c r="L264" i="1" s="1"/>
  <c r="V264" i="1" s="1"/>
  <c r="W264" i="1" s="1"/>
  <c r="H265" i="1"/>
  <c r="E468" i="1" l="1"/>
  <c r="B469" i="1" s="1"/>
  <c r="T264" i="1"/>
  <c r="U264" i="1" s="1"/>
  <c r="I265" i="1"/>
  <c r="J265" i="1" s="1"/>
  <c r="K265" i="1" l="1"/>
  <c r="M265" i="1" a="1"/>
  <c r="M265" i="1" s="1"/>
  <c r="T265" i="1" s="1"/>
  <c r="U265" i="1" s="1"/>
  <c r="L265" i="1" a="1"/>
  <c r="L265" i="1" s="1"/>
  <c r="V265" i="1" s="1"/>
  <c r="W265" i="1" s="1"/>
  <c r="E469" i="1"/>
  <c r="B470" i="1" s="1"/>
  <c r="F266" i="1"/>
  <c r="G266" i="1" s="1"/>
  <c r="H266" i="1" s="1"/>
  <c r="P265" i="1" l="1"/>
  <c r="Q265" i="1" s="1"/>
  <c r="R265" i="1" s="1"/>
  <c r="E470" i="1"/>
  <c r="B471" i="1" s="1"/>
  <c r="I266" i="1"/>
  <c r="J266" i="1" s="1"/>
  <c r="F267" i="1" l="1"/>
  <c r="G267" i="1" s="1"/>
  <c r="H267" i="1" s="1"/>
  <c r="M266" i="1" a="1"/>
  <c r="M266" i="1" s="1"/>
  <c r="P266" i="1" s="1"/>
  <c r="Q266" i="1" s="1"/>
  <c r="R266" i="1" s="1"/>
  <c r="L266" i="1" a="1"/>
  <c r="L266" i="1" s="1"/>
  <c r="V266" i="1" s="1"/>
  <c r="W266" i="1" s="1"/>
  <c r="K266" i="1"/>
  <c r="E471" i="1"/>
  <c r="B472" i="1" s="1"/>
  <c r="T266" i="1" l="1"/>
  <c r="U266" i="1" s="1"/>
  <c r="E472" i="1"/>
  <c r="B473" i="1" s="1"/>
  <c r="I267" i="1"/>
  <c r="J267" i="1" s="1"/>
  <c r="F268" i="1" s="1"/>
  <c r="G268" i="1" s="1"/>
  <c r="K267" i="1" l="1"/>
  <c r="M267" i="1" a="1"/>
  <c r="M267" i="1" s="1"/>
  <c r="T267" i="1" s="1"/>
  <c r="U267" i="1" s="1"/>
  <c r="L267" i="1" a="1"/>
  <c r="L267" i="1" s="1"/>
  <c r="V267" i="1" s="1"/>
  <c r="W267" i="1" s="1"/>
  <c r="E473" i="1"/>
  <c r="B474" i="1" s="1"/>
  <c r="H268" i="1"/>
  <c r="P267" i="1" l="1"/>
  <c r="Q267" i="1" s="1"/>
  <c r="R267" i="1" s="1"/>
  <c r="E474" i="1"/>
  <c r="B475" i="1" s="1"/>
  <c r="I268" i="1"/>
  <c r="J268" i="1" s="1"/>
  <c r="K268" i="1" s="1"/>
  <c r="F269" i="1" l="1"/>
  <c r="G269" i="1" s="1"/>
  <c r="H269" i="1" s="1"/>
  <c r="E475" i="1"/>
  <c r="B476" i="1" s="1"/>
  <c r="M268" i="1" a="1"/>
  <c r="M268" i="1" s="1"/>
  <c r="P268" i="1" s="1"/>
  <c r="Q268" i="1" s="1"/>
  <c r="R268" i="1" s="1"/>
  <c r="L268" i="1" a="1"/>
  <c r="L268" i="1" s="1"/>
  <c r="V268" i="1" s="1"/>
  <c r="W268" i="1" s="1"/>
  <c r="E476" i="1" l="1"/>
  <c r="B477" i="1" s="1"/>
  <c r="T268" i="1"/>
  <c r="U268" i="1" s="1"/>
  <c r="I269" i="1"/>
  <c r="J269" i="1" s="1"/>
  <c r="K269" i="1" l="1"/>
  <c r="M269" i="1" a="1"/>
  <c r="M269" i="1" s="1"/>
  <c r="T269" i="1" s="1"/>
  <c r="U269" i="1" s="1"/>
  <c r="L269" i="1" a="1"/>
  <c r="L269" i="1" s="1"/>
  <c r="V269" i="1" s="1"/>
  <c r="W269" i="1" s="1"/>
  <c r="E477" i="1"/>
  <c r="B478" i="1" s="1"/>
  <c r="F270" i="1"/>
  <c r="G270" i="1" s="1"/>
  <c r="H270" i="1" s="1"/>
  <c r="E478" i="1" l="1"/>
  <c r="P269" i="1"/>
  <c r="Q269" i="1" s="1"/>
  <c r="R269" i="1" s="1"/>
  <c r="I270" i="1"/>
  <c r="J270" i="1" s="1"/>
  <c r="K270" i="1" l="1"/>
  <c r="M270" i="1" a="1"/>
  <c r="M270" i="1" s="1"/>
  <c r="P270" i="1" s="1"/>
  <c r="Q270" i="1" s="1"/>
  <c r="R270" i="1" s="1"/>
  <c r="L270" i="1" a="1"/>
  <c r="L270" i="1" s="1"/>
  <c r="V270" i="1" s="1"/>
  <c r="W270" i="1" s="1"/>
  <c r="B479" i="1"/>
  <c r="F271" i="1"/>
  <c r="G271" i="1" s="1"/>
  <c r="H271" i="1" s="1"/>
  <c r="T270" i="1" l="1"/>
  <c r="U270" i="1" s="1"/>
  <c r="E479" i="1"/>
  <c r="B480" i="1" s="1"/>
  <c r="I271" i="1"/>
  <c r="J271" i="1" s="1"/>
  <c r="E480" i="1" l="1"/>
  <c r="B481" i="1" s="1"/>
  <c r="F272" i="1"/>
  <c r="G272" i="1" s="1"/>
  <c r="H272" i="1" s="1"/>
  <c r="L271" i="1" a="1"/>
  <c r="L271" i="1" s="1"/>
  <c r="V271" i="1" s="1"/>
  <c r="W271" i="1" s="1"/>
  <c r="M271" i="1" a="1"/>
  <c r="M271" i="1" s="1"/>
  <c r="T271" i="1" s="1"/>
  <c r="U271" i="1" s="1"/>
  <c r="K271" i="1"/>
  <c r="E481" i="1" l="1"/>
  <c r="B482" i="1" s="1"/>
  <c r="P271" i="1"/>
  <c r="Q271" i="1" s="1"/>
  <c r="R271" i="1" s="1"/>
  <c r="I272" i="1"/>
  <c r="J272" i="1" s="1"/>
  <c r="K272" i="1" s="1"/>
  <c r="M272" i="1" l="1" a="1"/>
  <c r="M272" i="1" s="1"/>
  <c r="P272" i="1" s="1"/>
  <c r="Q272" i="1" s="1"/>
  <c r="R272" i="1" s="1"/>
  <c r="L272" i="1" a="1"/>
  <c r="L272" i="1" s="1"/>
  <c r="V272" i="1" s="1"/>
  <c r="W272" i="1" s="1"/>
  <c r="E482" i="1"/>
  <c r="B483" i="1" s="1"/>
  <c r="F273" i="1"/>
  <c r="G273" i="1" s="1"/>
  <c r="H273" i="1" s="1"/>
  <c r="T272" i="1" l="1"/>
  <c r="U272" i="1" s="1"/>
  <c r="E483" i="1"/>
  <c r="B484" i="1" s="1"/>
  <c r="I273" i="1"/>
  <c r="J273" i="1" s="1"/>
  <c r="K273" i="1" l="1"/>
  <c r="L273" i="1" a="1"/>
  <c r="L273" i="1" s="1"/>
  <c r="V273" i="1" s="1"/>
  <c r="W273" i="1" s="1"/>
  <c r="M273" i="1" a="1"/>
  <c r="M273" i="1" s="1"/>
  <c r="T273" i="1" s="1"/>
  <c r="U273" i="1" s="1"/>
  <c r="E484" i="1"/>
  <c r="B485" i="1" s="1"/>
  <c r="F274" i="1"/>
  <c r="G274" i="1" s="1"/>
  <c r="H274" i="1" s="1"/>
  <c r="P273" i="1" l="1"/>
  <c r="Q273" i="1" s="1"/>
  <c r="R273" i="1" s="1"/>
  <c r="E485" i="1"/>
  <c r="B486" i="1" s="1"/>
  <c r="I274" i="1"/>
  <c r="J274" i="1" s="1"/>
  <c r="K274" i="1" s="1"/>
  <c r="F275" i="1" l="1"/>
  <c r="G275" i="1" s="1"/>
  <c r="H275" i="1" s="1"/>
  <c r="E486" i="1"/>
  <c r="B487" i="1" s="1"/>
  <c r="M274" i="1" a="1"/>
  <c r="M274" i="1" s="1"/>
  <c r="P274" i="1" s="1"/>
  <c r="Q274" i="1" s="1"/>
  <c r="R274" i="1" s="1"/>
  <c r="L274" i="1" a="1"/>
  <c r="L274" i="1" s="1"/>
  <c r="V274" i="1" s="1"/>
  <c r="W274" i="1" s="1"/>
  <c r="E487" i="1" l="1"/>
  <c r="B488" i="1" s="1"/>
  <c r="T274" i="1"/>
  <c r="U274" i="1" s="1"/>
  <c r="I275" i="1"/>
  <c r="J275" i="1" s="1"/>
  <c r="F276" i="1" s="1"/>
  <c r="G276" i="1" s="1"/>
  <c r="K275" i="1" l="1"/>
  <c r="M275" i="1" a="1"/>
  <c r="M275" i="1" s="1"/>
  <c r="P275" i="1" s="1"/>
  <c r="Q275" i="1" s="1"/>
  <c r="R275" i="1" s="1"/>
  <c r="L275" i="1" a="1"/>
  <c r="L275" i="1" s="1"/>
  <c r="V275" i="1" s="1"/>
  <c r="W275" i="1" s="1"/>
  <c r="E488" i="1"/>
  <c r="B489" i="1" s="1"/>
  <c r="H276" i="1"/>
  <c r="T275" i="1" l="1"/>
  <c r="U275" i="1" s="1"/>
  <c r="E489" i="1"/>
  <c r="I276" i="1"/>
  <c r="J276" i="1" s="1"/>
  <c r="F277" i="1" l="1"/>
  <c r="G277" i="1" s="1"/>
  <c r="H277" i="1" s="1"/>
  <c r="I277" i="1" s="1"/>
  <c r="M276" i="1" a="1"/>
  <c r="M276" i="1" s="1"/>
  <c r="P276" i="1" s="1"/>
  <c r="Q276" i="1" s="1"/>
  <c r="R276" i="1" s="1"/>
  <c r="L276" i="1" a="1"/>
  <c r="L276" i="1" s="1"/>
  <c r="V276" i="1" s="1"/>
  <c r="W276" i="1" s="1"/>
  <c r="B490" i="1"/>
  <c r="K276" i="1"/>
  <c r="E490" i="1" l="1"/>
  <c r="B491" i="1" s="1"/>
  <c r="T276" i="1"/>
  <c r="U276" i="1" s="1"/>
  <c r="J277" i="1"/>
  <c r="E491" i="1" l="1"/>
  <c r="B492" i="1" s="1"/>
  <c r="M277" i="1" a="1"/>
  <c r="M277" i="1" s="1"/>
  <c r="T277" i="1" s="1"/>
  <c r="U277" i="1" s="1"/>
  <c r="L277" i="1" a="1"/>
  <c r="L277" i="1" s="1"/>
  <c r="V277" i="1" s="1"/>
  <c r="W277" i="1" s="1"/>
  <c r="F278" i="1"/>
  <c r="G278" i="1" s="1"/>
  <c r="H278" i="1" s="1"/>
  <c r="K277" i="1"/>
  <c r="E492" i="1" l="1"/>
  <c r="B493" i="1" s="1"/>
  <c r="P277" i="1"/>
  <c r="Q277" i="1" s="1"/>
  <c r="R277" i="1" s="1"/>
  <c r="I278" i="1"/>
  <c r="J278" i="1" s="1"/>
  <c r="E493" i="1" l="1"/>
  <c r="B494" i="1" s="1"/>
  <c r="K278" i="1"/>
  <c r="L278" i="1" a="1"/>
  <c r="L278" i="1" s="1"/>
  <c r="V278" i="1" s="1"/>
  <c r="W278" i="1" s="1"/>
  <c r="M278" i="1" a="1"/>
  <c r="M278" i="1" s="1"/>
  <c r="P278" i="1" s="1"/>
  <c r="Q278" i="1" s="1"/>
  <c r="R278" i="1" s="1"/>
  <c r="F279" i="1"/>
  <c r="G279" i="1" s="1"/>
  <c r="H279" i="1" s="1"/>
  <c r="E494" i="1" l="1"/>
  <c r="B495" i="1" s="1"/>
  <c r="T278" i="1"/>
  <c r="U278" i="1" s="1"/>
  <c r="I279" i="1"/>
  <c r="J279" i="1" s="1"/>
  <c r="M279" i="1" l="1" a="1"/>
  <c r="M279" i="1" s="1"/>
  <c r="P279" i="1" s="1"/>
  <c r="Q279" i="1" s="1"/>
  <c r="R279" i="1" s="1"/>
  <c r="L279" i="1" a="1"/>
  <c r="L279" i="1" s="1"/>
  <c r="V279" i="1" s="1"/>
  <c r="W279" i="1" s="1"/>
  <c r="K279" i="1"/>
  <c r="E495" i="1"/>
  <c r="B496" i="1" s="1"/>
  <c r="F280" i="1"/>
  <c r="G280" i="1" s="1"/>
  <c r="H280" i="1" s="1"/>
  <c r="T279" i="1" l="1"/>
  <c r="U279" i="1" s="1"/>
  <c r="E496" i="1"/>
  <c r="I280" i="1"/>
  <c r="J280" i="1" s="1"/>
  <c r="F281" i="1" l="1"/>
  <c r="G281" i="1" s="1"/>
  <c r="H281" i="1" s="1"/>
  <c r="L280" i="1" a="1"/>
  <c r="L280" i="1" s="1"/>
  <c r="V280" i="1" s="1"/>
  <c r="W280" i="1" s="1"/>
  <c r="M280" i="1" a="1"/>
  <c r="M280" i="1" s="1"/>
  <c r="P280" i="1" s="1"/>
  <c r="Q280" i="1" s="1"/>
  <c r="R280" i="1" s="1"/>
  <c r="B497" i="1"/>
  <c r="E497" i="1" s="1"/>
  <c r="K280" i="1"/>
  <c r="B498" i="1" l="1"/>
  <c r="T280" i="1"/>
  <c r="U280" i="1" s="1"/>
  <c r="I281" i="1"/>
  <c r="J281" i="1" s="1"/>
  <c r="K281" i="1" l="1"/>
  <c r="M281" i="1" a="1"/>
  <c r="M281" i="1" s="1"/>
  <c r="T281" i="1" s="1"/>
  <c r="U281" i="1" s="1"/>
  <c r="L281" i="1" a="1"/>
  <c r="L281" i="1" s="1"/>
  <c r="V281" i="1" s="1"/>
  <c r="W281" i="1" s="1"/>
  <c r="F282" i="1"/>
  <c r="G282" i="1" s="1"/>
  <c r="H282" i="1" s="1"/>
  <c r="E498" i="1"/>
  <c r="B499" i="1" s="1"/>
  <c r="E499" i="1" l="1"/>
  <c r="B500" i="1" s="1"/>
  <c r="P281" i="1"/>
  <c r="Q281" i="1" s="1"/>
  <c r="R281" i="1" s="1"/>
  <c r="I282" i="1"/>
  <c r="J282" i="1" s="1"/>
  <c r="K282" i="1" s="1"/>
  <c r="E500" i="1" l="1"/>
  <c r="B501" i="1" s="1"/>
  <c r="E501" i="1" s="1"/>
  <c r="L282" i="1" a="1"/>
  <c r="L282" i="1" s="1"/>
  <c r="V282" i="1" s="1"/>
  <c r="W282" i="1" s="1"/>
  <c r="M282" i="1" a="1"/>
  <c r="M282" i="1" s="1"/>
  <c r="T282" i="1" s="1"/>
  <c r="U282" i="1" s="1"/>
  <c r="F283" i="1"/>
  <c r="G283" i="1" s="1"/>
  <c r="H283" i="1" s="1"/>
  <c r="P282" i="1" l="1"/>
  <c r="Q282" i="1" s="1"/>
  <c r="R282" i="1" s="1"/>
  <c r="B502" i="1"/>
  <c r="I283" i="1"/>
  <c r="J283" i="1" s="1"/>
  <c r="K283" i="1" l="1"/>
  <c r="M283" i="1" a="1"/>
  <c r="M283" i="1" s="1"/>
  <c r="P283" i="1" s="1"/>
  <c r="Q283" i="1" s="1"/>
  <c r="R283" i="1" s="1"/>
  <c r="L283" i="1" a="1"/>
  <c r="L283" i="1" s="1"/>
  <c r="V283" i="1" s="1"/>
  <c r="W283" i="1" s="1"/>
  <c r="E502" i="1"/>
  <c r="B503" i="1" s="1"/>
  <c r="F284" i="1"/>
  <c r="G284" i="1" s="1"/>
  <c r="H284" i="1" s="1"/>
  <c r="E503" i="1" l="1"/>
  <c r="T283" i="1"/>
  <c r="U283" i="1" s="1"/>
  <c r="I284" i="1"/>
  <c r="J284" i="1" s="1"/>
  <c r="F285" i="1" l="1"/>
  <c r="G285" i="1" s="1"/>
  <c r="H285" i="1" s="1"/>
  <c r="I285" i="1" s="1"/>
  <c r="M284" i="1" a="1"/>
  <c r="M284" i="1" s="1"/>
  <c r="P284" i="1" s="1"/>
  <c r="Q284" i="1" s="1"/>
  <c r="R284" i="1" s="1"/>
  <c r="L284" i="1" a="1"/>
  <c r="L284" i="1" s="1"/>
  <c r="V284" i="1" s="1"/>
  <c r="W284" i="1" s="1"/>
  <c r="B504" i="1"/>
  <c r="K284" i="1"/>
  <c r="T284" i="1" l="1"/>
  <c r="U284" i="1" s="1"/>
  <c r="E504" i="1"/>
  <c r="B505" i="1" s="1"/>
  <c r="J285" i="1"/>
  <c r="K285" i="1" s="1"/>
  <c r="F286" i="1" l="1"/>
  <c r="G286" i="1" s="1"/>
  <c r="H286" i="1" s="1"/>
  <c r="M285" i="1" a="1"/>
  <c r="M285" i="1" s="1"/>
  <c r="P285" i="1" s="1"/>
  <c r="Q285" i="1" s="1"/>
  <c r="R285" i="1" s="1"/>
  <c r="L285" i="1" a="1"/>
  <c r="L285" i="1" s="1"/>
  <c r="V285" i="1" s="1"/>
  <c r="W285" i="1" s="1"/>
  <c r="E505" i="1"/>
  <c r="B506" i="1" s="1"/>
  <c r="E506" i="1" l="1"/>
  <c r="T285" i="1"/>
  <c r="U285" i="1" s="1"/>
  <c r="I286" i="1"/>
  <c r="J286" i="1" s="1"/>
  <c r="K286" i="1" l="1"/>
  <c r="M286" i="1" a="1"/>
  <c r="M286" i="1" s="1"/>
  <c r="P286" i="1" s="1"/>
  <c r="Q286" i="1" s="1"/>
  <c r="R286" i="1" s="1"/>
  <c r="L286" i="1" a="1"/>
  <c r="L286" i="1" s="1"/>
  <c r="V286" i="1" s="1"/>
  <c r="W286" i="1" s="1"/>
  <c r="B507" i="1"/>
  <c r="F287" i="1"/>
  <c r="G287" i="1" s="1"/>
  <c r="H287" i="1" s="1"/>
  <c r="E507" i="1" l="1"/>
  <c r="B508" i="1" s="1"/>
  <c r="T286" i="1"/>
  <c r="U286" i="1" s="1"/>
  <c r="I287" i="1"/>
  <c r="J287" i="1" s="1"/>
  <c r="K287" i="1" l="1"/>
  <c r="L287" i="1" a="1"/>
  <c r="L287" i="1" s="1"/>
  <c r="V287" i="1" s="1"/>
  <c r="W287" i="1" s="1"/>
  <c r="M287" i="1" a="1"/>
  <c r="M287" i="1" s="1"/>
  <c r="T287" i="1" s="1"/>
  <c r="U287" i="1" s="1"/>
  <c r="E508" i="1"/>
  <c r="B509" i="1" s="1"/>
  <c r="F288" i="1"/>
  <c r="G288" i="1" s="1"/>
  <c r="H288" i="1" s="1"/>
  <c r="P287" i="1" l="1"/>
  <c r="Q287" i="1" s="1"/>
  <c r="R287" i="1" s="1"/>
  <c r="E509" i="1"/>
  <c r="B510" i="1" s="1"/>
  <c r="I288" i="1"/>
  <c r="J288" i="1" s="1"/>
  <c r="M288" i="1" l="1" a="1"/>
  <c r="M288" i="1" s="1"/>
  <c r="T288" i="1" s="1"/>
  <c r="U288" i="1" s="1"/>
  <c r="L288" i="1" a="1"/>
  <c r="L288" i="1" s="1"/>
  <c r="V288" i="1" s="1"/>
  <c r="W288" i="1" s="1"/>
  <c r="F289" i="1"/>
  <c r="G289" i="1" s="1"/>
  <c r="H289" i="1" s="1"/>
  <c r="E510" i="1"/>
  <c r="B511" i="1" s="1"/>
  <c r="K288" i="1"/>
  <c r="P288" i="1" l="1"/>
  <c r="Q288" i="1" s="1"/>
  <c r="R288" i="1" s="1"/>
  <c r="E511" i="1"/>
  <c r="I289" i="1"/>
  <c r="J289" i="1" s="1"/>
  <c r="F290" i="1" s="1"/>
  <c r="G290" i="1" s="1"/>
  <c r="K289" i="1" l="1"/>
  <c r="L289" i="1" a="1"/>
  <c r="L289" i="1" s="1"/>
  <c r="V289" i="1" s="1"/>
  <c r="W289" i="1" s="1"/>
  <c r="M289" i="1" a="1"/>
  <c r="M289" i="1" s="1"/>
  <c r="P289" i="1" s="1"/>
  <c r="Q289" i="1" s="1"/>
  <c r="R289" i="1" s="1"/>
  <c r="B512" i="1"/>
  <c r="H290" i="1"/>
  <c r="E512" i="1" l="1"/>
  <c r="B513" i="1" s="1"/>
  <c r="T289" i="1"/>
  <c r="U289" i="1" s="1"/>
  <c r="I290" i="1"/>
  <c r="J290" i="1" s="1"/>
  <c r="K290" i="1" l="1"/>
  <c r="M290" i="1" a="1"/>
  <c r="M290" i="1" s="1"/>
  <c r="T290" i="1" s="1"/>
  <c r="U290" i="1" s="1"/>
  <c r="L290" i="1" a="1"/>
  <c r="L290" i="1" s="1"/>
  <c r="V290" i="1" s="1"/>
  <c r="W290" i="1" s="1"/>
  <c r="E513" i="1"/>
  <c r="B514" i="1" s="1"/>
  <c r="F291" i="1"/>
  <c r="G291" i="1" s="1"/>
  <c r="H291" i="1" s="1"/>
  <c r="P290" i="1" l="1"/>
  <c r="Q290" i="1" s="1"/>
  <c r="R290" i="1" s="1"/>
  <c r="E514" i="1"/>
  <c r="B515" i="1" s="1"/>
  <c r="I291" i="1"/>
  <c r="J291" i="1" s="1"/>
  <c r="F292" i="1" s="1"/>
  <c r="G292" i="1" s="1"/>
  <c r="E515" i="1" l="1"/>
  <c r="B516" i="1" s="1"/>
  <c r="K291" i="1"/>
  <c r="L291" i="1" a="1"/>
  <c r="L291" i="1" s="1"/>
  <c r="V291" i="1" s="1"/>
  <c r="W291" i="1" s="1"/>
  <c r="M291" i="1" a="1"/>
  <c r="M291" i="1" s="1"/>
  <c r="T291" i="1" s="1"/>
  <c r="U291" i="1" s="1"/>
  <c r="H292" i="1"/>
  <c r="E516" i="1" l="1"/>
  <c r="B517" i="1" s="1"/>
  <c r="P291" i="1"/>
  <c r="Q291" i="1" s="1"/>
  <c r="R291" i="1" s="1"/>
  <c r="I292" i="1"/>
  <c r="J292" i="1" s="1"/>
  <c r="E517" i="1" l="1"/>
  <c r="B518" i="1" s="1"/>
  <c r="K292" i="1"/>
  <c r="L292" i="1" a="1"/>
  <c r="L292" i="1" s="1"/>
  <c r="V292" i="1" s="1"/>
  <c r="W292" i="1" s="1"/>
  <c r="M292" i="1" a="1"/>
  <c r="M292" i="1" s="1"/>
  <c r="P292" i="1" s="1"/>
  <c r="Q292" i="1" s="1"/>
  <c r="R292" i="1" s="1"/>
  <c r="F293" i="1"/>
  <c r="G293" i="1" s="1"/>
  <c r="H293" i="1" s="1"/>
  <c r="E518" i="1" l="1"/>
  <c r="B519" i="1" s="1"/>
  <c r="T292" i="1"/>
  <c r="U292" i="1" s="1"/>
  <c r="I293" i="1"/>
  <c r="J293" i="1" s="1"/>
  <c r="M293" i="1" l="1" a="1"/>
  <c r="M293" i="1" s="1"/>
  <c r="P293" i="1" s="1"/>
  <c r="Q293" i="1" s="1"/>
  <c r="R293" i="1" s="1"/>
  <c r="L293" i="1" a="1"/>
  <c r="L293" i="1" s="1"/>
  <c r="V293" i="1" s="1"/>
  <c r="W293" i="1" s="1"/>
  <c r="K293" i="1"/>
  <c r="E519" i="1"/>
  <c r="B520" i="1" s="1"/>
  <c r="F294" i="1"/>
  <c r="G294" i="1" s="1"/>
  <c r="H294" i="1" s="1"/>
  <c r="T293" i="1" l="1"/>
  <c r="U293" i="1" s="1"/>
  <c r="E520" i="1"/>
  <c r="B521" i="1" s="1"/>
  <c r="I294" i="1"/>
  <c r="J294" i="1" s="1"/>
  <c r="F295" i="1" s="1"/>
  <c r="G295" i="1" s="1"/>
  <c r="E521" i="1" l="1"/>
  <c r="B522" i="1" s="1"/>
  <c r="K294" i="1"/>
  <c r="L294" i="1" a="1"/>
  <c r="L294" i="1" s="1"/>
  <c r="V294" i="1" s="1"/>
  <c r="W294" i="1" s="1"/>
  <c r="M294" i="1" a="1"/>
  <c r="M294" i="1" s="1"/>
  <c r="T294" i="1" s="1"/>
  <c r="U294" i="1" s="1"/>
  <c r="H295" i="1"/>
  <c r="P294" i="1" l="1"/>
  <c r="Q294" i="1" s="1"/>
  <c r="R294" i="1" s="1"/>
  <c r="E522" i="1"/>
  <c r="B523" i="1" s="1"/>
  <c r="I295" i="1"/>
  <c r="J295" i="1" s="1"/>
  <c r="F296" i="1" l="1"/>
  <c r="G296" i="1" s="1"/>
  <c r="H296" i="1" s="1"/>
  <c r="M295" i="1" a="1"/>
  <c r="M295" i="1" s="1"/>
  <c r="P295" i="1" s="1"/>
  <c r="Q295" i="1" s="1"/>
  <c r="R295" i="1" s="1"/>
  <c r="L295" i="1" a="1"/>
  <c r="L295" i="1" s="1"/>
  <c r="V295" i="1" s="1"/>
  <c r="W295" i="1" s="1"/>
  <c r="E523" i="1"/>
  <c r="B524" i="1" s="1"/>
  <c r="K295" i="1"/>
  <c r="T295" i="1" l="1"/>
  <c r="U295" i="1" s="1"/>
  <c r="E524" i="1"/>
  <c r="B525" i="1" s="1"/>
  <c r="I296" i="1"/>
  <c r="J296" i="1" s="1"/>
  <c r="F297" i="1" s="1"/>
  <c r="G297" i="1" s="1"/>
  <c r="E525" i="1" l="1"/>
  <c r="B526" i="1" s="1"/>
  <c r="M296" i="1" a="1"/>
  <c r="M296" i="1" s="1"/>
  <c r="P296" i="1" s="1"/>
  <c r="Q296" i="1" s="1"/>
  <c r="R296" i="1" s="1"/>
  <c r="L296" i="1" a="1"/>
  <c r="L296" i="1" s="1"/>
  <c r="V296" i="1" s="1"/>
  <c r="W296" i="1" s="1"/>
  <c r="K296" i="1"/>
  <c r="H297" i="1"/>
  <c r="E526" i="1" l="1"/>
  <c r="B527" i="1" s="1"/>
  <c r="T296" i="1"/>
  <c r="U296" i="1" s="1"/>
  <c r="I297" i="1"/>
  <c r="J297" i="1" s="1"/>
  <c r="E527" i="1" l="1"/>
  <c r="B528" i="1" s="1"/>
  <c r="F298" i="1"/>
  <c r="G298" i="1" s="1"/>
  <c r="H298" i="1" s="1"/>
  <c r="M297" i="1" a="1"/>
  <c r="M297" i="1" s="1"/>
  <c r="T297" i="1" s="1"/>
  <c r="U297" i="1" s="1"/>
  <c r="L297" i="1" a="1"/>
  <c r="L297" i="1" s="1"/>
  <c r="V297" i="1" s="1"/>
  <c r="W297" i="1" s="1"/>
  <c r="K297" i="1"/>
  <c r="E528" i="1" l="1"/>
  <c r="B529" i="1" s="1"/>
  <c r="E529" i="1" s="1"/>
  <c r="P297" i="1"/>
  <c r="Q297" i="1" s="1"/>
  <c r="R297" i="1" s="1"/>
  <c r="I298" i="1"/>
  <c r="J298" i="1" s="1"/>
  <c r="K298" i="1" l="1"/>
  <c r="M298" i="1" a="1"/>
  <c r="M298" i="1" s="1"/>
  <c r="T298" i="1" s="1"/>
  <c r="U298" i="1" s="1"/>
  <c r="L298" i="1" a="1"/>
  <c r="L298" i="1" s="1"/>
  <c r="V298" i="1" s="1"/>
  <c r="W298" i="1" s="1"/>
  <c r="B530" i="1"/>
  <c r="F299" i="1"/>
  <c r="G299" i="1" s="1"/>
  <c r="H299" i="1" s="1"/>
  <c r="P298" i="1" l="1"/>
  <c r="Q298" i="1" s="1"/>
  <c r="R298" i="1" s="1"/>
  <c r="E530" i="1"/>
  <c r="B531" i="1" s="1"/>
  <c r="I299" i="1"/>
  <c r="J299" i="1" s="1"/>
  <c r="K299" i="1" l="1"/>
  <c r="M299" i="1" a="1"/>
  <c r="M299" i="1" s="1"/>
  <c r="P299" i="1" s="1"/>
  <c r="Q299" i="1" s="1"/>
  <c r="R299" i="1" s="1"/>
  <c r="L299" i="1" a="1"/>
  <c r="L299" i="1" s="1"/>
  <c r="V299" i="1" s="1"/>
  <c r="W299" i="1" s="1"/>
  <c r="E531" i="1"/>
  <c r="B532" i="1" s="1"/>
  <c r="F300" i="1"/>
  <c r="G300" i="1" s="1"/>
  <c r="H300" i="1" s="1"/>
  <c r="I300" i="1" s="1"/>
  <c r="E532" i="1" l="1"/>
  <c r="T299" i="1"/>
  <c r="U299" i="1" s="1"/>
  <c r="J300" i="1"/>
  <c r="M300" i="1" l="1" a="1"/>
  <c r="M300" i="1" s="1"/>
  <c r="T300" i="1" s="1"/>
  <c r="U300" i="1" s="1"/>
  <c r="L300" i="1" a="1"/>
  <c r="L300" i="1" s="1"/>
  <c r="V300" i="1" s="1"/>
  <c r="W300" i="1" s="1"/>
  <c r="K300" i="1"/>
  <c r="B533" i="1"/>
  <c r="F301" i="1"/>
  <c r="G301" i="1" s="1"/>
  <c r="H301" i="1" s="1"/>
  <c r="P300" i="1" l="1"/>
  <c r="Q300" i="1" s="1"/>
  <c r="R300" i="1" s="1"/>
  <c r="E533" i="1"/>
  <c r="B534" i="1" s="1"/>
  <c r="I301" i="1"/>
  <c r="J301" i="1" s="1"/>
  <c r="E534" i="1" l="1"/>
  <c r="K301" i="1"/>
  <c r="M301" i="1" a="1"/>
  <c r="M301" i="1" s="1"/>
  <c r="P301" i="1" s="1"/>
  <c r="Q301" i="1" s="1"/>
  <c r="R301" i="1" s="1"/>
  <c r="L301" i="1" a="1"/>
  <c r="L301" i="1" s="1"/>
  <c r="V301" i="1" s="1"/>
  <c r="W301" i="1" s="1"/>
  <c r="F302" i="1"/>
  <c r="G302" i="1" s="1"/>
  <c r="H302" i="1" s="1"/>
  <c r="T301" i="1" l="1"/>
  <c r="U301" i="1" s="1"/>
  <c r="B535" i="1"/>
  <c r="E535" i="1" s="1"/>
  <c r="I302" i="1"/>
  <c r="J302" i="1" s="1"/>
  <c r="B536" i="1" l="1"/>
  <c r="F303" i="1"/>
  <c r="G303" i="1" s="1"/>
  <c r="H303" i="1" s="1"/>
  <c r="L302" i="1" a="1"/>
  <c r="L302" i="1" s="1"/>
  <c r="V302" i="1" s="1"/>
  <c r="W302" i="1" s="1"/>
  <c r="M302" i="1" a="1"/>
  <c r="M302" i="1" s="1"/>
  <c r="P302" i="1" s="1"/>
  <c r="Q302" i="1" s="1"/>
  <c r="R302" i="1" s="1"/>
  <c r="K302" i="1"/>
  <c r="T302" i="1" l="1"/>
  <c r="U302" i="1" s="1"/>
  <c r="E536" i="1"/>
  <c r="B537" i="1" s="1"/>
  <c r="I303" i="1"/>
  <c r="J303" i="1" s="1"/>
  <c r="E537" i="1" l="1"/>
  <c r="B538" i="1" s="1"/>
  <c r="E538" i="1" s="1"/>
  <c r="K303" i="1"/>
  <c r="M303" i="1" a="1"/>
  <c r="M303" i="1" s="1"/>
  <c r="P303" i="1" s="1"/>
  <c r="Q303" i="1" s="1"/>
  <c r="R303" i="1" s="1"/>
  <c r="L303" i="1" a="1"/>
  <c r="L303" i="1" s="1"/>
  <c r="V303" i="1" s="1"/>
  <c r="W303" i="1" s="1"/>
  <c r="F304" i="1"/>
  <c r="G304" i="1" s="1"/>
  <c r="H304" i="1" s="1"/>
  <c r="B539" i="1" l="1"/>
  <c r="T303" i="1"/>
  <c r="U303" i="1" s="1"/>
  <c r="I304" i="1"/>
  <c r="J304" i="1" s="1"/>
  <c r="F305" i="1" s="1"/>
  <c r="G305" i="1" s="1"/>
  <c r="M304" i="1" l="1" a="1"/>
  <c r="M304" i="1" s="1"/>
  <c r="P304" i="1" s="1"/>
  <c r="Q304" i="1" s="1"/>
  <c r="R304" i="1" s="1"/>
  <c r="L304" i="1" a="1"/>
  <c r="L304" i="1" s="1"/>
  <c r="V304" i="1" s="1"/>
  <c r="W304" i="1" s="1"/>
  <c r="K304" i="1"/>
  <c r="E539" i="1"/>
  <c r="H305" i="1"/>
  <c r="B540" i="1" l="1"/>
  <c r="T304" i="1"/>
  <c r="U304" i="1" s="1"/>
  <c r="I305" i="1"/>
  <c r="J305" i="1" s="1"/>
  <c r="F306" i="1" s="1"/>
  <c r="G306" i="1" s="1"/>
  <c r="M305" i="1" l="1" a="1"/>
  <c r="M305" i="1" s="1"/>
  <c r="P305" i="1" s="1"/>
  <c r="Q305" i="1" s="1"/>
  <c r="R305" i="1" s="1"/>
  <c r="L305" i="1" a="1"/>
  <c r="L305" i="1" s="1"/>
  <c r="V305" i="1" s="1"/>
  <c r="W305" i="1" s="1"/>
  <c r="K305" i="1"/>
  <c r="E540" i="1"/>
  <c r="B541" i="1" s="1"/>
  <c r="E541" i="1" s="1"/>
  <c r="H306" i="1"/>
  <c r="I306" i="1" s="1"/>
  <c r="T305" i="1" l="1"/>
  <c r="U305" i="1" s="1"/>
  <c r="B542" i="1"/>
  <c r="J306" i="1"/>
  <c r="K306" i="1" s="1"/>
  <c r="L306" i="1" l="1" a="1"/>
  <c r="L306" i="1" s="1"/>
  <c r="V306" i="1" s="1"/>
  <c r="W306" i="1" s="1"/>
  <c r="M306" i="1" a="1"/>
  <c r="M306" i="1" s="1"/>
  <c r="P306" i="1" s="1"/>
  <c r="Q306" i="1" s="1"/>
  <c r="R306" i="1" s="1"/>
  <c r="F307" i="1"/>
  <c r="G307" i="1" s="1"/>
  <c r="H307" i="1" s="1"/>
  <c r="E542" i="1"/>
  <c r="T306" i="1" l="1"/>
  <c r="U306" i="1" s="1"/>
  <c r="B543" i="1"/>
  <c r="E543" i="1" s="1"/>
  <c r="I307" i="1"/>
  <c r="J307" i="1" s="1"/>
  <c r="L307" i="1" l="1" a="1"/>
  <c r="L307" i="1" s="1"/>
  <c r="V307" i="1" s="1"/>
  <c r="W307" i="1" s="1"/>
  <c r="M307" i="1" a="1"/>
  <c r="M307" i="1" s="1"/>
  <c r="P307" i="1" s="1"/>
  <c r="Q307" i="1" s="1"/>
  <c r="R307" i="1" s="1"/>
  <c r="B544" i="1"/>
  <c r="F308" i="1"/>
  <c r="G308" i="1" s="1"/>
  <c r="H308" i="1" s="1"/>
  <c r="K307" i="1"/>
  <c r="T307" i="1" l="1"/>
  <c r="U307" i="1" s="1"/>
  <c r="E544" i="1"/>
  <c r="B545" i="1" s="1"/>
  <c r="I308" i="1"/>
  <c r="J308" i="1" s="1"/>
  <c r="E545" i="1" l="1"/>
  <c r="B546" i="1" s="1"/>
  <c r="K308" i="1"/>
  <c r="M308" i="1" a="1"/>
  <c r="M308" i="1" s="1"/>
  <c r="P308" i="1" s="1"/>
  <c r="Q308" i="1" s="1"/>
  <c r="R308" i="1" s="1"/>
  <c r="L308" i="1" a="1"/>
  <c r="L308" i="1" s="1"/>
  <c r="V308" i="1" s="1"/>
  <c r="W308" i="1" s="1"/>
  <c r="F309" i="1"/>
  <c r="G309" i="1" s="1"/>
  <c r="H309" i="1" s="1"/>
  <c r="E546" i="1" l="1"/>
  <c r="B547" i="1" s="1"/>
  <c r="T308" i="1"/>
  <c r="U308" i="1" s="1"/>
  <c r="I309" i="1"/>
  <c r="J309" i="1" s="1"/>
  <c r="E547" i="1" l="1"/>
  <c r="B548" i="1" s="1"/>
  <c r="K309" i="1"/>
  <c r="M309" i="1" a="1"/>
  <c r="M309" i="1" s="1"/>
  <c r="T309" i="1" s="1"/>
  <c r="U309" i="1" s="1"/>
  <c r="L309" i="1" a="1"/>
  <c r="L309" i="1" s="1"/>
  <c r="V309" i="1" s="1"/>
  <c r="W309" i="1" s="1"/>
  <c r="F310" i="1"/>
  <c r="G310" i="1" s="1"/>
  <c r="H310" i="1" s="1"/>
  <c r="E548" i="1" l="1"/>
  <c r="B549" i="1" s="1"/>
  <c r="P309" i="1"/>
  <c r="Q309" i="1" s="1"/>
  <c r="R309" i="1" s="1"/>
  <c r="I310" i="1"/>
  <c r="J310" i="1" s="1"/>
  <c r="E549" i="1" l="1"/>
  <c r="B550" i="1" s="1"/>
  <c r="L310" i="1" a="1"/>
  <c r="L310" i="1" s="1"/>
  <c r="V310" i="1" s="1"/>
  <c r="W310" i="1" s="1"/>
  <c r="M310" i="1" a="1"/>
  <c r="M310" i="1" s="1"/>
  <c r="P310" i="1" s="1"/>
  <c r="Q310" i="1" s="1"/>
  <c r="R310" i="1" s="1"/>
  <c r="K310" i="1"/>
  <c r="F311" i="1"/>
  <c r="G311" i="1" s="1"/>
  <c r="H311" i="1" s="1"/>
  <c r="E550" i="1" l="1"/>
  <c r="B551" i="1" s="1"/>
  <c r="T310" i="1"/>
  <c r="U310" i="1" s="1"/>
  <c r="I311" i="1"/>
  <c r="J311" i="1" s="1"/>
  <c r="F312" i="1" l="1"/>
  <c r="G312" i="1" s="1"/>
  <c r="H312" i="1" s="1"/>
  <c r="M311" i="1" a="1"/>
  <c r="M311" i="1" s="1"/>
  <c r="T311" i="1" s="1"/>
  <c r="U311" i="1" s="1"/>
  <c r="L311" i="1" a="1"/>
  <c r="L311" i="1" s="1"/>
  <c r="V311" i="1" s="1"/>
  <c r="W311" i="1" s="1"/>
  <c r="E551" i="1"/>
  <c r="K311" i="1"/>
  <c r="B552" i="1" l="1"/>
  <c r="P311" i="1"/>
  <c r="Q311" i="1" s="1"/>
  <c r="R311" i="1" s="1"/>
  <c r="I312" i="1"/>
  <c r="J312" i="1" s="1"/>
  <c r="F313" i="1" s="1"/>
  <c r="G313" i="1" s="1"/>
  <c r="K312" i="1" l="1"/>
  <c r="E552" i="1"/>
  <c r="B553" i="1" s="1"/>
  <c r="M312" i="1" a="1"/>
  <c r="M312" i="1" s="1"/>
  <c r="T312" i="1" s="1"/>
  <c r="U312" i="1" s="1"/>
  <c r="L312" i="1" a="1"/>
  <c r="L312" i="1" s="1"/>
  <c r="V312" i="1" s="1"/>
  <c r="W312" i="1" s="1"/>
  <c r="H313" i="1"/>
  <c r="P312" i="1" l="1"/>
  <c r="Q312" i="1" s="1"/>
  <c r="R312" i="1" s="1"/>
  <c r="E553" i="1"/>
  <c r="B554" i="1" s="1"/>
  <c r="I313" i="1"/>
  <c r="J313" i="1" s="1"/>
  <c r="F314" i="1" s="1"/>
  <c r="G314" i="1" s="1"/>
  <c r="E554" i="1" l="1"/>
  <c r="B555" i="1" s="1"/>
  <c r="K313" i="1"/>
  <c r="M313" i="1" a="1"/>
  <c r="M313" i="1" s="1"/>
  <c r="T313" i="1" s="1"/>
  <c r="U313" i="1" s="1"/>
  <c r="L313" i="1" a="1"/>
  <c r="L313" i="1" s="1"/>
  <c r="V313" i="1" s="1"/>
  <c r="W313" i="1" s="1"/>
  <c r="H314" i="1"/>
  <c r="E555" i="1" l="1"/>
  <c r="B556" i="1" s="1"/>
  <c r="E556" i="1" s="1"/>
  <c r="P313" i="1"/>
  <c r="Q313" i="1" s="1"/>
  <c r="R313" i="1" s="1"/>
  <c r="I314" i="1"/>
  <c r="J314" i="1" s="1"/>
  <c r="B557" i="1" l="1"/>
  <c r="K314" i="1"/>
  <c r="L314" i="1" a="1"/>
  <c r="L314" i="1" s="1"/>
  <c r="V314" i="1" s="1"/>
  <c r="W314" i="1" s="1"/>
  <c r="M314" i="1" a="1"/>
  <c r="M314" i="1" s="1"/>
  <c r="P314" i="1" s="1"/>
  <c r="Q314" i="1" s="1"/>
  <c r="R314" i="1" s="1"/>
  <c r="F315" i="1"/>
  <c r="G315" i="1" s="1"/>
  <c r="H315" i="1" s="1"/>
  <c r="T314" i="1" l="1"/>
  <c r="U314" i="1" s="1"/>
  <c r="E557" i="1"/>
  <c r="B558" i="1" s="1"/>
  <c r="I315" i="1"/>
  <c r="J315" i="1" s="1"/>
  <c r="K315" i="1" l="1"/>
  <c r="L315" i="1" a="1"/>
  <c r="L315" i="1" s="1"/>
  <c r="V315" i="1" s="1"/>
  <c r="W315" i="1" s="1"/>
  <c r="M315" i="1" a="1"/>
  <c r="M315" i="1" s="1"/>
  <c r="T315" i="1" s="1"/>
  <c r="U315" i="1" s="1"/>
  <c r="E558" i="1"/>
  <c r="B559" i="1" s="1"/>
  <c r="F316" i="1"/>
  <c r="G316" i="1" s="1"/>
  <c r="H316" i="1" s="1"/>
  <c r="E559" i="1" l="1"/>
  <c r="B560" i="1" s="1"/>
  <c r="P315" i="1"/>
  <c r="Q315" i="1" s="1"/>
  <c r="R315" i="1" s="1"/>
  <c r="I316" i="1"/>
  <c r="J316" i="1" s="1"/>
  <c r="F317" i="1" s="1"/>
  <c r="G317" i="1" s="1"/>
  <c r="M316" i="1" l="1" a="1"/>
  <c r="M316" i="1" s="1"/>
  <c r="P316" i="1" s="1"/>
  <c r="Q316" i="1" s="1"/>
  <c r="R316" i="1" s="1"/>
  <c r="L316" i="1" a="1"/>
  <c r="L316" i="1" s="1"/>
  <c r="V316" i="1" s="1"/>
  <c r="W316" i="1" s="1"/>
  <c r="E560" i="1"/>
  <c r="B561" i="1" s="1"/>
  <c r="K316" i="1"/>
  <c r="H317" i="1"/>
  <c r="I317" i="1" s="1"/>
  <c r="T316" i="1" l="1"/>
  <c r="U316" i="1" s="1"/>
  <c r="E561" i="1"/>
  <c r="B562" i="1" s="1"/>
  <c r="J317" i="1"/>
  <c r="F318" i="1" s="1"/>
  <c r="G318" i="1" s="1"/>
  <c r="M317" i="1" l="1" a="1"/>
  <c r="M317" i="1" s="1"/>
  <c r="T317" i="1" s="1"/>
  <c r="U317" i="1" s="1"/>
  <c r="L317" i="1" a="1"/>
  <c r="L317" i="1" s="1"/>
  <c r="V317" i="1" s="1"/>
  <c r="W317" i="1" s="1"/>
  <c r="E562" i="1"/>
  <c r="B563" i="1" s="1"/>
  <c r="K317" i="1"/>
  <c r="H318" i="1"/>
  <c r="I318" i="1" s="1"/>
  <c r="P317" i="1" l="1"/>
  <c r="Q317" i="1" s="1"/>
  <c r="R317" i="1" s="1"/>
  <c r="E563" i="1"/>
  <c r="B564" i="1" s="1"/>
  <c r="J318" i="1"/>
  <c r="K318" i="1" s="1"/>
  <c r="E564" i="1" l="1"/>
  <c r="B565" i="1" s="1"/>
  <c r="F319" i="1"/>
  <c r="G319" i="1" s="1"/>
  <c r="H319" i="1" s="1"/>
  <c r="M318" i="1" a="1"/>
  <c r="M318" i="1" s="1"/>
  <c r="P318" i="1" s="1"/>
  <c r="Q318" i="1" s="1"/>
  <c r="R318" i="1" s="1"/>
  <c r="L318" i="1" a="1"/>
  <c r="L318" i="1" s="1"/>
  <c r="V318" i="1" s="1"/>
  <c r="W318" i="1" s="1"/>
  <c r="E565" i="1" l="1"/>
  <c r="B566" i="1" s="1"/>
  <c r="T318" i="1"/>
  <c r="U318" i="1" s="1"/>
  <c r="I319" i="1"/>
  <c r="J319" i="1" s="1"/>
  <c r="K319" i="1" l="1"/>
  <c r="L319" i="1" a="1"/>
  <c r="L319" i="1" s="1"/>
  <c r="V319" i="1" s="1"/>
  <c r="W319" i="1" s="1"/>
  <c r="M319" i="1" a="1"/>
  <c r="M319" i="1" s="1"/>
  <c r="P319" i="1" s="1"/>
  <c r="Q319" i="1" s="1"/>
  <c r="R319" i="1" s="1"/>
  <c r="E566" i="1"/>
  <c r="B567" i="1" s="1"/>
  <c r="F320" i="1"/>
  <c r="G320" i="1" s="1"/>
  <c r="H320" i="1" s="1"/>
  <c r="E567" i="1" l="1"/>
  <c r="B568" i="1" s="1"/>
  <c r="T319" i="1"/>
  <c r="U319" i="1" s="1"/>
  <c r="I320" i="1"/>
  <c r="J320" i="1" s="1"/>
  <c r="F321" i="1" s="1"/>
  <c r="G321" i="1" s="1"/>
  <c r="E568" i="1" l="1"/>
  <c r="B569" i="1" s="1"/>
  <c r="L320" i="1" a="1"/>
  <c r="L320" i="1" s="1"/>
  <c r="V320" i="1" s="1"/>
  <c r="W320" i="1" s="1"/>
  <c r="M320" i="1" a="1"/>
  <c r="M320" i="1" s="1"/>
  <c r="T320" i="1" s="1"/>
  <c r="U320" i="1" s="1"/>
  <c r="K320" i="1"/>
  <c r="H321" i="1"/>
  <c r="E569" i="1" l="1"/>
  <c r="B570" i="1" s="1"/>
  <c r="P320" i="1"/>
  <c r="Q320" i="1" s="1"/>
  <c r="R320" i="1" s="1"/>
  <c r="I321" i="1"/>
  <c r="J321" i="1" s="1"/>
  <c r="K321" i="1" s="1"/>
  <c r="E570" i="1" l="1"/>
  <c r="B571" i="1" s="1"/>
  <c r="L321" i="1" a="1"/>
  <c r="L321" i="1" s="1"/>
  <c r="V321" i="1" s="1"/>
  <c r="W321" i="1" s="1"/>
  <c r="M321" i="1" a="1"/>
  <c r="M321" i="1" s="1"/>
  <c r="T321" i="1" s="1"/>
  <c r="U321" i="1" s="1"/>
  <c r="F322" i="1"/>
  <c r="G322" i="1" s="1"/>
  <c r="H322" i="1" s="1"/>
  <c r="E571" i="1" l="1"/>
  <c r="B572" i="1" s="1"/>
  <c r="P321" i="1"/>
  <c r="Q321" i="1" s="1"/>
  <c r="R321" i="1" s="1"/>
  <c r="I322" i="1"/>
  <c r="J322" i="1" s="1"/>
  <c r="E572" i="1" l="1"/>
  <c r="B573" i="1" s="1"/>
  <c r="M322" i="1" a="1"/>
  <c r="M322" i="1" s="1"/>
  <c r="T322" i="1" s="1"/>
  <c r="U322" i="1" s="1"/>
  <c r="L322" i="1" a="1"/>
  <c r="L322" i="1" s="1"/>
  <c r="V322" i="1" s="1"/>
  <c r="W322" i="1" s="1"/>
  <c r="F323" i="1"/>
  <c r="G323" i="1" s="1"/>
  <c r="H323" i="1" s="1"/>
  <c r="K322" i="1"/>
  <c r="P322" i="1" l="1"/>
  <c r="Q322" i="1" s="1"/>
  <c r="R322" i="1" s="1"/>
  <c r="E573" i="1"/>
  <c r="B574" i="1" s="1"/>
  <c r="I323" i="1"/>
  <c r="J323" i="1" s="1"/>
  <c r="F324" i="1" s="1"/>
  <c r="G324" i="1" s="1"/>
  <c r="E574" i="1" l="1"/>
  <c r="B575" i="1" s="1"/>
  <c r="K323" i="1"/>
  <c r="M323" i="1" a="1"/>
  <c r="M323" i="1" s="1"/>
  <c r="T323" i="1" s="1"/>
  <c r="U323" i="1" s="1"/>
  <c r="L323" i="1" a="1"/>
  <c r="L323" i="1" s="1"/>
  <c r="V323" i="1" s="1"/>
  <c r="W323" i="1" s="1"/>
  <c r="H324" i="1"/>
  <c r="E575" i="1" l="1"/>
  <c r="B576" i="1" s="1"/>
  <c r="P323" i="1"/>
  <c r="Q323" i="1" s="1"/>
  <c r="R323" i="1" s="1"/>
  <c r="I324" i="1"/>
  <c r="J324" i="1" s="1"/>
  <c r="F325" i="1" s="1"/>
  <c r="G325" i="1" s="1"/>
  <c r="E576" i="1" l="1"/>
  <c r="B577" i="1" s="1"/>
  <c r="L324" i="1" a="1"/>
  <c r="L324" i="1" s="1"/>
  <c r="V324" i="1" s="1"/>
  <c r="W324" i="1" s="1"/>
  <c r="M324" i="1" a="1"/>
  <c r="M324" i="1" s="1"/>
  <c r="T324" i="1" s="1"/>
  <c r="U324" i="1" s="1"/>
  <c r="K324" i="1"/>
  <c r="H325" i="1"/>
  <c r="I325" i="1" s="1"/>
  <c r="E577" i="1" l="1"/>
  <c r="B578" i="1" s="1"/>
  <c r="P324" i="1"/>
  <c r="Q324" i="1" s="1"/>
  <c r="R324" i="1" s="1"/>
  <c r="J325" i="1"/>
  <c r="F326" i="1" s="1"/>
  <c r="G326" i="1" s="1"/>
  <c r="E578" i="1" l="1"/>
  <c r="B579" i="1" s="1"/>
  <c r="M325" i="1" a="1"/>
  <c r="M325" i="1" s="1"/>
  <c r="T325" i="1" s="1"/>
  <c r="U325" i="1" s="1"/>
  <c r="L325" i="1" a="1"/>
  <c r="L325" i="1" s="1"/>
  <c r="V325" i="1" s="1"/>
  <c r="W325" i="1" s="1"/>
  <c r="K325" i="1"/>
  <c r="H326" i="1"/>
  <c r="P325" i="1" l="1"/>
  <c r="Q325" i="1" s="1"/>
  <c r="R325" i="1" s="1"/>
  <c r="E579" i="1"/>
  <c r="B580" i="1" s="1"/>
  <c r="I326" i="1"/>
  <c r="J326" i="1" s="1"/>
  <c r="E580" i="1" l="1"/>
  <c r="B581" i="1" s="1"/>
  <c r="F327" i="1"/>
  <c r="G327" i="1" s="1"/>
  <c r="H327" i="1" s="1"/>
  <c r="M326" i="1" a="1"/>
  <c r="M326" i="1" s="1"/>
  <c r="P326" i="1" s="1"/>
  <c r="Q326" i="1" s="1"/>
  <c r="R326" i="1" s="1"/>
  <c r="L326" i="1" a="1"/>
  <c r="L326" i="1" s="1"/>
  <c r="V326" i="1" s="1"/>
  <c r="W326" i="1" s="1"/>
  <c r="K326" i="1"/>
  <c r="E581" i="1" l="1"/>
  <c r="B582" i="1" s="1"/>
  <c r="T326" i="1"/>
  <c r="U326" i="1" s="1"/>
  <c r="I327" i="1"/>
  <c r="J327" i="1" s="1"/>
  <c r="M327" i="1" l="1" a="1"/>
  <c r="M327" i="1" s="1"/>
  <c r="T327" i="1" s="1"/>
  <c r="U327" i="1" s="1"/>
  <c r="L327" i="1" a="1"/>
  <c r="L327" i="1" s="1"/>
  <c r="V327" i="1" s="1"/>
  <c r="W327" i="1" s="1"/>
  <c r="K327" i="1"/>
  <c r="E582" i="1"/>
  <c r="B583" i="1" s="1"/>
  <c r="F328" i="1"/>
  <c r="G328" i="1" s="1"/>
  <c r="H328" i="1" s="1"/>
  <c r="P327" i="1" l="1"/>
  <c r="Q327" i="1" s="1"/>
  <c r="R327" i="1" s="1"/>
  <c r="E583" i="1"/>
  <c r="I328" i="1"/>
  <c r="J328" i="1" s="1"/>
  <c r="K328" i="1" l="1"/>
  <c r="L328" i="1" a="1"/>
  <c r="L328" i="1" s="1"/>
  <c r="V328" i="1" s="1"/>
  <c r="W328" i="1" s="1"/>
  <c r="M328" i="1" a="1"/>
  <c r="M328" i="1" s="1"/>
  <c r="P328" i="1" s="1"/>
  <c r="Q328" i="1" s="1"/>
  <c r="R328" i="1" s="1"/>
  <c r="B584" i="1"/>
  <c r="F329" i="1"/>
  <c r="G329" i="1" s="1"/>
  <c r="H329" i="1" s="1"/>
  <c r="E584" i="1" l="1"/>
  <c r="B585" i="1" s="1"/>
  <c r="T328" i="1"/>
  <c r="U328" i="1" s="1"/>
  <c r="I329" i="1"/>
  <c r="J329" i="1" s="1"/>
  <c r="E585" i="1" l="1"/>
  <c r="B586" i="1" s="1"/>
  <c r="L329" i="1" a="1"/>
  <c r="L329" i="1" s="1"/>
  <c r="M329" i="1" a="1"/>
  <c r="M329" i="1" s="1"/>
  <c r="K329" i="1"/>
  <c r="F330" i="1"/>
  <c r="G330" i="1" s="1"/>
  <c r="E586" i="1" l="1"/>
  <c r="B587" i="1" s="1"/>
  <c r="V329" i="1"/>
  <c r="W329" i="1" s="1"/>
  <c r="P329" i="1"/>
  <c r="Q329" i="1" s="1"/>
  <c r="R329" i="1" s="1"/>
  <c r="T329" i="1"/>
  <c r="U329" i="1" s="1"/>
  <c r="H330" i="1"/>
  <c r="E587" i="1" l="1"/>
  <c r="B588" i="1" s="1"/>
  <c r="I330" i="1"/>
  <c r="J330" i="1" s="1"/>
  <c r="F331" i="1" l="1"/>
  <c r="G331" i="1" s="1"/>
  <c r="H331" i="1" s="1"/>
  <c r="M330" i="1" a="1"/>
  <c r="M330" i="1" s="1"/>
  <c r="P330" i="1" s="1"/>
  <c r="Q330" i="1" s="1"/>
  <c r="R330" i="1" s="1"/>
  <c r="L330" i="1" a="1"/>
  <c r="L330" i="1" s="1"/>
  <c r="V330" i="1" s="1"/>
  <c r="W330" i="1" s="1"/>
  <c r="E588" i="1"/>
  <c r="B589" i="1" s="1"/>
  <c r="E589" i="1" s="1"/>
  <c r="K330" i="1"/>
  <c r="T330" i="1" l="1"/>
  <c r="U330" i="1" s="1"/>
  <c r="B590" i="1"/>
  <c r="I331" i="1"/>
  <c r="J331" i="1" s="1"/>
  <c r="K331" i="1" l="1"/>
  <c r="M331" i="1" a="1"/>
  <c r="M331" i="1" s="1"/>
  <c r="P331" i="1" s="1"/>
  <c r="Q331" i="1" s="1"/>
  <c r="R331" i="1" s="1"/>
  <c r="L331" i="1" a="1"/>
  <c r="L331" i="1" s="1"/>
  <c r="V331" i="1" s="1"/>
  <c r="W331" i="1" s="1"/>
  <c r="E590" i="1"/>
  <c r="F332" i="1"/>
  <c r="G332" i="1" s="1"/>
  <c r="H332" i="1" s="1"/>
  <c r="T331" i="1" l="1"/>
  <c r="U331" i="1" s="1"/>
  <c r="B591" i="1"/>
  <c r="I332" i="1"/>
  <c r="J332" i="1" s="1"/>
  <c r="E591" i="1" l="1"/>
  <c r="B592" i="1" s="1"/>
  <c r="F333" i="1"/>
  <c r="G333" i="1" s="1"/>
  <c r="H333" i="1" s="1"/>
  <c r="M332" i="1" a="1"/>
  <c r="M332" i="1" s="1"/>
  <c r="T332" i="1" s="1"/>
  <c r="U332" i="1" s="1"/>
  <c r="L332" i="1" a="1"/>
  <c r="L332" i="1" s="1"/>
  <c r="V332" i="1" s="1"/>
  <c r="W332" i="1" s="1"/>
  <c r="K332" i="1"/>
  <c r="P332" i="1" l="1"/>
  <c r="Q332" i="1" s="1"/>
  <c r="R332" i="1" s="1"/>
  <c r="E592" i="1"/>
  <c r="B593" i="1" s="1"/>
  <c r="I333" i="1"/>
  <c r="J333" i="1" s="1"/>
  <c r="K333" i="1" s="1"/>
  <c r="M333" i="1" l="1" a="1"/>
  <c r="M333" i="1" s="1"/>
  <c r="P333" i="1" s="1"/>
  <c r="Q333" i="1" s="1"/>
  <c r="R333" i="1" s="1"/>
  <c r="L333" i="1" a="1"/>
  <c r="L333" i="1" s="1"/>
  <c r="V333" i="1" s="1"/>
  <c r="W333" i="1" s="1"/>
  <c r="E593" i="1"/>
  <c r="B594" i="1" s="1"/>
  <c r="F334" i="1"/>
  <c r="G334" i="1" s="1"/>
  <c r="H334" i="1" s="1"/>
  <c r="T333" i="1" l="1"/>
  <c r="U333" i="1" s="1"/>
  <c r="E594" i="1"/>
  <c r="I334" i="1"/>
  <c r="J334" i="1" s="1"/>
  <c r="K334" i="1" l="1"/>
  <c r="M334" i="1" a="1"/>
  <c r="M334" i="1" s="1"/>
  <c r="P334" i="1" s="1"/>
  <c r="Q334" i="1" s="1"/>
  <c r="R334" i="1" s="1"/>
  <c r="L334" i="1" a="1"/>
  <c r="L334" i="1" s="1"/>
  <c r="V334" i="1" s="1"/>
  <c r="W334" i="1" s="1"/>
  <c r="B595" i="1"/>
  <c r="F335" i="1"/>
  <c r="G335" i="1" s="1"/>
  <c r="H335" i="1" s="1"/>
  <c r="E595" i="1" l="1"/>
  <c r="B596" i="1" s="1"/>
  <c r="T334" i="1"/>
  <c r="U334" i="1" s="1"/>
  <c r="I335" i="1"/>
  <c r="J335" i="1" s="1"/>
  <c r="K335" i="1" s="1"/>
  <c r="E596" i="1" l="1"/>
  <c r="B597" i="1" s="1"/>
  <c r="F336" i="1"/>
  <c r="G336" i="1" s="1"/>
  <c r="H336" i="1" s="1"/>
  <c r="M335" i="1" a="1"/>
  <c r="M335" i="1" s="1"/>
  <c r="T335" i="1" s="1"/>
  <c r="U335" i="1" s="1"/>
  <c r="L335" i="1" a="1"/>
  <c r="L335" i="1" s="1"/>
  <c r="V335" i="1" s="1"/>
  <c r="W335" i="1" s="1"/>
  <c r="E597" i="1" l="1"/>
  <c r="P335" i="1"/>
  <c r="Q335" i="1" s="1"/>
  <c r="R335" i="1" s="1"/>
  <c r="I336" i="1"/>
  <c r="J336" i="1" s="1"/>
  <c r="F337" i="1" s="1"/>
  <c r="G337" i="1" s="1"/>
  <c r="K336" i="1" l="1"/>
  <c r="M336" i="1" a="1"/>
  <c r="M336" i="1" s="1"/>
  <c r="P336" i="1" s="1"/>
  <c r="Q336" i="1" s="1"/>
  <c r="R336" i="1" s="1"/>
  <c r="L336" i="1" a="1"/>
  <c r="L336" i="1" s="1"/>
  <c r="V336" i="1" s="1"/>
  <c r="W336" i="1" s="1"/>
  <c r="B598" i="1"/>
  <c r="H337" i="1"/>
  <c r="T336" i="1" l="1"/>
  <c r="U336" i="1" s="1"/>
  <c r="E598" i="1"/>
  <c r="B599" i="1" s="1"/>
  <c r="I337" i="1"/>
  <c r="J337" i="1" s="1"/>
  <c r="F338" i="1" l="1"/>
  <c r="G338" i="1" s="1"/>
  <c r="H338" i="1" s="1"/>
  <c r="M337" i="1" a="1"/>
  <c r="M337" i="1" s="1"/>
  <c r="P337" i="1" s="1"/>
  <c r="Q337" i="1" s="1"/>
  <c r="R337" i="1" s="1"/>
  <c r="L337" i="1" a="1"/>
  <c r="L337" i="1" s="1"/>
  <c r="V337" i="1" s="1"/>
  <c r="W337" i="1" s="1"/>
  <c r="E599" i="1"/>
  <c r="B600" i="1" s="1"/>
  <c r="K337" i="1"/>
  <c r="T337" i="1" l="1"/>
  <c r="U337" i="1" s="1"/>
  <c r="E600" i="1"/>
  <c r="B601" i="1" s="1"/>
  <c r="I338" i="1"/>
  <c r="J338" i="1" s="1"/>
  <c r="E601" i="1" l="1"/>
  <c r="B602" i="1" s="1"/>
  <c r="F339" i="1"/>
  <c r="G339" i="1" s="1"/>
  <c r="H339" i="1" s="1"/>
  <c r="L338" i="1" a="1"/>
  <c r="L338" i="1" s="1"/>
  <c r="V338" i="1" s="1"/>
  <c r="W338" i="1" s="1"/>
  <c r="M338" i="1" a="1"/>
  <c r="M338" i="1" s="1"/>
  <c r="P338" i="1" s="1"/>
  <c r="Q338" i="1" s="1"/>
  <c r="R338" i="1" s="1"/>
  <c r="K338" i="1"/>
  <c r="E602" i="1" l="1"/>
  <c r="B603" i="1" s="1"/>
  <c r="T338" i="1"/>
  <c r="U338" i="1" s="1"/>
  <c r="I339" i="1"/>
  <c r="J339" i="1" s="1"/>
  <c r="K339" i="1" l="1"/>
  <c r="M339" i="1" a="1"/>
  <c r="M339" i="1" s="1"/>
  <c r="T339" i="1" s="1"/>
  <c r="U339" i="1" s="1"/>
  <c r="L339" i="1" a="1"/>
  <c r="L339" i="1" s="1"/>
  <c r="V339" i="1" s="1"/>
  <c r="W339" i="1" s="1"/>
  <c r="E603" i="1"/>
  <c r="B604" i="1" s="1"/>
  <c r="F340" i="1"/>
  <c r="G340" i="1" s="1"/>
  <c r="H340" i="1" s="1"/>
  <c r="P339" i="1" l="1"/>
  <c r="Q339" i="1" s="1"/>
  <c r="R339" i="1" s="1"/>
  <c r="E604" i="1"/>
  <c r="B605" i="1" s="1"/>
  <c r="I340" i="1"/>
  <c r="J340" i="1" s="1"/>
  <c r="E605" i="1" l="1"/>
  <c r="B606" i="1" s="1"/>
  <c r="F341" i="1"/>
  <c r="G341" i="1" s="1"/>
  <c r="H341" i="1" s="1"/>
  <c r="L340" i="1" a="1"/>
  <c r="L340" i="1" s="1"/>
  <c r="V340" i="1" s="1"/>
  <c r="W340" i="1" s="1"/>
  <c r="M340" i="1" a="1"/>
  <c r="M340" i="1" s="1"/>
  <c r="P340" i="1" s="1"/>
  <c r="Q340" i="1" s="1"/>
  <c r="R340" i="1" s="1"/>
  <c r="K340" i="1"/>
  <c r="E606" i="1" l="1"/>
  <c r="B607" i="1" s="1"/>
  <c r="T340" i="1"/>
  <c r="U340" i="1" s="1"/>
  <c r="I341" i="1"/>
  <c r="J341" i="1" s="1"/>
  <c r="K341" i="1" l="1"/>
  <c r="L341" i="1" a="1"/>
  <c r="L341" i="1" s="1"/>
  <c r="V341" i="1" s="1"/>
  <c r="W341" i="1" s="1"/>
  <c r="M341" i="1" a="1"/>
  <c r="M341" i="1" s="1"/>
  <c r="P341" i="1" s="1"/>
  <c r="Q341" i="1" s="1"/>
  <c r="R341" i="1" s="1"/>
  <c r="E607" i="1"/>
  <c r="B608" i="1" s="1"/>
  <c r="F342" i="1"/>
  <c r="G342" i="1" s="1"/>
  <c r="H342" i="1" s="1"/>
  <c r="E608" i="1" l="1"/>
  <c r="B609" i="1" s="1"/>
  <c r="T341" i="1"/>
  <c r="U341" i="1" s="1"/>
  <c r="I342" i="1"/>
  <c r="J342" i="1" s="1"/>
  <c r="E609" i="1" l="1"/>
  <c r="B610" i="1" s="1"/>
  <c r="K342" i="1"/>
  <c r="M342" i="1" a="1"/>
  <c r="M342" i="1" s="1"/>
  <c r="P342" i="1" s="1"/>
  <c r="Q342" i="1" s="1"/>
  <c r="R342" i="1" s="1"/>
  <c r="L342" i="1" a="1"/>
  <c r="L342" i="1" s="1"/>
  <c r="V342" i="1" s="1"/>
  <c r="W342" i="1" s="1"/>
  <c r="F343" i="1"/>
  <c r="G343" i="1" s="1"/>
  <c r="H343" i="1" s="1"/>
  <c r="T342" i="1" l="1"/>
  <c r="U342" i="1" s="1"/>
  <c r="E610" i="1"/>
  <c r="B611" i="1" s="1"/>
  <c r="I343" i="1"/>
  <c r="J343" i="1" s="1"/>
  <c r="E611" i="1" l="1"/>
  <c r="B612" i="1" s="1"/>
  <c r="F344" i="1"/>
  <c r="G344" i="1" s="1"/>
  <c r="H344" i="1" s="1"/>
  <c r="M343" i="1" a="1"/>
  <c r="M343" i="1" s="1"/>
  <c r="P343" i="1" s="1"/>
  <c r="Q343" i="1" s="1"/>
  <c r="R343" i="1" s="1"/>
  <c r="L343" i="1" a="1"/>
  <c r="L343" i="1" s="1"/>
  <c r="V343" i="1" s="1"/>
  <c r="W343" i="1" s="1"/>
  <c r="K343" i="1"/>
  <c r="T343" i="1" l="1"/>
  <c r="U343" i="1" s="1"/>
  <c r="E612" i="1"/>
  <c r="B613" i="1" s="1"/>
  <c r="I344" i="1"/>
  <c r="J344" i="1" s="1"/>
  <c r="E613" i="1" l="1"/>
  <c r="B614" i="1" s="1"/>
  <c r="K344" i="1"/>
  <c r="M344" i="1" a="1"/>
  <c r="M344" i="1" s="1"/>
  <c r="P344" i="1" s="1"/>
  <c r="Q344" i="1" s="1"/>
  <c r="R344" i="1" s="1"/>
  <c r="L344" i="1" a="1"/>
  <c r="L344" i="1" s="1"/>
  <c r="V344" i="1" s="1"/>
  <c r="W344" i="1" s="1"/>
  <c r="F345" i="1"/>
  <c r="G345" i="1" s="1"/>
  <c r="H345" i="1" s="1"/>
  <c r="T344" i="1" l="1"/>
  <c r="U344" i="1" s="1"/>
  <c r="E614" i="1"/>
  <c r="B615" i="1" s="1"/>
  <c r="I345" i="1"/>
  <c r="J345" i="1" s="1"/>
  <c r="K345" i="1" s="1"/>
  <c r="F346" i="1" l="1"/>
  <c r="G346" i="1" s="1"/>
  <c r="H346" i="1" s="1"/>
  <c r="E615" i="1"/>
  <c r="B616" i="1" s="1"/>
  <c r="L345" i="1" a="1"/>
  <c r="L345" i="1" s="1"/>
  <c r="V345" i="1" s="1"/>
  <c r="W345" i="1" s="1"/>
  <c r="M345" i="1" a="1"/>
  <c r="M345" i="1" s="1"/>
  <c r="T345" i="1" s="1"/>
  <c r="U345" i="1" s="1"/>
  <c r="E616" i="1" l="1"/>
  <c r="B617" i="1" s="1"/>
  <c r="E617" i="1" s="1"/>
  <c r="P345" i="1"/>
  <c r="Q345" i="1" s="1"/>
  <c r="R345" i="1" s="1"/>
  <c r="I346" i="1"/>
  <c r="J346" i="1" s="1"/>
  <c r="K346" i="1" s="1"/>
  <c r="B618" i="1" l="1"/>
  <c r="F347" i="1"/>
  <c r="G347" i="1" s="1"/>
  <c r="H347" i="1" s="1"/>
  <c r="M346" i="1" a="1"/>
  <c r="M346" i="1" s="1"/>
  <c r="T346" i="1" s="1"/>
  <c r="U346" i="1" s="1"/>
  <c r="L346" i="1" a="1"/>
  <c r="L346" i="1" s="1"/>
  <c r="V346" i="1" s="1"/>
  <c r="W346" i="1" s="1"/>
  <c r="P346" i="1" l="1"/>
  <c r="Q346" i="1" s="1"/>
  <c r="R346" i="1" s="1"/>
  <c r="E618" i="1"/>
  <c r="B619" i="1" s="1"/>
  <c r="E619" i="1" s="1"/>
  <c r="I347" i="1"/>
  <c r="J347" i="1" s="1"/>
  <c r="B620" i="1" l="1"/>
  <c r="K347" i="1"/>
  <c r="L347" i="1" a="1"/>
  <c r="L347" i="1" s="1"/>
  <c r="V347" i="1" s="1"/>
  <c r="W347" i="1" s="1"/>
  <c r="M347" i="1" a="1"/>
  <c r="M347" i="1" s="1"/>
  <c r="T347" i="1" s="1"/>
  <c r="U347" i="1" s="1"/>
  <c r="F348" i="1"/>
  <c r="G348" i="1" s="1"/>
  <c r="H348" i="1" s="1"/>
  <c r="E620" i="1" l="1"/>
  <c r="B621" i="1" s="1"/>
  <c r="P347" i="1"/>
  <c r="Q347" i="1" s="1"/>
  <c r="R347" i="1" s="1"/>
  <c r="I348" i="1"/>
  <c r="J348" i="1" s="1"/>
  <c r="E621" i="1" l="1"/>
  <c r="B622" i="1" s="1"/>
  <c r="K348" i="1"/>
  <c r="M348" i="1" a="1"/>
  <c r="M348" i="1" s="1"/>
  <c r="P348" i="1" s="1"/>
  <c r="Q348" i="1" s="1"/>
  <c r="R348" i="1" s="1"/>
  <c r="L348" i="1" a="1"/>
  <c r="L348" i="1" s="1"/>
  <c r="V348" i="1" s="1"/>
  <c r="W348" i="1" s="1"/>
  <c r="F349" i="1"/>
  <c r="G349" i="1" s="1"/>
  <c r="H349" i="1" s="1"/>
  <c r="T348" i="1" l="1"/>
  <c r="U348" i="1" s="1"/>
  <c r="E622" i="1"/>
  <c r="B623" i="1" s="1"/>
  <c r="I349" i="1"/>
  <c r="J349" i="1" s="1"/>
  <c r="E623" i="1" l="1"/>
  <c r="B624" i="1" s="1"/>
  <c r="K349" i="1"/>
  <c r="M349" i="1" a="1"/>
  <c r="M349" i="1" s="1"/>
  <c r="P349" i="1" s="1"/>
  <c r="Q349" i="1" s="1"/>
  <c r="R349" i="1" s="1"/>
  <c r="L349" i="1" a="1"/>
  <c r="L349" i="1" s="1"/>
  <c r="V349" i="1" s="1"/>
  <c r="W349" i="1" s="1"/>
  <c r="F350" i="1"/>
  <c r="G350" i="1" s="1"/>
  <c r="H350" i="1" s="1"/>
  <c r="I350" i="1" s="1"/>
  <c r="E624" i="1" l="1"/>
  <c r="B625" i="1" s="1"/>
  <c r="T349" i="1"/>
  <c r="U349" i="1" s="1"/>
  <c r="J350" i="1"/>
  <c r="K350" i="1" l="1"/>
  <c r="M350" i="1" a="1"/>
  <c r="M350" i="1" s="1"/>
  <c r="P350" i="1" s="1"/>
  <c r="Q350" i="1" s="1"/>
  <c r="R350" i="1" s="1"/>
  <c r="L350" i="1" a="1"/>
  <c r="L350" i="1" s="1"/>
  <c r="V350" i="1" s="1"/>
  <c r="W350" i="1" s="1"/>
  <c r="E625" i="1"/>
  <c r="B626" i="1" s="1"/>
  <c r="F351" i="1"/>
  <c r="G351" i="1" s="1"/>
  <c r="H351" i="1" s="1"/>
  <c r="T350" i="1" l="1"/>
  <c r="U350" i="1" s="1"/>
  <c r="E626" i="1"/>
  <c r="B627" i="1" s="1"/>
  <c r="I351" i="1"/>
  <c r="J351" i="1" s="1"/>
  <c r="K351" i="1" l="1"/>
  <c r="L351" i="1" a="1"/>
  <c r="L351" i="1" s="1"/>
  <c r="V351" i="1" s="1"/>
  <c r="W351" i="1" s="1"/>
  <c r="M351" i="1" a="1"/>
  <c r="M351" i="1" s="1"/>
  <c r="P351" i="1" s="1"/>
  <c r="Q351" i="1" s="1"/>
  <c r="R351" i="1" s="1"/>
  <c r="E627" i="1"/>
  <c r="B628" i="1" s="1"/>
  <c r="F352" i="1"/>
  <c r="G352" i="1" s="1"/>
  <c r="H352" i="1" s="1"/>
  <c r="E628" i="1" l="1"/>
  <c r="B629" i="1" s="1"/>
  <c r="T351" i="1"/>
  <c r="U351" i="1" s="1"/>
  <c r="I352" i="1"/>
  <c r="J352" i="1" s="1"/>
  <c r="E629" i="1" l="1"/>
  <c r="B630" i="1" s="1"/>
  <c r="K352" i="1"/>
  <c r="M352" i="1" a="1"/>
  <c r="M352" i="1" s="1"/>
  <c r="P352" i="1" s="1"/>
  <c r="Q352" i="1" s="1"/>
  <c r="R352" i="1" s="1"/>
  <c r="L352" i="1" a="1"/>
  <c r="L352" i="1" s="1"/>
  <c r="V352" i="1" s="1"/>
  <c r="W352" i="1" s="1"/>
  <c r="F353" i="1"/>
  <c r="G353" i="1" s="1"/>
  <c r="H353" i="1" s="1"/>
  <c r="E630" i="1" l="1"/>
  <c r="B631" i="1" s="1"/>
  <c r="T352" i="1"/>
  <c r="U352" i="1" s="1"/>
  <c r="I353" i="1"/>
  <c r="J353" i="1" s="1"/>
  <c r="F354" i="1" l="1"/>
  <c r="G354" i="1" s="1"/>
  <c r="H354" i="1" s="1"/>
  <c r="M353" i="1" a="1"/>
  <c r="M353" i="1" s="1"/>
  <c r="T353" i="1" s="1"/>
  <c r="U353" i="1" s="1"/>
  <c r="L353" i="1" a="1"/>
  <c r="L353" i="1" s="1"/>
  <c r="V353" i="1" s="1"/>
  <c r="W353" i="1" s="1"/>
  <c r="E631" i="1"/>
  <c r="B632" i="1" s="1"/>
  <c r="K353" i="1"/>
  <c r="P353" i="1" l="1"/>
  <c r="Q353" i="1" s="1"/>
  <c r="R353" i="1" s="1"/>
  <c r="E632" i="1"/>
  <c r="B633" i="1" s="1"/>
  <c r="I354" i="1"/>
  <c r="J354" i="1" s="1"/>
  <c r="E633" i="1" l="1"/>
  <c r="B634" i="1" s="1"/>
  <c r="F355" i="1"/>
  <c r="G355" i="1" s="1"/>
  <c r="H355" i="1" s="1"/>
  <c r="M354" i="1" a="1"/>
  <c r="M354" i="1" s="1"/>
  <c r="P354" i="1" s="1"/>
  <c r="Q354" i="1" s="1"/>
  <c r="R354" i="1" s="1"/>
  <c r="L354" i="1" a="1"/>
  <c r="L354" i="1" s="1"/>
  <c r="V354" i="1" s="1"/>
  <c r="W354" i="1" s="1"/>
  <c r="K354" i="1"/>
  <c r="T354" i="1" l="1"/>
  <c r="U354" i="1" s="1"/>
  <c r="E634" i="1"/>
  <c r="B635" i="1" s="1"/>
  <c r="E635" i="1" s="1"/>
  <c r="I355" i="1"/>
  <c r="J355" i="1" s="1"/>
  <c r="B636" i="1" l="1"/>
  <c r="K355" i="1"/>
  <c r="M355" i="1" a="1"/>
  <c r="M355" i="1" s="1"/>
  <c r="T355" i="1" s="1"/>
  <c r="U355" i="1" s="1"/>
  <c r="L355" i="1" a="1"/>
  <c r="L355" i="1" s="1"/>
  <c r="V355" i="1" s="1"/>
  <c r="W355" i="1" s="1"/>
  <c r="F356" i="1"/>
  <c r="G356" i="1" s="1"/>
  <c r="H356" i="1" s="1"/>
  <c r="P355" i="1" l="1"/>
  <c r="Q355" i="1" s="1"/>
  <c r="R355" i="1" s="1"/>
  <c r="E636" i="1"/>
  <c r="B637" i="1" s="1"/>
  <c r="I356" i="1"/>
  <c r="J356" i="1" s="1"/>
  <c r="K356" i="1" l="1"/>
  <c r="L356" i="1" a="1"/>
  <c r="L356" i="1" s="1"/>
  <c r="V356" i="1" s="1"/>
  <c r="W356" i="1" s="1"/>
  <c r="M356" i="1" a="1"/>
  <c r="M356" i="1" s="1"/>
  <c r="P356" i="1" s="1"/>
  <c r="Q356" i="1" s="1"/>
  <c r="R356" i="1" s="1"/>
  <c r="E637" i="1"/>
  <c r="B638" i="1" s="1"/>
  <c r="E638" i="1" s="1"/>
  <c r="F357" i="1"/>
  <c r="G357" i="1" s="1"/>
  <c r="H357" i="1" s="1"/>
  <c r="T356" i="1" l="1"/>
  <c r="U356" i="1" s="1"/>
  <c r="B639" i="1"/>
  <c r="I357" i="1"/>
  <c r="J357" i="1" s="1"/>
  <c r="F358" i="1" l="1"/>
  <c r="G358" i="1" s="1"/>
  <c r="H358" i="1" s="1"/>
  <c r="M357" i="1" a="1"/>
  <c r="M357" i="1" s="1"/>
  <c r="T357" i="1" s="1"/>
  <c r="U357" i="1" s="1"/>
  <c r="L357" i="1" a="1"/>
  <c r="L357" i="1" s="1"/>
  <c r="V357" i="1" s="1"/>
  <c r="W357" i="1" s="1"/>
  <c r="E639" i="1"/>
  <c r="K357" i="1"/>
  <c r="P357" i="1" l="1"/>
  <c r="Q357" i="1" s="1"/>
  <c r="R357" i="1" s="1"/>
  <c r="B640" i="1"/>
  <c r="I358" i="1"/>
  <c r="J358" i="1" s="1"/>
  <c r="K358" i="1" l="1"/>
  <c r="L358" i="1" a="1"/>
  <c r="L358" i="1" s="1"/>
  <c r="V358" i="1" s="1"/>
  <c r="W358" i="1" s="1"/>
  <c r="M358" i="1" a="1"/>
  <c r="M358" i="1" s="1"/>
  <c r="P358" i="1" s="1"/>
  <c r="Q358" i="1" s="1"/>
  <c r="R358" i="1" s="1"/>
  <c r="E640" i="1"/>
  <c r="B641" i="1" s="1"/>
  <c r="F359" i="1"/>
  <c r="G359" i="1" s="1"/>
  <c r="H359" i="1" s="1"/>
  <c r="T358" i="1" l="1"/>
  <c r="U358" i="1" s="1"/>
  <c r="E641" i="1"/>
  <c r="B642" i="1" s="1"/>
  <c r="I359" i="1"/>
  <c r="J359" i="1" s="1"/>
  <c r="K359" i="1" l="1"/>
  <c r="L359" i="1" a="1"/>
  <c r="L359" i="1" s="1"/>
  <c r="V359" i="1" s="1"/>
  <c r="W359" i="1" s="1"/>
  <c r="M359" i="1" a="1"/>
  <c r="M359" i="1" s="1"/>
  <c r="P359" i="1" s="1"/>
  <c r="Q359" i="1" s="1"/>
  <c r="R359" i="1" s="1"/>
  <c r="E642" i="1"/>
  <c r="B643" i="1" s="1"/>
  <c r="F360" i="1"/>
  <c r="G360" i="1" s="1"/>
  <c r="H360" i="1" s="1"/>
  <c r="E643" i="1" l="1"/>
  <c r="B644" i="1" s="1"/>
  <c r="E644" i="1" s="1"/>
  <c r="T359" i="1"/>
  <c r="U359" i="1" s="1"/>
  <c r="I360" i="1"/>
  <c r="J360" i="1" s="1"/>
  <c r="B645" i="1" l="1"/>
  <c r="K360" i="1"/>
  <c r="M360" i="1" a="1"/>
  <c r="M360" i="1" s="1"/>
  <c r="T360" i="1" s="1"/>
  <c r="U360" i="1" s="1"/>
  <c r="L360" i="1" a="1"/>
  <c r="L360" i="1" s="1"/>
  <c r="V360" i="1" s="1"/>
  <c r="W360" i="1" s="1"/>
  <c r="F361" i="1"/>
  <c r="G361" i="1" s="1"/>
  <c r="H361" i="1" s="1"/>
  <c r="I361" i="1" s="1"/>
  <c r="P360" i="1" l="1"/>
  <c r="Q360" i="1" s="1"/>
  <c r="R360" i="1" s="1"/>
  <c r="E645" i="1"/>
  <c r="B646" i="1" s="1"/>
  <c r="J361" i="1"/>
  <c r="E646" i="1" l="1"/>
  <c r="B647" i="1" s="1"/>
  <c r="K361" i="1"/>
  <c r="M361" i="1" a="1"/>
  <c r="M361" i="1" s="1"/>
  <c r="P361" i="1" s="1"/>
  <c r="Q361" i="1" s="1"/>
  <c r="R361" i="1" s="1"/>
  <c r="L361" i="1" a="1"/>
  <c r="L361" i="1" s="1"/>
  <c r="V361" i="1" s="1"/>
  <c r="W361" i="1" s="1"/>
  <c r="F362" i="1"/>
  <c r="G362" i="1" s="1"/>
  <c r="H362" i="1" s="1"/>
  <c r="T361" i="1" l="1"/>
  <c r="U361" i="1" s="1"/>
  <c r="E647" i="1"/>
  <c r="B648" i="1" s="1"/>
  <c r="I362" i="1"/>
  <c r="J362" i="1" s="1"/>
  <c r="K362" i="1" s="1"/>
  <c r="L362" i="1" l="1" a="1"/>
  <c r="L362" i="1" s="1"/>
  <c r="V362" i="1" s="1"/>
  <c r="W362" i="1" s="1"/>
  <c r="M362" i="1" a="1"/>
  <c r="M362" i="1" s="1"/>
  <c r="P362" i="1" s="1"/>
  <c r="Q362" i="1" s="1"/>
  <c r="R362" i="1" s="1"/>
  <c r="E648" i="1"/>
  <c r="B649" i="1" s="1"/>
  <c r="F363" i="1"/>
  <c r="G363" i="1" s="1"/>
  <c r="H363" i="1" s="1"/>
  <c r="T362" i="1" l="1"/>
  <c r="U362" i="1" s="1"/>
  <c r="E649" i="1"/>
  <c r="B650" i="1" s="1"/>
  <c r="I363" i="1"/>
  <c r="J363" i="1" s="1"/>
  <c r="F364" i="1" s="1"/>
  <c r="G364" i="1" s="1"/>
  <c r="K363" i="1" l="1"/>
  <c r="M363" i="1" a="1"/>
  <c r="M363" i="1" s="1"/>
  <c r="P363" i="1" s="1"/>
  <c r="Q363" i="1" s="1"/>
  <c r="R363" i="1" s="1"/>
  <c r="L363" i="1" a="1"/>
  <c r="L363" i="1" s="1"/>
  <c r="V363" i="1" s="1"/>
  <c r="W363" i="1" s="1"/>
  <c r="E650" i="1"/>
  <c r="B651" i="1" s="1"/>
  <c r="H364" i="1"/>
  <c r="E651" i="1" l="1"/>
  <c r="B652" i="1" s="1"/>
  <c r="T363" i="1"/>
  <c r="U363" i="1" s="1"/>
  <c r="I364" i="1"/>
  <c r="J364" i="1" s="1"/>
  <c r="L364" i="1" l="1" a="1"/>
  <c r="L364" i="1" s="1"/>
  <c r="V364" i="1" s="1"/>
  <c r="W364" i="1" s="1"/>
  <c r="M364" i="1" a="1"/>
  <c r="M364" i="1" s="1"/>
  <c r="P364" i="1" s="1"/>
  <c r="Q364" i="1" s="1"/>
  <c r="R364" i="1" s="1"/>
  <c r="E652" i="1"/>
  <c r="B653" i="1" s="1"/>
  <c r="F365" i="1"/>
  <c r="G365" i="1" s="1"/>
  <c r="H365" i="1" s="1"/>
  <c r="K364" i="1"/>
  <c r="E653" i="1" l="1"/>
  <c r="B654" i="1" s="1"/>
  <c r="T364" i="1"/>
  <c r="U364" i="1" s="1"/>
  <c r="I365" i="1"/>
  <c r="J365" i="1" s="1"/>
  <c r="F366" i="1" l="1"/>
  <c r="G366" i="1" s="1"/>
  <c r="H366" i="1" s="1"/>
  <c r="L365" i="1" a="1"/>
  <c r="L365" i="1" s="1"/>
  <c r="V365" i="1" s="1"/>
  <c r="W365" i="1" s="1"/>
  <c r="M365" i="1" a="1"/>
  <c r="M365" i="1" s="1"/>
  <c r="P365" i="1" s="1"/>
  <c r="Q365" i="1" s="1"/>
  <c r="R365" i="1" s="1"/>
  <c r="E654" i="1"/>
  <c r="B655" i="1" s="1"/>
  <c r="K365" i="1"/>
  <c r="T365" i="1" l="1"/>
  <c r="U365" i="1" s="1"/>
  <c r="E655" i="1"/>
  <c r="B656" i="1" s="1"/>
  <c r="I366" i="1"/>
  <c r="J366" i="1" s="1"/>
  <c r="K366" i="1" l="1"/>
  <c r="M366" i="1" a="1"/>
  <c r="M366" i="1" s="1"/>
  <c r="T366" i="1" s="1"/>
  <c r="U366" i="1" s="1"/>
  <c r="L366" i="1" a="1"/>
  <c r="L366" i="1" s="1"/>
  <c r="V366" i="1" s="1"/>
  <c r="W366" i="1" s="1"/>
  <c r="E656" i="1"/>
  <c r="B657" i="1" s="1"/>
  <c r="F367" i="1"/>
  <c r="G367" i="1" s="1"/>
  <c r="H367" i="1" s="1"/>
  <c r="P366" i="1" l="1"/>
  <c r="Q366" i="1" s="1"/>
  <c r="R366" i="1" s="1"/>
  <c r="E657" i="1"/>
  <c r="B658" i="1" s="1"/>
  <c r="I367" i="1"/>
  <c r="J367" i="1" s="1"/>
  <c r="E658" i="1" l="1"/>
  <c r="B659" i="1" s="1"/>
  <c r="K367" i="1"/>
  <c r="M367" i="1" a="1"/>
  <c r="M367" i="1" s="1"/>
  <c r="T367" i="1" s="1"/>
  <c r="U367" i="1" s="1"/>
  <c r="L367" i="1" a="1"/>
  <c r="L367" i="1" s="1"/>
  <c r="V367" i="1" s="1"/>
  <c r="W367" i="1" s="1"/>
  <c r="F368" i="1"/>
  <c r="G368" i="1" s="1"/>
  <c r="H368" i="1" s="1"/>
  <c r="E659" i="1" l="1"/>
  <c r="B660" i="1" s="1"/>
  <c r="E660" i="1" s="1"/>
  <c r="P367" i="1"/>
  <c r="Q367" i="1" s="1"/>
  <c r="R367" i="1" s="1"/>
  <c r="I368" i="1"/>
  <c r="J368" i="1" s="1"/>
  <c r="K368" i="1" s="1"/>
  <c r="B661" i="1" l="1"/>
  <c r="M368" i="1" a="1"/>
  <c r="M368" i="1" s="1"/>
  <c r="P368" i="1" s="1"/>
  <c r="Q368" i="1" s="1"/>
  <c r="R368" i="1" s="1"/>
  <c r="L368" i="1" a="1"/>
  <c r="L368" i="1" s="1"/>
  <c r="V368" i="1" s="1"/>
  <c r="W368" i="1" s="1"/>
  <c r="F369" i="1"/>
  <c r="G369" i="1" s="1"/>
  <c r="H369" i="1" s="1"/>
  <c r="T368" i="1" l="1"/>
  <c r="U368" i="1" s="1"/>
  <c r="E661" i="1"/>
  <c r="B662" i="1" s="1"/>
  <c r="I369" i="1"/>
  <c r="J369" i="1" s="1"/>
  <c r="E662" i="1" l="1"/>
  <c r="B663" i="1" s="1"/>
  <c r="E663" i="1" s="1"/>
  <c r="K369" i="1"/>
  <c r="L369" i="1" a="1"/>
  <c r="L369" i="1" s="1"/>
  <c r="V369" i="1" s="1"/>
  <c r="W369" i="1" s="1"/>
  <c r="M369" i="1" a="1"/>
  <c r="M369" i="1" s="1"/>
  <c r="T369" i="1" s="1"/>
  <c r="U369" i="1" s="1"/>
  <c r="F370" i="1"/>
  <c r="G370" i="1" s="1"/>
  <c r="H370" i="1" s="1"/>
  <c r="B664" i="1" l="1"/>
  <c r="P369" i="1"/>
  <c r="Q369" i="1" s="1"/>
  <c r="R369" i="1" s="1"/>
  <c r="I370" i="1"/>
  <c r="J370" i="1" s="1"/>
  <c r="K370" i="1" l="1"/>
  <c r="M370" i="1" a="1"/>
  <c r="M370" i="1" s="1"/>
  <c r="P370" i="1" s="1"/>
  <c r="Q370" i="1" s="1"/>
  <c r="R370" i="1" s="1"/>
  <c r="L370" i="1" a="1"/>
  <c r="L370" i="1" s="1"/>
  <c r="V370" i="1" s="1"/>
  <c r="W370" i="1" s="1"/>
  <c r="E664" i="1"/>
  <c r="B665" i="1" s="1"/>
  <c r="F371" i="1"/>
  <c r="G371" i="1" s="1"/>
  <c r="H371" i="1" s="1"/>
  <c r="E665" i="1" l="1"/>
  <c r="B666" i="1" s="1"/>
  <c r="T370" i="1"/>
  <c r="U370" i="1" s="1"/>
  <c r="I371" i="1"/>
  <c r="J371" i="1" s="1"/>
  <c r="K371" i="1" l="1"/>
  <c r="M371" i="1" a="1"/>
  <c r="M371" i="1" s="1"/>
  <c r="P371" i="1" s="1"/>
  <c r="Q371" i="1" s="1"/>
  <c r="R371" i="1" s="1"/>
  <c r="L371" i="1" a="1"/>
  <c r="L371" i="1" s="1"/>
  <c r="V371" i="1" s="1"/>
  <c r="W371" i="1" s="1"/>
  <c r="E666" i="1"/>
  <c r="B667" i="1" s="1"/>
  <c r="F372" i="1"/>
  <c r="G372" i="1" s="1"/>
  <c r="H372" i="1" s="1"/>
  <c r="E667" i="1" l="1"/>
  <c r="B668" i="1" s="1"/>
  <c r="E668" i="1" s="1"/>
  <c r="T371" i="1"/>
  <c r="U371" i="1" s="1"/>
  <c r="I372" i="1"/>
  <c r="J372" i="1" s="1"/>
  <c r="K372" i="1" l="1"/>
  <c r="M372" i="1" a="1"/>
  <c r="M372" i="1" s="1"/>
  <c r="T372" i="1" s="1"/>
  <c r="U372" i="1" s="1"/>
  <c r="L372" i="1" a="1"/>
  <c r="L372" i="1" s="1"/>
  <c r="V372" i="1" s="1"/>
  <c r="W372" i="1" s="1"/>
  <c r="B669" i="1"/>
  <c r="F373" i="1"/>
  <c r="G373" i="1" s="1"/>
  <c r="H373" i="1" s="1"/>
  <c r="P372" i="1" l="1"/>
  <c r="Q372" i="1" s="1"/>
  <c r="R372" i="1" s="1"/>
  <c r="E669" i="1"/>
  <c r="I373" i="1"/>
  <c r="J373" i="1" s="1"/>
  <c r="F374" i="1" l="1"/>
  <c r="G374" i="1" s="1"/>
  <c r="H374" i="1" s="1"/>
  <c r="L373" i="1" a="1"/>
  <c r="L373" i="1" s="1"/>
  <c r="V373" i="1" s="1"/>
  <c r="W373" i="1" s="1"/>
  <c r="M373" i="1" a="1"/>
  <c r="M373" i="1" s="1"/>
  <c r="P373" i="1" s="1"/>
  <c r="Q373" i="1" s="1"/>
  <c r="R373" i="1" s="1"/>
  <c r="B670" i="1"/>
  <c r="E670" i="1" s="1"/>
  <c r="K373" i="1"/>
  <c r="B671" i="1" l="1"/>
  <c r="T373" i="1"/>
  <c r="U373" i="1" s="1"/>
  <c r="I374" i="1"/>
  <c r="J374" i="1" s="1"/>
  <c r="F375" i="1" l="1"/>
  <c r="G375" i="1" s="1"/>
  <c r="H375" i="1" s="1"/>
  <c r="L374" i="1" a="1"/>
  <c r="L374" i="1" s="1"/>
  <c r="V374" i="1" s="1"/>
  <c r="W374" i="1" s="1"/>
  <c r="M374" i="1" a="1"/>
  <c r="M374" i="1" s="1"/>
  <c r="P374" i="1" s="1"/>
  <c r="Q374" i="1" s="1"/>
  <c r="R374" i="1" s="1"/>
  <c r="E671" i="1"/>
  <c r="K374" i="1"/>
  <c r="T374" i="1" l="1"/>
  <c r="U374" i="1" s="1"/>
  <c r="B672" i="1"/>
  <c r="E672" i="1" s="1"/>
  <c r="I375" i="1"/>
  <c r="J375" i="1" s="1"/>
  <c r="K375" i="1" l="1"/>
  <c r="L375" i="1" a="1"/>
  <c r="L375" i="1" s="1"/>
  <c r="V375" i="1" s="1"/>
  <c r="W375" i="1" s="1"/>
  <c r="M375" i="1" a="1"/>
  <c r="M375" i="1" s="1"/>
  <c r="T375" i="1" s="1"/>
  <c r="U375" i="1" s="1"/>
  <c r="B673" i="1"/>
  <c r="F376" i="1"/>
  <c r="G376" i="1" s="1"/>
  <c r="H376" i="1" s="1"/>
  <c r="P375" i="1" l="1"/>
  <c r="Q375" i="1" s="1"/>
  <c r="R375" i="1" s="1"/>
  <c r="E673" i="1"/>
  <c r="B674" i="1" s="1"/>
  <c r="I376" i="1"/>
  <c r="J376" i="1" s="1"/>
  <c r="F377" i="1" l="1"/>
  <c r="G377" i="1" s="1"/>
  <c r="H377" i="1" s="1"/>
  <c r="M376" i="1" a="1"/>
  <c r="M376" i="1" s="1"/>
  <c r="T376" i="1" s="1"/>
  <c r="U376" i="1" s="1"/>
  <c r="L376" i="1" a="1"/>
  <c r="L376" i="1" s="1"/>
  <c r="V376" i="1" s="1"/>
  <c r="W376" i="1" s="1"/>
  <c r="E674" i="1"/>
  <c r="B675" i="1" s="1"/>
  <c r="K376" i="1"/>
  <c r="P376" i="1" l="1"/>
  <c r="Q376" i="1" s="1"/>
  <c r="R376" i="1" s="1"/>
  <c r="E675" i="1"/>
  <c r="B676" i="1" s="1"/>
  <c r="I377" i="1"/>
  <c r="J377" i="1" s="1"/>
  <c r="K377" i="1" l="1"/>
  <c r="M377" i="1" a="1"/>
  <c r="M377" i="1" s="1"/>
  <c r="P377" i="1" s="1"/>
  <c r="Q377" i="1" s="1"/>
  <c r="R377" i="1" s="1"/>
  <c r="L377" i="1" a="1"/>
  <c r="L377" i="1" s="1"/>
  <c r="V377" i="1" s="1"/>
  <c r="W377" i="1" s="1"/>
  <c r="E676" i="1"/>
  <c r="B677" i="1" s="1"/>
  <c r="F378" i="1"/>
  <c r="G378" i="1" s="1"/>
  <c r="H378" i="1" s="1"/>
  <c r="T377" i="1" l="1"/>
  <c r="U377" i="1" s="1"/>
  <c r="E677" i="1"/>
  <c r="B678" i="1" s="1"/>
  <c r="I378" i="1"/>
  <c r="J378" i="1" s="1"/>
  <c r="F379" i="1" l="1"/>
  <c r="G379" i="1" s="1"/>
  <c r="H379" i="1" s="1"/>
  <c r="L378" i="1" a="1"/>
  <c r="L378" i="1" s="1"/>
  <c r="V378" i="1" s="1"/>
  <c r="W378" i="1" s="1"/>
  <c r="M378" i="1" a="1"/>
  <c r="M378" i="1" s="1"/>
  <c r="P378" i="1" s="1"/>
  <c r="Q378" i="1" s="1"/>
  <c r="R378" i="1" s="1"/>
  <c r="E678" i="1"/>
  <c r="B679" i="1" s="1"/>
  <c r="K378" i="1"/>
  <c r="E679" i="1" l="1"/>
  <c r="B680" i="1" s="1"/>
  <c r="E680" i="1" s="1"/>
  <c r="T378" i="1"/>
  <c r="U378" i="1" s="1"/>
  <c r="I379" i="1"/>
  <c r="J379" i="1" s="1"/>
  <c r="K379" i="1" s="1"/>
  <c r="B681" i="1" l="1"/>
  <c r="L379" i="1" a="1"/>
  <c r="L379" i="1" s="1"/>
  <c r="V379" i="1" s="1"/>
  <c r="W379" i="1" s="1"/>
  <c r="M379" i="1" a="1"/>
  <c r="M379" i="1" s="1"/>
  <c r="P379" i="1" s="1"/>
  <c r="Q379" i="1" s="1"/>
  <c r="R379" i="1" s="1"/>
  <c r="F380" i="1"/>
  <c r="G380" i="1" s="1"/>
  <c r="H380" i="1" s="1"/>
  <c r="T379" i="1" l="1"/>
  <c r="U379" i="1" s="1"/>
  <c r="E681" i="1"/>
  <c r="B682" i="1" s="1"/>
  <c r="I380" i="1"/>
  <c r="J380" i="1" s="1"/>
  <c r="F381" i="1" l="1"/>
  <c r="G381" i="1" s="1"/>
  <c r="H381" i="1" s="1"/>
  <c r="M380" i="1" a="1"/>
  <c r="M380" i="1" s="1"/>
  <c r="T380" i="1" s="1"/>
  <c r="U380" i="1" s="1"/>
  <c r="L380" i="1" a="1"/>
  <c r="L380" i="1" s="1"/>
  <c r="V380" i="1" s="1"/>
  <c r="W380" i="1" s="1"/>
  <c r="E682" i="1"/>
  <c r="B683" i="1" s="1"/>
  <c r="K380" i="1"/>
  <c r="E683" i="1" l="1"/>
  <c r="B684" i="1" s="1"/>
  <c r="P380" i="1"/>
  <c r="Q380" i="1" s="1"/>
  <c r="R380" i="1" s="1"/>
  <c r="I381" i="1"/>
  <c r="J381" i="1" s="1"/>
  <c r="F382" i="1" l="1"/>
  <c r="G382" i="1" s="1"/>
  <c r="H382" i="1" s="1"/>
  <c r="M381" i="1" a="1"/>
  <c r="M381" i="1" s="1"/>
  <c r="T381" i="1" s="1"/>
  <c r="U381" i="1" s="1"/>
  <c r="L381" i="1" a="1"/>
  <c r="L381" i="1" s="1"/>
  <c r="V381" i="1" s="1"/>
  <c r="W381" i="1" s="1"/>
  <c r="E684" i="1"/>
  <c r="K381" i="1"/>
  <c r="P381" i="1" l="1"/>
  <c r="Q381" i="1" s="1"/>
  <c r="R381" i="1" s="1"/>
  <c r="B685" i="1"/>
  <c r="I382" i="1"/>
  <c r="J382" i="1" s="1"/>
  <c r="K382" i="1" l="1"/>
  <c r="M382" i="1" a="1"/>
  <c r="M382" i="1" s="1"/>
  <c r="T382" i="1" s="1"/>
  <c r="U382" i="1" s="1"/>
  <c r="L382" i="1" a="1"/>
  <c r="L382" i="1" s="1"/>
  <c r="V382" i="1" s="1"/>
  <c r="W382" i="1" s="1"/>
  <c r="E685" i="1"/>
  <c r="B686" i="1" s="1"/>
  <c r="F383" i="1"/>
  <c r="G383" i="1" s="1"/>
  <c r="H383" i="1" s="1"/>
  <c r="P382" i="1" l="1"/>
  <c r="Q382" i="1" s="1"/>
  <c r="R382" i="1" s="1"/>
  <c r="E686" i="1"/>
  <c r="B687" i="1" s="1"/>
  <c r="I383" i="1"/>
  <c r="J383" i="1" s="1"/>
  <c r="K383" i="1" l="1"/>
  <c r="M383" i="1" a="1"/>
  <c r="M383" i="1" s="1"/>
  <c r="T383" i="1" s="1"/>
  <c r="U383" i="1" s="1"/>
  <c r="L383" i="1" a="1"/>
  <c r="L383" i="1" s="1"/>
  <c r="V383" i="1" s="1"/>
  <c r="W383" i="1" s="1"/>
  <c r="F384" i="1"/>
  <c r="G384" i="1" s="1"/>
  <c r="H384" i="1" s="1"/>
  <c r="E687" i="1"/>
  <c r="B688" i="1" s="1"/>
  <c r="E688" i="1" s="1"/>
  <c r="P383" i="1" l="1"/>
  <c r="Q383" i="1" s="1"/>
  <c r="R383" i="1" s="1"/>
  <c r="B689" i="1"/>
  <c r="I384" i="1"/>
  <c r="J384" i="1" s="1"/>
  <c r="F385" i="1" l="1"/>
  <c r="G385" i="1" s="1"/>
  <c r="H385" i="1" s="1"/>
  <c r="L384" i="1" a="1"/>
  <c r="L384" i="1" s="1"/>
  <c r="V384" i="1" s="1"/>
  <c r="W384" i="1" s="1"/>
  <c r="M384" i="1" a="1"/>
  <c r="M384" i="1" s="1"/>
  <c r="P384" i="1" s="1"/>
  <c r="Q384" i="1" s="1"/>
  <c r="R384" i="1" s="1"/>
  <c r="E689" i="1"/>
  <c r="B690" i="1" s="1"/>
  <c r="K384" i="1"/>
  <c r="T384" i="1" l="1"/>
  <c r="U384" i="1" s="1"/>
  <c r="E690" i="1"/>
  <c r="B691" i="1" s="1"/>
  <c r="I385" i="1"/>
  <c r="J385" i="1" s="1"/>
  <c r="E691" i="1" l="1"/>
  <c r="B692" i="1" s="1"/>
  <c r="E692" i="1" s="1"/>
  <c r="K385" i="1"/>
  <c r="M385" i="1" a="1"/>
  <c r="M385" i="1" s="1"/>
  <c r="T385" i="1" s="1"/>
  <c r="U385" i="1" s="1"/>
  <c r="L385" i="1" a="1"/>
  <c r="L385" i="1" s="1"/>
  <c r="V385" i="1" s="1"/>
  <c r="W385" i="1" s="1"/>
  <c r="F386" i="1"/>
  <c r="G386" i="1" s="1"/>
  <c r="H386" i="1" s="1"/>
  <c r="B693" i="1" l="1"/>
  <c r="P385" i="1"/>
  <c r="Q385" i="1" s="1"/>
  <c r="R385" i="1" s="1"/>
  <c r="I386" i="1"/>
  <c r="J386" i="1" s="1"/>
  <c r="K386" i="1" l="1"/>
  <c r="M386" i="1" a="1"/>
  <c r="M386" i="1" s="1"/>
  <c r="P386" i="1" s="1"/>
  <c r="Q386" i="1" s="1"/>
  <c r="R386" i="1" s="1"/>
  <c r="L386" i="1" a="1"/>
  <c r="L386" i="1" s="1"/>
  <c r="V386" i="1" s="1"/>
  <c r="W386" i="1" s="1"/>
  <c r="E693" i="1"/>
  <c r="B694" i="1" s="1"/>
  <c r="F387" i="1"/>
  <c r="G387" i="1" s="1"/>
  <c r="H387" i="1" s="1"/>
  <c r="T386" i="1" l="1"/>
  <c r="U386" i="1" s="1"/>
  <c r="E694" i="1"/>
  <c r="B695" i="1" s="1"/>
  <c r="I387" i="1"/>
  <c r="J387" i="1" s="1"/>
  <c r="K387" i="1" l="1"/>
  <c r="M387" i="1" a="1"/>
  <c r="M387" i="1" s="1"/>
  <c r="P387" i="1" s="1"/>
  <c r="Q387" i="1" s="1"/>
  <c r="R387" i="1" s="1"/>
  <c r="L387" i="1" a="1"/>
  <c r="L387" i="1" s="1"/>
  <c r="V387" i="1" s="1"/>
  <c r="W387" i="1" s="1"/>
  <c r="E695" i="1"/>
  <c r="B696" i="1" s="1"/>
  <c r="F388" i="1"/>
  <c r="G388" i="1" s="1"/>
  <c r="H388" i="1" s="1"/>
  <c r="E696" i="1" l="1"/>
  <c r="B697" i="1" s="1"/>
  <c r="T387" i="1"/>
  <c r="U387" i="1" s="1"/>
  <c r="I388" i="1"/>
  <c r="J388" i="1" s="1"/>
  <c r="E697" i="1" l="1"/>
  <c r="B698" i="1" s="1"/>
  <c r="E698" i="1" s="1"/>
  <c r="K388" i="1"/>
  <c r="M388" i="1" a="1"/>
  <c r="M388" i="1" s="1"/>
  <c r="T388" i="1" s="1"/>
  <c r="U388" i="1" s="1"/>
  <c r="L388" i="1" a="1"/>
  <c r="L388" i="1" s="1"/>
  <c r="V388" i="1" s="1"/>
  <c r="W388" i="1" s="1"/>
  <c r="F389" i="1"/>
  <c r="G389" i="1" s="1"/>
  <c r="H389" i="1" s="1"/>
  <c r="P388" i="1" l="1"/>
  <c r="Q388" i="1" s="1"/>
  <c r="R388" i="1" s="1"/>
  <c r="B699" i="1"/>
  <c r="I389" i="1"/>
  <c r="J389" i="1" s="1"/>
  <c r="K389" i="1" s="1"/>
  <c r="F390" i="1" l="1"/>
  <c r="G390" i="1" s="1"/>
  <c r="H390" i="1" s="1"/>
  <c r="E699" i="1"/>
  <c r="B700" i="1" s="1"/>
  <c r="L389" i="1" a="1"/>
  <c r="L389" i="1" s="1"/>
  <c r="V389" i="1" s="1"/>
  <c r="W389" i="1" s="1"/>
  <c r="M389" i="1" a="1"/>
  <c r="M389" i="1" s="1"/>
  <c r="T389" i="1" s="1"/>
  <c r="U389" i="1" s="1"/>
  <c r="P389" i="1" l="1"/>
  <c r="Q389" i="1" s="1"/>
  <c r="R389" i="1" s="1"/>
  <c r="E700" i="1"/>
  <c r="B701" i="1" s="1"/>
  <c r="I390" i="1"/>
  <c r="J390" i="1" s="1"/>
  <c r="E701" i="1" l="1"/>
  <c r="B702" i="1" s="1"/>
  <c r="F391" i="1"/>
  <c r="G391" i="1" s="1"/>
  <c r="H391" i="1" s="1"/>
  <c r="M390" i="1" a="1"/>
  <c r="M390" i="1" s="1"/>
  <c r="T390" i="1" s="1"/>
  <c r="U390" i="1" s="1"/>
  <c r="L390" i="1" a="1"/>
  <c r="L390" i="1" s="1"/>
  <c r="V390" i="1" s="1"/>
  <c r="W390" i="1" s="1"/>
  <c r="K390" i="1"/>
  <c r="E702" i="1" l="1"/>
  <c r="B703" i="1" s="1"/>
  <c r="E703" i="1" s="1"/>
  <c r="P390" i="1"/>
  <c r="Q390" i="1" s="1"/>
  <c r="R390" i="1" s="1"/>
  <c r="I391" i="1"/>
  <c r="J391" i="1" s="1"/>
  <c r="B704" i="1" l="1"/>
  <c r="F392" i="1"/>
  <c r="G392" i="1" s="1"/>
  <c r="H392" i="1" s="1"/>
  <c r="M391" i="1" a="1"/>
  <c r="M391" i="1" s="1"/>
  <c r="P391" i="1" s="1"/>
  <c r="Q391" i="1" s="1"/>
  <c r="R391" i="1" s="1"/>
  <c r="L391" i="1" a="1"/>
  <c r="L391" i="1" s="1"/>
  <c r="V391" i="1" s="1"/>
  <c r="W391" i="1" s="1"/>
  <c r="K391" i="1"/>
  <c r="T391" i="1" l="1"/>
  <c r="U391" i="1" s="1"/>
  <c r="E704" i="1"/>
  <c r="B705" i="1" s="1"/>
  <c r="I392" i="1"/>
  <c r="J392" i="1" s="1"/>
  <c r="E705" i="1" l="1"/>
  <c r="B706" i="1" s="1"/>
  <c r="F393" i="1"/>
  <c r="G393" i="1" s="1"/>
  <c r="H393" i="1" s="1"/>
  <c r="M392" i="1" a="1"/>
  <c r="M392" i="1" s="1"/>
  <c r="T392" i="1" s="1"/>
  <c r="U392" i="1" s="1"/>
  <c r="L392" i="1" a="1"/>
  <c r="L392" i="1" s="1"/>
  <c r="V392" i="1" s="1"/>
  <c r="W392" i="1" s="1"/>
  <c r="K392" i="1"/>
  <c r="P392" i="1" l="1"/>
  <c r="Q392" i="1" s="1"/>
  <c r="R392" i="1" s="1"/>
  <c r="E706" i="1"/>
  <c r="B707" i="1" s="1"/>
  <c r="I393" i="1"/>
  <c r="J393" i="1" s="1"/>
  <c r="F394" i="1" l="1"/>
  <c r="G394" i="1" s="1"/>
  <c r="H394" i="1" s="1"/>
  <c r="M393" i="1" a="1"/>
  <c r="M393" i="1" s="1"/>
  <c r="P393" i="1" s="1"/>
  <c r="Q393" i="1" s="1"/>
  <c r="R393" i="1" s="1"/>
  <c r="L393" i="1" a="1"/>
  <c r="L393" i="1" s="1"/>
  <c r="V393" i="1" s="1"/>
  <c r="W393" i="1" s="1"/>
  <c r="E707" i="1"/>
  <c r="B708" i="1" s="1"/>
  <c r="K393" i="1"/>
  <c r="T393" i="1" l="1"/>
  <c r="U393" i="1" s="1"/>
  <c r="E708" i="1"/>
  <c r="B709" i="1" s="1"/>
  <c r="I394" i="1"/>
  <c r="J394" i="1" s="1"/>
  <c r="E709" i="1" l="1"/>
  <c r="B710" i="1" s="1"/>
  <c r="K394" i="1"/>
  <c r="L394" i="1" a="1"/>
  <c r="L394" i="1" s="1"/>
  <c r="V394" i="1" s="1"/>
  <c r="W394" i="1" s="1"/>
  <c r="M394" i="1" a="1"/>
  <c r="M394" i="1" s="1"/>
  <c r="T394" i="1" s="1"/>
  <c r="U394" i="1" s="1"/>
  <c r="F395" i="1"/>
  <c r="G395" i="1" s="1"/>
  <c r="H395" i="1" s="1"/>
  <c r="P394" i="1" l="1"/>
  <c r="Q394" i="1" s="1"/>
  <c r="R394" i="1" s="1"/>
  <c r="E710" i="1"/>
  <c r="I395" i="1"/>
  <c r="J395" i="1" s="1"/>
  <c r="K395" i="1" l="1"/>
  <c r="L395" i="1" a="1"/>
  <c r="L395" i="1" s="1"/>
  <c r="V395" i="1" s="1"/>
  <c r="W395" i="1" s="1"/>
  <c r="M395" i="1" a="1"/>
  <c r="M395" i="1" s="1"/>
  <c r="T395" i="1" s="1"/>
  <c r="U395" i="1" s="1"/>
  <c r="B711" i="1"/>
  <c r="E711" i="1" s="1"/>
  <c r="F396" i="1"/>
  <c r="G396" i="1" s="1"/>
  <c r="H396" i="1" s="1"/>
  <c r="P395" i="1" l="1"/>
  <c r="Q395" i="1" s="1"/>
  <c r="R395" i="1" s="1"/>
  <c r="B712" i="1"/>
  <c r="I396" i="1"/>
  <c r="J396" i="1" s="1"/>
  <c r="K396" i="1" l="1"/>
  <c r="M396" i="1" a="1"/>
  <c r="M396" i="1" s="1"/>
  <c r="T396" i="1" s="1"/>
  <c r="U396" i="1" s="1"/>
  <c r="L396" i="1" a="1"/>
  <c r="L396" i="1" s="1"/>
  <c r="V396" i="1" s="1"/>
  <c r="W396" i="1" s="1"/>
  <c r="E712" i="1"/>
  <c r="B713" i="1" s="1"/>
  <c r="F397" i="1"/>
  <c r="G397" i="1" s="1"/>
  <c r="H397" i="1" s="1"/>
  <c r="P396" i="1" l="1"/>
  <c r="Q396" i="1" s="1"/>
  <c r="R396" i="1" s="1"/>
  <c r="E713" i="1"/>
  <c r="B714" i="1" s="1"/>
  <c r="I397" i="1"/>
  <c r="J397" i="1" s="1"/>
  <c r="E714" i="1" l="1"/>
  <c r="B715" i="1" s="1"/>
  <c r="F398" i="1"/>
  <c r="G398" i="1" s="1"/>
  <c r="H398" i="1" s="1"/>
  <c r="M397" i="1" a="1"/>
  <c r="M397" i="1" s="1"/>
  <c r="P397" i="1" s="1"/>
  <c r="Q397" i="1" s="1"/>
  <c r="R397" i="1" s="1"/>
  <c r="L397" i="1" a="1"/>
  <c r="L397" i="1" s="1"/>
  <c r="V397" i="1" s="1"/>
  <c r="W397" i="1" s="1"/>
  <c r="K397" i="1"/>
  <c r="E715" i="1" l="1"/>
  <c r="T397" i="1"/>
  <c r="U397" i="1" s="1"/>
  <c r="I398" i="1"/>
  <c r="J398" i="1" s="1"/>
  <c r="F399" i="1" l="1"/>
  <c r="G399" i="1" s="1"/>
  <c r="H399" i="1" s="1"/>
  <c r="M398" i="1" a="1"/>
  <c r="M398" i="1" s="1"/>
  <c r="T398" i="1" s="1"/>
  <c r="U398" i="1" s="1"/>
  <c r="L398" i="1" a="1"/>
  <c r="L398" i="1" s="1"/>
  <c r="V398" i="1" s="1"/>
  <c r="W398" i="1" s="1"/>
  <c r="B716" i="1"/>
  <c r="E716" i="1" s="1"/>
  <c r="K398" i="1"/>
  <c r="P398" i="1" l="1"/>
  <c r="Q398" i="1" s="1"/>
  <c r="R398" i="1" s="1"/>
  <c r="B717" i="1"/>
  <c r="I399" i="1"/>
  <c r="J399" i="1" s="1"/>
  <c r="F400" i="1" l="1"/>
  <c r="G400" i="1" s="1"/>
  <c r="H400" i="1" s="1"/>
  <c r="L399" i="1" a="1"/>
  <c r="L399" i="1" s="1"/>
  <c r="V399" i="1" s="1"/>
  <c r="W399" i="1" s="1"/>
  <c r="M399" i="1" a="1"/>
  <c r="M399" i="1" s="1"/>
  <c r="P399" i="1" s="1"/>
  <c r="Q399" i="1" s="1"/>
  <c r="R399" i="1" s="1"/>
  <c r="E717" i="1"/>
  <c r="B718" i="1" s="1"/>
  <c r="K399" i="1"/>
  <c r="E718" i="1" l="1"/>
  <c r="B719" i="1" s="1"/>
  <c r="T399" i="1"/>
  <c r="U399" i="1" s="1"/>
  <c r="I400" i="1"/>
  <c r="J400" i="1" s="1"/>
  <c r="E719" i="1" l="1"/>
  <c r="B720" i="1" s="1"/>
  <c r="E720" i="1" s="1"/>
  <c r="K400" i="1"/>
  <c r="L400" i="1" a="1"/>
  <c r="L400" i="1" s="1"/>
  <c r="V400" i="1" s="1"/>
  <c r="W400" i="1" s="1"/>
  <c r="M400" i="1" a="1"/>
  <c r="M400" i="1" s="1"/>
  <c r="P400" i="1" s="1"/>
  <c r="Q400" i="1" s="1"/>
  <c r="R400" i="1" s="1"/>
  <c r="F401" i="1"/>
  <c r="G401" i="1" s="1"/>
  <c r="H401" i="1" s="1"/>
  <c r="B721" i="1" l="1"/>
  <c r="T400" i="1"/>
  <c r="U400" i="1" s="1"/>
  <c r="I401" i="1"/>
  <c r="J401" i="1" s="1"/>
  <c r="K401" i="1" l="1"/>
  <c r="M401" i="1" a="1"/>
  <c r="M401" i="1" s="1"/>
  <c r="T401" i="1" s="1"/>
  <c r="U401" i="1" s="1"/>
  <c r="L401" i="1" a="1"/>
  <c r="L401" i="1" s="1"/>
  <c r="V401" i="1" s="1"/>
  <c r="W401" i="1" s="1"/>
  <c r="E721" i="1"/>
  <c r="F402" i="1"/>
  <c r="G402" i="1" s="1"/>
  <c r="H402" i="1" s="1"/>
  <c r="P401" i="1" l="1"/>
  <c r="Q401" i="1" s="1"/>
  <c r="R401" i="1" s="1"/>
  <c r="B722" i="1"/>
  <c r="I402" i="1"/>
  <c r="J402" i="1" s="1"/>
  <c r="K402" i="1" l="1"/>
  <c r="L402" i="1" a="1"/>
  <c r="L402" i="1" s="1"/>
  <c r="V402" i="1" s="1"/>
  <c r="W402" i="1" s="1"/>
  <c r="M402" i="1" a="1"/>
  <c r="M402" i="1" s="1"/>
  <c r="T402" i="1" s="1"/>
  <c r="U402" i="1" s="1"/>
  <c r="E722" i="1"/>
  <c r="B723" i="1" s="1"/>
  <c r="F403" i="1"/>
  <c r="G403" i="1" s="1"/>
  <c r="H403" i="1" s="1"/>
  <c r="E723" i="1" l="1"/>
  <c r="B724" i="1" s="1"/>
  <c r="P402" i="1"/>
  <c r="Q402" i="1" s="1"/>
  <c r="R402" i="1" s="1"/>
  <c r="I403" i="1"/>
  <c r="J403" i="1" s="1"/>
  <c r="K403" i="1" s="1"/>
  <c r="E724" i="1" l="1"/>
  <c r="B725" i="1" s="1"/>
  <c r="L403" i="1" a="1"/>
  <c r="L403" i="1" s="1"/>
  <c r="V403" i="1" s="1"/>
  <c r="W403" i="1" s="1"/>
  <c r="M403" i="1" a="1"/>
  <c r="M403" i="1" s="1"/>
  <c r="P403" i="1" s="1"/>
  <c r="Q403" i="1" s="1"/>
  <c r="R403" i="1" s="1"/>
  <c r="F404" i="1"/>
  <c r="G404" i="1" s="1"/>
  <c r="H404" i="1" s="1"/>
  <c r="E725" i="1" l="1"/>
  <c r="B726" i="1" s="1"/>
  <c r="T403" i="1"/>
  <c r="U403" i="1" s="1"/>
  <c r="I404" i="1"/>
  <c r="J404" i="1" s="1"/>
  <c r="E726" i="1" l="1"/>
  <c r="B727" i="1" s="1"/>
  <c r="F405" i="1"/>
  <c r="G405" i="1" s="1"/>
  <c r="H405" i="1" s="1"/>
  <c r="I405" i="1" s="1"/>
  <c r="L404" i="1" a="1"/>
  <c r="L404" i="1" s="1"/>
  <c r="V404" i="1" s="1"/>
  <c r="W404" i="1" s="1"/>
  <c r="M404" i="1" a="1"/>
  <c r="M404" i="1" s="1"/>
  <c r="T404" i="1" s="1"/>
  <c r="U404" i="1" s="1"/>
  <c r="K404" i="1"/>
  <c r="E727" i="1" l="1"/>
  <c r="B728" i="1" s="1"/>
  <c r="P404" i="1"/>
  <c r="Q404" i="1" s="1"/>
  <c r="R404" i="1" s="1"/>
  <c r="J405" i="1"/>
  <c r="M405" i="1" l="1" a="1"/>
  <c r="M405" i="1" s="1"/>
  <c r="P405" i="1" s="1"/>
  <c r="Q405" i="1" s="1"/>
  <c r="R405" i="1" s="1"/>
  <c r="L405" i="1" a="1"/>
  <c r="L405" i="1" s="1"/>
  <c r="V405" i="1" s="1"/>
  <c r="W405" i="1" s="1"/>
  <c r="K405" i="1"/>
  <c r="E728" i="1"/>
  <c r="B729" i="1" s="1"/>
  <c r="F406" i="1"/>
  <c r="G406" i="1" s="1"/>
  <c r="H406" i="1" s="1"/>
  <c r="T405" i="1" l="1"/>
  <c r="U405" i="1" s="1"/>
  <c r="E729" i="1"/>
  <c r="B730" i="1" s="1"/>
  <c r="I406" i="1"/>
  <c r="J406" i="1" s="1"/>
  <c r="E730" i="1" l="1"/>
  <c r="B731" i="1" s="1"/>
  <c r="K406" i="1"/>
  <c r="L406" i="1" a="1"/>
  <c r="L406" i="1" s="1"/>
  <c r="V406" i="1" s="1"/>
  <c r="W406" i="1" s="1"/>
  <c r="M406" i="1" a="1"/>
  <c r="M406" i="1" s="1"/>
  <c r="P406" i="1" s="1"/>
  <c r="Q406" i="1" s="1"/>
  <c r="R406" i="1" s="1"/>
  <c r="F407" i="1"/>
  <c r="G407" i="1" s="1"/>
  <c r="H407" i="1" s="1"/>
  <c r="E731" i="1" l="1"/>
  <c r="B732" i="1" s="1"/>
  <c r="T406" i="1"/>
  <c r="U406" i="1" s="1"/>
  <c r="I407" i="1"/>
  <c r="J407" i="1" s="1"/>
  <c r="F408" i="1" l="1"/>
  <c r="G408" i="1" s="1"/>
  <c r="H408" i="1" s="1"/>
  <c r="M407" i="1" a="1"/>
  <c r="M407" i="1" s="1"/>
  <c r="T407" i="1" s="1"/>
  <c r="U407" i="1" s="1"/>
  <c r="L407" i="1" a="1"/>
  <c r="L407" i="1" s="1"/>
  <c r="V407" i="1" s="1"/>
  <c r="W407" i="1" s="1"/>
  <c r="E732" i="1"/>
  <c r="K407" i="1"/>
  <c r="P407" i="1" l="1"/>
  <c r="Q407" i="1" s="1"/>
  <c r="R407" i="1" s="1"/>
  <c r="B733" i="1"/>
  <c r="I408" i="1"/>
  <c r="J408" i="1" s="1"/>
  <c r="E733" i="1" l="1"/>
  <c r="B734" i="1" s="1"/>
  <c r="F409" i="1"/>
  <c r="G409" i="1" s="1"/>
  <c r="H409" i="1" s="1"/>
  <c r="M408" i="1" a="1"/>
  <c r="M408" i="1" s="1"/>
  <c r="T408" i="1" s="1"/>
  <c r="U408" i="1" s="1"/>
  <c r="L408" i="1" a="1"/>
  <c r="L408" i="1" s="1"/>
  <c r="V408" i="1" s="1"/>
  <c r="W408" i="1" s="1"/>
  <c r="K408" i="1"/>
  <c r="P408" i="1" l="1"/>
  <c r="Q408" i="1" s="1"/>
  <c r="R408" i="1" s="1"/>
  <c r="E734" i="1"/>
  <c r="I409" i="1"/>
  <c r="J409" i="1" s="1"/>
  <c r="F410" i="1" l="1"/>
  <c r="G410" i="1" s="1"/>
  <c r="H410" i="1" s="1"/>
  <c r="L409" i="1" a="1"/>
  <c r="L409" i="1" s="1"/>
  <c r="V409" i="1" s="1"/>
  <c r="W409" i="1" s="1"/>
  <c r="M409" i="1" a="1"/>
  <c r="M409" i="1" s="1"/>
  <c r="P409" i="1" s="1"/>
  <c r="Q409" i="1" s="1"/>
  <c r="R409" i="1" s="1"/>
  <c r="B735" i="1"/>
  <c r="K409" i="1"/>
  <c r="E735" i="1" l="1"/>
  <c r="B736" i="1" s="1"/>
  <c r="T409" i="1"/>
  <c r="U409" i="1" s="1"/>
  <c r="I410" i="1"/>
  <c r="J410" i="1" s="1"/>
  <c r="E736" i="1" l="1"/>
  <c r="B737" i="1" s="1"/>
  <c r="K410" i="1"/>
  <c r="M410" i="1" a="1"/>
  <c r="M410" i="1" s="1"/>
  <c r="T410" i="1" s="1"/>
  <c r="U410" i="1" s="1"/>
  <c r="L410" i="1" a="1"/>
  <c r="L410" i="1" s="1"/>
  <c r="V410" i="1" s="1"/>
  <c r="W410" i="1" s="1"/>
  <c r="F411" i="1"/>
  <c r="G411" i="1" s="1"/>
  <c r="H411" i="1" s="1"/>
  <c r="P410" i="1" l="1"/>
  <c r="Q410" i="1" s="1"/>
  <c r="R410" i="1" s="1"/>
  <c r="E737" i="1"/>
  <c r="B738" i="1" s="1"/>
  <c r="I411" i="1"/>
  <c r="J411" i="1" s="1"/>
  <c r="F412" i="1" s="1"/>
  <c r="G412" i="1" s="1"/>
  <c r="E738" i="1" l="1"/>
  <c r="B739" i="1" s="1"/>
  <c r="K411" i="1"/>
  <c r="M411" i="1" a="1"/>
  <c r="M411" i="1" s="1"/>
  <c r="T411" i="1" s="1"/>
  <c r="U411" i="1" s="1"/>
  <c r="L411" i="1" a="1"/>
  <c r="L411" i="1" s="1"/>
  <c r="V411" i="1" s="1"/>
  <c r="W411" i="1" s="1"/>
  <c r="H412" i="1"/>
  <c r="E739" i="1" l="1"/>
  <c r="B740" i="1" s="1"/>
  <c r="P411" i="1"/>
  <c r="Q411" i="1" s="1"/>
  <c r="R411" i="1" s="1"/>
  <c r="I412" i="1"/>
  <c r="J412" i="1" s="1"/>
  <c r="F413" i="1" l="1"/>
  <c r="G413" i="1" s="1"/>
  <c r="H413" i="1" s="1"/>
  <c r="L412" i="1" a="1"/>
  <c r="L412" i="1" s="1"/>
  <c r="V412" i="1" s="1"/>
  <c r="W412" i="1" s="1"/>
  <c r="M412" i="1" a="1"/>
  <c r="M412" i="1" s="1"/>
  <c r="T412" i="1" s="1"/>
  <c r="U412" i="1" s="1"/>
  <c r="E740" i="1"/>
  <c r="B741" i="1" s="1"/>
  <c r="K412" i="1"/>
  <c r="E741" i="1" l="1"/>
  <c r="B742" i="1" s="1"/>
  <c r="P412" i="1"/>
  <c r="Q412" i="1" s="1"/>
  <c r="R412" i="1" s="1"/>
  <c r="I413" i="1"/>
  <c r="J413" i="1" s="1"/>
  <c r="E742" i="1" l="1"/>
  <c r="B743" i="1" s="1"/>
  <c r="F414" i="1"/>
  <c r="G414" i="1" s="1"/>
  <c r="H414" i="1" s="1"/>
  <c r="M413" i="1" a="1"/>
  <c r="M413" i="1" s="1"/>
  <c r="P413" i="1" s="1"/>
  <c r="Q413" i="1" s="1"/>
  <c r="R413" i="1" s="1"/>
  <c r="L413" i="1" a="1"/>
  <c r="L413" i="1" s="1"/>
  <c r="V413" i="1" s="1"/>
  <c r="W413" i="1" s="1"/>
  <c r="K413" i="1"/>
  <c r="E743" i="1" l="1"/>
  <c r="B744" i="1" s="1"/>
  <c r="T413" i="1"/>
  <c r="U413" i="1" s="1"/>
  <c r="I414" i="1"/>
  <c r="J414" i="1" s="1"/>
  <c r="F415" i="1" l="1"/>
  <c r="G415" i="1" s="1"/>
  <c r="H415" i="1" s="1"/>
  <c r="L414" i="1" a="1"/>
  <c r="L414" i="1" s="1"/>
  <c r="V414" i="1" s="1"/>
  <c r="W414" i="1" s="1"/>
  <c r="M414" i="1" a="1"/>
  <c r="M414" i="1" s="1"/>
  <c r="T414" i="1" s="1"/>
  <c r="U414" i="1" s="1"/>
  <c r="E744" i="1"/>
  <c r="B745" i="1" s="1"/>
  <c r="E745" i="1" s="1"/>
  <c r="K414" i="1"/>
  <c r="P414" i="1" l="1"/>
  <c r="Q414" i="1" s="1"/>
  <c r="R414" i="1" s="1"/>
  <c r="B746" i="1"/>
  <c r="I415" i="1"/>
  <c r="J415" i="1" s="1"/>
  <c r="M415" i="1" l="1" a="1"/>
  <c r="M415" i="1" s="1"/>
  <c r="L415" i="1" a="1"/>
  <c r="L415" i="1" s="1"/>
  <c r="E746" i="1"/>
  <c r="B747" i="1" s="1"/>
  <c r="K415" i="1"/>
  <c r="F416" i="1"/>
  <c r="G416" i="1" s="1"/>
  <c r="E747" i="1" l="1"/>
  <c r="B748" i="1" s="1"/>
  <c r="V415" i="1"/>
  <c r="W415" i="1" s="1"/>
  <c r="P415" i="1"/>
  <c r="Q415" i="1" s="1"/>
  <c r="R415" i="1" s="1"/>
  <c r="T415" i="1"/>
  <c r="U415" i="1" s="1"/>
  <c r="H416" i="1"/>
  <c r="E748" i="1" l="1"/>
  <c r="B749" i="1" s="1"/>
  <c r="I416" i="1"/>
  <c r="J416" i="1" s="1"/>
  <c r="F417" i="1" l="1"/>
  <c r="G417" i="1" s="1"/>
  <c r="H417" i="1" s="1"/>
  <c r="I417" i="1" s="1"/>
  <c r="L416" i="1" a="1"/>
  <c r="L416" i="1" s="1"/>
  <c r="V416" i="1" s="1"/>
  <c r="W416" i="1" s="1"/>
  <c r="M416" i="1" a="1"/>
  <c r="M416" i="1" s="1"/>
  <c r="P416" i="1" s="1"/>
  <c r="Q416" i="1" s="1"/>
  <c r="R416" i="1" s="1"/>
  <c r="E749" i="1"/>
  <c r="B750" i="1" s="1"/>
  <c r="K416" i="1"/>
  <c r="T416" i="1" l="1"/>
  <c r="U416" i="1" s="1"/>
  <c r="E750" i="1"/>
  <c r="J417" i="1"/>
  <c r="K417" i="1" l="1"/>
  <c r="M417" i="1" a="1"/>
  <c r="M417" i="1" s="1"/>
  <c r="T417" i="1" s="1"/>
  <c r="U417" i="1" s="1"/>
  <c r="L417" i="1" a="1"/>
  <c r="L417" i="1" s="1"/>
  <c r="V417" i="1" s="1"/>
  <c r="W417" i="1" s="1"/>
  <c r="B751" i="1"/>
  <c r="F418" i="1"/>
  <c r="G418" i="1" s="1"/>
  <c r="H418" i="1" s="1"/>
  <c r="E751" i="1" l="1"/>
  <c r="B752" i="1" s="1"/>
  <c r="P417" i="1"/>
  <c r="Q417" i="1" s="1"/>
  <c r="R417" i="1" s="1"/>
  <c r="I418" i="1"/>
  <c r="J418" i="1" s="1"/>
  <c r="K418" i="1" l="1"/>
  <c r="M418" i="1" a="1"/>
  <c r="M418" i="1" s="1"/>
  <c r="P418" i="1" s="1"/>
  <c r="Q418" i="1" s="1"/>
  <c r="R418" i="1" s="1"/>
  <c r="L418" i="1" a="1"/>
  <c r="L418" i="1" s="1"/>
  <c r="V418" i="1" s="1"/>
  <c r="W418" i="1" s="1"/>
  <c r="E752" i="1"/>
  <c r="F419" i="1"/>
  <c r="G419" i="1" s="1"/>
  <c r="H419" i="1" s="1"/>
  <c r="B753" i="1" l="1"/>
  <c r="T418" i="1"/>
  <c r="U418" i="1" s="1"/>
  <c r="I419" i="1"/>
  <c r="J419" i="1" s="1"/>
  <c r="E753" i="1" l="1"/>
  <c r="B754" i="1" s="1"/>
  <c r="K419" i="1"/>
  <c r="M419" i="1" a="1"/>
  <c r="M419" i="1" s="1"/>
  <c r="T419" i="1" s="1"/>
  <c r="U419" i="1" s="1"/>
  <c r="L419" i="1" a="1"/>
  <c r="L419" i="1" s="1"/>
  <c r="V419" i="1" s="1"/>
  <c r="W419" i="1" s="1"/>
  <c r="F420" i="1"/>
  <c r="G420" i="1" s="1"/>
  <c r="H420" i="1" s="1"/>
  <c r="E754" i="1" l="1"/>
  <c r="B755" i="1" s="1"/>
  <c r="P419" i="1"/>
  <c r="Q419" i="1" s="1"/>
  <c r="R419" i="1" s="1"/>
  <c r="I420" i="1"/>
  <c r="J420" i="1" s="1"/>
  <c r="E755" i="1" l="1"/>
  <c r="B756" i="1" s="1"/>
  <c r="M420" i="1" a="1"/>
  <c r="M420" i="1" s="1"/>
  <c r="P420" i="1" s="1"/>
  <c r="Q420" i="1" s="1"/>
  <c r="R420" i="1" s="1"/>
  <c r="L420" i="1" a="1"/>
  <c r="L420" i="1" s="1"/>
  <c r="V420" i="1" s="1"/>
  <c r="W420" i="1" s="1"/>
  <c r="K420" i="1"/>
  <c r="F421" i="1"/>
  <c r="G421" i="1" s="1"/>
  <c r="H421" i="1" s="1"/>
  <c r="E756" i="1" l="1"/>
  <c r="B757" i="1" s="1"/>
  <c r="T420" i="1"/>
  <c r="U420" i="1" s="1"/>
  <c r="I421" i="1"/>
  <c r="J421" i="1" s="1"/>
  <c r="K421" i="1" l="1"/>
  <c r="L421" i="1" a="1"/>
  <c r="L421" i="1" s="1"/>
  <c r="V421" i="1" s="1"/>
  <c r="W421" i="1" s="1"/>
  <c r="M421" i="1" a="1"/>
  <c r="M421" i="1" s="1"/>
  <c r="T421" i="1" s="1"/>
  <c r="U421" i="1" s="1"/>
  <c r="E757" i="1"/>
  <c r="B758" i="1" s="1"/>
  <c r="F422" i="1"/>
  <c r="G422" i="1" s="1"/>
  <c r="H422" i="1" s="1"/>
  <c r="P421" i="1" l="1"/>
  <c r="Q421" i="1" s="1"/>
  <c r="R421" i="1" s="1"/>
  <c r="E758" i="1"/>
  <c r="B759" i="1" s="1"/>
  <c r="I422" i="1"/>
  <c r="J422" i="1" s="1"/>
  <c r="E759" i="1" l="1"/>
  <c r="B760" i="1" s="1"/>
  <c r="F423" i="1"/>
  <c r="G423" i="1" s="1"/>
  <c r="H423" i="1" s="1"/>
  <c r="M422" i="1" a="1"/>
  <c r="M422" i="1" s="1"/>
  <c r="T422" i="1" s="1"/>
  <c r="U422" i="1" s="1"/>
  <c r="L422" i="1" a="1"/>
  <c r="L422" i="1" s="1"/>
  <c r="V422" i="1" s="1"/>
  <c r="W422" i="1" s="1"/>
  <c r="K422" i="1"/>
  <c r="E760" i="1" l="1"/>
  <c r="B761" i="1" s="1"/>
  <c r="P422" i="1"/>
  <c r="Q422" i="1" s="1"/>
  <c r="R422" i="1" s="1"/>
  <c r="I423" i="1"/>
  <c r="J423" i="1" s="1"/>
  <c r="K423" i="1" l="1"/>
  <c r="M423" i="1" a="1"/>
  <c r="M423" i="1" s="1"/>
  <c r="P423" i="1" s="1"/>
  <c r="Q423" i="1" s="1"/>
  <c r="R423" i="1" s="1"/>
  <c r="L423" i="1" a="1"/>
  <c r="L423" i="1" s="1"/>
  <c r="V423" i="1" s="1"/>
  <c r="W423" i="1" s="1"/>
  <c r="E761" i="1"/>
  <c r="B762" i="1" s="1"/>
  <c r="F424" i="1"/>
  <c r="G424" i="1" s="1"/>
  <c r="H424" i="1" s="1"/>
  <c r="T423" i="1" l="1"/>
  <c r="U423" i="1" s="1"/>
  <c r="E762" i="1"/>
  <c r="I424" i="1"/>
  <c r="J424" i="1" s="1"/>
  <c r="F425" i="1" l="1"/>
  <c r="G425" i="1" s="1"/>
  <c r="H425" i="1" s="1"/>
  <c r="M424" i="1" a="1"/>
  <c r="M424" i="1" s="1"/>
  <c r="T424" i="1" s="1"/>
  <c r="U424" i="1" s="1"/>
  <c r="L424" i="1" a="1"/>
  <c r="L424" i="1" s="1"/>
  <c r="V424" i="1" s="1"/>
  <c r="W424" i="1" s="1"/>
  <c r="B763" i="1"/>
  <c r="K424" i="1"/>
  <c r="P424" i="1" l="1"/>
  <c r="Q424" i="1" s="1"/>
  <c r="R424" i="1" s="1"/>
  <c r="E763" i="1"/>
  <c r="B764" i="1" s="1"/>
  <c r="I425" i="1"/>
  <c r="J425" i="1" s="1"/>
  <c r="E764" i="1" l="1"/>
  <c r="B765" i="1" s="1"/>
  <c r="F426" i="1"/>
  <c r="G426" i="1" s="1"/>
  <c r="H426" i="1" s="1"/>
  <c r="M425" i="1" a="1"/>
  <c r="M425" i="1" s="1"/>
  <c r="P425" i="1" s="1"/>
  <c r="Q425" i="1" s="1"/>
  <c r="R425" i="1" s="1"/>
  <c r="L425" i="1" a="1"/>
  <c r="L425" i="1" s="1"/>
  <c r="V425" i="1" s="1"/>
  <c r="W425" i="1" s="1"/>
  <c r="K425" i="1"/>
  <c r="E765" i="1" l="1"/>
  <c r="T425" i="1"/>
  <c r="U425" i="1" s="1"/>
  <c r="I426" i="1"/>
  <c r="J426" i="1" s="1"/>
  <c r="K426" i="1" l="1"/>
  <c r="M426" i="1" a="1"/>
  <c r="M426" i="1" s="1"/>
  <c r="T426" i="1" s="1"/>
  <c r="U426" i="1" s="1"/>
  <c r="L426" i="1" a="1"/>
  <c r="L426" i="1" s="1"/>
  <c r="V426" i="1" s="1"/>
  <c r="W426" i="1" s="1"/>
  <c r="B766" i="1"/>
  <c r="E766" i="1" s="1"/>
  <c r="F427" i="1"/>
  <c r="G427" i="1" s="1"/>
  <c r="H427" i="1" s="1"/>
  <c r="B767" i="1" l="1"/>
  <c r="P426" i="1"/>
  <c r="Q426" i="1" s="1"/>
  <c r="R426" i="1" s="1"/>
  <c r="I427" i="1"/>
  <c r="J427" i="1" s="1"/>
  <c r="K427" i="1" l="1"/>
  <c r="M427" i="1" a="1"/>
  <c r="M427" i="1" s="1"/>
  <c r="T427" i="1" s="1"/>
  <c r="U427" i="1" s="1"/>
  <c r="L427" i="1" a="1"/>
  <c r="L427" i="1" s="1"/>
  <c r="V427" i="1" s="1"/>
  <c r="W427" i="1" s="1"/>
  <c r="E767" i="1"/>
  <c r="B768" i="1" s="1"/>
  <c r="F428" i="1"/>
  <c r="G428" i="1" s="1"/>
  <c r="H428" i="1" s="1"/>
  <c r="P427" i="1" l="1"/>
  <c r="Q427" i="1" s="1"/>
  <c r="R427" i="1" s="1"/>
  <c r="E768" i="1"/>
  <c r="B769" i="1" s="1"/>
  <c r="E769" i="1" s="1"/>
  <c r="I428" i="1"/>
  <c r="J428" i="1" s="1"/>
  <c r="B770" i="1" l="1"/>
  <c r="F429" i="1"/>
  <c r="G429" i="1" s="1"/>
  <c r="H429" i="1" s="1"/>
  <c r="M428" i="1" a="1"/>
  <c r="M428" i="1" s="1"/>
  <c r="P428" i="1" s="1"/>
  <c r="Q428" i="1" s="1"/>
  <c r="R428" i="1" s="1"/>
  <c r="L428" i="1" a="1"/>
  <c r="L428" i="1" s="1"/>
  <c r="V428" i="1" s="1"/>
  <c r="W428" i="1" s="1"/>
  <c r="K428" i="1"/>
  <c r="T428" i="1" l="1"/>
  <c r="U428" i="1" s="1"/>
  <c r="E770" i="1"/>
  <c r="B771" i="1" s="1"/>
  <c r="I429" i="1"/>
  <c r="J429" i="1" s="1"/>
  <c r="E771" i="1" l="1"/>
  <c r="B772" i="1" s="1"/>
  <c r="E772" i="1" s="1"/>
  <c r="K429" i="1"/>
  <c r="L429" i="1" a="1"/>
  <c r="L429" i="1" s="1"/>
  <c r="V429" i="1" s="1"/>
  <c r="W429" i="1" s="1"/>
  <c r="M429" i="1" a="1"/>
  <c r="M429" i="1" s="1"/>
  <c r="P429" i="1" s="1"/>
  <c r="Q429" i="1" s="1"/>
  <c r="R429" i="1" s="1"/>
  <c r="F430" i="1"/>
  <c r="G430" i="1" s="1"/>
  <c r="H430" i="1" s="1"/>
  <c r="B773" i="1" l="1"/>
  <c r="T429" i="1"/>
  <c r="U429" i="1" s="1"/>
  <c r="I430" i="1"/>
  <c r="J430" i="1" s="1"/>
  <c r="K430" i="1" l="1"/>
  <c r="M430" i="1" a="1"/>
  <c r="M430" i="1" s="1"/>
  <c r="P430" i="1" s="1"/>
  <c r="Q430" i="1" s="1"/>
  <c r="R430" i="1" s="1"/>
  <c r="L430" i="1" a="1"/>
  <c r="L430" i="1" s="1"/>
  <c r="V430" i="1" s="1"/>
  <c r="W430" i="1" s="1"/>
  <c r="E773" i="1"/>
  <c r="B774" i="1" s="1"/>
  <c r="F431" i="1"/>
  <c r="G431" i="1" s="1"/>
  <c r="H431" i="1" s="1"/>
  <c r="T430" i="1" l="1"/>
  <c r="U430" i="1" s="1"/>
  <c r="E774" i="1"/>
  <c r="B775" i="1" s="1"/>
  <c r="I431" i="1"/>
  <c r="J431" i="1" s="1"/>
  <c r="M431" i="1" l="1" a="1"/>
  <c r="M431" i="1" s="1"/>
  <c r="L431" i="1" a="1"/>
  <c r="L431" i="1" s="1"/>
  <c r="E775" i="1"/>
  <c r="B776" i="1" s="1"/>
  <c r="K431" i="1"/>
  <c r="F432" i="1"/>
  <c r="G432" i="1" s="1"/>
  <c r="E776" i="1" l="1"/>
  <c r="B777" i="1" s="1"/>
  <c r="V431" i="1"/>
  <c r="W431" i="1" s="1"/>
  <c r="T431" i="1"/>
  <c r="U431" i="1" s="1"/>
  <c r="P431" i="1"/>
  <c r="Q431" i="1" s="1"/>
  <c r="R431" i="1" s="1"/>
  <c r="H432" i="1"/>
  <c r="E777" i="1" l="1"/>
  <c r="B778" i="1" s="1"/>
  <c r="I432" i="1"/>
  <c r="J432" i="1" s="1"/>
  <c r="K432" i="1" l="1"/>
  <c r="L432" i="1" a="1"/>
  <c r="L432" i="1" s="1"/>
  <c r="V432" i="1" s="1"/>
  <c r="W432" i="1" s="1"/>
  <c r="M432" i="1" a="1"/>
  <c r="M432" i="1" s="1"/>
  <c r="P432" i="1" s="1"/>
  <c r="Q432" i="1" s="1"/>
  <c r="R432" i="1" s="1"/>
  <c r="E778" i="1"/>
  <c r="F433" i="1"/>
  <c r="G433" i="1" s="1"/>
  <c r="H433" i="1" s="1"/>
  <c r="T432" i="1" l="1"/>
  <c r="U432" i="1" s="1"/>
  <c r="B779" i="1"/>
  <c r="I433" i="1"/>
  <c r="J433" i="1" s="1"/>
  <c r="K433" i="1" l="1"/>
  <c r="L433" i="1" a="1"/>
  <c r="L433" i="1" s="1"/>
  <c r="V433" i="1" s="1"/>
  <c r="W433" i="1" s="1"/>
  <c r="M433" i="1" a="1"/>
  <c r="M433" i="1" s="1"/>
  <c r="P433" i="1" s="1"/>
  <c r="Q433" i="1" s="1"/>
  <c r="R433" i="1" s="1"/>
  <c r="E779" i="1"/>
  <c r="B780" i="1" s="1"/>
  <c r="F434" i="1"/>
  <c r="G434" i="1" s="1"/>
  <c r="H434" i="1" s="1"/>
  <c r="E780" i="1" l="1"/>
  <c r="B781" i="1" s="1"/>
  <c r="T433" i="1"/>
  <c r="U433" i="1" s="1"/>
  <c r="I434" i="1"/>
  <c r="J434" i="1" s="1"/>
  <c r="E781" i="1" l="1"/>
  <c r="B782" i="1" s="1"/>
  <c r="K434" i="1"/>
  <c r="M434" i="1" a="1"/>
  <c r="M434" i="1" s="1"/>
  <c r="T434" i="1" s="1"/>
  <c r="U434" i="1" s="1"/>
  <c r="L434" i="1" a="1"/>
  <c r="L434" i="1" s="1"/>
  <c r="V434" i="1" s="1"/>
  <c r="W434" i="1" s="1"/>
  <c r="F435" i="1"/>
  <c r="G435" i="1" s="1"/>
  <c r="H435" i="1" s="1"/>
  <c r="P434" i="1" l="1"/>
  <c r="Q434" i="1" s="1"/>
  <c r="R434" i="1" s="1"/>
  <c r="E782" i="1"/>
  <c r="B783" i="1" s="1"/>
  <c r="I435" i="1"/>
  <c r="J435" i="1" s="1"/>
  <c r="K435" i="1" l="1"/>
  <c r="L435" i="1" a="1"/>
  <c r="L435" i="1" s="1"/>
  <c r="V435" i="1" s="1"/>
  <c r="W435" i="1" s="1"/>
  <c r="M435" i="1" a="1"/>
  <c r="M435" i="1" s="1"/>
  <c r="T435" i="1" s="1"/>
  <c r="U435" i="1" s="1"/>
  <c r="E783" i="1"/>
  <c r="B784" i="1" s="1"/>
  <c r="E784" i="1" s="1"/>
  <c r="F436" i="1"/>
  <c r="G436" i="1" s="1"/>
  <c r="H436" i="1" s="1"/>
  <c r="P435" i="1" l="1"/>
  <c r="Q435" i="1" s="1"/>
  <c r="R435" i="1" s="1"/>
  <c r="B785" i="1"/>
  <c r="I436" i="1"/>
  <c r="J436" i="1" s="1"/>
  <c r="K436" i="1" l="1"/>
  <c r="M436" i="1" a="1"/>
  <c r="M436" i="1" s="1"/>
  <c r="T436" i="1" s="1"/>
  <c r="U436" i="1" s="1"/>
  <c r="L436" i="1" a="1"/>
  <c r="L436" i="1" s="1"/>
  <c r="V436" i="1" s="1"/>
  <c r="W436" i="1" s="1"/>
  <c r="E785" i="1"/>
  <c r="F437" i="1"/>
  <c r="G437" i="1" s="1"/>
  <c r="H437" i="1" s="1"/>
  <c r="P436" i="1" l="1"/>
  <c r="Q436" i="1" s="1"/>
  <c r="R436" i="1" s="1"/>
  <c r="B786" i="1"/>
  <c r="I437" i="1"/>
  <c r="J437" i="1" s="1"/>
  <c r="K437" i="1" s="1"/>
  <c r="F438" i="1" l="1"/>
  <c r="G438" i="1" s="1"/>
  <c r="H438" i="1" s="1"/>
  <c r="M437" i="1" a="1"/>
  <c r="M437" i="1" s="1"/>
  <c r="P437" i="1" s="1"/>
  <c r="Q437" i="1" s="1"/>
  <c r="R437" i="1" s="1"/>
  <c r="L437" i="1" a="1"/>
  <c r="L437" i="1" s="1"/>
  <c r="V437" i="1" s="1"/>
  <c r="W437" i="1" s="1"/>
  <c r="E786" i="1"/>
  <c r="B787" i="1" s="1"/>
  <c r="E787" i="1" s="1"/>
  <c r="T437" i="1" l="1"/>
  <c r="U437" i="1" s="1"/>
  <c r="B788" i="1"/>
  <c r="I438" i="1"/>
  <c r="J438" i="1" s="1"/>
  <c r="F439" i="1" l="1"/>
  <c r="G439" i="1" s="1"/>
  <c r="H439" i="1" s="1"/>
  <c r="L438" i="1" a="1"/>
  <c r="L438" i="1" s="1"/>
  <c r="V438" i="1" s="1"/>
  <c r="W438" i="1" s="1"/>
  <c r="M438" i="1" a="1"/>
  <c r="M438" i="1" s="1"/>
  <c r="T438" i="1" s="1"/>
  <c r="U438" i="1" s="1"/>
  <c r="E788" i="1"/>
  <c r="B789" i="1" s="1"/>
  <c r="K438" i="1"/>
  <c r="P438" i="1" l="1"/>
  <c r="Q438" i="1" s="1"/>
  <c r="R438" i="1" s="1"/>
  <c r="E789" i="1"/>
  <c r="B790" i="1" s="1"/>
  <c r="I439" i="1"/>
  <c r="J439" i="1" s="1"/>
  <c r="F440" i="1" l="1"/>
  <c r="G440" i="1" s="1"/>
  <c r="H440" i="1" s="1"/>
  <c r="M439" i="1" a="1"/>
  <c r="M439" i="1" s="1"/>
  <c r="P439" i="1" s="1"/>
  <c r="Q439" i="1" s="1"/>
  <c r="R439" i="1" s="1"/>
  <c r="L439" i="1" a="1"/>
  <c r="L439" i="1" s="1"/>
  <c r="V439" i="1" s="1"/>
  <c r="W439" i="1" s="1"/>
  <c r="E790" i="1"/>
  <c r="B791" i="1" s="1"/>
  <c r="K439" i="1"/>
  <c r="T439" i="1" l="1"/>
  <c r="U439" i="1" s="1"/>
  <c r="E791" i="1"/>
  <c r="B792" i="1" s="1"/>
  <c r="I440" i="1"/>
  <c r="J440" i="1" s="1"/>
  <c r="K440" i="1" l="1"/>
  <c r="L440" i="1" a="1"/>
  <c r="L440" i="1" s="1"/>
  <c r="V440" i="1" s="1"/>
  <c r="W440" i="1" s="1"/>
  <c r="M440" i="1" a="1"/>
  <c r="M440" i="1" s="1"/>
  <c r="P440" i="1" s="1"/>
  <c r="Q440" i="1" s="1"/>
  <c r="R440" i="1" s="1"/>
  <c r="E792" i="1"/>
  <c r="B793" i="1" s="1"/>
  <c r="F441" i="1"/>
  <c r="G441" i="1" s="1"/>
  <c r="H441" i="1" s="1"/>
  <c r="T440" i="1" l="1"/>
  <c r="U440" i="1" s="1"/>
  <c r="E793" i="1"/>
  <c r="B794" i="1" s="1"/>
  <c r="E794" i="1" s="1"/>
  <c r="I441" i="1"/>
  <c r="J441" i="1" s="1"/>
  <c r="B795" i="1" l="1"/>
  <c r="K441" i="1"/>
  <c r="M441" i="1" a="1"/>
  <c r="M441" i="1" s="1"/>
  <c r="T441" i="1" s="1"/>
  <c r="U441" i="1" s="1"/>
  <c r="L441" i="1" a="1"/>
  <c r="L441" i="1" s="1"/>
  <c r="V441" i="1" s="1"/>
  <c r="W441" i="1" s="1"/>
  <c r="F442" i="1"/>
  <c r="G442" i="1" s="1"/>
  <c r="H442" i="1" s="1"/>
  <c r="P441" i="1" l="1"/>
  <c r="Q441" i="1" s="1"/>
  <c r="R441" i="1" s="1"/>
  <c r="E795" i="1"/>
  <c r="B796" i="1" s="1"/>
  <c r="I442" i="1"/>
  <c r="J442" i="1" s="1"/>
  <c r="K442" i="1" l="1"/>
  <c r="M442" i="1" a="1"/>
  <c r="M442" i="1" s="1"/>
  <c r="P442" i="1" s="1"/>
  <c r="Q442" i="1" s="1"/>
  <c r="R442" i="1" s="1"/>
  <c r="L442" i="1" a="1"/>
  <c r="L442" i="1" s="1"/>
  <c r="V442" i="1" s="1"/>
  <c r="W442" i="1" s="1"/>
  <c r="E796" i="1"/>
  <c r="B797" i="1" s="1"/>
  <c r="F443" i="1"/>
  <c r="G443" i="1" s="1"/>
  <c r="H443" i="1" s="1"/>
  <c r="E797" i="1" l="1"/>
  <c r="B798" i="1" s="1"/>
  <c r="T442" i="1"/>
  <c r="U442" i="1" s="1"/>
  <c r="I443" i="1"/>
  <c r="J443" i="1" s="1"/>
  <c r="K443" i="1" l="1"/>
  <c r="M443" i="1" a="1"/>
  <c r="M443" i="1" s="1"/>
  <c r="T443" i="1" s="1"/>
  <c r="U443" i="1" s="1"/>
  <c r="L443" i="1" a="1"/>
  <c r="L443" i="1" s="1"/>
  <c r="V443" i="1" s="1"/>
  <c r="W443" i="1" s="1"/>
  <c r="E798" i="1"/>
  <c r="F444" i="1"/>
  <c r="G444" i="1" s="1"/>
  <c r="H444" i="1" s="1"/>
  <c r="P443" i="1" l="1"/>
  <c r="Q443" i="1" s="1"/>
  <c r="R443" i="1" s="1"/>
  <c r="B799" i="1"/>
  <c r="I444" i="1"/>
  <c r="J444" i="1" s="1"/>
  <c r="K444" i="1" l="1"/>
  <c r="M444" i="1" a="1"/>
  <c r="M444" i="1" s="1"/>
  <c r="T444" i="1" s="1"/>
  <c r="U444" i="1" s="1"/>
  <c r="L444" i="1" a="1"/>
  <c r="L444" i="1" s="1"/>
  <c r="V444" i="1" s="1"/>
  <c r="W444" i="1" s="1"/>
  <c r="E799" i="1"/>
  <c r="F445" i="1"/>
  <c r="G445" i="1" s="1"/>
  <c r="H445" i="1" s="1"/>
  <c r="B800" i="1" l="1"/>
  <c r="P444" i="1"/>
  <c r="Q444" i="1" s="1"/>
  <c r="R444" i="1" s="1"/>
  <c r="I445" i="1"/>
  <c r="J445" i="1" s="1"/>
  <c r="E800" i="1" l="1"/>
  <c r="B801" i="1" s="1"/>
  <c r="K445" i="1"/>
  <c r="M445" i="1" a="1"/>
  <c r="M445" i="1" s="1"/>
  <c r="P445" i="1" s="1"/>
  <c r="Q445" i="1" s="1"/>
  <c r="R445" i="1" s="1"/>
  <c r="L445" i="1" a="1"/>
  <c r="L445" i="1" s="1"/>
  <c r="V445" i="1" s="1"/>
  <c r="W445" i="1" s="1"/>
  <c r="F446" i="1"/>
  <c r="G446" i="1" s="1"/>
  <c r="H446" i="1" s="1"/>
  <c r="T445" i="1" l="1"/>
  <c r="U445" i="1" s="1"/>
  <c r="E801" i="1"/>
  <c r="B802" i="1" s="1"/>
  <c r="I446" i="1"/>
  <c r="J446" i="1" s="1"/>
  <c r="E802" i="1" l="1"/>
  <c r="B803" i="1" s="1"/>
  <c r="E803" i="1" s="1"/>
  <c r="K446" i="1"/>
  <c r="L446" i="1" a="1"/>
  <c r="L446" i="1" s="1"/>
  <c r="V446" i="1" s="1"/>
  <c r="W446" i="1" s="1"/>
  <c r="M446" i="1" a="1"/>
  <c r="M446" i="1" s="1"/>
  <c r="T446" i="1" s="1"/>
  <c r="U446" i="1" s="1"/>
  <c r="F447" i="1"/>
  <c r="G447" i="1" s="1"/>
  <c r="H447" i="1" s="1"/>
  <c r="P446" i="1" l="1"/>
  <c r="Q446" i="1" s="1"/>
  <c r="R446" i="1" s="1"/>
  <c r="B804" i="1"/>
  <c r="I447" i="1"/>
  <c r="J447" i="1" s="1"/>
  <c r="E804" i="1" l="1"/>
  <c r="B805" i="1" s="1"/>
  <c r="E805" i="1" s="1"/>
  <c r="F448" i="1"/>
  <c r="G448" i="1" s="1"/>
  <c r="H448" i="1" s="1"/>
  <c r="L447" i="1" a="1"/>
  <c r="L447" i="1" s="1"/>
  <c r="V447" i="1" s="1"/>
  <c r="W447" i="1" s="1"/>
  <c r="M447" i="1" a="1"/>
  <c r="M447" i="1" s="1"/>
  <c r="P447" i="1" s="1"/>
  <c r="Q447" i="1" s="1"/>
  <c r="R447" i="1" s="1"/>
  <c r="K447" i="1"/>
  <c r="B806" i="1" l="1"/>
  <c r="T447" i="1"/>
  <c r="U447" i="1" s="1"/>
  <c r="I448" i="1"/>
  <c r="J448" i="1" s="1"/>
  <c r="F449" i="1" l="1"/>
  <c r="G449" i="1" s="1"/>
  <c r="H449" i="1" s="1"/>
  <c r="M448" i="1" a="1"/>
  <c r="M448" i="1" s="1"/>
  <c r="P448" i="1" s="1"/>
  <c r="Q448" i="1" s="1"/>
  <c r="R448" i="1" s="1"/>
  <c r="L448" i="1" a="1"/>
  <c r="L448" i="1" s="1"/>
  <c r="V448" i="1" s="1"/>
  <c r="W448" i="1" s="1"/>
  <c r="E806" i="1"/>
  <c r="B807" i="1" s="1"/>
  <c r="K448" i="1"/>
  <c r="T448" i="1" l="1"/>
  <c r="U448" i="1" s="1"/>
  <c r="E807" i="1"/>
  <c r="I449" i="1"/>
  <c r="J449" i="1" s="1"/>
  <c r="F450" i="1" l="1"/>
  <c r="G450" i="1" s="1"/>
  <c r="H450" i="1" s="1"/>
  <c r="M449" i="1" a="1"/>
  <c r="M449" i="1" s="1"/>
  <c r="P449" i="1" s="1"/>
  <c r="Q449" i="1" s="1"/>
  <c r="R449" i="1" s="1"/>
  <c r="L449" i="1" a="1"/>
  <c r="L449" i="1" s="1"/>
  <c r="V449" i="1" s="1"/>
  <c r="W449" i="1" s="1"/>
  <c r="B808" i="1"/>
  <c r="E808" i="1" s="1"/>
  <c r="K449" i="1"/>
  <c r="T449" i="1" l="1"/>
  <c r="U449" i="1" s="1"/>
  <c r="B809" i="1"/>
  <c r="I450" i="1"/>
  <c r="J450" i="1" s="1"/>
  <c r="F451" i="1" l="1"/>
  <c r="G451" i="1" s="1"/>
  <c r="H451" i="1" s="1"/>
  <c r="L450" i="1" a="1"/>
  <c r="L450" i="1" s="1"/>
  <c r="V450" i="1" s="1"/>
  <c r="W450" i="1" s="1"/>
  <c r="M450" i="1" a="1"/>
  <c r="M450" i="1" s="1"/>
  <c r="P450" i="1" s="1"/>
  <c r="Q450" i="1" s="1"/>
  <c r="R450" i="1" s="1"/>
  <c r="E809" i="1"/>
  <c r="B810" i="1" s="1"/>
  <c r="K450" i="1"/>
  <c r="T450" i="1" l="1"/>
  <c r="U450" i="1" s="1"/>
  <c r="E810" i="1"/>
  <c r="B811" i="1" s="1"/>
  <c r="I451" i="1"/>
  <c r="J451" i="1" s="1"/>
  <c r="M451" i="1" l="1" a="1"/>
  <c r="M451" i="1" s="1"/>
  <c r="L451" i="1" a="1"/>
  <c r="L451" i="1" s="1"/>
  <c r="E811" i="1"/>
  <c r="B812" i="1" s="1"/>
  <c r="K451" i="1"/>
  <c r="F452" i="1"/>
  <c r="G452" i="1" s="1"/>
  <c r="E812" i="1" l="1"/>
  <c r="B813" i="1" s="1"/>
  <c r="V451" i="1"/>
  <c r="W451" i="1" s="1"/>
  <c r="P451" i="1"/>
  <c r="Q451" i="1" s="1"/>
  <c r="R451" i="1" s="1"/>
  <c r="T451" i="1"/>
  <c r="U451" i="1" s="1"/>
  <c r="H452" i="1"/>
  <c r="E813" i="1" l="1"/>
  <c r="B814" i="1" s="1"/>
  <c r="I452" i="1"/>
  <c r="J452" i="1" s="1"/>
  <c r="L452" i="1" l="1" a="1"/>
  <c r="L452" i="1" s="1"/>
  <c r="M452" i="1" a="1"/>
  <c r="M452" i="1" s="1"/>
  <c r="E814" i="1"/>
  <c r="B815" i="1" s="1"/>
  <c r="K452" i="1"/>
  <c r="F453" i="1"/>
  <c r="G453" i="1" s="1"/>
  <c r="E815" i="1" l="1"/>
  <c r="B816" i="1" s="1"/>
  <c r="V452" i="1"/>
  <c r="W452" i="1" s="1"/>
  <c r="T452" i="1"/>
  <c r="U452" i="1" s="1"/>
  <c r="P452" i="1"/>
  <c r="Q452" i="1" s="1"/>
  <c r="R452" i="1" s="1"/>
  <c r="H453" i="1"/>
  <c r="E816" i="1" l="1"/>
  <c r="B817" i="1" s="1"/>
  <c r="I453" i="1"/>
  <c r="J453" i="1" s="1"/>
  <c r="K453" i="1" l="1"/>
  <c r="M453" i="1" a="1"/>
  <c r="M453" i="1" s="1"/>
  <c r="P453" i="1" s="1"/>
  <c r="Q453" i="1" s="1"/>
  <c r="R453" i="1" s="1"/>
  <c r="L453" i="1" a="1"/>
  <c r="L453" i="1" s="1"/>
  <c r="V453" i="1" s="1"/>
  <c r="W453" i="1" s="1"/>
  <c r="E817" i="1"/>
  <c r="F454" i="1"/>
  <c r="G454" i="1" s="1"/>
  <c r="H454" i="1" s="1"/>
  <c r="B818" i="1" l="1"/>
  <c r="T453" i="1"/>
  <c r="U453" i="1" s="1"/>
  <c r="I454" i="1"/>
  <c r="J454" i="1" s="1"/>
  <c r="F455" i="1" l="1"/>
  <c r="G455" i="1" s="1"/>
  <c r="H455" i="1" s="1"/>
  <c r="M454" i="1" a="1"/>
  <c r="M454" i="1" s="1"/>
  <c r="P454" i="1" s="1"/>
  <c r="Q454" i="1" s="1"/>
  <c r="R454" i="1" s="1"/>
  <c r="L454" i="1" a="1"/>
  <c r="L454" i="1" s="1"/>
  <c r="V454" i="1" s="1"/>
  <c r="W454" i="1" s="1"/>
  <c r="E818" i="1"/>
  <c r="B819" i="1" s="1"/>
  <c r="K454" i="1"/>
  <c r="T454" i="1" l="1"/>
  <c r="U454" i="1" s="1"/>
  <c r="E819" i="1"/>
  <c r="B820" i="1" s="1"/>
  <c r="I455" i="1"/>
  <c r="J455" i="1" s="1"/>
  <c r="E820" i="1" l="1"/>
  <c r="B821" i="1" s="1"/>
  <c r="K455" i="1"/>
  <c r="L455" i="1" a="1"/>
  <c r="L455" i="1" s="1"/>
  <c r="V455" i="1" s="1"/>
  <c r="W455" i="1" s="1"/>
  <c r="M455" i="1" a="1"/>
  <c r="M455" i="1" s="1"/>
  <c r="P455" i="1" s="1"/>
  <c r="Q455" i="1" s="1"/>
  <c r="R455" i="1" s="1"/>
  <c r="F456" i="1"/>
  <c r="G456" i="1" s="1"/>
  <c r="H456" i="1" s="1"/>
  <c r="T455" i="1" l="1"/>
  <c r="U455" i="1" s="1"/>
  <c r="E821" i="1"/>
  <c r="B822" i="1" s="1"/>
  <c r="I456" i="1"/>
  <c r="J456" i="1" s="1"/>
  <c r="F457" i="1" l="1"/>
  <c r="G457" i="1" s="1"/>
  <c r="H457" i="1" s="1"/>
  <c r="M456" i="1" a="1"/>
  <c r="M456" i="1" s="1"/>
  <c r="P456" i="1" s="1"/>
  <c r="Q456" i="1" s="1"/>
  <c r="R456" i="1" s="1"/>
  <c r="L456" i="1" a="1"/>
  <c r="L456" i="1" s="1"/>
  <c r="V456" i="1" s="1"/>
  <c r="W456" i="1" s="1"/>
  <c r="E822" i="1"/>
  <c r="K456" i="1"/>
  <c r="T456" i="1" l="1"/>
  <c r="U456" i="1" s="1"/>
  <c r="B823" i="1"/>
  <c r="I457" i="1"/>
  <c r="J457" i="1" s="1"/>
  <c r="E823" i="1" l="1"/>
  <c r="B824" i="1" s="1"/>
  <c r="K457" i="1"/>
  <c r="L457" i="1" a="1"/>
  <c r="L457" i="1" s="1"/>
  <c r="V457" i="1" s="1"/>
  <c r="W457" i="1" s="1"/>
  <c r="M457" i="1" a="1"/>
  <c r="M457" i="1" s="1"/>
  <c r="P457" i="1" s="1"/>
  <c r="Q457" i="1" s="1"/>
  <c r="R457" i="1" s="1"/>
  <c r="F458" i="1"/>
  <c r="G458" i="1" s="1"/>
  <c r="H458" i="1" s="1"/>
  <c r="E824" i="1" l="1"/>
  <c r="B825" i="1" s="1"/>
  <c r="T457" i="1"/>
  <c r="U457" i="1" s="1"/>
  <c r="I458" i="1"/>
  <c r="J458" i="1" s="1"/>
  <c r="K458" i="1" l="1"/>
  <c r="L458" i="1" a="1"/>
  <c r="L458" i="1" s="1"/>
  <c r="V458" i="1" s="1"/>
  <c r="W458" i="1" s="1"/>
  <c r="M458" i="1" a="1"/>
  <c r="M458" i="1" s="1"/>
  <c r="P458" i="1" s="1"/>
  <c r="Q458" i="1" s="1"/>
  <c r="R458" i="1" s="1"/>
  <c r="E825" i="1"/>
  <c r="B826" i="1" s="1"/>
  <c r="F459" i="1"/>
  <c r="G459" i="1" s="1"/>
  <c r="H459" i="1" s="1"/>
  <c r="E826" i="1" l="1"/>
  <c r="B827" i="1" s="1"/>
  <c r="T458" i="1"/>
  <c r="U458" i="1" s="1"/>
  <c r="I459" i="1"/>
  <c r="J459" i="1" s="1"/>
  <c r="K459" i="1" l="1"/>
  <c r="M459" i="1" a="1"/>
  <c r="M459" i="1" s="1"/>
  <c r="T459" i="1" s="1"/>
  <c r="U459" i="1" s="1"/>
  <c r="L459" i="1" a="1"/>
  <c r="L459" i="1" s="1"/>
  <c r="V459" i="1" s="1"/>
  <c r="W459" i="1" s="1"/>
  <c r="E827" i="1"/>
  <c r="B828" i="1" s="1"/>
  <c r="F460" i="1"/>
  <c r="G460" i="1" s="1"/>
  <c r="H460" i="1" s="1"/>
  <c r="P459" i="1" l="1"/>
  <c r="Q459" i="1" s="1"/>
  <c r="R459" i="1" s="1"/>
  <c r="E828" i="1"/>
  <c r="B829" i="1" s="1"/>
  <c r="I460" i="1"/>
  <c r="J460" i="1" s="1"/>
  <c r="K460" i="1" l="1"/>
  <c r="M460" i="1" a="1"/>
  <c r="M460" i="1" s="1"/>
  <c r="P460" i="1" s="1"/>
  <c r="Q460" i="1" s="1"/>
  <c r="R460" i="1" s="1"/>
  <c r="L460" i="1" a="1"/>
  <c r="L460" i="1" s="1"/>
  <c r="V460" i="1" s="1"/>
  <c r="W460" i="1" s="1"/>
  <c r="E829" i="1"/>
  <c r="B830" i="1" s="1"/>
  <c r="F461" i="1"/>
  <c r="G461" i="1" s="1"/>
  <c r="H461" i="1" s="1"/>
  <c r="T460" i="1" l="1"/>
  <c r="U460" i="1" s="1"/>
  <c r="E830" i="1"/>
  <c r="B831" i="1" s="1"/>
  <c r="I461" i="1"/>
  <c r="J461" i="1" s="1"/>
  <c r="K461" i="1" l="1"/>
  <c r="M461" i="1" a="1"/>
  <c r="M461" i="1" s="1"/>
  <c r="T461" i="1" s="1"/>
  <c r="U461" i="1" s="1"/>
  <c r="L461" i="1" a="1"/>
  <c r="L461" i="1" s="1"/>
  <c r="V461" i="1" s="1"/>
  <c r="W461" i="1" s="1"/>
  <c r="E831" i="1"/>
  <c r="B832" i="1" s="1"/>
  <c r="F462" i="1"/>
  <c r="G462" i="1" s="1"/>
  <c r="H462" i="1" s="1"/>
  <c r="P461" i="1" l="1"/>
  <c r="Q461" i="1" s="1"/>
  <c r="R461" i="1" s="1"/>
  <c r="E832" i="1"/>
  <c r="B833" i="1" s="1"/>
  <c r="E833" i="1" s="1"/>
  <c r="I462" i="1"/>
  <c r="J462" i="1" s="1"/>
  <c r="B834" i="1" l="1"/>
  <c r="F463" i="1"/>
  <c r="G463" i="1" s="1"/>
  <c r="H463" i="1" s="1"/>
  <c r="L462" i="1" a="1"/>
  <c r="L462" i="1" s="1"/>
  <c r="V462" i="1" s="1"/>
  <c r="W462" i="1" s="1"/>
  <c r="M462" i="1" a="1"/>
  <c r="M462" i="1" s="1"/>
  <c r="P462" i="1" s="1"/>
  <c r="Q462" i="1" s="1"/>
  <c r="R462" i="1" s="1"/>
  <c r="K462" i="1"/>
  <c r="T462" i="1" l="1"/>
  <c r="U462" i="1" s="1"/>
  <c r="E834" i="1"/>
  <c r="B835" i="1" s="1"/>
  <c r="I463" i="1"/>
  <c r="J463" i="1" s="1"/>
  <c r="E835" i="1" l="1"/>
  <c r="B836" i="1" s="1"/>
  <c r="E836" i="1" s="1"/>
  <c r="K463" i="1"/>
  <c r="M463" i="1" a="1"/>
  <c r="M463" i="1" s="1"/>
  <c r="T463" i="1" s="1"/>
  <c r="U463" i="1" s="1"/>
  <c r="L463" i="1" a="1"/>
  <c r="L463" i="1" s="1"/>
  <c r="V463" i="1" s="1"/>
  <c r="W463" i="1" s="1"/>
  <c r="F464" i="1"/>
  <c r="G464" i="1" s="1"/>
  <c r="H464" i="1" s="1"/>
  <c r="P463" i="1" l="1"/>
  <c r="Q463" i="1" s="1"/>
  <c r="R463" i="1" s="1"/>
  <c r="B837" i="1"/>
  <c r="I464" i="1"/>
  <c r="J464" i="1" s="1"/>
  <c r="E837" i="1" l="1"/>
  <c r="B838" i="1" s="1"/>
  <c r="F465" i="1"/>
  <c r="G465" i="1" s="1"/>
  <c r="H465" i="1" s="1"/>
  <c r="L464" i="1" a="1"/>
  <c r="L464" i="1" s="1"/>
  <c r="V464" i="1" s="1"/>
  <c r="W464" i="1" s="1"/>
  <c r="M464" i="1" a="1"/>
  <c r="M464" i="1" s="1"/>
  <c r="P464" i="1" s="1"/>
  <c r="Q464" i="1" s="1"/>
  <c r="R464" i="1" s="1"/>
  <c r="K464" i="1"/>
  <c r="E838" i="1" l="1"/>
  <c r="B839" i="1" s="1"/>
  <c r="T464" i="1"/>
  <c r="U464" i="1" s="1"/>
  <c r="I465" i="1"/>
  <c r="J465" i="1" s="1"/>
  <c r="E839" i="1" l="1"/>
  <c r="B840" i="1" s="1"/>
  <c r="K465" i="1"/>
  <c r="M465" i="1" a="1"/>
  <c r="M465" i="1" s="1"/>
  <c r="T465" i="1" s="1"/>
  <c r="U465" i="1" s="1"/>
  <c r="L465" i="1" a="1"/>
  <c r="L465" i="1" s="1"/>
  <c r="V465" i="1" s="1"/>
  <c r="W465" i="1" s="1"/>
  <c r="F466" i="1"/>
  <c r="G466" i="1" s="1"/>
  <c r="H466" i="1" s="1"/>
  <c r="I466" i="1" s="1"/>
  <c r="E840" i="1" l="1"/>
  <c r="B841" i="1" s="1"/>
  <c r="P465" i="1"/>
  <c r="Q465" i="1" s="1"/>
  <c r="R465" i="1" s="1"/>
  <c r="J466" i="1"/>
  <c r="E841" i="1" l="1"/>
  <c r="B842" i="1" s="1"/>
  <c r="K466" i="1"/>
  <c r="L466" i="1" a="1"/>
  <c r="L466" i="1" s="1"/>
  <c r="V466" i="1" s="1"/>
  <c r="W466" i="1" s="1"/>
  <c r="M466" i="1" a="1"/>
  <c r="M466" i="1" s="1"/>
  <c r="T466" i="1" s="1"/>
  <c r="U466" i="1" s="1"/>
  <c r="F467" i="1"/>
  <c r="G467" i="1" s="1"/>
  <c r="H467" i="1" s="1"/>
  <c r="P466" i="1" l="1"/>
  <c r="Q466" i="1" s="1"/>
  <c r="R466" i="1" s="1"/>
  <c r="E842" i="1"/>
  <c r="B843" i="1" s="1"/>
  <c r="I467" i="1"/>
  <c r="J467" i="1" s="1"/>
  <c r="E843" i="1" l="1"/>
  <c r="B844" i="1" s="1"/>
  <c r="F468" i="1"/>
  <c r="G468" i="1" s="1"/>
  <c r="H468" i="1" s="1"/>
  <c r="M467" i="1" a="1"/>
  <c r="M467" i="1" s="1"/>
  <c r="T467" i="1" s="1"/>
  <c r="U467" i="1" s="1"/>
  <c r="L467" i="1" a="1"/>
  <c r="L467" i="1" s="1"/>
  <c r="V467" i="1" s="1"/>
  <c r="W467" i="1" s="1"/>
  <c r="K467" i="1"/>
  <c r="E844" i="1" l="1"/>
  <c r="B845" i="1" s="1"/>
  <c r="E845" i="1" s="1"/>
  <c r="P467" i="1"/>
  <c r="Q467" i="1" s="1"/>
  <c r="R467" i="1" s="1"/>
  <c r="I468" i="1"/>
  <c r="J468" i="1" s="1"/>
  <c r="K468" i="1" l="1"/>
  <c r="M468" i="1" a="1"/>
  <c r="M468" i="1" s="1"/>
  <c r="T468" i="1" s="1"/>
  <c r="U468" i="1" s="1"/>
  <c r="L468" i="1" a="1"/>
  <c r="L468" i="1" s="1"/>
  <c r="V468" i="1" s="1"/>
  <c r="W468" i="1" s="1"/>
  <c r="B846" i="1"/>
  <c r="F469" i="1"/>
  <c r="G469" i="1" s="1"/>
  <c r="H469" i="1" s="1"/>
  <c r="P468" i="1" l="1"/>
  <c r="Q468" i="1" s="1"/>
  <c r="R468" i="1" s="1"/>
  <c r="E846" i="1"/>
  <c r="B847" i="1" s="1"/>
  <c r="E847" i="1" s="1"/>
  <c r="I469" i="1"/>
  <c r="J469" i="1" s="1"/>
  <c r="F470" i="1" l="1"/>
  <c r="G470" i="1" s="1"/>
  <c r="H470" i="1" s="1"/>
  <c r="L469" i="1" a="1"/>
  <c r="L469" i="1" s="1"/>
  <c r="V469" i="1" s="1"/>
  <c r="W469" i="1" s="1"/>
  <c r="M469" i="1" a="1"/>
  <c r="M469" i="1" s="1"/>
  <c r="T469" i="1" s="1"/>
  <c r="U469" i="1" s="1"/>
  <c r="B848" i="1"/>
  <c r="K469" i="1"/>
  <c r="P469" i="1" l="1"/>
  <c r="Q469" i="1" s="1"/>
  <c r="R469" i="1" s="1"/>
  <c r="E848" i="1"/>
  <c r="B849" i="1" s="1"/>
  <c r="I470" i="1"/>
  <c r="J470" i="1" s="1"/>
  <c r="E849" i="1" l="1"/>
  <c r="B850" i="1" s="1"/>
  <c r="E850" i="1" s="1"/>
  <c r="K470" i="1"/>
  <c r="L470" i="1" a="1"/>
  <c r="L470" i="1" s="1"/>
  <c r="V470" i="1" s="1"/>
  <c r="W470" i="1" s="1"/>
  <c r="M470" i="1" a="1"/>
  <c r="M470" i="1" s="1"/>
  <c r="P470" i="1" s="1"/>
  <c r="Q470" i="1" s="1"/>
  <c r="R470" i="1" s="1"/>
  <c r="F471" i="1"/>
  <c r="G471" i="1" s="1"/>
  <c r="H471" i="1" s="1"/>
  <c r="T470" i="1" l="1"/>
  <c r="U470" i="1" s="1"/>
  <c r="B851" i="1"/>
  <c r="I471" i="1"/>
  <c r="J471" i="1" s="1"/>
  <c r="K471" i="1" l="1"/>
  <c r="M471" i="1" a="1"/>
  <c r="M471" i="1" s="1"/>
  <c r="P471" i="1" s="1"/>
  <c r="Q471" i="1" s="1"/>
  <c r="R471" i="1" s="1"/>
  <c r="L471" i="1" a="1"/>
  <c r="L471" i="1" s="1"/>
  <c r="V471" i="1" s="1"/>
  <c r="W471" i="1" s="1"/>
  <c r="E851" i="1"/>
  <c r="B852" i="1" s="1"/>
  <c r="F472" i="1"/>
  <c r="G472" i="1" s="1"/>
  <c r="H472" i="1" s="1"/>
  <c r="T471" i="1" l="1"/>
  <c r="U471" i="1" s="1"/>
  <c r="E852" i="1"/>
  <c r="B853" i="1" s="1"/>
  <c r="E853" i="1" s="1"/>
  <c r="I472" i="1"/>
  <c r="J472" i="1" s="1"/>
  <c r="B854" i="1" l="1"/>
  <c r="K472" i="1"/>
  <c r="L472" i="1" a="1"/>
  <c r="L472" i="1" s="1"/>
  <c r="V472" i="1" s="1"/>
  <c r="W472" i="1" s="1"/>
  <c r="M472" i="1" a="1"/>
  <c r="M472" i="1" s="1"/>
  <c r="P472" i="1" s="1"/>
  <c r="Q472" i="1" s="1"/>
  <c r="R472" i="1" s="1"/>
  <c r="F473" i="1"/>
  <c r="G473" i="1" s="1"/>
  <c r="H473" i="1" s="1"/>
  <c r="T472" i="1" l="1"/>
  <c r="U472" i="1" s="1"/>
  <c r="E854" i="1"/>
  <c r="B855" i="1" s="1"/>
  <c r="I473" i="1"/>
  <c r="J473" i="1" s="1"/>
  <c r="E855" i="1" l="1"/>
  <c r="B856" i="1" s="1"/>
  <c r="E856" i="1" s="1"/>
  <c r="K473" i="1"/>
  <c r="L473" i="1" a="1"/>
  <c r="L473" i="1" s="1"/>
  <c r="V473" i="1" s="1"/>
  <c r="W473" i="1" s="1"/>
  <c r="M473" i="1" a="1"/>
  <c r="M473" i="1" s="1"/>
  <c r="T473" i="1" s="1"/>
  <c r="U473" i="1" s="1"/>
  <c r="F474" i="1"/>
  <c r="G474" i="1" s="1"/>
  <c r="H474" i="1" s="1"/>
  <c r="B857" i="1" l="1"/>
  <c r="P473" i="1"/>
  <c r="Q473" i="1" s="1"/>
  <c r="R473" i="1" s="1"/>
  <c r="I474" i="1"/>
  <c r="J474" i="1" s="1"/>
  <c r="F475" i="1" l="1"/>
  <c r="G475" i="1" s="1"/>
  <c r="H475" i="1" s="1"/>
  <c r="M474" i="1" a="1"/>
  <c r="M474" i="1" s="1"/>
  <c r="P474" i="1" s="1"/>
  <c r="Q474" i="1" s="1"/>
  <c r="R474" i="1" s="1"/>
  <c r="L474" i="1" a="1"/>
  <c r="L474" i="1" s="1"/>
  <c r="V474" i="1" s="1"/>
  <c r="W474" i="1" s="1"/>
  <c r="E857" i="1"/>
  <c r="B858" i="1" s="1"/>
  <c r="K474" i="1"/>
  <c r="T474" i="1" l="1"/>
  <c r="U474" i="1" s="1"/>
  <c r="E858" i="1"/>
  <c r="B859" i="1" s="1"/>
  <c r="I475" i="1"/>
  <c r="J475" i="1" s="1"/>
  <c r="F476" i="1" l="1"/>
  <c r="G476" i="1" s="1"/>
  <c r="H476" i="1" s="1"/>
  <c r="L475" i="1" a="1"/>
  <c r="L475" i="1" s="1"/>
  <c r="V475" i="1" s="1"/>
  <c r="W475" i="1" s="1"/>
  <c r="M475" i="1" a="1"/>
  <c r="M475" i="1" s="1"/>
  <c r="P475" i="1" s="1"/>
  <c r="Q475" i="1" s="1"/>
  <c r="R475" i="1" s="1"/>
  <c r="E859" i="1"/>
  <c r="B860" i="1" s="1"/>
  <c r="K475" i="1"/>
  <c r="T475" i="1" l="1"/>
  <c r="U475" i="1" s="1"/>
  <c r="E860" i="1"/>
  <c r="B861" i="1" s="1"/>
  <c r="I476" i="1"/>
  <c r="J476" i="1" s="1"/>
  <c r="E861" i="1" l="1"/>
  <c r="B862" i="1" s="1"/>
  <c r="F477" i="1"/>
  <c r="G477" i="1" s="1"/>
  <c r="H477" i="1" s="1"/>
  <c r="L476" i="1" a="1"/>
  <c r="L476" i="1" s="1"/>
  <c r="V476" i="1" s="1"/>
  <c r="W476" i="1" s="1"/>
  <c r="M476" i="1" a="1"/>
  <c r="M476" i="1" s="1"/>
  <c r="P476" i="1" s="1"/>
  <c r="Q476" i="1" s="1"/>
  <c r="R476" i="1" s="1"/>
  <c r="K476" i="1"/>
  <c r="E862" i="1" l="1"/>
  <c r="B863" i="1" s="1"/>
  <c r="T476" i="1"/>
  <c r="U476" i="1" s="1"/>
  <c r="I477" i="1"/>
  <c r="J477" i="1" s="1"/>
  <c r="E863" i="1" l="1"/>
  <c r="B864" i="1" s="1"/>
  <c r="E864" i="1" s="1"/>
  <c r="K477" i="1"/>
  <c r="M477" i="1" a="1"/>
  <c r="M477" i="1" s="1"/>
  <c r="P477" i="1" s="1"/>
  <c r="Q477" i="1" s="1"/>
  <c r="R477" i="1" s="1"/>
  <c r="L477" i="1" a="1"/>
  <c r="L477" i="1" s="1"/>
  <c r="V477" i="1" s="1"/>
  <c r="W477" i="1" s="1"/>
  <c r="F478" i="1"/>
  <c r="G478" i="1" s="1"/>
  <c r="H478" i="1" s="1"/>
  <c r="T477" i="1" l="1"/>
  <c r="U477" i="1" s="1"/>
  <c r="B865" i="1"/>
  <c r="I478" i="1"/>
  <c r="J478" i="1" s="1"/>
  <c r="F479" i="1" l="1"/>
  <c r="G479" i="1" s="1"/>
  <c r="H479" i="1" s="1"/>
  <c r="L478" i="1" a="1"/>
  <c r="L478" i="1" s="1"/>
  <c r="V478" i="1" s="1"/>
  <c r="W478" i="1" s="1"/>
  <c r="M478" i="1" a="1"/>
  <c r="M478" i="1" s="1"/>
  <c r="T478" i="1" s="1"/>
  <c r="U478" i="1" s="1"/>
  <c r="E865" i="1"/>
  <c r="K478" i="1"/>
  <c r="B866" i="1" l="1"/>
  <c r="P478" i="1"/>
  <c r="Q478" i="1" s="1"/>
  <c r="R478" i="1" s="1"/>
  <c r="I479" i="1"/>
  <c r="J479" i="1" s="1"/>
  <c r="E866" i="1" l="1"/>
  <c r="B867" i="1" s="1"/>
  <c r="E867" i="1" s="1"/>
  <c r="F480" i="1"/>
  <c r="G480" i="1" s="1"/>
  <c r="H480" i="1" s="1"/>
  <c r="L479" i="1" a="1"/>
  <c r="L479" i="1" s="1"/>
  <c r="V479" i="1" s="1"/>
  <c r="W479" i="1" s="1"/>
  <c r="M479" i="1" a="1"/>
  <c r="M479" i="1" s="1"/>
  <c r="P479" i="1" s="1"/>
  <c r="Q479" i="1" s="1"/>
  <c r="R479" i="1" s="1"/>
  <c r="K479" i="1"/>
  <c r="B868" i="1" l="1"/>
  <c r="T479" i="1"/>
  <c r="U479" i="1" s="1"/>
  <c r="I480" i="1"/>
  <c r="J480" i="1" s="1"/>
  <c r="F481" i="1" l="1"/>
  <c r="G481" i="1" s="1"/>
  <c r="H481" i="1" s="1"/>
  <c r="M480" i="1" a="1"/>
  <c r="M480" i="1" s="1"/>
  <c r="P480" i="1" s="1"/>
  <c r="Q480" i="1" s="1"/>
  <c r="R480" i="1" s="1"/>
  <c r="L480" i="1" a="1"/>
  <c r="L480" i="1" s="1"/>
  <c r="V480" i="1" s="1"/>
  <c r="W480" i="1" s="1"/>
  <c r="E868" i="1"/>
  <c r="B869" i="1" s="1"/>
  <c r="K480" i="1"/>
  <c r="T480" i="1" l="1"/>
  <c r="U480" i="1" s="1"/>
  <c r="E869" i="1"/>
  <c r="B870" i="1" s="1"/>
  <c r="I481" i="1"/>
  <c r="J481" i="1" s="1"/>
  <c r="E870" i="1" l="1"/>
  <c r="B871" i="1" s="1"/>
  <c r="K481" i="1"/>
  <c r="L481" i="1" a="1"/>
  <c r="L481" i="1" s="1"/>
  <c r="V481" i="1" s="1"/>
  <c r="W481" i="1" s="1"/>
  <c r="M481" i="1" a="1"/>
  <c r="M481" i="1" s="1"/>
  <c r="T481" i="1" s="1"/>
  <c r="U481" i="1" s="1"/>
  <c r="F482" i="1"/>
  <c r="G482" i="1" s="1"/>
  <c r="H482" i="1" s="1"/>
  <c r="E871" i="1" l="1"/>
  <c r="B872" i="1" s="1"/>
  <c r="P481" i="1"/>
  <c r="Q481" i="1" s="1"/>
  <c r="R481" i="1" s="1"/>
  <c r="I482" i="1"/>
  <c r="J482" i="1" s="1"/>
  <c r="E872" i="1" l="1"/>
  <c r="B873" i="1" s="1"/>
  <c r="K482" i="1"/>
  <c r="M482" i="1" a="1"/>
  <c r="M482" i="1" s="1"/>
  <c r="T482" i="1" s="1"/>
  <c r="U482" i="1" s="1"/>
  <c r="L482" i="1" a="1"/>
  <c r="L482" i="1" s="1"/>
  <c r="V482" i="1" s="1"/>
  <c r="W482" i="1" s="1"/>
  <c r="F483" i="1"/>
  <c r="G483" i="1" s="1"/>
  <c r="H483" i="1" s="1"/>
  <c r="E873" i="1" l="1"/>
  <c r="B874" i="1" s="1"/>
  <c r="P482" i="1"/>
  <c r="Q482" i="1" s="1"/>
  <c r="R482" i="1" s="1"/>
  <c r="I483" i="1"/>
  <c r="J483" i="1" s="1"/>
  <c r="E874" i="1" l="1"/>
  <c r="B875" i="1" s="1"/>
  <c r="K483" i="1"/>
  <c r="M483" i="1" a="1"/>
  <c r="M483" i="1" s="1"/>
  <c r="T483" i="1" s="1"/>
  <c r="U483" i="1" s="1"/>
  <c r="L483" i="1" a="1"/>
  <c r="L483" i="1" s="1"/>
  <c r="V483" i="1" s="1"/>
  <c r="W483" i="1" s="1"/>
  <c r="F484" i="1"/>
  <c r="G484" i="1" s="1"/>
  <c r="H484" i="1" s="1"/>
  <c r="P483" i="1" l="1"/>
  <c r="Q483" i="1" s="1"/>
  <c r="R483" i="1" s="1"/>
  <c r="E875" i="1"/>
  <c r="B876" i="1" s="1"/>
  <c r="E876" i="1" s="1"/>
  <c r="I484" i="1"/>
  <c r="J484" i="1" s="1"/>
  <c r="F485" i="1" l="1"/>
  <c r="G485" i="1" s="1"/>
  <c r="H485" i="1" s="1"/>
  <c r="M484" i="1" a="1"/>
  <c r="M484" i="1" s="1"/>
  <c r="T484" i="1" s="1"/>
  <c r="U484" i="1" s="1"/>
  <c r="L484" i="1" a="1"/>
  <c r="L484" i="1" s="1"/>
  <c r="V484" i="1" s="1"/>
  <c r="W484" i="1" s="1"/>
  <c r="B877" i="1"/>
  <c r="K484" i="1"/>
  <c r="P484" i="1" l="1"/>
  <c r="Q484" i="1" s="1"/>
  <c r="R484" i="1" s="1"/>
  <c r="E877" i="1"/>
  <c r="I485" i="1"/>
  <c r="J485" i="1" s="1"/>
  <c r="F486" i="1" l="1"/>
  <c r="G486" i="1" s="1"/>
  <c r="H486" i="1" s="1"/>
  <c r="M485" i="1" a="1"/>
  <c r="M485" i="1" s="1"/>
  <c r="T485" i="1" s="1"/>
  <c r="U485" i="1" s="1"/>
  <c r="L485" i="1" a="1"/>
  <c r="L485" i="1" s="1"/>
  <c r="V485" i="1" s="1"/>
  <c r="W485" i="1" s="1"/>
  <c r="B878" i="1"/>
  <c r="K485" i="1"/>
  <c r="P485" i="1" l="1"/>
  <c r="Q485" i="1" s="1"/>
  <c r="R485" i="1" s="1"/>
  <c r="E878" i="1"/>
  <c r="B879" i="1" s="1"/>
  <c r="I486" i="1"/>
  <c r="J486" i="1" s="1"/>
  <c r="K486" i="1" l="1"/>
  <c r="M486" i="1" a="1"/>
  <c r="M486" i="1" s="1"/>
  <c r="T486" i="1" s="1"/>
  <c r="U486" i="1" s="1"/>
  <c r="L486" i="1" a="1"/>
  <c r="L486" i="1" s="1"/>
  <c r="V486" i="1" s="1"/>
  <c r="W486" i="1" s="1"/>
  <c r="E879" i="1"/>
  <c r="B880" i="1" s="1"/>
  <c r="F487" i="1"/>
  <c r="G487" i="1" s="1"/>
  <c r="H487" i="1" s="1"/>
  <c r="P486" i="1" l="1"/>
  <c r="Q486" i="1" s="1"/>
  <c r="R486" i="1" s="1"/>
  <c r="E880" i="1"/>
  <c r="I487" i="1"/>
  <c r="J487" i="1" s="1"/>
  <c r="K487" i="1" l="1"/>
  <c r="L487" i="1" a="1"/>
  <c r="L487" i="1" s="1"/>
  <c r="V487" i="1" s="1"/>
  <c r="W487" i="1" s="1"/>
  <c r="M487" i="1" a="1"/>
  <c r="M487" i="1" s="1"/>
  <c r="P487" i="1" s="1"/>
  <c r="Q487" i="1" s="1"/>
  <c r="R487" i="1" s="1"/>
  <c r="B881" i="1"/>
  <c r="E881" i="1" s="1"/>
  <c r="F488" i="1"/>
  <c r="G488" i="1" s="1"/>
  <c r="H488" i="1" s="1"/>
  <c r="T487" i="1" l="1"/>
  <c r="U487" i="1" s="1"/>
  <c r="B882" i="1"/>
  <c r="I488" i="1"/>
  <c r="J488" i="1" s="1"/>
  <c r="K488" i="1" s="1"/>
  <c r="M488" i="1" l="1" a="1"/>
  <c r="M488" i="1" s="1"/>
  <c r="P488" i="1" s="1"/>
  <c r="Q488" i="1" s="1"/>
  <c r="R488" i="1" s="1"/>
  <c r="L488" i="1" a="1"/>
  <c r="L488" i="1" s="1"/>
  <c r="V488" i="1" s="1"/>
  <c r="W488" i="1" s="1"/>
  <c r="F489" i="1"/>
  <c r="G489" i="1" s="1"/>
  <c r="H489" i="1" s="1"/>
  <c r="E882" i="1"/>
  <c r="T488" i="1" l="1"/>
  <c r="U488" i="1" s="1"/>
  <c r="B883" i="1"/>
  <c r="I489" i="1"/>
  <c r="J489" i="1" s="1"/>
  <c r="K489" i="1" l="1"/>
  <c r="M489" i="1" a="1"/>
  <c r="M489" i="1" s="1"/>
  <c r="T489" i="1" s="1"/>
  <c r="U489" i="1" s="1"/>
  <c r="L489" i="1" a="1"/>
  <c r="L489" i="1" s="1"/>
  <c r="V489" i="1" s="1"/>
  <c r="W489" i="1" s="1"/>
  <c r="E883" i="1"/>
  <c r="B884" i="1" s="1"/>
  <c r="E884" i="1" s="1"/>
  <c r="F490" i="1"/>
  <c r="G490" i="1" s="1"/>
  <c r="H490" i="1" s="1"/>
  <c r="B885" i="1" l="1"/>
  <c r="P489" i="1"/>
  <c r="Q489" i="1" s="1"/>
  <c r="R489" i="1" s="1"/>
  <c r="I490" i="1"/>
  <c r="J490" i="1" s="1"/>
  <c r="K490" i="1" l="1"/>
  <c r="M490" i="1" a="1"/>
  <c r="M490" i="1" s="1"/>
  <c r="P490" i="1" s="1"/>
  <c r="Q490" i="1" s="1"/>
  <c r="R490" i="1" s="1"/>
  <c r="L490" i="1" a="1"/>
  <c r="L490" i="1" s="1"/>
  <c r="V490" i="1" s="1"/>
  <c r="W490" i="1" s="1"/>
  <c r="E885" i="1"/>
  <c r="F491" i="1"/>
  <c r="G491" i="1" s="1"/>
  <c r="H491" i="1" s="1"/>
  <c r="T490" i="1" l="1"/>
  <c r="U490" i="1" s="1"/>
  <c r="B886" i="1"/>
  <c r="E886" i="1" s="1"/>
  <c r="I491" i="1"/>
  <c r="J491" i="1" s="1"/>
  <c r="K491" i="1" l="1"/>
  <c r="M491" i="1" a="1"/>
  <c r="M491" i="1" s="1"/>
  <c r="T491" i="1" s="1"/>
  <c r="U491" i="1" s="1"/>
  <c r="L491" i="1" a="1"/>
  <c r="L491" i="1" s="1"/>
  <c r="V491" i="1" s="1"/>
  <c r="W491" i="1" s="1"/>
  <c r="B887" i="1"/>
  <c r="E887" i="1" s="1"/>
  <c r="F492" i="1"/>
  <c r="G492" i="1" s="1"/>
  <c r="H492" i="1" s="1"/>
  <c r="P491" i="1" l="1"/>
  <c r="Q491" i="1" s="1"/>
  <c r="R491" i="1" s="1"/>
  <c r="B888" i="1"/>
  <c r="E888" i="1" s="1"/>
  <c r="I492" i="1"/>
  <c r="J492" i="1" s="1"/>
  <c r="K492" i="1" l="1"/>
  <c r="M492" i="1" a="1"/>
  <c r="M492" i="1" s="1"/>
  <c r="T492" i="1" s="1"/>
  <c r="U492" i="1" s="1"/>
  <c r="L492" i="1" a="1"/>
  <c r="L492" i="1" s="1"/>
  <c r="V492" i="1" s="1"/>
  <c r="W492" i="1" s="1"/>
  <c r="B889" i="1"/>
  <c r="F493" i="1"/>
  <c r="G493" i="1" s="1"/>
  <c r="H493" i="1" s="1"/>
  <c r="P492" i="1" l="1"/>
  <c r="Q492" i="1" s="1"/>
  <c r="R492" i="1" s="1"/>
  <c r="E889" i="1"/>
  <c r="I493" i="1"/>
  <c r="J493" i="1" s="1"/>
  <c r="K493" i="1" s="1"/>
  <c r="F494" i="1" l="1"/>
  <c r="G494" i="1" s="1"/>
  <c r="H494" i="1" s="1"/>
  <c r="L493" i="1" a="1"/>
  <c r="L493" i="1" s="1"/>
  <c r="V493" i="1" s="1"/>
  <c r="W493" i="1" s="1"/>
  <c r="M493" i="1" a="1"/>
  <c r="M493" i="1" s="1"/>
  <c r="P493" i="1" s="1"/>
  <c r="Q493" i="1" s="1"/>
  <c r="R493" i="1" s="1"/>
  <c r="B890" i="1"/>
  <c r="E890" i="1" s="1"/>
  <c r="T493" i="1" l="1"/>
  <c r="U493" i="1" s="1"/>
  <c r="B891" i="1"/>
  <c r="E891" i="1" s="1"/>
  <c r="I494" i="1"/>
  <c r="J494" i="1" s="1"/>
  <c r="K494" i="1" l="1"/>
  <c r="L494" i="1" a="1"/>
  <c r="L494" i="1" s="1"/>
  <c r="V494" i="1" s="1"/>
  <c r="W494" i="1" s="1"/>
  <c r="M494" i="1" a="1"/>
  <c r="M494" i="1" s="1"/>
  <c r="P494" i="1" s="1"/>
  <c r="Q494" i="1" s="1"/>
  <c r="R494" i="1" s="1"/>
  <c r="B892" i="1"/>
  <c r="E892" i="1" s="1"/>
  <c r="F495" i="1"/>
  <c r="G495" i="1" s="1"/>
  <c r="H495" i="1" s="1"/>
  <c r="B893" i="1" l="1"/>
  <c r="E893" i="1" s="1"/>
  <c r="T494" i="1"/>
  <c r="U494" i="1" s="1"/>
  <c r="I495" i="1"/>
  <c r="J495" i="1" s="1"/>
  <c r="B894" i="1" l="1"/>
  <c r="F496" i="1"/>
  <c r="G496" i="1" s="1"/>
  <c r="H496" i="1" s="1"/>
  <c r="I496" i="1" s="1"/>
  <c r="M495" i="1" a="1"/>
  <c r="M495" i="1" s="1"/>
  <c r="T495" i="1" s="1"/>
  <c r="U495" i="1" s="1"/>
  <c r="L495" i="1" a="1"/>
  <c r="L495" i="1" s="1"/>
  <c r="V495" i="1" s="1"/>
  <c r="W495" i="1" s="1"/>
  <c r="K495" i="1"/>
  <c r="P495" i="1" l="1"/>
  <c r="Q495" i="1" s="1"/>
  <c r="R495" i="1" s="1"/>
  <c r="E894" i="1"/>
  <c r="B895" i="1" s="1"/>
  <c r="J496" i="1"/>
  <c r="E895" i="1" l="1"/>
  <c r="B896" i="1" s="1"/>
  <c r="E896" i="1" s="1"/>
  <c r="F497" i="1"/>
  <c r="G497" i="1" s="1"/>
  <c r="H497" i="1" s="1"/>
  <c r="L496" i="1" a="1"/>
  <c r="L496" i="1" s="1"/>
  <c r="V496" i="1" s="1"/>
  <c r="W496" i="1" s="1"/>
  <c r="M496" i="1" a="1"/>
  <c r="M496" i="1" s="1"/>
  <c r="T496" i="1" s="1"/>
  <c r="U496" i="1" s="1"/>
  <c r="K496" i="1"/>
  <c r="B897" i="1" l="1"/>
  <c r="P496" i="1"/>
  <c r="Q496" i="1" s="1"/>
  <c r="R496" i="1" s="1"/>
  <c r="I497" i="1"/>
  <c r="J497" i="1" s="1"/>
  <c r="K497" i="1" l="1"/>
  <c r="M497" i="1" a="1"/>
  <c r="M497" i="1" s="1"/>
  <c r="T497" i="1" s="1"/>
  <c r="U497" i="1" s="1"/>
  <c r="L497" i="1" a="1"/>
  <c r="L497" i="1" s="1"/>
  <c r="V497" i="1" s="1"/>
  <c r="W497" i="1" s="1"/>
  <c r="E897" i="1"/>
  <c r="F498" i="1"/>
  <c r="G498" i="1" s="1"/>
  <c r="H498" i="1" s="1"/>
  <c r="P497" i="1" l="1"/>
  <c r="Q497" i="1" s="1"/>
  <c r="R497" i="1" s="1"/>
  <c r="B898" i="1"/>
  <c r="E898" i="1" s="1"/>
  <c r="I498" i="1"/>
  <c r="J498" i="1" s="1"/>
  <c r="B899" i="1" l="1"/>
  <c r="F499" i="1"/>
  <c r="G499" i="1" s="1"/>
  <c r="H499" i="1" s="1"/>
  <c r="M498" i="1" a="1"/>
  <c r="M498" i="1" s="1"/>
  <c r="P498" i="1" s="1"/>
  <c r="Q498" i="1" s="1"/>
  <c r="R498" i="1" s="1"/>
  <c r="L498" i="1" a="1"/>
  <c r="L498" i="1" s="1"/>
  <c r="V498" i="1" s="1"/>
  <c r="W498" i="1" s="1"/>
  <c r="K498" i="1"/>
  <c r="T498" i="1" l="1"/>
  <c r="U498" i="1" s="1"/>
  <c r="E899" i="1"/>
  <c r="I499" i="1"/>
  <c r="J499" i="1" s="1"/>
  <c r="F500" i="1" s="1"/>
  <c r="G500" i="1" s="1"/>
  <c r="K499" i="1" l="1"/>
  <c r="M499" i="1" a="1"/>
  <c r="M499" i="1" s="1"/>
  <c r="T499" i="1" s="1"/>
  <c r="U499" i="1" s="1"/>
  <c r="L499" i="1" a="1"/>
  <c r="L499" i="1" s="1"/>
  <c r="V499" i="1" s="1"/>
  <c r="W499" i="1" s="1"/>
  <c r="B900" i="1"/>
  <c r="H500" i="1"/>
  <c r="P499" i="1" l="1"/>
  <c r="Q499" i="1" s="1"/>
  <c r="R499" i="1" s="1"/>
  <c r="E900" i="1"/>
  <c r="B901" i="1" s="1"/>
  <c r="E901" i="1" s="1"/>
  <c r="I500" i="1"/>
  <c r="J500" i="1" s="1"/>
  <c r="B902" i="1" l="1"/>
  <c r="E902" i="1" s="1"/>
  <c r="F501" i="1"/>
  <c r="G501" i="1" s="1"/>
  <c r="H501" i="1" s="1"/>
  <c r="M500" i="1" a="1"/>
  <c r="M500" i="1" s="1"/>
  <c r="T500" i="1" s="1"/>
  <c r="U500" i="1" s="1"/>
  <c r="L500" i="1" a="1"/>
  <c r="L500" i="1" s="1"/>
  <c r="V500" i="1" s="1"/>
  <c r="W500" i="1" s="1"/>
  <c r="K500" i="1"/>
  <c r="P500" i="1" l="1"/>
  <c r="Q500" i="1" s="1"/>
  <c r="R500" i="1" s="1"/>
  <c r="B903" i="1"/>
  <c r="E903" i="1" s="1"/>
  <c r="I501" i="1"/>
  <c r="J501" i="1" s="1"/>
  <c r="F502" i="1" s="1"/>
  <c r="G502" i="1" s="1"/>
  <c r="M501" i="1" l="1" a="1"/>
  <c r="M501" i="1" s="1"/>
  <c r="P501" i="1" s="1"/>
  <c r="Q501" i="1" s="1"/>
  <c r="R501" i="1" s="1"/>
  <c r="L501" i="1" a="1"/>
  <c r="L501" i="1" s="1"/>
  <c r="V501" i="1" s="1"/>
  <c r="W501" i="1" s="1"/>
  <c r="K501" i="1"/>
  <c r="B904" i="1"/>
  <c r="H502" i="1"/>
  <c r="E904" i="1" l="1"/>
  <c r="T501" i="1"/>
  <c r="U501" i="1" s="1"/>
  <c r="I502" i="1"/>
  <c r="J502" i="1" s="1"/>
  <c r="F503" i="1" l="1"/>
  <c r="G503" i="1" s="1"/>
  <c r="H503" i="1" s="1"/>
  <c r="M502" i="1" a="1"/>
  <c r="M502" i="1" s="1"/>
  <c r="T502" i="1" s="1"/>
  <c r="U502" i="1" s="1"/>
  <c r="L502" i="1" a="1"/>
  <c r="L502" i="1" s="1"/>
  <c r="V502" i="1" s="1"/>
  <c r="W502" i="1" s="1"/>
  <c r="B905" i="1"/>
  <c r="E905" i="1" s="1"/>
  <c r="K502" i="1"/>
  <c r="P502" i="1" l="1"/>
  <c r="Q502" i="1" s="1"/>
  <c r="R502" i="1" s="1"/>
  <c r="B906" i="1"/>
  <c r="E906" i="1" s="1"/>
  <c r="I503" i="1"/>
  <c r="J503" i="1" s="1"/>
  <c r="F504" i="1" l="1"/>
  <c r="G504" i="1" s="1"/>
  <c r="H504" i="1" s="1"/>
  <c r="M503" i="1" a="1"/>
  <c r="M503" i="1" s="1"/>
  <c r="P503" i="1" s="1"/>
  <c r="Q503" i="1" s="1"/>
  <c r="R503" i="1" s="1"/>
  <c r="L503" i="1" a="1"/>
  <c r="L503" i="1" s="1"/>
  <c r="V503" i="1" s="1"/>
  <c r="W503" i="1" s="1"/>
  <c r="B907" i="1"/>
  <c r="K503" i="1"/>
  <c r="E907" i="1" l="1"/>
  <c r="B908" i="1" s="1"/>
  <c r="E908" i="1" s="1"/>
  <c r="T503" i="1"/>
  <c r="U503" i="1" s="1"/>
  <c r="I504" i="1"/>
  <c r="J504" i="1" s="1"/>
  <c r="K504" i="1" l="1"/>
  <c r="L504" i="1" a="1"/>
  <c r="L504" i="1" s="1"/>
  <c r="V504" i="1" s="1"/>
  <c r="W504" i="1" s="1"/>
  <c r="M504" i="1" a="1"/>
  <c r="M504" i="1" s="1"/>
  <c r="T504" i="1" s="1"/>
  <c r="U504" i="1" s="1"/>
  <c r="B909" i="1"/>
  <c r="F505" i="1"/>
  <c r="G505" i="1" s="1"/>
  <c r="H505" i="1" s="1"/>
  <c r="P504" i="1" l="1"/>
  <c r="Q504" i="1" s="1"/>
  <c r="R504" i="1" s="1"/>
  <c r="E909" i="1"/>
  <c r="I505" i="1"/>
  <c r="J505" i="1" s="1"/>
  <c r="B910" i="1" l="1"/>
  <c r="E910" i="1" s="1"/>
  <c r="F506" i="1"/>
  <c r="G506" i="1" s="1"/>
  <c r="H506" i="1" s="1"/>
  <c r="M505" i="1" a="1"/>
  <c r="M505" i="1" s="1"/>
  <c r="T505" i="1" s="1"/>
  <c r="U505" i="1" s="1"/>
  <c r="L505" i="1" a="1"/>
  <c r="L505" i="1" s="1"/>
  <c r="V505" i="1" s="1"/>
  <c r="W505" i="1" s="1"/>
  <c r="K505" i="1"/>
  <c r="B911" i="1" l="1"/>
  <c r="P505" i="1"/>
  <c r="Q505" i="1" s="1"/>
  <c r="R505" i="1" s="1"/>
  <c r="I506" i="1"/>
  <c r="J506" i="1" s="1"/>
  <c r="K506" i="1" l="1"/>
  <c r="M506" i="1" a="1"/>
  <c r="M506" i="1" s="1"/>
  <c r="P506" i="1" s="1"/>
  <c r="Q506" i="1" s="1"/>
  <c r="R506" i="1" s="1"/>
  <c r="L506" i="1" a="1"/>
  <c r="L506" i="1" s="1"/>
  <c r="V506" i="1" s="1"/>
  <c r="W506" i="1" s="1"/>
  <c r="E911" i="1"/>
  <c r="F507" i="1"/>
  <c r="G507" i="1" s="1"/>
  <c r="H507" i="1" s="1"/>
  <c r="B912" i="1" l="1"/>
  <c r="T506" i="1"/>
  <c r="U506" i="1" s="1"/>
  <c r="I507" i="1"/>
  <c r="J507" i="1" s="1"/>
  <c r="K507" i="1" l="1"/>
  <c r="M507" i="1" a="1"/>
  <c r="M507" i="1" s="1"/>
  <c r="P507" i="1" s="1"/>
  <c r="Q507" i="1" s="1"/>
  <c r="R507" i="1" s="1"/>
  <c r="L507" i="1" a="1"/>
  <c r="L507" i="1" s="1"/>
  <c r="V507" i="1" s="1"/>
  <c r="W507" i="1" s="1"/>
  <c r="E912" i="1"/>
  <c r="F508" i="1"/>
  <c r="G508" i="1" s="1"/>
  <c r="H508" i="1" s="1"/>
  <c r="T507" i="1" l="1"/>
  <c r="U507" i="1" s="1"/>
  <c r="B913" i="1"/>
  <c r="I508" i="1"/>
  <c r="J508" i="1" s="1"/>
  <c r="F509" i="1" l="1"/>
  <c r="G509" i="1" s="1"/>
  <c r="H509" i="1" s="1"/>
  <c r="L508" i="1" a="1"/>
  <c r="L508" i="1" s="1"/>
  <c r="V508" i="1" s="1"/>
  <c r="W508" i="1" s="1"/>
  <c r="M508" i="1" a="1"/>
  <c r="M508" i="1" s="1"/>
  <c r="P508" i="1" s="1"/>
  <c r="Q508" i="1" s="1"/>
  <c r="R508" i="1" s="1"/>
  <c r="E913" i="1"/>
  <c r="K508" i="1"/>
  <c r="B914" i="1" l="1"/>
  <c r="E914" i="1" s="1"/>
  <c r="T508" i="1"/>
  <c r="U508" i="1" s="1"/>
  <c r="I509" i="1"/>
  <c r="J509" i="1" s="1"/>
  <c r="K509" i="1" l="1"/>
  <c r="M509" i="1" a="1"/>
  <c r="M509" i="1" s="1"/>
  <c r="P509" i="1" s="1"/>
  <c r="Q509" i="1" s="1"/>
  <c r="R509" i="1" s="1"/>
  <c r="L509" i="1" a="1"/>
  <c r="L509" i="1" s="1"/>
  <c r="V509" i="1" s="1"/>
  <c r="W509" i="1" s="1"/>
  <c r="B915" i="1"/>
  <c r="F510" i="1"/>
  <c r="G510" i="1" s="1"/>
  <c r="H510" i="1" s="1"/>
  <c r="E915" i="1" l="1"/>
  <c r="T509" i="1"/>
  <c r="U509" i="1" s="1"/>
  <c r="I510" i="1"/>
  <c r="J510" i="1" s="1"/>
  <c r="K510" i="1" l="1"/>
  <c r="L510" i="1" a="1"/>
  <c r="L510" i="1" s="1"/>
  <c r="V510" i="1" s="1"/>
  <c r="W510" i="1" s="1"/>
  <c r="M510" i="1" a="1"/>
  <c r="M510" i="1" s="1"/>
  <c r="P510" i="1" s="1"/>
  <c r="Q510" i="1" s="1"/>
  <c r="R510" i="1" s="1"/>
  <c r="B916" i="1"/>
  <c r="F511" i="1"/>
  <c r="G511" i="1" s="1"/>
  <c r="H511" i="1" s="1"/>
  <c r="E916" i="1" l="1"/>
  <c r="B917" i="1" s="1"/>
  <c r="T510" i="1"/>
  <c r="U510" i="1" s="1"/>
  <c r="I511" i="1"/>
  <c r="J511" i="1" s="1"/>
  <c r="K511" i="1" l="1"/>
  <c r="M511" i="1" a="1"/>
  <c r="M511" i="1" s="1"/>
  <c r="P511" i="1" s="1"/>
  <c r="Q511" i="1" s="1"/>
  <c r="R511" i="1" s="1"/>
  <c r="L511" i="1" a="1"/>
  <c r="L511" i="1" s="1"/>
  <c r="V511" i="1" s="1"/>
  <c r="W511" i="1" s="1"/>
  <c r="E917" i="1"/>
  <c r="B918" i="1" s="1"/>
  <c r="F512" i="1"/>
  <c r="G512" i="1" s="1"/>
  <c r="H512" i="1" s="1"/>
  <c r="E918" i="1" l="1"/>
  <c r="B919" i="1" s="1"/>
  <c r="T511" i="1"/>
  <c r="U511" i="1" s="1"/>
  <c r="I512" i="1"/>
  <c r="J512" i="1" s="1"/>
  <c r="E919" i="1" l="1"/>
  <c r="B920" i="1" s="1"/>
  <c r="E920" i="1" s="1"/>
  <c r="F513" i="1"/>
  <c r="G513" i="1" s="1"/>
  <c r="H513" i="1" s="1"/>
  <c r="I513" i="1" s="1"/>
  <c r="L512" i="1" a="1"/>
  <c r="L512" i="1" s="1"/>
  <c r="V512" i="1" s="1"/>
  <c r="W512" i="1" s="1"/>
  <c r="M512" i="1" a="1"/>
  <c r="M512" i="1" s="1"/>
  <c r="P512" i="1" s="1"/>
  <c r="Q512" i="1" s="1"/>
  <c r="R512" i="1" s="1"/>
  <c r="K512" i="1"/>
  <c r="T512" i="1" l="1"/>
  <c r="U512" i="1" s="1"/>
  <c r="B921" i="1"/>
  <c r="E921" i="1" s="1"/>
  <c r="J513" i="1"/>
  <c r="F514" i="1" s="1"/>
  <c r="G514" i="1" s="1"/>
  <c r="L513" i="1" l="1" a="1"/>
  <c r="L513" i="1" s="1"/>
  <c r="V513" i="1" s="1"/>
  <c r="W513" i="1" s="1"/>
  <c r="M513" i="1" a="1"/>
  <c r="M513" i="1" s="1"/>
  <c r="T513" i="1" s="1"/>
  <c r="U513" i="1" s="1"/>
  <c r="K513" i="1"/>
  <c r="B922" i="1"/>
  <c r="E922" i="1" s="1"/>
  <c r="H514" i="1"/>
  <c r="P513" i="1" l="1"/>
  <c r="Q513" i="1" s="1"/>
  <c r="R513" i="1" s="1"/>
  <c r="B923" i="1"/>
  <c r="E923" i="1" s="1"/>
  <c r="I514" i="1"/>
  <c r="J514" i="1" s="1"/>
  <c r="K514" i="1" l="1"/>
  <c r="L514" i="1" a="1"/>
  <c r="L514" i="1" s="1"/>
  <c r="V514" i="1" s="1"/>
  <c r="W514" i="1" s="1"/>
  <c r="M514" i="1" a="1"/>
  <c r="M514" i="1" s="1"/>
  <c r="P514" i="1" s="1"/>
  <c r="Q514" i="1" s="1"/>
  <c r="R514" i="1" s="1"/>
  <c r="B924" i="1"/>
  <c r="F515" i="1"/>
  <c r="G515" i="1" s="1"/>
  <c r="H515" i="1" s="1"/>
  <c r="E924" i="1" l="1"/>
  <c r="B925" i="1" s="1"/>
  <c r="T514" i="1"/>
  <c r="U514" i="1" s="1"/>
  <c r="I515" i="1"/>
  <c r="J515" i="1" s="1"/>
  <c r="K515" i="1" l="1"/>
  <c r="M515" i="1" a="1"/>
  <c r="M515" i="1" s="1"/>
  <c r="P515" i="1" s="1"/>
  <c r="Q515" i="1" s="1"/>
  <c r="R515" i="1" s="1"/>
  <c r="L515" i="1" a="1"/>
  <c r="L515" i="1" s="1"/>
  <c r="V515" i="1" s="1"/>
  <c r="W515" i="1" s="1"/>
  <c r="E925" i="1"/>
  <c r="B926" i="1" s="1"/>
  <c r="F516" i="1"/>
  <c r="G516" i="1" s="1"/>
  <c r="H516" i="1" s="1"/>
  <c r="T515" i="1" l="1"/>
  <c r="U515" i="1" s="1"/>
  <c r="E926" i="1"/>
  <c r="I516" i="1"/>
  <c r="J516" i="1" s="1"/>
  <c r="K516" i="1" l="1"/>
  <c r="L516" i="1" a="1"/>
  <c r="L516" i="1" s="1"/>
  <c r="V516" i="1" s="1"/>
  <c r="W516" i="1" s="1"/>
  <c r="M516" i="1" a="1"/>
  <c r="M516" i="1" s="1"/>
  <c r="P516" i="1" s="1"/>
  <c r="Q516" i="1" s="1"/>
  <c r="R516" i="1" s="1"/>
  <c r="B927" i="1"/>
  <c r="F517" i="1"/>
  <c r="G517" i="1" s="1"/>
  <c r="H517" i="1" s="1"/>
  <c r="E927" i="1" l="1"/>
  <c r="T516" i="1"/>
  <c r="U516" i="1" s="1"/>
  <c r="I517" i="1"/>
  <c r="J517" i="1" s="1"/>
  <c r="K517" i="1" s="1"/>
  <c r="F518" i="1" l="1"/>
  <c r="G518" i="1" s="1"/>
  <c r="H518" i="1" s="1"/>
  <c r="M517" i="1" a="1"/>
  <c r="M517" i="1" s="1"/>
  <c r="P517" i="1" s="1"/>
  <c r="Q517" i="1" s="1"/>
  <c r="R517" i="1" s="1"/>
  <c r="L517" i="1" a="1"/>
  <c r="L517" i="1" s="1"/>
  <c r="V517" i="1" s="1"/>
  <c r="W517" i="1" s="1"/>
  <c r="B928" i="1"/>
  <c r="E928" i="1" s="1"/>
  <c r="T517" i="1" l="1"/>
  <c r="U517" i="1" s="1"/>
  <c r="B929" i="1"/>
  <c r="I518" i="1"/>
  <c r="J518" i="1" s="1"/>
  <c r="E929" i="1" l="1"/>
  <c r="K518" i="1"/>
  <c r="M518" i="1" a="1"/>
  <c r="M518" i="1" s="1"/>
  <c r="T518" i="1" s="1"/>
  <c r="U518" i="1" s="1"/>
  <c r="L518" i="1" a="1"/>
  <c r="L518" i="1" s="1"/>
  <c r="V518" i="1" s="1"/>
  <c r="W518" i="1" s="1"/>
  <c r="F519" i="1"/>
  <c r="G519" i="1" s="1"/>
  <c r="H519" i="1" s="1"/>
  <c r="P518" i="1" l="1"/>
  <c r="Q518" i="1" s="1"/>
  <c r="R518" i="1" s="1"/>
  <c r="B930" i="1"/>
  <c r="I519" i="1"/>
  <c r="J519" i="1" s="1"/>
  <c r="K519" i="1" s="1"/>
  <c r="L519" i="1" l="1" a="1"/>
  <c r="L519" i="1" s="1"/>
  <c r="V519" i="1" s="1"/>
  <c r="W519" i="1" s="1"/>
  <c r="M519" i="1" a="1"/>
  <c r="M519" i="1" s="1"/>
  <c r="T519" i="1" s="1"/>
  <c r="U519" i="1" s="1"/>
  <c r="F520" i="1"/>
  <c r="G520" i="1" s="1"/>
  <c r="H520" i="1" s="1"/>
  <c r="E930" i="1"/>
  <c r="B931" i="1" s="1"/>
  <c r="E931" i="1" s="1"/>
  <c r="P519" i="1" l="1"/>
  <c r="Q519" i="1" s="1"/>
  <c r="R519" i="1" s="1"/>
  <c r="B932" i="1"/>
  <c r="I520" i="1"/>
  <c r="J520" i="1" s="1"/>
  <c r="K520" i="1" l="1"/>
  <c r="M520" i="1" a="1"/>
  <c r="M520" i="1" s="1"/>
  <c r="T520" i="1" s="1"/>
  <c r="U520" i="1" s="1"/>
  <c r="L520" i="1" a="1"/>
  <c r="L520" i="1" s="1"/>
  <c r="V520" i="1" s="1"/>
  <c r="W520" i="1" s="1"/>
  <c r="F521" i="1"/>
  <c r="G521" i="1" s="1"/>
  <c r="H521" i="1" s="1"/>
  <c r="E932" i="1"/>
  <c r="B933" i="1" l="1"/>
  <c r="P520" i="1"/>
  <c r="Q520" i="1" s="1"/>
  <c r="R520" i="1" s="1"/>
  <c r="I521" i="1"/>
  <c r="J521" i="1" s="1"/>
  <c r="K521" i="1" l="1"/>
  <c r="L521" i="1" a="1"/>
  <c r="L521" i="1" s="1"/>
  <c r="V521" i="1" s="1"/>
  <c r="W521" i="1" s="1"/>
  <c r="M521" i="1" a="1"/>
  <c r="M521" i="1" s="1"/>
  <c r="P521" i="1" s="1"/>
  <c r="Q521" i="1" s="1"/>
  <c r="R521" i="1" s="1"/>
  <c r="E933" i="1"/>
  <c r="F522" i="1"/>
  <c r="G522" i="1" s="1"/>
  <c r="H522" i="1" s="1"/>
  <c r="B934" i="1" l="1"/>
  <c r="E934" i="1" s="1"/>
  <c r="T521" i="1"/>
  <c r="U521" i="1" s="1"/>
  <c r="I522" i="1"/>
  <c r="J522" i="1" s="1"/>
  <c r="K522" i="1" l="1"/>
  <c r="M522" i="1" a="1"/>
  <c r="M522" i="1" s="1"/>
  <c r="T522" i="1" s="1"/>
  <c r="U522" i="1" s="1"/>
  <c r="L522" i="1" a="1"/>
  <c r="L522" i="1" s="1"/>
  <c r="V522" i="1" s="1"/>
  <c r="W522" i="1" s="1"/>
  <c r="B935" i="1"/>
  <c r="F523" i="1"/>
  <c r="G523" i="1" s="1"/>
  <c r="H523" i="1" s="1"/>
  <c r="E935" i="1" l="1"/>
  <c r="P522" i="1"/>
  <c r="Q522" i="1" s="1"/>
  <c r="R522" i="1" s="1"/>
  <c r="I523" i="1"/>
  <c r="J523" i="1" s="1"/>
  <c r="K523" i="1" l="1"/>
  <c r="L523" i="1" a="1"/>
  <c r="L523" i="1" s="1"/>
  <c r="V523" i="1" s="1"/>
  <c r="W523" i="1" s="1"/>
  <c r="M523" i="1" a="1"/>
  <c r="M523" i="1" s="1"/>
  <c r="P523" i="1" s="1"/>
  <c r="Q523" i="1" s="1"/>
  <c r="R523" i="1" s="1"/>
  <c r="B936" i="1"/>
  <c r="E936" i="1" s="1"/>
  <c r="F524" i="1"/>
  <c r="G524" i="1" s="1"/>
  <c r="H524" i="1" s="1"/>
  <c r="B937" i="1" l="1"/>
  <c r="T523" i="1"/>
  <c r="U523" i="1" s="1"/>
  <c r="I524" i="1"/>
  <c r="J524" i="1" s="1"/>
  <c r="K524" i="1" l="1"/>
  <c r="L524" i="1" a="1"/>
  <c r="L524" i="1" s="1"/>
  <c r="V524" i="1" s="1"/>
  <c r="W524" i="1" s="1"/>
  <c r="M524" i="1" a="1"/>
  <c r="M524" i="1" s="1"/>
  <c r="T524" i="1" s="1"/>
  <c r="U524" i="1" s="1"/>
  <c r="E937" i="1"/>
  <c r="B938" i="1" s="1"/>
  <c r="E938" i="1" s="1"/>
  <c r="F525" i="1"/>
  <c r="G525" i="1" s="1"/>
  <c r="H525" i="1" s="1"/>
  <c r="B939" i="1" l="1"/>
  <c r="E939" i="1" s="1"/>
  <c r="P524" i="1"/>
  <c r="Q524" i="1" s="1"/>
  <c r="R524" i="1" s="1"/>
  <c r="I525" i="1"/>
  <c r="J525" i="1" s="1"/>
  <c r="F526" i="1" l="1"/>
  <c r="G526" i="1" s="1"/>
  <c r="H526" i="1" s="1"/>
  <c r="L525" i="1" a="1"/>
  <c r="L525" i="1" s="1"/>
  <c r="V525" i="1" s="1"/>
  <c r="W525" i="1" s="1"/>
  <c r="M525" i="1" a="1"/>
  <c r="M525" i="1" s="1"/>
  <c r="P525" i="1" s="1"/>
  <c r="Q525" i="1" s="1"/>
  <c r="R525" i="1" s="1"/>
  <c r="B940" i="1"/>
  <c r="E940" i="1" s="1"/>
  <c r="K525" i="1"/>
  <c r="B941" i="1" l="1"/>
  <c r="T525" i="1"/>
  <c r="U525" i="1" s="1"/>
  <c r="I526" i="1"/>
  <c r="J526" i="1" s="1"/>
  <c r="K526" i="1" l="1"/>
  <c r="L526" i="1" a="1"/>
  <c r="L526" i="1" s="1"/>
  <c r="V526" i="1" s="1"/>
  <c r="W526" i="1" s="1"/>
  <c r="M526" i="1" a="1"/>
  <c r="M526" i="1" s="1"/>
  <c r="P526" i="1" s="1"/>
  <c r="Q526" i="1" s="1"/>
  <c r="R526" i="1" s="1"/>
  <c r="E941" i="1"/>
  <c r="F527" i="1"/>
  <c r="G527" i="1" s="1"/>
  <c r="H527" i="1" s="1"/>
  <c r="I527" i="1" s="1"/>
  <c r="B942" i="1" l="1"/>
  <c r="E942" i="1" s="1"/>
  <c r="T526" i="1"/>
  <c r="U526" i="1" s="1"/>
  <c r="J527" i="1"/>
  <c r="F528" i="1" l="1"/>
  <c r="G528" i="1" s="1"/>
  <c r="H528" i="1" s="1"/>
  <c r="L527" i="1" a="1"/>
  <c r="L527" i="1" s="1"/>
  <c r="V527" i="1" s="1"/>
  <c r="W527" i="1" s="1"/>
  <c r="M527" i="1" a="1"/>
  <c r="M527" i="1" s="1"/>
  <c r="P527" i="1" s="1"/>
  <c r="Q527" i="1" s="1"/>
  <c r="R527" i="1" s="1"/>
  <c r="B943" i="1"/>
  <c r="E943" i="1" s="1"/>
  <c r="K527" i="1"/>
  <c r="B944" i="1" l="1"/>
  <c r="E944" i="1" s="1"/>
  <c r="T527" i="1"/>
  <c r="U527" i="1" s="1"/>
  <c r="I528" i="1"/>
  <c r="J528" i="1" s="1"/>
  <c r="F529" i="1" s="1"/>
  <c r="G529" i="1" s="1"/>
  <c r="K528" i="1" l="1"/>
  <c r="M528" i="1" a="1"/>
  <c r="M528" i="1" s="1"/>
  <c r="P528" i="1" s="1"/>
  <c r="Q528" i="1" s="1"/>
  <c r="R528" i="1" s="1"/>
  <c r="L528" i="1" a="1"/>
  <c r="L528" i="1" s="1"/>
  <c r="V528" i="1" s="1"/>
  <c r="W528" i="1" s="1"/>
  <c r="B945" i="1"/>
  <c r="H529" i="1"/>
  <c r="I529" i="1" s="1"/>
  <c r="T528" i="1" l="1"/>
  <c r="U528" i="1" s="1"/>
  <c r="E945" i="1"/>
  <c r="J529" i="1"/>
  <c r="F530" i="1" l="1"/>
  <c r="G530" i="1" s="1"/>
  <c r="H530" i="1" s="1"/>
  <c r="M529" i="1" a="1"/>
  <c r="M529" i="1" s="1"/>
  <c r="P529" i="1" s="1"/>
  <c r="Q529" i="1" s="1"/>
  <c r="R529" i="1" s="1"/>
  <c r="L529" i="1" a="1"/>
  <c r="L529" i="1" s="1"/>
  <c r="V529" i="1" s="1"/>
  <c r="W529" i="1" s="1"/>
  <c r="B946" i="1"/>
  <c r="K529" i="1"/>
  <c r="E946" i="1" l="1"/>
  <c r="B947" i="1" s="1"/>
  <c r="E947" i="1" s="1"/>
  <c r="T529" i="1"/>
  <c r="U529" i="1" s="1"/>
  <c r="I530" i="1"/>
  <c r="J530" i="1" s="1"/>
  <c r="K530" i="1" l="1"/>
  <c r="L530" i="1" a="1"/>
  <c r="L530" i="1" s="1"/>
  <c r="V530" i="1" s="1"/>
  <c r="W530" i="1" s="1"/>
  <c r="M530" i="1" a="1"/>
  <c r="M530" i="1" s="1"/>
  <c r="P530" i="1" s="1"/>
  <c r="Q530" i="1" s="1"/>
  <c r="R530" i="1" s="1"/>
  <c r="B948" i="1"/>
  <c r="F531" i="1"/>
  <c r="G531" i="1" s="1"/>
  <c r="H531" i="1" s="1"/>
  <c r="E948" i="1" l="1"/>
  <c r="B949" i="1" s="1"/>
  <c r="E949" i="1" s="1"/>
  <c r="T530" i="1"/>
  <c r="U530" i="1" s="1"/>
  <c r="I531" i="1"/>
  <c r="J531" i="1" s="1"/>
  <c r="F532" i="1" s="1"/>
  <c r="G532" i="1" s="1"/>
  <c r="M531" i="1" l="1" a="1"/>
  <c r="M531" i="1" s="1"/>
  <c r="P531" i="1" s="1"/>
  <c r="Q531" i="1" s="1"/>
  <c r="R531" i="1" s="1"/>
  <c r="L531" i="1" a="1"/>
  <c r="L531" i="1" s="1"/>
  <c r="V531" i="1" s="1"/>
  <c r="W531" i="1" s="1"/>
  <c r="K531" i="1"/>
  <c r="B950" i="1"/>
  <c r="E950" i="1" s="1"/>
  <c r="H532" i="1"/>
  <c r="B951" i="1" l="1"/>
  <c r="T531" i="1"/>
  <c r="U531" i="1" s="1"/>
  <c r="I532" i="1"/>
  <c r="J532" i="1" s="1"/>
  <c r="K532" i="1" l="1"/>
  <c r="L532" i="1" a="1"/>
  <c r="L532" i="1" s="1"/>
  <c r="V532" i="1" s="1"/>
  <c r="W532" i="1" s="1"/>
  <c r="M532" i="1" a="1"/>
  <c r="M532" i="1" s="1"/>
  <c r="P532" i="1" s="1"/>
  <c r="Q532" i="1" s="1"/>
  <c r="R532" i="1" s="1"/>
  <c r="E951" i="1"/>
  <c r="B952" i="1" s="1"/>
  <c r="E952" i="1" s="1"/>
  <c r="F533" i="1"/>
  <c r="G533" i="1" s="1"/>
  <c r="H533" i="1" s="1"/>
  <c r="T532" i="1" l="1"/>
  <c r="U532" i="1" s="1"/>
  <c r="B953" i="1"/>
  <c r="E953" i="1" s="1"/>
  <c r="I533" i="1"/>
  <c r="J533" i="1" s="1"/>
  <c r="K533" i="1" l="1"/>
  <c r="L533" i="1" a="1"/>
  <c r="L533" i="1" s="1"/>
  <c r="V533" i="1" s="1"/>
  <c r="W533" i="1" s="1"/>
  <c r="M533" i="1" a="1"/>
  <c r="M533" i="1" s="1"/>
  <c r="P533" i="1" s="1"/>
  <c r="Q533" i="1" s="1"/>
  <c r="R533" i="1" s="1"/>
  <c r="B954" i="1"/>
  <c r="F534" i="1"/>
  <c r="G534" i="1" s="1"/>
  <c r="H534" i="1" s="1"/>
  <c r="T533" i="1" l="1"/>
  <c r="U533" i="1" s="1"/>
  <c r="E954" i="1"/>
  <c r="B955" i="1" s="1"/>
  <c r="E955" i="1" s="1"/>
  <c r="I534" i="1"/>
  <c r="J534" i="1" s="1"/>
  <c r="F535" i="1" l="1"/>
  <c r="G535" i="1" s="1"/>
  <c r="H535" i="1" s="1"/>
  <c r="M534" i="1" a="1"/>
  <c r="M534" i="1" s="1"/>
  <c r="P534" i="1" s="1"/>
  <c r="Q534" i="1" s="1"/>
  <c r="R534" i="1" s="1"/>
  <c r="L534" i="1" a="1"/>
  <c r="L534" i="1" s="1"/>
  <c r="V534" i="1" s="1"/>
  <c r="W534" i="1" s="1"/>
  <c r="B956" i="1"/>
  <c r="E956" i="1" s="1"/>
  <c r="K534" i="1"/>
  <c r="T534" i="1" l="1"/>
  <c r="U534" i="1" s="1"/>
  <c r="B957" i="1"/>
  <c r="E957" i="1" s="1"/>
  <c r="I535" i="1"/>
  <c r="J535" i="1" s="1"/>
  <c r="K535" i="1" l="1"/>
  <c r="M535" i="1" a="1"/>
  <c r="M535" i="1" s="1"/>
  <c r="P535" i="1" s="1"/>
  <c r="Q535" i="1" s="1"/>
  <c r="R535" i="1" s="1"/>
  <c r="L535" i="1" a="1"/>
  <c r="L535" i="1" s="1"/>
  <c r="V535" i="1" s="1"/>
  <c r="W535" i="1" s="1"/>
  <c r="B958" i="1"/>
  <c r="E958" i="1" s="1"/>
  <c r="F536" i="1"/>
  <c r="G536" i="1" s="1"/>
  <c r="H536" i="1" s="1"/>
  <c r="B959" i="1" l="1"/>
  <c r="T535" i="1"/>
  <c r="U535" i="1" s="1"/>
  <c r="I536" i="1"/>
  <c r="J536" i="1" s="1"/>
  <c r="K536" i="1" l="1"/>
  <c r="M536" i="1" a="1"/>
  <c r="M536" i="1" s="1"/>
  <c r="T536" i="1" s="1"/>
  <c r="U536" i="1" s="1"/>
  <c r="L536" i="1" a="1"/>
  <c r="L536" i="1" s="1"/>
  <c r="V536" i="1" s="1"/>
  <c r="W536" i="1" s="1"/>
  <c r="E959" i="1"/>
  <c r="F537" i="1"/>
  <c r="G537" i="1" s="1"/>
  <c r="H537" i="1" s="1"/>
  <c r="P536" i="1" l="1"/>
  <c r="Q536" i="1" s="1"/>
  <c r="R536" i="1" s="1"/>
  <c r="B960" i="1"/>
  <c r="E960" i="1" s="1"/>
  <c r="I537" i="1"/>
  <c r="J537" i="1" s="1"/>
  <c r="F538" i="1" l="1"/>
  <c r="G538" i="1" s="1"/>
  <c r="H538" i="1" s="1"/>
  <c r="M537" i="1" a="1"/>
  <c r="M537" i="1" s="1"/>
  <c r="P537" i="1" s="1"/>
  <c r="Q537" i="1" s="1"/>
  <c r="R537" i="1" s="1"/>
  <c r="L537" i="1" a="1"/>
  <c r="L537" i="1" s="1"/>
  <c r="V537" i="1" s="1"/>
  <c r="W537" i="1" s="1"/>
  <c r="B961" i="1"/>
  <c r="E961" i="1" s="1"/>
  <c r="K537" i="1"/>
  <c r="T537" i="1" l="1"/>
  <c r="U537" i="1" s="1"/>
  <c r="B962" i="1"/>
  <c r="I538" i="1"/>
  <c r="J538" i="1" s="1"/>
  <c r="K538" i="1" l="1"/>
  <c r="L538" i="1" a="1"/>
  <c r="L538" i="1" s="1"/>
  <c r="V538" i="1" s="1"/>
  <c r="W538" i="1" s="1"/>
  <c r="M538" i="1" a="1"/>
  <c r="M538" i="1" s="1"/>
  <c r="T538" i="1" s="1"/>
  <c r="U538" i="1" s="1"/>
  <c r="E962" i="1"/>
  <c r="F539" i="1"/>
  <c r="G539" i="1" s="1"/>
  <c r="H539" i="1" s="1"/>
  <c r="P538" i="1" l="1"/>
  <c r="Q538" i="1" s="1"/>
  <c r="R538" i="1" s="1"/>
  <c r="B963" i="1"/>
  <c r="I539" i="1"/>
  <c r="J539" i="1" s="1"/>
  <c r="K539" i="1" l="1"/>
  <c r="M539" i="1" a="1"/>
  <c r="M539" i="1" s="1"/>
  <c r="P539" i="1" s="1"/>
  <c r="Q539" i="1" s="1"/>
  <c r="R539" i="1" s="1"/>
  <c r="L539" i="1" a="1"/>
  <c r="L539" i="1" s="1"/>
  <c r="V539" i="1" s="1"/>
  <c r="W539" i="1" s="1"/>
  <c r="E963" i="1"/>
  <c r="F540" i="1"/>
  <c r="G540" i="1" s="1"/>
  <c r="H540" i="1" s="1"/>
  <c r="B964" i="1" l="1"/>
  <c r="E964" i="1" s="1"/>
  <c r="T539" i="1"/>
  <c r="U539" i="1" s="1"/>
  <c r="I540" i="1"/>
  <c r="J540" i="1" s="1"/>
  <c r="K540" i="1" l="1"/>
  <c r="L540" i="1" a="1"/>
  <c r="L540" i="1" s="1"/>
  <c r="V540" i="1" s="1"/>
  <c r="W540" i="1" s="1"/>
  <c r="M540" i="1" a="1"/>
  <c r="M540" i="1" s="1"/>
  <c r="T540" i="1" s="1"/>
  <c r="U540" i="1" s="1"/>
  <c r="B965" i="1"/>
  <c r="F541" i="1"/>
  <c r="G541" i="1" s="1"/>
  <c r="H541" i="1" s="1"/>
  <c r="E965" i="1" l="1"/>
  <c r="P540" i="1"/>
  <c r="Q540" i="1" s="1"/>
  <c r="R540" i="1" s="1"/>
  <c r="I541" i="1"/>
  <c r="J541" i="1" s="1"/>
  <c r="K541" i="1" l="1"/>
  <c r="M541" i="1" a="1"/>
  <c r="M541" i="1" s="1"/>
  <c r="P541" i="1" s="1"/>
  <c r="Q541" i="1" s="1"/>
  <c r="R541" i="1" s="1"/>
  <c r="L541" i="1" a="1"/>
  <c r="L541" i="1" s="1"/>
  <c r="V541" i="1" s="1"/>
  <c r="W541" i="1" s="1"/>
  <c r="B966" i="1"/>
  <c r="E966" i="1" s="1"/>
  <c r="F542" i="1"/>
  <c r="G542" i="1" s="1"/>
  <c r="H542" i="1" s="1"/>
  <c r="B967" i="1" l="1"/>
  <c r="T541" i="1"/>
  <c r="U541" i="1" s="1"/>
  <c r="I542" i="1"/>
  <c r="J542" i="1" s="1"/>
  <c r="K542" i="1" l="1"/>
  <c r="L542" i="1" a="1"/>
  <c r="L542" i="1" s="1"/>
  <c r="V542" i="1" s="1"/>
  <c r="W542" i="1" s="1"/>
  <c r="M542" i="1" a="1"/>
  <c r="M542" i="1" s="1"/>
  <c r="T542" i="1" s="1"/>
  <c r="U542" i="1" s="1"/>
  <c r="E967" i="1"/>
  <c r="B968" i="1" s="1"/>
  <c r="F543" i="1"/>
  <c r="G543" i="1" s="1"/>
  <c r="H543" i="1" s="1"/>
  <c r="P542" i="1" l="1"/>
  <c r="Q542" i="1" s="1"/>
  <c r="R542" i="1" s="1"/>
  <c r="E968" i="1"/>
  <c r="B969" i="1" s="1"/>
  <c r="E969" i="1" s="1"/>
  <c r="I543" i="1"/>
  <c r="J543" i="1" s="1"/>
  <c r="B970" i="1" l="1"/>
  <c r="F544" i="1"/>
  <c r="G544" i="1" s="1"/>
  <c r="H544" i="1" s="1"/>
  <c r="M543" i="1" a="1"/>
  <c r="M543" i="1" s="1"/>
  <c r="P543" i="1" s="1"/>
  <c r="Q543" i="1" s="1"/>
  <c r="R543" i="1" s="1"/>
  <c r="L543" i="1" a="1"/>
  <c r="L543" i="1" s="1"/>
  <c r="V543" i="1" s="1"/>
  <c r="W543" i="1" s="1"/>
  <c r="K543" i="1"/>
  <c r="T543" i="1" l="1"/>
  <c r="U543" i="1" s="1"/>
  <c r="E970" i="1"/>
  <c r="I544" i="1"/>
  <c r="J544" i="1" s="1"/>
  <c r="M544" i="1" l="1" a="1"/>
  <c r="M544" i="1" s="1"/>
  <c r="P544" i="1" s="1"/>
  <c r="Q544" i="1" s="1"/>
  <c r="R544" i="1" s="1"/>
  <c r="L544" i="1" a="1"/>
  <c r="L544" i="1" s="1"/>
  <c r="V544" i="1" s="1"/>
  <c r="W544" i="1" s="1"/>
  <c r="F545" i="1"/>
  <c r="G545" i="1" s="1"/>
  <c r="H545" i="1" s="1"/>
  <c r="K544" i="1"/>
  <c r="B971" i="1"/>
  <c r="E971" i="1" s="1"/>
  <c r="B972" i="1" l="1"/>
  <c r="T544" i="1"/>
  <c r="U544" i="1" s="1"/>
  <c r="I545" i="1"/>
  <c r="J545" i="1" s="1"/>
  <c r="K545" i="1" l="1"/>
  <c r="M545" i="1" a="1"/>
  <c r="M545" i="1" s="1"/>
  <c r="P545" i="1" s="1"/>
  <c r="Q545" i="1" s="1"/>
  <c r="R545" i="1" s="1"/>
  <c r="L545" i="1" a="1"/>
  <c r="L545" i="1" s="1"/>
  <c r="V545" i="1" s="1"/>
  <c r="W545" i="1" s="1"/>
  <c r="E972" i="1"/>
  <c r="B973" i="1" s="1"/>
  <c r="F546" i="1"/>
  <c r="G546" i="1" s="1"/>
  <c r="H546" i="1" s="1"/>
  <c r="E973" i="1" l="1"/>
  <c r="B974" i="1" s="1"/>
  <c r="E974" i="1" s="1"/>
  <c r="T545" i="1"/>
  <c r="U545" i="1" s="1"/>
  <c r="I546" i="1"/>
  <c r="J546" i="1" s="1"/>
  <c r="F547" i="1" l="1"/>
  <c r="G547" i="1" s="1"/>
  <c r="H547" i="1" s="1"/>
  <c r="M546" i="1" a="1"/>
  <c r="M546" i="1" s="1"/>
  <c r="P546" i="1" s="1"/>
  <c r="Q546" i="1" s="1"/>
  <c r="R546" i="1" s="1"/>
  <c r="L546" i="1" a="1"/>
  <c r="L546" i="1" s="1"/>
  <c r="V546" i="1" s="1"/>
  <c r="W546" i="1" s="1"/>
  <c r="B975" i="1"/>
  <c r="K546" i="1"/>
  <c r="T546" i="1" l="1"/>
  <c r="U546" i="1" s="1"/>
  <c r="E975" i="1"/>
  <c r="I547" i="1"/>
  <c r="J547" i="1" s="1"/>
  <c r="F548" i="1" l="1"/>
  <c r="G548" i="1" s="1"/>
  <c r="H548" i="1" s="1"/>
  <c r="M547" i="1" a="1"/>
  <c r="M547" i="1" s="1"/>
  <c r="P547" i="1" s="1"/>
  <c r="Q547" i="1" s="1"/>
  <c r="R547" i="1" s="1"/>
  <c r="L547" i="1" a="1"/>
  <c r="L547" i="1" s="1"/>
  <c r="V547" i="1" s="1"/>
  <c r="W547" i="1" s="1"/>
  <c r="B976" i="1"/>
  <c r="K547" i="1"/>
  <c r="T547" i="1" l="1"/>
  <c r="U547" i="1" s="1"/>
  <c r="E976" i="1"/>
  <c r="B977" i="1" s="1"/>
  <c r="I548" i="1"/>
  <c r="J548" i="1" s="1"/>
  <c r="K548" i="1" l="1"/>
  <c r="M548" i="1" a="1"/>
  <c r="M548" i="1" s="1"/>
  <c r="T548" i="1" s="1"/>
  <c r="U548" i="1" s="1"/>
  <c r="L548" i="1" a="1"/>
  <c r="L548" i="1" s="1"/>
  <c r="V548" i="1" s="1"/>
  <c r="W548" i="1" s="1"/>
  <c r="E977" i="1"/>
  <c r="B978" i="1" s="1"/>
  <c r="E978" i="1" s="1"/>
  <c r="F549" i="1"/>
  <c r="G549" i="1" s="1"/>
  <c r="H549" i="1" s="1"/>
  <c r="I549" i="1" s="1"/>
  <c r="P548" i="1" l="1"/>
  <c r="Q548" i="1" s="1"/>
  <c r="R548" i="1" s="1"/>
  <c r="B979" i="1"/>
  <c r="J549" i="1"/>
  <c r="F550" i="1" l="1"/>
  <c r="G550" i="1" s="1"/>
  <c r="H550" i="1" s="1"/>
  <c r="L549" i="1" a="1"/>
  <c r="L549" i="1" s="1"/>
  <c r="V549" i="1" s="1"/>
  <c r="W549" i="1" s="1"/>
  <c r="M549" i="1" a="1"/>
  <c r="M549" i="1" s="1"/>
  <c r="T549" i="1" s="1"/>
  <c r="U549" i="1" s="1"/>
  <c r="E979" i="1"/>
  <c r="B980" i="1" s="1"/>
  <c r="K549" i="1"/>
  <c r="P549" i="1" l="1"/>
  <c r="Q549" i="1" s="1"/>
  <c r="R549" i="1" s="1"/>
  <c r="E980" i="1"/>
  <c r="I550" i="1"/>
  <c r="J550" i="1" s="1"/>
  <c r="K550" i="1" l="1"/>
  <c r="M550" i="1" a="1"/>
  <c r="M550" i="1" s="1"/>
  <c r="P550" i="1" s="1"/>
  <c r="Q550" i="1" s="1"/>
  <c r="R550" i="1" s="1"/>
  <c r="L550" i="1" a="1"/>
  <c r="L550" i="1" s="1"/>
  <c r="V550" i="1" s="1"/>
  <c r="W550" i="1" s="1"/>
  <c r="B981" i="1"/>
  <c r="F551" i="1"/>
  <c r="G551" i="1" s="1"/>
  <c r="H551" i="1" s="1"/>
  <c r="T550" i="1" l="1"/>
  <c r="U550" i="1" s="1"/>
  <c r="E981" i="1"/>
  <c r="I551" i="1"/>
  <c r="J551" i="1" s="1"/>
  <c r="K551" i="1" l="1"/>
  <c r="M551" i="1" a="1"/>
  <c r="M551" i="1" s="1"/>
  <c r="P551" i="1" s="1"/>
  <c r="Q551" i="1" s="1"/>
  <c r="R551" i="1" s="1"/>
  <c r="L551" i="1" a="1"/>
  <c r="L551" i="1" s="1"/>
  <c r="V551" i="1" s="1"/>
  <c r="W551" i="1" s="1"/>
  <c r="B982" i="1"/>
  <c r="E982" i="1" s="1"/>
  <c r="F552" i="1"/>
  <c r="G552" i="1" s="1"/>
  <c r="H552" i="1" s="1"/>
  <c r="T551" i="1" l="1"/>
  <c r="U551" i="1" s="1"/>
  <c r="B983" i="1"/>
  <c r="I552" i="1"/>
  <c r="J552" i="1" s="1"/>
  <c r="F553" i="1" l="1"/>
  <c r="G553" i="1" s="1"/>
  <c r="H553" i="1" s="1"/>
  <c r="I553" i="1" s="1"/>
  <c r="M552" i="1" a="1"/>
  <c r="M552" i="1" s="1"/>
  <c r="P552" i="1" s="1"/>
  <c r="Q552" i="1" s="1"/>
  <c r="R552" i="1" s="1"/>
  <c r="L552" i="1" a="1"/>
  <c r="L552" i="1" s="1"/>
  <c r="V552" i="1" s="1"/>
  <c r="W552" i="1" s="1"/>
  <c r="E983" i="1"/>
  <c r="B984" i="1" s="1"/>
  <c r="K552" i="1"/>
  <c r="T552" i="1" l="1"/>
  <c r="U552" i="1" s="1"/>
  <c r="E984" i="1"/>
  <c r="J553" i="1"/>
  <c r="F554" i="1" l="1"/>
  <c r="G554" i="1" s="1"/>
  <c r="H554" i="1" s="1"/>
  <c r="I554" i="1" s="1"/>
  <c r="M553" i="1" a="1"/>
  <c r="M553" i="1" s="1"/>
  <c r="T553" i="1" s="1"/>
  <c r="U553" i="1" s="1"/>
  <c r="L553" i="1" a="1"/>
  <c r="L553" i="1" s="1"/>
  <c r="V553" i="1" s="1"/>
  <c r="W553" i="1" s="1"/>
  <c r="B985" i="1"/>
  <c r="K553" i="1"/>
  <c r="P553" i="1" l="1"/>
  <c r="Q553" i="1" s="1"/>
  <c r="R553" i="1" s="1"/>
  <c r="E985" i="1"/>
  <c r="B986" i="1" s="1"/>
  <c r="E986" i="1" s="1"/>
  <c r="J554" i="1"/>
  <c r="F555" i="1" s="1"/>
  <c r="G555" i="1" s="1"/>
  <c r="M554" i="1" l="1" a="1"/>
  <c r="M554" i="1" s="1"/>
  <c r="T554" i="1" s="1"/>
  <c r="U554" i="1" s="1"/>
  <c r="L554" i="1" a="1"/>
  <c r="L554" i="1" s="1"/>
  <c r="V554" i="1" s="1"/>
  <c r="W554" i="1" s="1"/>
  <c r="B987" i="1"/>
  <c r="K554" i="1"/>
  <c r="H555" i="1"/>
  <c r="P554" i="1" l="1"/>
  <c r="Q554" i="1" s="1"/>
  <c r="R554" i="1" s="1"/>
  <c r="E987" i="1"/>
  <c r="B988" i="1" s="1"/>
  <c r="E988" i="1" s="1"/>
  <c r="I555" i="1"/>
  <c r="J555" i="1" s="1"/>
  <c r="F556" i="1" l="1"/>
  <c r="G556" i="1" s="1"/>
  <c r="H556" i="1" s="1"/>
  <c r="L555" i="1" a="1"/>
  <c r="L555" i="1" s="1"/>
  <c r="V555" i="1" s="1"/>
  <c r="W555" i="1" s="1"/>
  <c r="M555" i="1" a="1"/>
  <c r="M555" i="1" s="1"/>
  <c r="P555" i="1" s="1"/>
  <c r="Q555" i="1" s="1"/>
  <c r="R555" i="1" s="1"/>
  <c r="B989" i="1"/>
  <c r="K555" i="1"/>
  <c r="T555" i="1" l="1"/>
  <c r="U555" i="1" s="1"/>
  <c r="E989" i="1"/>
  <c r="B990" i="1" s="1"/>
  <c r="I556" i="1"/>
  <c r="J556" i="1" s="1"/>
  <c r="K556" i="1" l="1"/>
  <c r="M556" i="1" a="1"/>
  <c r="M556" i="1" s="1"/>
  <c r="T556" i="1" s="1"/>
  <c r="U556" i="1" s="1"/>
  <c r="L556" i="1" a="1"/>
  <c r="L556" i="1" s="1"/>
  <c r="V556" i="1" s="1"/>
  <c r="W556" i="1" s="1"/>
  <c r="E990" i="1"/>
  <c r="B991" i="1" s="1"/>
  <c r="F557" i="1"/>
  <c r="G557" i="1" s="1"/>
  <c r="H557" i="1" s="1"/>
  <c r="E991" i="1" l="1"/>
  <c r="B992" i="1" s="1"/>
  <c r="E992" i="1" s="1"/>
  <c r="P556" i="1"/>
  <c r="Q556" i="1" s="1"/>
  <c r="R556" i="1" s="1"/>
  <c r="I557" i="1"/>
  <c r="J557" i="1" s="1"/>
  <c r="K557" i="1" l="1"/>
  <c r="L557" i="1" a="1"/>
  <c r="L557" i="1" s="1"/>
  <c r="V557" i="1" s="1"/>
  <c r="W557" i="1" s="1"/>
  <c r="M557" i="1" a="1"/>
  <c r="M557" i="1" s="1"/>
  <c r="P557" i="1" s="1"/>
  <c r="Q557" i="1" s="1"/>
  <c r="R557" i="1" s="1"/>
  <c r="B993" i="1"/>
  <c r="F558" i="1"/>
  <c r="G558" i="1" s="1"/>
  <c r="H558" i="1" s="1"/>
  <c r="T557" i="1" l="1"/>
  <c r="U557" i="1" s="1"/>
  <c r="E993" i="1"/>
  <c r="B994" i="1" s="1"/>
  <c r="I558" i="1"/>
  <c r="J558" i="1" s="1"/>
  <c r="E994" i="1" l="1"/>
  <c r="B995" i="1" s="1"/>
  <c r="F559" i="1"/>
  <c r="G559" i="1" s="1"/>
  <c r="H559" i="1" s="1"/>
  <c r="M558" i="1" a="1"/>
  <c r="M558" i="1" s="1"/>
  <c r="P558" i="1" s="1"/>
  <c r="Q558" i="1" s="1"/>
  <c r="R558" i="1" s="1"/>
  <c r="L558" i="1" a="1"/>
  <c r="L558" i="1" s="1"/>
  <c r="V558" i="1" s="1"/>
  <c r="W558" i="1" s="1"/>
  <c r="K558" i="1"/>
  <c r="E995" i="1" l="1"/>
  <c r="T558" i="1"/>
  <c r="U558" i="1" s="1"/>
  <c r="I559" i="1"/>
  <c r="J559" i="1" s="1"/>
  <c r="K559" i="1" l="1"/>
  <c r="M559" i="1" a="1"/>
  <c r="M559" i="1" s="1"/>
  <c r="T559" i="1" s="1"/>
  <c r="U559" i="1" s="1"/>
  <c r="L559" i="1" a="1"/>
  <c r="L559" i="1" s="1"/>
  <c r="V559" i="1" s="1"/>
  <c r="W559" i="1" s="1"/>
  <c r="B996" i="1"/>
  <c r="E996" i="1" s="1"/>
  <c r="F560" i="1"/>
  <c r="G560" i="1" s="1"/>
  <c r="H560" i="1" s="1"/>
  <c r="P559" i="1" l="1"/>
  <c r="Q559" i="1" s="1"/>
  <c r="R559" i="1" s="1"/>
  <c r="B997" i="1"/>
  <c r="I560" i="1"/>
  <c r="J560" i="1" s="1"/>
  <c r="F561" i="1" l="1"/>
  <c r="G561" i="1" s="1"/>
  <c r="H561" i="1" s="1"/>
  <c r="M560" i="1" a="1"/>
  <c r="M560" i="1" s="1"/>
  <c r="T560" i="1" s="1"/>
  <c r="U560" i="1" s="1"/>
  <c r="L560" i="1" a="1"/>
  <c r="L560" i="1" s="1"/>
  <c r="V560" i="1" s="1"/>
  <c r="W560" i="1" s="1"/>
  <c r="E997" i="1"/>
  <c r="B998" i="1" s="1"/>
  <c r="K560" i="1"/>
  <c r="P560" i="1" l="1"/>
  <c r="Q560" i="1" s="1"/>
  <c r="R560" i="1" s="1"/>
  <c r="E998" i="1"/>
  <c r="I561" i="1"/>
  <c r="J561" i="1" s="1"/>
  <c r="M561" i="1" l="1" a="1"/>
  <c r="M561" i="1" s="1"/>
  <c r="P561" i="1" s="1"/>
  <c r="Q561" i="1" s="1"/>
  <c r="R561" i="1" s="1"/>
  <c r="L561" i="1" a="1"/>
  <c r="L561" i="1" s="1"/>
  <c r="V561" i="1" s="1"/>
  <c r="W561" i="1" s="1"/>
  <c r="F562" i="1"/>
  <c r="G562" i="1" s="1"/>
  <c r="H562" i="1" s="1"/>
  <c r="B999" i="1"/>
  <c r="E999" i="1" s="1"/>
  <c r="K561" i="1"/>
  <c r="T561" i="1" l="1"/>
  <c r="U561" i="1" s="1"/>
  <c r="B1000" i="1"/>
  <c r="I562" i="1"/>
  <c r="J562" i="1" s="1"/>
  <c r="F563" i="1" l="1"/>
  <c r="G563" i="1" s="1"/>
  <c r="H563" i="1" s="1"/>
  <c r="M562" i="1" a="1"/>
  <c r="M562" i="1" s="1"/>
  <c r="P562" i="1" s="1"/>
  <c r="Q562" i="1" s="1"/>
  <c r="R562" i="1" s="1"/>
  <c r="L562" i="1" a="1"/>
  <c r="L562" i="1" s="1"/>
  <c r="V562" i="1" s="1"/>
  <c r="W562" i="1" s="1"/>
  <c r="E1000" i="1"/>
  <c r="K562" i="1"/>
  <c r="T562" i="1" l="1"/>
  <c r="U562" i="1" s="1"/>
  <c r="B1001" i="1"/>
  <c r="E1001" i="1" s="1"/>
  <c r="I563" i="1"/>
  <c r="J563" i="1" s="1"/>
  <c r="B1002" i="1" l="1"/>
  <c r="E1002" i="1" s="1"/>
  <c r="F564" i="1"/>
  <c r="G564" i="1" s="1"/>
  <c r="H564" i="1" s="1"/>
  <c r="M563" i="1" a="1"/>
  <c r="M563" i="1" s="1"/>
  <c r="T563" i="1" s="1"/>
  <c r="U563" i="1" s="1"/>
  <c r="L563" i="1" a="1"/>
  <c r="L563" i="1" s="1"/>
  <c r="V563" i="1" s="1"/>
  <c r="W563" i="1" s="1"/>
  <c r="K563" i="1"/>
  <c r="P563" i="1" l="1"/>
  <c r="Q563" i="1" s="1"/>
  <c r="R563" i="1" s="1"/>
  <c r="B1003" i="1"/>
  <c r="I564" i="1"/>
  <c r="J564" i="1" s="1"/>
  <c r="K564" i="1" l="1"/>
  <c r="M564" i="1" a="1"/>
  <c r="M564" i="1" s="1"/>
  <c r="T564" i="1" s="1"/>
  <c r="U564" i="1" s="1"/>
  <c r="L564" i="1" a="1"/>
  <c r="L564" i="1" s="1"/>
  <c r="V564" i="1" s="1"/>
  <c r="W564" i="1" s="1"/>
  <c r="E1003" i="1"/>
  <c r="B1004" i="1" s="1"/>
  <c r="F565" i="1"/>
  <c r="G565" i="1" s="1"/>
  <c r="H565" i="1" s="1"/>
  <c r="P564" i="1" l="1"/>
  <c r="Q564" i="1" s="1"/>
  <c r="R564" i="1" s="1"/>
  <c r="E1004" i="1"/>
  <c r="B1005" i="1" s="1"/>
  <c r="E1005" i="1" s="1"/>
  <c r="I565" i="1"/>
  <c r="J565" i="1" s="1"/>
  <c r="K565" i="1" l="1"/>
  <c r="L565" i="1" a="1"/>
  <c r="L565" i="1" s="1"/>
  <c r="V565" i="1" s="1"/>
  <c r="W565" i="1" s="1"/>
  <c r="M565" i="1" a="1"/>
  <c r="M565" i="1" s="1"/>
  <c r="T565" i="1" s="1"/>
  <c r="U565" i="1" s="1"/>
  <c r="B1006" i="1"/>
  <c r="E1006" i="1" s="1"/>
  <c r="F566" i="1"/>
  <c r="G566" i="1" s="1"/>
  <c r="H566" i="1" s="1"/>
  <c r="I566" i="1" s="1"/>
  <c r="B1007" i="1" l="1"/>
  <c r="E1007" i="1" s="1"/>
  <c r="P565" i="1"/>
  <c r="Q565" i="1" s="1"/>
  <c r="R565" i="1" s="1"/>
  <c r="J566" i="1"/>
  <c r="F567" i="1" l="1"/>
  <c r="G567" i="1" s="1"/>
  <c r="H567" i="1" s="1"/>
  <c r="M566" i="1" a="1"/>
  <c r="M566" i="1" s="1"/>
  <c r="T566" i="1" s="1"/>
  <c r="U566" i="1" s="1"/>
  <c r="L566" i="1" a="1"/>
  <c r="L566" i="1" s="1"/>
  <c r="V566" i="1" s="1"/>
  <c r="W566" i="1" s="1"/>
  <c r="B1008" i="1"/>
  <c r="K566" i="1"/>
  <c r="P566" i="1" l="1"/>
  <c r="Q566" i="1" s="1"/>
  <c r="R566" i="1" s="1"/>
  <c r="E1008" i="1"/>
  <c r="B1009" i="1" s="1"/>
  <c r="E1009" i="1" s="1"/>
  <c r="I567" i="1"/>
  <c r="J567" i="1" s="1"/>
  <c r="K567" i="1" l="1"/>
  <c r="L567" i="1" a="1"/>
  <c r="L567" i="1" s="1"/>
  <c r="V567" i="1" s="1"/>
  <c r="W567" i="1" s="1"/>
  <c r="M567" i="1" a="1"/>
  <c r="M567" i="1" s="1"/>
  <c r="P567" i="1" s="1"/>
  <c r="Q567" i="1" s="1"/>
  <c r="R567" i="1" s="1"/>
  <c r="B1010" i="1"/>
  <c r="E1010" i="1" s="1"/>
  <c r="F568" i="1"/>
  <c r="G568" i="1" s="1"/>
  <c r="H568" i="1" s="1"/>
  <c r="I568" i="1" s="1"/>
  <c r="B1011" i="1" l="1"/>
  <c r="E1011" i="1" s="1"/>
  <c r="T567" i="1"/>
  <c r="U567" i="1" s="1"/>
  <c r="J568" i="1"/>
  <c r="F569" i="1" l="1"/>
  <c r="G569" i="1" s="1"/>
  <c r="H569" i="1" s="1"/>
  <c r="M568" i="1" a="1"/>
  <c r="M568" i="1" s="1"/>
  <c r="P568" i="1" s="1"/>
  <c r="Q568" i="1" s="1"/>
  <c r="R568" i="1" s="1"/>
  <c r="L568" i="1" a="1"/>
  <c r="L568" i="1" s="1"/>
  <c r="V568" i="1" s="1"/>
  <c r="W568" i="1" s="1"/>
  <c r="B1012" i="1"/>
  <c r="E1012" i="1" s="1"/>
  <c r="K568" i="1"/>
  <c r="T568" i="1" l="1"/>
  <c r="U568" i="1" s="1"/>
  <c r="B1013" i="1"/>
  <c r="E1013" i="1" s="1"/>
  <c r="I569" i="1"/>
  <c r="J569" i="1" s="1"/>
  <c r="K569" i="1" l="1"/>
  <c r="M569" i="1" a="1"/>
  <c r="M569" i="1" s="1"/>
  <c r="T569" i="1" s="1"/>
  <c r="U569" i="1" s="1"/>
  <c r="L569" i="1" a="1"/>
  <c r="L569" i="1" s="1"/>
  <c r="V569" i="1" s="1"/>
  <c r="W569" i="1" s="1"/>
  <c r="B1014" i="1"/>
  <c r="F570" i="1"/>
  <c r="G570" i="1" s="1"/>
  <c r="H570" i="1" s="1"/>
  <c r="P569" i="1" l="1"/>
  <c r="Q569" i="1" s="1"/>
  <c r="R569" i="1" s="1"/>
  <c r="E1014" i="1"/>
  <c r="I570" i="1"/>
  <c r="J570" i="1" s="1"/>
  <c r="F571" i="1" l="1"/>
  <c r="G571" i="1" s="1"/>
  <c r="H571" i="1" s="1"/>
  <c r="M570" i="1" a="1"/>
  <c r="M570" i="1" s="1"/>
  <c r="T570" i="1" s="1"/>
  <c r="U570" i="1" s="1"/>
  <c r="L570" i="1" a="1"/>
  <c r="L570" i="1" s="1"/>
  <c r="V570" i="1" s="1"/>
  <c r="W570" i="1" s="1"/>
  <c r="B1015" i="1"/>
  <c r="K570" i="1"/>
  <c r="P570" i="1" l="1"/>
  <c r="Q570" i="1" s="1"/>
  <c r="R570" i="1" s="1"/>
  <c r="E1015" i="1"/>
  <c r="I571" i="1"/>
  <c r="J571" i="1" s="1"/>
  <c r="F572" i="1" l="1"/>
  <c r="G572" i="1" s="1"/>
  <c r="H572" i="1" s="1"/>
  <c r="M571" i="1" a="1"/>
  <c r="M571" i="1" s="1"/>
  <c r="P571" i="1" s="1"/>
  <c r="Q571" i="1" s="1"/>
  <c r="R571" i="1" s="1"/>
  <c r="L571" i="1" a="1"/>
  <c r="L571" i="1" s="1"/>
  <c r="V571" i="1" s="1"/>
  <c r="W571" i="1" s="1"/>
  <c r="B1016" i="1"/>
  <c r="K571" i="1"/>
  <c r="T571" i="1" l="1"/>
  <c r="U571" i="1" s="1"/>
  <c r="E1016" i="1"/>
  <c r="B1017" i="1" s="1"/>
  <c r="E1017" i="1" s="1"/>
  <c r="I572" i="1"/>
  <c r="J572" i="1" s="1"/>
  <c r="K572" i="1" l="1"/>
  <c r="L572" i="1" a="1"/>
  <c r="L572" i="1" s="1"/>
  <c r="V572" i="1" s="1"/>
  <c r="W572" i="1" s="1"/>
  <c r="M572" i="1" a="1"/>
  <c r="M572" i="1" s="1"/>
  <c r="P572" i="1" s="1"/>
  <c r="Q572" i="1" s="1"/>
  <c r="R572" i="1" s="1"/>
  <c r="B1018" i="1"/>
  <c r="F573" i="1"/>
  <c r="G573" i="1" s="1"/>
  <c r="H573" i="1" s="1"/>
  <c r="T572" i="1" l="1"/>
  <c r="U572" i="1" s="1"/>
  <c r="E1018" i="1"/>
  <c r="I573" i="1"/>
  <c r="J573" i="1" s="1"/>
  <c r="F574" i="1" l="1"/>
  <c r="G574" i="1" s="1"/>
  <c r="H574" i="1" s="1"/>
  <c r="L573" i="1" a="1"/>
  <c r="L573" i="1" s="1"/>
  <c r="V573" i="1" s="1"/>
  <c r="W573" i="1" s="1"/>
  <c r="M573" i="1" a="1"/>
  <c r="M573" i="1" s="1"/>
  <c r="P573" i="1" s="1"/>
  <c r="Q573" i="1" s="1"/>
  <c r="R573" i="1" s="1"/>
  <c r="B1019" i="1"/>
  <c r="E1019" i="1" s="1"/>
  <c r="K573" i="1"/>
  <c r="T573" i="1" l="1"/>
  <c r="U573" i="1" s="1"/>
  <c r="B1020" i="1"/>
  <c r="I574" i="1"/>
  <c r="J574" i="1" s="1"/>
  <c r="F575" i="1" l="1"/>
  <c r="G575" i="1" s="1"/>
  <c r="H575" i="1" s="1"/>
  <c r="L574" i="1" a="1"/>
  <c r="L574" i="1" s="1"/>
  <c r="V574" i="1" s="1"/>
  <c r="W574" i="1" s="1"/>
  <c r="M574" i="1" a="1"/>
  <c r="M574" i="1" s="1"/>
  <c r="P574" i="1" s="1"/>
  <c r="Q574" i="1" s="1"/>
  <c r="R574" i="1" s="1"/>
  <c r="E1020" i="1"/>
  <c r="B1021" i="1" s="1"/>
  <c r="E1021" i="1" s="1"/>
  <c r="K574" i="1"/>
  <c r="B1022" i="1" l="1"/>
  <c r="E1022" i="1" s="1"/>
  <c r="T574" i="1"/>
  <c r="U574" i="1" s="1"/>
  <c r="I575" i="1"/>
  <c r="J575" i="1" s="1"/>
  <c r="F576" i="1" l="1"/>
  <c r="G576" i="1" s="1"/>
  <c r="H576" i="1" s="1"/>
  <c r="L575" i="1" a="1"/>
  <c r="L575" i="1" s="1"/>
  <c r="V575" i="1" s="1"/>
  <c r="W575" i="1" s="1"/>
  <c r="M575" i="1" a="1"/>
  <c r="M575" i="1" s="1"/>
  <c r="T575" i="1" s="1"/>
  <c r="U575" i="1" s="1"/>
  <c r="B1023" i="1"/>
  <c r="E1023" i="1" s="1"/>
  <c r="K575" i="1"/>
  <c r="P575" i="1" l="1"/>
  <c r="Q575" i="1" s="1"/>
  <c r="R575" i="1" s="1"/>
  <c r="B1024" i="1"/>
  <c r="E1024" i="1" s="1"/>
  <c r="I576" i="1"/>
  <c r="J576" i="1" s="1"/>
  <c r="F577" i="1" l="1"/>
  <c r="G577" i="1" s="1"/>
  <c r="H577" i="1" s="1"/>
  <c r="M576" i="1" a="1"/>
  <c r="M576" i="1" s="1"/>
  <c r="P576" i="1" s="1"/>
  <c r="Q576" i="1" s="1"/>
  <c r="R576" i="1" s="1"/>
  <c r="L576" i="1" a="1"/>
  <c r="L576" i="1" s="1"/>
  <c r="V576" i="1" s="1"/>
  <c r="W576" i="1" s="1"/>
  <c r="K576" i="1"/>
  <c r="B1025" i="1"/>
  <c r="E1025" i="1" s="1"/>
  <c r="T576" i="1" l="1"/>
  <c r="U576" i="1" s="1"/>
  <c r="B1026" i="1"/>
  <c r="E1026" i="1" s="1"/>
  <c r="I577" i="1"/>
  <c r="J577" i="1" s="1"/>
  <c r="K577" i="1" l="1"/>
  <c r="L577" i="1" a="1"/>
  <c r="L577" i="1" s="1"/>
  <c r="V577" i="1" s="1"/>
  <c r="W577" i="1" s="1"/>
  <c r="M577" i="1" a="1"/>
  <c r="M577" i="1" s="1"/>
  <c r="T577" i="1" s="1"/>
  <c r="U577" i="1" s="1"/>
  <c r="B1027" i="1"/>
  <c r="F578" i="1"/>
  <c r="G578" i="1" s="1"/>
  <c r="H578" i="1" s="1"/>
  <c r="P577" i="1" l="1"/>
  <c r="Q577" i="1" s="1"/>
  <c r="R577" i="1" s="1"/>
  <c r="E1027" i="1"/>
  <c r="I578" i="1"/>
  <c r="J578" i="1" s="1"/>
  <c r="K578" i="1" l="1"/>
  <c r="M578" i="1" a="1"/>
  <c r="M578" i="1" s="1"/>
  <c r="T578" i="1" s="1"/>
  <c r="U578" i="1" s="1"/>
  <c r="L578" i="1" a="1"/>
  <c r="L578" i="1" s="1"/>
  <c r="V578" i="1" s="1"/>
  <c r="W578" i="1" s="1"/>
  <c r="B1028" i="1"/>
  <c r="E1028" i="1" s="1"/>
  <c r="F579" i="1"/>
  <c r="G579" i="1" s="1"/>
  <c r="H579" i="1" s="1"/>
  <c r="I579" i="1" s="1"/>
  <c r="P578" i="1" l="1"/>
  <c r="Q578" i="1" s="1"/>
  <c r="R578" i="1" s="1"/>
  <c r="B1029" i="1"/>
  <c r="J579" i="1"/>
  <c r="F580" i="1" l="1"/>
  <c r="G580" i="1" s="1"/>
  <c r="H580" i="1" s="1"/>
  <c r="L579" i="1" a="1"/>
  <c r="L579" i="1" s="1"/>
  <c r="V579" i="1" s="1"/>
  <c r="W579" i="1" s="1"/>
  <c r="M579" i="1" a="1"/>
  <c r="M579" i="1" s="1"/>
  <c r="P579" i="1" s="1"/>
  <c r="Q579" i="1" s="1"/>
  <c r="R579" i="1" s="1"/>
  <c r="E1029" i="1"/>
  <c r="K579" i="1"/>
  <c r="T579" i="1" l="1"/>
  <c r="U579" i="1" s="1"/>
  <c r="B1030" i="1"/>
  <c r="I580" i="1"/>
  <c r="J580" i="1" s="1"/>
  <c r="K580" i="1" l="1"/>
  <c r="L580" i="1" a="1"/>
  <c r="L580" i="1" s="1"/>
  <c r="V580" i="1" s="1"/>
  <c r="W580" i="1" s="1"/>
  <c r="M580" i="1" a="1"/>
  <c r="M580" i="1" s="1"/>
  <c r="T580" i="1" s="1"/>
  <c r="U580" i="1" s="1"/>
  <c r="E1030" i="1"/>
  <c r="F581" i="1"/>
  <c r="G581" i="1" s="1"/>
  <c r="H581" i="1" s="1"/>
  <c r="P580" i="1" l="1"/>
  <c r="Q580" i="1" s="1"/>
  <c r="R580" i="1" s="1"/>
  <c r="B1031" i="1"/>
  <c r="I581" i="1"/>
  <c r="J581" i="1" s="1"/>
  <c r="K581" i="1" l="1"/>
  <c r="M581" i="1" a="1"/>
  <c r="M581" i="1" s="1"/>
  <c r="P581" i="1" s="1"/>
  <c r="Q581" i="1" s="1"/>
  <c r="R581" i="1" s="1"/>
  <c r="L581" i="1" a="1"/>
  <c r="L581" i="1" s="1"/>
  <c r="V581" i="1" s="1"/>
  <c r="W581" i="1" s="1"/>
  <c r="E1031" i="1"/>
  <c r="B1032" i="1" s="1"/>
  <c r="F582" i="1"/>
  <c r="G582" i="1" s="1"/>
  <c r="H582" i="1" s="1"/>
  <c r="T581" i="1" l="1"/>
  <c r="U581" i="1" s="1"/>
  <c r="E1032" i="1"/>
  <c r="I582" i="1"/>
  <c r="J582" i="1" s="1"/>
  <c r="K582" i="1" l="1"/>
  <c r="M582" i="1" a="1"/>
  <c r="M582" i="1" s="1"/>
  <c r="P582" i="1" s="1"/>
  <c r="Q582" i="1" s="1"/>
  <c r="R582" i="1" s="1"/>
  <c r="L582" i="1" a="1"/>
  <c r="L582" i="1" s="1"/>
  <c r="V582" i="1" s="1"/>
  <c r="W582" i="1" s="1"/>
  <c r="B1033" i="1"/>
  <c r="F583" i="1"/>
  <c r="G583" i="1" s="1"/>
  <c r="H583" i="1" s="1"/>
  <c r="T582" i="1" l="1"/>
  <c r="U582" i="1" s="1"/>
  <c r="E1033" i="1"/>
  <c r="B1034" i="1" s="1"/>
  <c r="E1034" i="1" s="1"/>
  <c r="I583" i="1"/>
  <c r="J583" i="1" s="1"/>
  <c r="K583" i="1" s="1"/>
  <c r="M583" i="1" l="1" a="1"/>
  <c r="M583" i="1" s="1"/>
  <c r="P583" i="1" s="1"/>
  <c r="Q583" i="1" s="1"/>
  <c r="R583" i="1" s="1"/>
  <c r="L583" i="1" a="1"/>
  <c r="L583" i="1" s="1"/>
  <c r="V583" i="1" s="1"/>
  <c r="W583" i="1" s="1"/>
  <c r="F584" i="1"/>
  <c r="G584" i="1" s="1"/>
  <c r="H584" i="1" s="1"/>
  <c r="T583" i="1" l="1"/>
  <c r="U583" i="1" s="1"/>
  <c r="I584" i="1"/>
  <c r="J584" i="1" s="1"/>
  <c r="F585" i="1" l="1"/>
  <c r="G585" i="1" s="1"/>
  <c r="H585" i="1" s="1"/>
  <c r="M584" i="1" a="1"/>
  <c r="M584" i="1" s="1"/>
  <c r="T584" i="1" s="1"/>
  <c r="U584" i="1" s="1"/>
  <c r="L584" i="1" a="1"/>
  <c r="L584" i="1" s="1"/>
  <c r="V584" i="1" s="1"/>
  <c r="W584" i="1" s="1"/>
  <c r="K584" i="1"/>
  <c r="P584" i="1" l="1"/>
  <c r="Q584" i="1" s="1"/>
  <c r="R584" i="1" s="1"/>
  <c r="I585" i="1"/>
  <c r="J585" i="1" s="1"/>
  <c r="K585" i="1" l="1"/>
  <c r="M585" i="1" a="1"/>
  <c r="M585" i="1" s="1"/>
  <c r="T585" i="1" s="1"/>
  <c r="U585" i="1" s="1"/>
  <c r="L585" i="1" a="1"/>
  <c r="L585" i="1" s="1"/>
  <c r="V585" i="1" s="1"/>
  <c r="W585" i="1" s="1"/>
  <c r="F586" i="1"/>
  <c r="G586" i="1" s="1"/>
  <c r="H586" i="1" s="1"/>
  <c r="P585" i="1" l="1"/>
  <c r="Q585" i="1" s="1"/>
  <c r="R585" i="1" s="1"/>
  <c r="I586" i="1"/>
  <c r="J586" i="1" s="1"/>
  <c r="K586" i="1" l="1"/>
  <c r="M586" i="1" a="1"/>
  <c r="M586" i="1" s="1"/>
  <c r="T586" i="1" s="1"/>
  <c r="U586" i="1" s="1"/>
  <c r="L586" i="1" a="1"/>
  <c r="L586" i="1" s="1"/>
  <c r="V586" i="1" s="1"/>
  <c r="W586" i="1" s="1"/>
  <c r="F587" i="1"/>
  <c r="G587" i="1" s="1"/>
  <c r="H587" i="1" s="1"/>
  <c r="P586" i="1" l="1"/>
  <c r="Q586" i="1" s="1"/>
  <c r="R586" i="1" s="1"/>
  <c r="I587" i="1"/>
  <c r="J587" i="1" s="1"/>
  <c r="K587" i="1" l="1"/>
  <c r="M587" i="1" a="1"/>
  <c r="M587" i="1" s="1"/>
  <c r="P587" i="1" s="1"/>
  <c r="Q587" i="1" s="1"/>
  <c r="R587" i="1" s="1"/>
  <c r="L587" i="1" a="1"/>
  <c r="L587" i="1" s="1"/>
  <c r="V587" i="1" s="1"/>
  <c r="W587" i="1" s="1"/>
  <c r="F588" i="1"/>
  <c r="G588" i="1" s="1"/>
  <c r="H588" i="1" s="1"/>
  <c r="T587" i="1" l="1"/>
  <c r="U587" i="1" s="1"/>
  <c r="I588" i="1"/>
  <c r="J588" i="1" s="1"/>
  <c r="K588" i="1" l="1"/>
  <c r="L588" i="1" a="1"/>
  <c r="L588" i="1" s="1"/>
  <c r="V588" i="1" s="1"/>
  <c r="W588" i="1" s="1"/>
  <c r="M588" i="1" a="1"/>
  <c r="M588" i="1" s="1"/>
  <c r="P588" i="1" s="1"/>
  <c r="Q588" i="1" s="1"/>
  <c r="R588" i="1" s="1"/>
  <c r="F589" i="1"/>
  <c r="G589" i="1" s="1"/>
  <c r="H589" i="1" s="1"/>
  <c r="T588" i="1" l="1"/>
  <c r="U588" i="1" s="1"/>
  <c r="I589" i="1"/>
  <c r="J589" i="1" s="1"/>
  <c r="F590" i="1" l="1"/>
  <c r="G590" i="1" s="1"/>
  <c r="H590" i="1" s="1"/>
  <c r="M589" i="1" a="1"/>
  <c r="M589" i="1" s="1"/>
  <c r="T589" i="1" s="1"/>
  <c r="U589" i="1" s="1"/>
  <c r="L589" i="1" a="1"/>
  <c r="L589" i="1" s="1"/>
  <c r="V589" i="1" s="1"/>
  <c r="W589" i="1" s="1"/>
  <c r="K589" i="1"/>
  <c r="P589" i="1" l="1"/>
  <c r="Q589" i="1" s="1"/>
  <c r="R589" i="1" s="1"/>
  <c r="I590" i="1"/>
  <c r="J590" i="1" s="1"/>
  <c r="K590" i="1" l="1"/>
  <c r="M590" i="1" a="1"/>
  <c r="M590" i="1" s="1"/>
  <c r="T590" i="1" s="1"/>
  <c r="U590" i="1" s="1"/>
  <c r="L590" i="1" a="1"/>
  <c r="L590" i="1" s="1"/>
  <c r="V590" i="1" s="1"/>
  <c r="W590" i="1" s="1"/>
  <c r="F591" i="1"/>
  <c r="G591" i="1" s="1"/>
  <c r="H591" i="1" s="1"/>
  <c r="P590" i="1" l="1"/>
  <c r="Q590" i="1" s="1"/>
  <c r="R590" i="1" s="1"/>
  <c r="I591" i="1"/>
  <c r="J591" i="1" s="1"/>
  <c r="F592" i="1" l="1"/>
  <c r="G592" i="1" s="1"/>
  <c r="H592" i="1" s="1"/>
  <c r="M591" i="1" a="1"/>
  <c r="M591" i="1" s="1"/>
  <c r="T591" i="1" s="1"/>
  <c r="U591" i="1" s="1"/>
  <c r="L591" i="1" a="1"/>
  <c r="L591" i="1" s="1"/>
  <c r="V591" i="1" s="1"/>
  <c r="W591" i="1" s="1"/>
  <c r="K591" i="1"/>
  <c r="P591" i="1" l="1"/>
  <c r="Q591" i="1" s="1"/>
  <c r="R591" i="1" s="1"/>
  <c r="I592" i="1"/>
  <c r="J592" i="1" s="1"/>
  <c r="K592" i="1" l="1"/>
  <c r="L592" i="1" a="1"/>
  <c r="L592" i="1" s="1"/>
  <c r="V592" i="1" s="1"/>
  <c r="W592" i="1" s="1"/>
  <c r="M592" i="1" a="1"/>
  <c r="M592" i="1" s="1"/>
  <c r="P592" i="1" s="1"/>
  <c r="Q592" i="1" s="1"/>
  <c r="R592" i="1" s="1"/>
  <c r="F593" i="1"/>
  <c r="G593" i="1" s="1"/>
  <c r="H593" i="1" s="1"/>
  <c r="T592" i="1" l="1"/>
  <c r="U592" i="1" s="1"/>
  <c r="I593" i="1"/>
  <c r="J593" i="1" s="1"/>
  <c r="F594" i="1" l="1"/>
  <c r="G594" i="1" s="1"/>
  <c r="H594" i="1" s="1"/>
  <c r="M593" i="1" a="1"/>
  <c r="M593" i="1" s="1"/>
  <c r="P593" i="1" s="1"/>
  <c r="Q593" i="1" s="1"/>
  <c r="R593" i="1" s="1"/>
  <c r="L593" i="1" a="1"/>
  <c r="L593" i="1" s="1"/>
  <c r="V593" i="1" s="1"/>
  <c r="W593" i="1" s="1"/>
  <c r="K593" i="1"/>
  <c r="T593" i="1" l="1"/>
  <c r="U593" i="1" s="1"/>
  <c r="I594" i="1"/>
  <c r="J594" i="1" s="1"/>
  <c r="K594" i="1" l="1"/>
  <c r="M594" i="1" a="1"/>
  <c r="M594" i="1" s="1"/>
  <c r="T594" i="1" s="1"/>
  <c r="U594" i="1" s="1"/>
  <c r="L594" i="1" a="1"/>
  <c r="L594" i="1" s="1"/>
  <c r="V594" i="1" s="1"/>
  <c r="W594" i="1" s="1"/>
  <c r="F595" i="1"/>
  <c r="G595" i="1" s="1"/>
  <c r="H595" i="1" s="1"/>
  <c r="P594" i="1" l="1"/>
  <c r="Q594" i="1" s="1"/>
  <c r="R594" i="1" s="1"/>
  <c r="I595" i="1"/>
  <c r="J595" i="1" s="1"/>
  <c r="F596" i="1" l="1"/>
  <c r="G596" i="1" s="1"/>
  <c r="H596" i="1" s="1"/>
  <c r="M595" i="1" a="1"/>
  <c r="M595" i="1" s="1"/>
  <c r="P595" i="1" s="1"/>
  <c r="Q595" i="1" s="1"/>
  <c r="R595" i="1" s="1"/>
  <c r="L595" i="1" a="1"/>
  <c r="L595" i="1" s="1"/>
  <c r="V595" i="1" s="1"/>
  <c r="W595" i="1" s="1"/>
  <c r="K595" i="1"/>
  <c r="T595" i="1" l="1"/>
  <c r="U595" i="1" s="1"/>
  <c r="I596" i="1"/>
  <c r="J596" i="1" s="1"/>
  <c r="F597" i="1" l="1"/>
  <c r="G597" i="1" s="1"/>
  <c r="H597" i="1" s="1"/>
  <c r="L596" i="1" a="1"/>
  <c r="L596" i="1" s="1"/>
  <c r="V596" i="1" s="1"/>
  <c r="W596" i="1" s="1"/>
  <c r="M596" i="1" a="1"/>
  <c r="M596" i="1" s="1"/>
  <c r="P596" i="1" s="1"/>
  <c r="Q596" i="1" s="1"/>
  <c r="R596" i="1" s="1"/>
  <c r="K596" i="1"/>
  <c r="T596" i="1" l="1"/>
  <c r="U596" i="1" s="1"/>
  <c r="I597" i="1"/>
  <c r="J597" i="1" s="1"/>
  <c r="K597" i="1" l="1"/>
  <c r="M597" i="1" a="1"/>
  <c r="M597" i="1" s="1"/>
  <c r="P597" i="1" s="1"/>
  <c r="Q597" i="1" s="1"/>
  <c r="R597" i="1" s="1"/>
  <c r="L597" i="1" a="1"/>
  <c r="L597" i="1" s="1"/>
  <c r="V597" i="1" s="1"/>
  <c r="W597" i="1" s="1"/>
  <c r="F598" i="1"/>
  <c r="G598" i="1" s="1"/>
  <c r="H598" i="1" s="1"/>
  <c r="T597" i="1" l="1"/>
  <c r="U597" i="1" s="1"/>
  <c r="I598" i="1"/>
  <c r="J598" i="1" s="1"/>
  <c r="F599" i="1" l="1"/>
  <c r="G599" i="1" s="1"/>
  <c r="H599" i="1" s="1"/>
  <c r="M598" i="1" a="1"/>
  <c r="M598" i="1" s="1"/>
  <c r="P598" i="1" s="1"/>
  <c r="Q598" i="1" s="1"/>
  <c r="R598" i="1" s="1"/>
  <c r="L598" i="1" a="1"/>
  <c r="L598" i="1" s="1"/>
  <c r="V598" i="1" s="1"/>
  <c r="W598" i="1" s="1"/>
  <c r="K598" i="1"/>
  <c r="T598" i="1" l="1"/>
  <c r="U598" i="1" s="1"/>
  <c r="I599" i="1"/>
  <c r="J599" i="1" s="1"/>
  <c r="F600" i="1" l="1"/>
  <c r="G600" i="1" s="1"/>
  <c r="H600" i="1" s="1"/>
  <c r="M599" i="1" a="1"/>
  <c r="M599" i="1" s="1"/>
  <c r="T599" i="1" s="1"/>
  <c r="U599" i="1" s="1"/>
  <c r="L599" i="1" a="1"/>
  <c r="L599" i="1" s="1"/>
  <c r="V599" i="1" s="1"/>
  <c r="W599" i="1" s="1"/>
  <c r="K599" i="1"/>
  <c r="P599" i="1" l="1"/>
  <c r="Q599" i="1" s="1"/>
  <c r="R599" i="1" s="1"/>
  <c r="I600" i="1"/>
  <c r="J600" i="1" s="1"/>
  <c r="K600" i="1" l="1"/>
  <c r="L600" i="1" a="1"/>
  <c r="L600" i="1" s="1"/>
  <c r="V600" i="1" s="1"/>
  <c r="W600" i="1" s="1"/>
  <c r="M600" i="1" a="1"/>
  <c r="M600" i="1" s="1"/>
  <c r="P600" i="1" s="1"/>
  <c r="Q600" i="1" s="1"/>
  <c r="R600" i="1" s="1"/>
  <c r="F601" i="1"/>
  <c r="G601" i="1" s="1"/>
  <c r="H601" i="1" s="1"/>
  <c r="T600" i="1" l="1"/>
  <c r="U600" i="1" s="1"/>
  <c r="I601" i="1"/>
  <c r="J601" i="1" s="1"/>
  <c r="K601" i="1" l="1"/>
  <c r="L601" i="1" a="1"/>
  <c r="L601" i="1" s="1"/>
  <c r="V601" i="1" s="1"/>
  <c r="W601" i="1" s="1"/>
  <c r="M601" i="1" a="1"/>
  <c r="M601" i="1" s="1"/>
  <c r="P601" i="1" s="1"/>
  <c r="Q601" i="1" s="1"/>
  <c r="R601" i="1" s="1"/>
  <c r="F602" i="1"/>
  <c r="G602" i="1" s="1"/>
  <c r="H602" i="1" s="1"/>
  <c r="T601" i="1" l="1"/>
  <c r="U601" i="1" s="1"/>
  <c r="I602" i="1"/>
  <c r="J602" i="1" s="1"/>
  <c r="K602" i="1" l="1"/>
  <c r="M602" i="1" a="1"/>
  <c r="M602" i="1" s="1"/>
  <c r="T602" i="1" s="1"/>
  <c r="U602" i="1" s="1"/>
  <c r="L602" i="1" a="1"/>
  <c r="L602" i="1" s="1"/>
  <c r="V602" i="1" s="1"/>
  <c r="W602" i="1" s="1"/>
  <c r="F603" i="1"/>
  <c r="G603" i="1" s="1"/>
  <c r="H603" i="1" s="1"/>
  <c r="P602" i="1" l="1"/>
  <c r="Q602" i="1" s="1"/>
  <c r="R602" i="1" s="1"/>
  <c r="I603" i="1"/>
  <c r="J603" i="1" s="1"/>
  <c r="F604" i="1" l="1"/>
  <c r="G604" i="1" s="1"/>
  <c r="H604" i="1" s="1"/>
  <c r="L603" i="1" a="1"/>
  <c r="L603" i="1" s="1"/>
  <c r="V603" i="1" s="1"/>
  <c r="W603" i="1" s="1"/>
  <c r="M603" i="1" a="1"/>
  <c r="M603" i="1" s="1"/>
  <c r="T603" i="1" s="1"/>
  <c r="U603" i="1" s="1"/>
  <c r="K603" i="1"/>
  <c r="P603" i="1" l="1"/>
  <c r="Q603" i="1" s="1"/>
  <c r="R603" i="1" s="1"/>
  <c r="I604" i="1"/>
  <c r="J604" i="1" s="1"/>
  <c r="F605" i="1" l="1"/>
  <c r="G605" i="1" s="1"/>
  <c r="H605" i="1" s="1"/>
  <c r="M604" i="1" a="1"/>
  <c r="M604" i="1" s="1"/>
  <c r="T604" i="1" s="1"/>
  <c r="U604" i="1" s="1"/>
  <c r="L604" i="1" a="1"/>
  <c r="L604" i="1" s="1"/>
  <c r="V604" i="1" s="1"/>
  <c r="W604" i="1" s="1"/>
  <c r="K604" i="1"/>
  <c r="P604" i="1" l="1"/>
  <c r="Q604" i="1" s="1"/>
  <c r="R604" i="1" s="1"/>
  <c r="I605" i="1"/>
  <c r="J605" i="1" s="1"/>
  <c r="F606" i="1" l="1"/>
  <c r="G606" i="1" s="1"/>
  <c r="H606" i="1" s="1"/>
  <c r="M605" i="1" a="1"/>
  <c r="M605" i="1" s="1"/>
  <c r="T605" i="1" s="1"/>
  <c r="U605" i="1" s="1"/>
  <c r="L605" i="1" a="1"/>
  <c r="L605" i="1" s="1"/>
  <c r="V605" i="1" s="1"/>
  <c r="W605" i="1" s="1"/>
  <c r="K605" i="1"/>
  <c r="P605" i="1" l="1"/>
  <c r="Q605" i="1" s="1"/>
  <c r="R605" i="1" s="1"/>
  <c r="I606" i="1"/>
  <c r="J606" i="1" s="1"/>
  <c r="F607" i="1" l="1"/>
  <c r="G607" i="1" s="1"/>
  <c r="H607" i="1" s="1"/>
  <c r="M606" i="1" a="1"/>
  <c r="M606" i="1" s="1"/>
  <c r="P606" i="1" s="1"/>
  <c r="Q606" i="1" s="1"/>
  <c r="R606" i="1" s="1"/>
  <c r="L606" i="1" a="1"/>
  <c r="L606" i="1" s="1"/>
  <c r="V606" i="1" s="1"/>
  <c r="W606" i="1" s="1"/>
  <c r="K606" i="1"/>
  <c r="T606" i="1" l="1"/>
  <c r="U606" i="1" s="1"/>
  <c r="I607" i="1"/>
  <c r="J607" i="1" s="1"/>
  <c r="F608" i="1" l="1"/>
  <c r="G608" i="1" s="1"/>
  <c r="H608" i="1" s="1"/>
  <c r="L607" i="1" a="1"/>
  <c r="L607" i="1" s="1"/>
  <c r="V607" i="1" s="1"/>
  <c r="W607" i="1" s="1"/>
  <c r="M607" i="1" a="1"/>
  <c r="M607" i="1" s="1"/>
  <c r="T607" i="1" s="1"/>
  <c r="U607" i="1" s="1"/>
  <c r="K607" i="1"/>
  <c r="P607" i="1" l="1"/>
  <c r="Q607" i="1" s="1"/>
  <c r="R607" i="1" s="1"/>
  <c r="I608" i="1"/>
  <c r="J608" i="1" s="1"/>
  <c r="K608" i="1" l="1"/>
  <c r="L608" i="1" a="1"/>
  <c r="L608" i="1" s="1"/>
  <c r="V608" i="1" s="1"/>
  <c r="W608" i="1" s="1"/>
  <c r="M608" i="1" a="1"/>
  <c r="M608" i="1" s="1"/>
  <c r="P608" i="1" s="1"/>
  <c r="Q608" i="1" s="1"/>
  <c r="R608" i="1" s="1"/>
  <c r="F609" i="1"/>
  <c r="G609" i="1" s="1"/>
  <c r="H609" i="1" s="1"/>
  <c r="T608" i="1" l="1"/>
  <c r="U608" i="1" s="1"/>
  <c r="I609" i="1"/>
  <c r="J609" i="1" s="1"/>
  <c r="K609" i="1" l="1"/>
  <c r="L609" i="1" a="1"/>
  <c r="L609" i="1" s="1"/>
  <c r="V609" i="1" s="1"/>
  <c r="W609" i="1" s="1"/>
  <c r="M609" i="1" a="1"/>
  <c r="M609" i="1" s="1"/>
  <c r="P609" i="1" s="1"/>
  <c r="Q609" i="1" s="1"/>
  <c r="R609" i="1" s="1"/>
  <c r="F610" i="1"/>
  <c r="G610" i="1" s="1"/>
  <c r="H610" i="1" s="1"/>
  <c r="T609" i="1" l="1"/>
  <c r="U609" i="1" s="1"/>
  <c r="I610" i="1"/>
  <c r="J610" i="1" s="1"/>
  <c r="K610" i="1" l="1"/>
  <c r="M610" i="1" a="1"/>
  <c r="M610" i="1" s="1"/>
  <c r="P610" i="1" s="1"/>
  <c r="Q610" i="1" s="1"/>
  <c r="R610" i="1" s="1"/>
  <c r="L610" i="1" a="1"/>
  <c r="L610" i="1" s="1"/>
  <c r="V610" i="1" s="1"/>
  <c r="W610" i="1" s="1"/>
  <c r="F611" i="1"/>
  <c r="G611" i="1" s="1"/>
  <c r="H611" i="1" s="1"/>
  <c r="T610" i="1" l="1"/>
  <c r="U610" i="1" s="1"/>
  <c r="I611" i="1"/>
  <c r="J611" i="1" s="1"/>
  <c r="F612" i="1" l="1"/>
  <c r="G612" i="1" s="1"/>
  <c r="H612" i="1" s="1"/>
  <c r="L611" i="1" a="1"/>
  <c r="L611" i="1" s="1"/>
  <c r="V611" i="1" s="1"/>
  <c r="W611" i="1" s="1"/>
  <c r="M611" i="1" a="1"/>
  <c r="M611" i="1" s="1"/>
  <c r="T611" i="1" s="1"/>
  <c r="U611" i="1" s="1"/>
  <c r="K611" i="1"/>
  <c r="P611" i="1" l="1"/>
  <c r="Q611" i="1" s="1"/>
  <c r="R611" i="1" s="1"/>
  <c r="I612" i="1"/>
  <c r="J612" i="1" s="1"/>
  <c r="K612" i="1" l="1"/>
  <c r="M612" i="1" a="1"/>
  <c r="M612" i="1" s="1"/>
  <c r="P612" i="1" s="1"/>
  <c r="Q612" i="1" s="1"/>
  <c r="R612" i="1" s="1"/>
  <c r="L612" i="1" a="1"/>
  <c r="L612" i="1" s="1"/>
  <c r="V612" i="1" s="1"/>
  <c r="W612" i="1" s="1"/>
  <c r="F613" i="1"/>
  <c r="G613" i="1" s="1"/>
  <c r="H613" i="1" s="1"/>
  <c r="T612" i="1" l="1"/>
  <c r="U612" i="1" s="1"/>
  <c r="I613" i="1"/>
  <c r="J613" i="1" s="1"/>
  <c r="K613" i="1" l="1"/>
  <c r="L613" i="1" a="1"/>
  <c r="L613" i="1" s="1"/>
  <c r="V613" i="1" s="1"/>
  <c r="W613" i="1" s="1"/>
  <c r="M613" i="1" a="1"/>
  <c r="M613" i="1" s="1"/>
  <c r="P613" i="1" s="1"/>
  <c r="Q613" i="1" s="1"/>
  <c r="R613" i="1" s="1"/>
  <c r="F614" i="1"/>
  <c r="G614" i="1" s="1"/>
  <c r="H614" i="1" s="1"/>
  <c r="T613" i="1" l="1"/>
  <c r="U613" i="1" s="1"/>
  <c r="I614" i="1"/>
  <c r="J614" i="1" s="1"/>
  <c r="F615" i="1" l="1"/>
  <c r="G615" i="1" s="1"/>
  <c r="H615" i="1" s="1"/>
  <c r="L614" i="1" a="1"/>
  <c r="L614" i="1" s="1"/>
  <c r="V614" i="1" s="1"/>
  <c r="W614" i="1" s="1"/>
  <c r="M614" i="1" a="1"/>
  <c r="M614" i="1" s="1"/>
  <c r="P614" i="1" s="1"/>
  <c r="Q614" i="1" s="1"/>
  <c r="R614" i="1" s="1"/>
  <c r="K614" i="1"/>
  <c r="T614" i="1" l="1"/>
  <c r="U614" i="1" s="1"/>
  <c r="I615" i="1"/>
  <c r="J615" i="1" s="1"/>
  <c r="F616" i="1" l="1"/>
  <c r="G616" i="1" s="1"/>
  <c r="H616" i="1" s="1"/>
  <c r="L615" i="1" a="1"/>
  <c r="L615" i="1" s="1"/>
  <c r="V615" i="1" s="1"/>
  <c r="W615" i="1" s="1"/>
  <c r="M615" i="1" a="1"/>
  <c r="M615" i="1" s="1"/>
  <c r="P615" i="1" s="1"/>
  <c r="Q615" i="1" s="1"/>
  <c r="R615" i="1" s="1"/>
  <c r="K615" i="1"/>
  <c r="T615" i="1" l="1"/>
  <c r="U615" i="1" s="1"/>
  <c r="I616" i="1"/>
  <c r="J616" i="1" s="1"/>
  <c r="K616" i="1" l="1"/>
  <c r="M616" i="1" a="1"/>
  <c r="M616" i="1" s="1"/>
  <c r="T616" i="1" s="1"/>
  <c r="U616" i="1" s="1"/>
  <c r="L616" i="1" a="1"/>
  <c r="L616" i="1" s="1"/>
  <c r="V616" i="1" s="1"/>
  <c r="W616" i="1" s="1"/>
  <c r="F617" i="1"/>
  <c r="G617" i="1" s="1"/>
  <c r="H617" i="1" s="1"/>
  <c r="P616" i="1" l="1"/>
  <c r="Q616" i="1" s="1"/>
  <c r="R616" i="1" s="1"/>
  <c r="I617" i="1"/>
  <c r="J617" i="1" s="1"/>
  <c r="K617" i="1" l="1"/>
  <c r="M617" i="1" a="1"/>
  <c r="M617" i="1" s="1"/>
  <c r="P617" i="1" s="1"/>
  <c r="Q617" i="1" s="1"/>
  <c r="R617" i="1" s="1"/>
  <c r="L617" i="1" a="1"/>
  <c r="L617" i="1" s="1"/>
  <c r="V617" i="1" s="1"/>
  <c r="W617" i="1" s="1"/>
  <c r="F618" i="1"/>
  <c r="G618" i="1" s="1"/>
  <c r="H618" i="1" s="1"/>
  <c r="I618" i="1" s="1"/>
  <c r="T617" i="1" l="1"/>
  <c r="U617" i="1" s="1"/>
  <c r="J618" i="1"/>
  <c r="F619" i="1" l="1"/>
  <c r="G619" i="1" s="1"/>
  <c r="H619" i="1" s="1"/>
  <c r="L618" i="1" a="1"/>
  <c r="L618" i="1" s="1"/>
  <c r="V618" i="1" s="1"/>
  <c r="W618" i="1" s="1"/>
  <c r="M618" i="1" a="1"/>
  <c r="M618" i="1" s="1"/>
  <c r="T618" i="1" s="1"/>
  <c r="U618" i="1" s="1"/>
  <c r="K618" i="1"/>
  <c r="P618" i="1" l="1"/>
  <c r="Q618" i="1" s="1"/>
  <c r="R618" i="1" s="1"/>
  <c r="I619" i="1"/>
  <c r="J619" i="1" s="1"/>
  <c r="F620" i="1" l="1"/>
  <c r="G620" i="1" s="1"/>
  <c r="H620" i="1" s="1"/>
  <c r="M619" i="1" a="1"/>
  <c r="M619" i="1" s="1"/>
  <c r="P619" i="1" s="1"/>
  <c r="Q619" i="1" s="1"/>
  <c r="R619" i="1" s="1"/>
  <c r="L619" i="1" a="1"/>
  <c r="L619" i="1" s="1"/>
  <c r="V619" i="1" s="1"/>
  <c r="W619" i="1" s="1"/>
  <c r="K619" i="1"/>
  <c r="T619" i="1" l="1"/>
  <c r="U619" i="1" s="1"/>
  <c r="I620" i="1"/>
  <c r="J620" i="1" s="1"/>
  <c r="F621" i="1" l="1"/>
  <c r="G621" i="1" s="1"/>
  <c r="H621" i="1" s="1"/>
  <c r="M620" i="1" a="1"/>
  <c r="M620" i="1" s="1"/>
  <c r="T620" i="1" s="1"/>
  <c r="U620" i="1" s="1"/>
  <c r="L620" i="1" a="1"/>
  <c r="L620" i="1" s="1"/>
  <c r="V620" i="1" s="1"/>
  <c r="W620" i="1" s="1"/>
  <c r="K620" i="1"/>
  <c r="P620" i="1" l="1"/>
  <c r="Q620" i="1" s="1"/>
  <c r="R620" i="1" s="1"/>
  <c r="I621" i="1"/>
  <c r="J621" i="1" s="1"/>
  <c r="F622" i="1" l="1"/>
  <c r="G622" i="1" s="1"/>
  <c r="H622" i="1" s="1"/>
  <c r="M621" i="1" a="1"/>
  <c r="M621" i="1" s="1"/>
  <c r="P621" i="1" s="1"/>
  <c r="Q621" i="1" s="1"/>
  <c r="R621" i="1" s="1"/>
  <c r="L621" i="1" a="1"/>
  <c r="L621" i="1" s="1"/>
  <c r="V621" i="1" s="1"/>
  <c r="W621" i="1" s="1"/>
  <c r="K621" i="1"/>
  <c r="T621" i="1" l="1"/>
  <c r="U621" i="1" s="1"/>
  <c r="I622" i="1"/>
  <c r="J622" i="1" s="1"/>
  <c r="F623" i="1" s="1"/>
  <c r="G623" i="1" s="1"/>
  <c r="K622" i="1" l="1"/>
  <c r="L622" i="1" a="1"/>
  <c r="L622" i="1" s="1"/>
  <c r="V622" i="1" s="1"/>
  <c r="W622" i="1" s="1"/>
  <c r="M622" i="1" a="1"/>
  <c r="M622" i="1" s="1"/>
  <c r="P622" i="1" s="1"/>
  <c r="Q622" i="1" s="1"/>
  <c r="R622" i="1" s="1"/>
  <c r="H623" i="1"/>
  <c r="T622" i="1" l="1"/>
  <c r="U622" i="1" s="1"/>
  <c r="I623" i="1"/>
  <c r="J623" i="1" s="1"/>
  <c r="K623" i="1" l="1"/>
  <c r="L623" i="1" a="1"/>
  <c r="L623" i="1" s="1"/>
  <c r="V623" i="1" s="1"/>
  <c r="W623" i="1" s="1"/>
  <c r="M623" i="1" a="1"/>
  <c r="M623" i="1" s="1"/>
  <c r="P623" i="1" s="1"/>
  <c r="Q623" i="1" s="1"/>
  <c r="R623" i="1" s="1"/>
  <c r="F624" i="1"/>
  <c r="G624" i="1" s="1"/>
  <c r="H624" i="1" s="1"/>
  <c r="T623" i="1" l="1"/>
  <c r="U623" i="1" s="1"/>
  <c r="I624" i="1"/>
  <c r="J624" i="1" s="1"/>
  <c r="F625" i="1" s="1"/>
  <c r="G625" i="1" s="1"/>
  <c r="K624" i="1" l="1"/>
  <c r="M624" i="1" a="1"/>
  <c r="M624" i="1" s="1"/>
  <c r="P624" i="1" s="1"/>
  <c r="Q624" i="1" s="1"/>
  <c r="R624" i="1" s="1"/>
  <c r="L624" i="1" a="1"/>
  <c r="L624" i="1" s="1"/>
  <c r="V624" i="1" s="1"/>
  <c r="W624" i="1" s="1"/>
  <c r="H625" i="1"/>
  <c r="T624" i="1" l="1"/>
  <c r="U624" i="1" s="1"/>
  <c r="I625" i="1"/>
  <c r="J625" i="1" s="1"/>
  <c r="K625" i="1" l="1"/>
  <c r="L625" i="1" a="1"/>
  <c r="L625" i="1" s="1"/>
  <c r="V625" i="1" s="1"/>
  <c r="W625" i="1" s="1"/>
  <c r="M625" i="1" a="1"/>
  <c r="M625" i="1" s="1"/>
  <c r="T625" i="1" s="1"/>
  <c r="U625" i="1" s="1"/>
  <c r="F626" i="1"/>
  <c r="G626" i="1" s="1"/>
  <c r="H626" i="1" s="1"/>
  <c r="P625" i="1" l="1"/>
  <c r="Q625" i="1" s="1"/>
  <c r="R625" i="1" s="1"/>
  <c r="I626" i="1"/>
  <c r="J626" i="1" s="1"/>
  <c r="K626" i="1" l="1"/>
  <c r="L626" i="1" a="1"/>
  <c r="L626" i="1" s="1"/>
  <c r="V626" i="1" s="1"/>
  <c r="W626" i="1" s="1"/>
  <c r="M626" i="1" a="1"/>
  <c r="M626" i="1" s="1"/>
  <c r="P626" i="1" s="1"/>
  <c r="Q626" i="1" s="1"/>
  <c r="R626" i="1" s="1"/>
  <c r="F627" i="1"/>
  <c r="G627" i="1" s="1"/>
  <c r="H627" i="1" s="1"/>
  <c r="T626" i="1" l="1"/>
  <c r="U626" i="1" s="1"/>
  <c r="I627" i="1"/>
  <c r="J627" i="1" s="1"/>
  <c r="K627" i="1" l="1"/>
  <c r="L627" i="1" a="1"/>
  <c r="L627" i="1" s="1"/>
  <c r="V627" i="1" s="1"/>
  <c r="W627" i="1" s="1"/>
  <c r="M627" i="1" a="1"/>
  <c r="M627" i="1" s="1"/>
  <c r="P627" i="1" s="1"/>
  <c r="Q627" i="1" s="1"/>
  <c r="R627" i="1" s="1"/>
  <c r="F628" i="1"/>
  <c r="G628" i="1" s="1"/>
  <c r="H628" i="1" s="1"/>
  <c r="T627" i="1" l="1"/>
  <c r="U627" i="1" s="1"/>
  <c r="I628" i="1"/>
  <c r="J628" i="1" s="1"/>
  <c r="K628" i="1" l="1"/>
  <c r="M628" i="1" a="1"/>
  <c r="M628" i="1" s="1"/>
  <c r="P628" i="1" s="1"/>
  <c r="Q628" i="1" s="1"/>
  <c r="R628" i="1" s="1"/>
  <c r="L628" i="1" a="1"/>
  <c r="L628" i="1" s="1"/>
  <c r="V628" i="1" s="1"/>
  <c r="W628" i="1" s="1"/>
  <c r="F629" i="1"/>
  <c r="G629" i="1" s="1"/>
  <c r="H629" i="1" s="1"/>
  <c r="T628" i="1" l="1"/>
  <c r="U628" i="1" s="1"/>
  <c r="I629" i="1"/>
  <c r="J629" i="1" s="1"/>
  <c r="F630" i="1" l="1"/>
  <c r="G630" i="1" s="1"/>
  <c r="H630" i="1" s="1"/>
  <c r="L629" i="1" a="1"/>
  <c r="L629" i="1" s="1"/>
  <c r="V629" i="1" s="1"/>
  <c r="W629" i="1" s="1"/>
  <c r="M629" i="1" a="1"/>
  <c r="M629" i="1" s="1"/>
  <c r="T629" i="1" s="1"/>
  <c r="U629" i="1" s="1"/>
  <c r="K629" i="1"/>
  <c r="P629" i="1" l="1"/>
  <c r="Q629" i="1" s="1"/>
  <c r="R629" i="1" s="1"/>
  <c r="I630" i="1"/>
  <c r="J630" i="1" s="1"/>
  <c r="K630" i="1" l="1"/>
  <c r="L630" i="1" a="1"/>
  <c r="L630" i="1" s="1"/>
  <c r="V630" i="1" s="1"/>
  <c r="W630" i="1" s="1"/>
  <c r="M630" i="1" a="1"/>
  <c r="M630" i="1" s="1"/>
  <c r="T630" i="1" s="1"/>
  <c r="U630" i="1" s="1"/>
  <c r="F631" i="1"/>
  <c r="G631" i="1" s="1"/>
  <c r="H631" i="1" s="1"/>
  <c r="P630" i="1" l="1"/>
  <c r="Q630" i="1" s="1"/>
  <c r="R630" i="1" s="1"/>
  <c r="I631" i="1"/>
  <c r="J631" i="1" s="1"/>
  <c r="F632" i="1" l="1"/>
  <c r="G632" i="1" s="1"/>
  <c r="H632" i="1" s="1"/>
  <c r="M631" i="1" a="1"/>
  <c r="M631" i="1" s="1"/>
  <c r="P631" i="1" s="1"/>
  <c r="Q631" i="1" s="1"/>
  <c r="R631" i="1" s="1"/>
  <c r="L631" i="1" a="1"/>
  <c r="L631" i="1" s="1"/>
  <c r="V631" i="1" s="1"/>
  <c r="W631" i="1" s="1"/>
  <c r="K631" i="1"/>
  <c r="I632" i="1" l="1"/>
  <c r="J632" i="1" s="1"/>
  <c r="F633" i="1" s="1"/>
  <c r="G633" i="1" s="1"/>
  <c r="H633" i="1" s="1"/>
  <c r="T631" i="1"/>
  <c r="U631" i="1" s="1"/>
  <c r="M632" i="1" l="1" a="1"/>
  <c r="M632" i="1" s="1"/>
  <c r="P632" i="1" s="1"/>
  <c r="Q632" i="1" s="1"/>
  <c r="R632" i="1" s="1"/>
  <c r="L632" i="1" a="1"/>
  <c r="L632" i="1" s="1"/>
  <c r="V632" i="1" s="1"/>
  <c r="W632" i="1" s="1"/>
  <c r="K632" i="1"/>
  <c r="I633" i="1"/>
  <c r="J633" i="1" s="1"/>
  <c r="T632" i="1" l="1"/>
  <c r="U632" i="1" s="1"/>
  <c r="F634" i="1"/>
  <c r="G634" i="1" s="1"/>
  <c r="H634" i="1" s="1"/>
  <c r="I634" i="1" s="1"/>
  <c r="M633" i="1" a="1"/>
  <c r="M633" i="1" s="1"/>
  <c r="P633" i="1" s="1"/>
  <c r="Q633" i="1" s="1"/>
  <c r="R633" i="1" s="1"/>
  <c r="L633" i="1" a="1"/>
  <c r="L633" i="1" s="1"/>
  <c r="V633" i="1" s="1"/>
  <c r="W633" i="1" s="1"/>
  <c r="K633" i="1"/>
  <c r="T633" i="1" l="1"/>
  <c r="U633" i="1" s="1"/>
  <c r="J634" i="1"/>
  <c r="F635" i="1" l="1"/>
  <c r="G635" i="1" s="1"/>
  <c r="H635" i="1" s="1"/>
  <c r="I635" i="1" s="1"/>
  <c r="L634" i="1" a="1"/>
  <c r="L634" i="1" s="1"/>
  <c r="V634" i="1" s="1"/>
  <c r="W634" i="1" s="1"/>
  <c r="M634" i="1" a="1"/>
  <c r="M634" i="1" s="1"/>
  <c r="P634" i="1" s="1"/>
  <c r="Q634" i="1" s="1"/>
  <c r="R634" i="1" s="1"/>
  <c r="K634" i="1"/>
  <c r="T634" i="1" l="1"/>
  <c r="U634" i="1" s="1"/>
  <c r="J635" i="1"/>
  <c r="F636" i="1" l="1"/>
  <c r="G636" i="1" s="1"/>
  <c r="H636" i="1" s="1"/>
  <c r="I636" i="1" s="1"/>
  <c r="M635" i="1" a="1"/>
  <c r="M635" i="1" s="1"/>
  <c r="P635" i="1" s="1"/>
  <c r="Q635" i="1" s="1"/>
  <c r="R635" i="1" s="1"/>
  <c r="L635" i="1" a="1"/>
  <c r="L635" i="1" s="1"/>
  <c r="V635" i="1" s="1"/>
  <c r="W635" i="1" s="1"/>
  <c r="K635" i="1"/>
  <c r="T635" i="1" l="1"/>
  <c r="U635" i="1" s="1"/>
  <c r="J636" i="1"/>
  <c r="F637" i="1" l="1"/>
  <c r="G637" i="1" s="1"/>
  <c r="H637" i="1" s="1"/>
  <c r="I637" i="1" s="1"/>
  <c r="J637" i="1" s="1"/>
  <c r="M636" i="1" a="1"/>
  <c r="M636" i="1" s="1"/>
  <c r="P636" i="1" s="1"/>
  <c r="Q636" i="1" s="1"/>
  <c r="R636" i="1" s="1"/>
  <c r="L636" i="1" a="1"/>
  <c r="L636" i="1" s="1"/>
  <c r="V636" i="1" s="1"/>
  <c r="W636" i="1" s="1"/>
  <c r="K636" i="1"/>
  <c r="F638" i="1" l="1"/>
  <c r="G638" i="1" s="1"/>
  <c r="H638" i="1" s="1"/>
  <c r="I638" i="1" s="1"/>
  <c r="M637" i="1" a="1"/>
  <c r="M637" i="1" s="1"/>
  <c r="P637" i="1" s="1"/>
  <c r="Q637" i="1" s="1"/>
  <c r="R637" i="1" s="1"/>
  <c r="L637" i="1" a="1"/>
  <c r="L637" i="1" s="1"/>
  <c r="V637" i="1" s="1"/>
  <c r="W637" i="1" s="1"/>
  <c r="T636" i="1"/>
  <c r="U636" i="1" s="1"/>
  <c r="K637" i="1"/>
  <c r="T637" i="1" l="1"/>
  <c r="U637" i="1" s="1"/>
  <c r="J638" i="1"/>
  <c r="F639" i="1" l="1"/>
  <c r="G639" i="1" s="1"/>
  <c r="H639" i="1" s="1"/>
  <c r="I639" i="1" s="1"/>
  <c r="M638" i="1" a="1"/>
  <c r="M638" i="1" s="1"/>
  <c r="P638" i="1" s="1"/>
  <c r="Q638" i="1" s="1"/>
  <c r="R638" i="1" s="1"/>
  <c r="L638" i="1" a="1"/>
  <c r="L638" i="1" s="1"/>
  <c r="V638" i="1" s="1"/>
  <c r="W638" i="1" s="1"/>
  <c r="K638" i="1"/>
  <c r="T638" i="1" l="1"/>
  <c r="U638" i="1" s="1"/>
  <c r="J639" i="1"/>
  <c r="K639" i="1" s="1"/>
  <c r="F640" i="1" l="1"/>
  <c r="G640" i="1" s="1"/>
  <c r="H640" i="1" s="1"/>
  <c r="I640" i="1" s="1"/>
  <c r="M639" i="1" a="1"/>
  <c r="M639" i="1" s="1"/>
  <c r="T639" i="1" s="1"/>
  <c r="U639" i="1" s="1"/>
  <c r="L639" i="1" a="1"/>
  <c r="L639" i="1" s="1"/>
  <c r="V639" i="1" s="1"/>
  <c r="W639" i="1" s="1"/>
  <c r="P639" i="1" l="1"/>
  <c r="Q639" i="1" s="1"/>
  <c r="R639" i="1" s="1"/>
  <c r="J640" i="1"/>
  <c r="K640" i="1" s="1"/>
  <c r="F641" i="1" l="1"/>
  <c r="G641" i="1" s="1"/>
  <c r="H641" i="1" s="1"/>
  <c r="I641" i="1" s="1"/>
  <c r="L640" i="1" a="1"/>
  <c r="L640" i="1" s="1"/>
  <c r="V640" i="1" s="1"/>
  <c r="W640" i="1" s="1"/>
  <c r="M640" i="1" a="1"/>
  <c r="M640" i="1" s="1"/>
  <c r="P640" i="1" s="1"/>
  <c r="Q640" i="1" s="1"/>
  <c r="R640" i="1" s="1"/>
  <c r="T640" i="1" l="1"/>
  <c r="U640" i="1" s="1"/>
  <c r="J641" i="1"/>
  <c r="K641" i="1" l="1"/>
  <c r="L641" i="1" a="1"/>
  <c r="L641" i="1" s="1"/>
  <c r="V641" i="1" s="1"/>
  <c r="W641" i="1" s="1"/>
  <c r="M641" i="1" a="1"/>
  <c r="M641" i="1" s="1"/>
  <c r="T641" i="1" s="1"/>
  <c r="U641" i="1" s="1"/>
  <c r="F642" i="1"/>
  <c r="G642" i="1" s="1"/>
  <c r="H642" i="1" s="1"/>
  <c r="I642" i="1" s="1"/>
  <c r="P641" i="1" l="1"/>
  <c r="Q641" i="1" s="1"/>
  <c r="R641" i="1" s="1"/>
  <c r="J642" i="1"/>
  <c r="K642" i="1" l="1"/>
  <c r="L642" i="1" a="1"/>
  <c r="L642" i="1" s="1"/>
  <c r="V642" i="1" s="1"/>
  <c r="W642" i="1" s="1"/>
  <c r="M642" i="1" a="1"/>
  <c r="M642" i="1" s="1"/>
  <c r="P642" i="1" s="1"/>
  <c r="Q642" i="1" s="1"/>
  <c r="R642" i="1" s="1"/>
  <c r="F643" i="1"/>
  <c r="G643" i="1" s="1"/>
  <c r="H643" i="1" s="1"/>
  <c r="I643" i="1" s="1"/>
  <c r="J643" i="1" s="1"/>
  <c r="T642" i="1" l="1"/>
  <c r="U642" i="1" s="1"/>
  <c r="K643" i="1"/>
  <c r="L643" i="1" a="1"/>
  <c r="L643" i="1" s="1"/>
  <c r="V643" i="1" s="1"/>
  <c r="W643" i="1" s="1"/>
  <c r="M643" i="1" a="1"/>
  <c r="M643" i="1" s="1"/>
  <c r="P643" i="1" s="1"/>
  <c r="Q643" i="1" s="1"/>
  <c r="R643" i="1" s="1"/>
  <c r="F644" i="1"/>
  <c r="G644" i="1" s="1"/>
  <c r="H644" i="1" s="1"/>
  <c r="I644" i="1" s="1"/>
  <c r="T643" i="1" l="1"/>
  <c r="U643" i="1" s="1"/>
  <c r="J644" i="1"/>
  <c r="F645" i="1" l="1"/>
  <c r="G645" i="1" s="1"/>
  <c r="H645" i="1" s="1"/>
  <c r="I645" i="1" s="1"/>
  <c r="M644" i="1" a="1"/>
  <c r="M644" i="1" s="1"/>
  <c r="T644" i="1" s="1"/>
  <c r="U644" i="1" s="1"/>
  <c r="L644" i="1" a="1"/>
  <c r="L644" i="1" s="1"/>
  <c r="V644" i="1" s="1"/>
  <c r="W644" i="1" s="1"/>
  <c r="K644" i="1"/>
  <c r="P644" i="1" l="1"/>
  <c r="Q644" i="1" s="1"/>
  <c r="R644" i="1" s="1"/>
  <c r="J645" i="1"/>
  <c r="F646" i="1" l="1"/>
  <c r="G646" i="1" s="1"/>
  <c r="H646" i="1" s="1"/>
  <c r="I646" i="1" s="1"/>
  <c r="J646" i="1" s="1"/>
  <c r="L645" i="1" a="1"/>
  <c r="L645" i="1" s="1"/>
  <c r="V645" i="1" s="1"/>
  <c r="W645" i="1" s="1"/>
  <c r="M645" i="1" a="1"/>
  <c r="M645" i="1" s="1"/>
  <c r="P645" i="1" s="1"/>
  <c r="Q645" i="1" s="1"/>
  <c r="R645" i="1" s="1"/>
  <c r="K645" i="1"/>
  <c r="T645" i="1" l="1"/>
  <c r="U645" i="1" s="1"/>
  <c r="F647" i="1"/>
  <c r="G647" i="1" s="1"/>
  <c r="H647" i="1" s="1"/>
  <c r="I647" i="1" s="1"/>
  <c r="M646" i="1" a="1"/>
  <c r="M646" i="1" s="1"/>
  <c r="T646" i="1" s="1"/>
  <c r="U646" i="1" s="1"/>
  <c r="L646" i="1" a="1"/>
  <c r="L646" i="1" s="1"/>
  <c r="V646" i="1" s="1"/>
  <c r="W646" i="1" s="1"/>
  <c r="K646" i="1"/>
  <c r="P646" i="1" l="1"/>
  <c r="Q646" i="1" s="1"/>
  <c r="R646" i="1" s="1"/>
  <c r="J647" i="1"/>
  <c r="K647" i="1" l="1"/>
  <c r="M647" i="1" a="1"/>
  <c r="M647" i="1" s="1"/>
  <c r="P647" i="1" s="1"/>
  <c r="Q647" i="1" s="1"/>
  <c r="R647" i="1" s="1"/>
  <c r="L647" i="1" a="1"/>
  <c r="L647" i="1" s="1"/>
  <c r="V647" i="1" s="1"/>
  <c r="W647" i="1" s="1"/>
  <c r="F648" i="1"/>
  <c r="G648" i="1" s="1"/>
  <c r="H648" i="1" s="1"/>
  <c r="I648" i="1" s="1"/>
  <c r="J648" i="1" s="1"/>
  <c r="T647" i="1" l="1"/>
  <c r="U647" i="1" s="1"/>
  <c r="F649" i="1"/>
  <c r="G649" i="1" s="1"/>
  <c r="H649" i="1" s="1"/>
  <c r="I649" i="1" s="1"/>
  <c r="J649" i="1" s="1"/>
  <c r="F650" i="1" s="1"/>
  <c r="G650" i="1" s="1"/>
  <c r="L648" i="1" a="1"/>
  <c r="L648" i="1" s="1"/>
  <c r="V648" i="1" s="1"/>
  <c r="W648" i="1" s="1"/>
  <c r="M648" i="1" a="1"/>
  <c r="M648" i="1" s="1"/>
  <c r="P648" i="1" s="1"/>
  <c r="Q648" i="1" s="1"/>
  <c r="R648" i="1" s="1"/>
  <c r="K648" i="1"/>
  <c r="T648" i="1" l="1"/>
  <c r="U648" i="1" s="1"/>
  <c r="L649" i="1" a="1"/>
  <c r="L649" i="1" s="1"/>
  <c r="V649" i="1" s="1"/>
  <c r="W649" i="1" s="1"/>
  <c r="M649" i="1" a="1"/>
  <c r="M649" i="1" s="1"/>
  <c r="P649" i="1" s="1"/>
  <c r="Q649" i="1" s="1"/>
  <c r="R649" i="1" s="1"/>
  <c r="K649" i="1"/>
  <c r="H650" i="1"/>
  <c r="I650" i="1" s="1"/>
  <c r="T649" i="1" l="1"/>
  <c r="U649" i="1" s="1"/>
  <c r="J650" i="1"/>
  <c r="F651" i="1" l="1"/>
  <c r="G651" i="1" s="1"/>
  <c r="H651" i="1" s="1"/>
  <c r="I651" i="1" s="1"/>
  <c r="J651" i="1" s="1"/>
  <c r="M650" i="1" a="1"/>
  <c r="M650" i="1" s="1"/>
  <c r="T650" i="1" s="1"/>
  <c r="U650" i="1" s="1"/>
  <c r="L650" i="1" a="1"/>
  <c r="L650" i="1" s="1"/>
  <c r="V650" i="1" s="1"/>
  <c r="W650" i="1" s="1"/>
  <c r="K650" i="1"/>
  <c r="P650" i="1" l="1"/>
  <c r="Q650" i="1" s="1"/>
  <c r="R650" i="1" s="1"/>
  <c r="F652" i="1"/>
  <c r="G652" i="1" s="1"/>
  <c r="H652" i="1" s="1"/>
  <c r="I652" i="1" s="1"/>
  <c r="L651" i="1" a="1"/>
  <c r="L651" i="1" s="1"/>
  <c r="V651" i="1" s="1"/>
  <c r="W651" i="1" s="1"/>
  <c r="M651" i="1" a="1"/>
  <c r="M651" i="1" s="1"/>
  <c r="P651" i="1" s="1"/>
  <c r="Q651" i="1" s="1"/>
  <c r="K651" i="1"/>
  <c r="R651" i="1" l="1"/>
  <c r="T651" i="1"/>
  <c r="U651" i="1" s="1"/>
  <c r="J652" i="1"/>
  <c r="F653" i="1" l="1"/>
  <c r="G653" i="1" s="1"/>
  <c r="H653" i="1" s="1"/>
  <c r="I653" i="1" s="1"/>
  <c r="L652" i="1" a="1"/>
  <c r="L652" i="1" s="1"/>
  <c r="V652" i="1" s="1"/>
  <c r="W652" i="1" s="1"/>
  <c r="M652" i="1" a="1"/>
  <c r="M652" i="1" s="1"/>
  <c r="P652" i="1" s="1"/>
  <c r="Q652" i="1" s="1"/>
  <c r="R652" i="1" s="1"/>
  <c r="K652" i="1"/>
  <c r="J653" i="1" l="1"/>
  <c r="K653" i="1" s="1"/>
  <c r="T652" i="1"/>
  <c r="U652" i="1" s="1"/>
  <c r="L653" i="1" l="1" a="1"/>
  <c r="L653" i="1" s="1"/>
  <c r="V653" i="1" s="1"/>
  <c r="W653" i="1" s="1"/>
  <c r="M653" i="1" a="1"/>
  <c r="M653" i="1" s="1"/>
  <c r="T653" i="1" s="1"/>
  <c r="U653" i="1" s="1"/>
  <c r="F654" i="1"/>
  <c r="G654" i="1" s="1"/>
  <c r="H654" i="1" s="1"/>
  <c r="I654" i="1" s="1"/>
  <c r="J654" i="1" s="1"/>
  <c r="M654" i="1" s="1" a="1"/>
  <c r="M654" i="1" s="1"/>
  <c r="T654" i="1" s="1"/>
  <c r="U654" i="1" s="1"/>
  <c r="P653" i="1" l="1"/>
  <c r="Q653" i="1" s="1"/>
  <c r="R653" i="1" s="1"/>
  <c r="K654" i="1"/>
  <c r="L654" i="1" a="1"/>
  <c r="L654" i="1" s="1"/>
  <c r="V654" i="1" s="1"/>
  <c r="W654" i="1" s="1"/>
  <c r="F655" i="1"/>
  <c r="G655" i="1" s="1"/>
  <c r="H655" i="1" s="1"/>
  <c r="I655" i="1" s="1"/>
  <c r="J655" i="1" s="1"/>
  <c r="M655" i="1" s="1" a="1"/>
  <c r="M655" i="1" s="1"/>
  <c r="T655" i="1" s="1"/>
  <c r="U655" i="1" s="1"/>
  <c r="P654" i="1"/>
  <c r="Q654" i="1" s="1"/>
  <c r="R654" i="1" l="1"/>
  <c r="L655" i="1" a="1"/>
  <c r="L655" i="1" s="1"/>
  <c r="V655" i="1" s="1"/>
  <c r="W655" i="1" s="1"/>
  <c r="F656" i="1"/>
  <c r="G656" i="1" s="1"/>
  <c r="H656" i="1" s="1"/>
  <c r="I656" i="1" s="1"/>
  <c r="J656" i="1" s="1"/>
  <c r="K655" i="1"/>
  <c r="P655" i="1"/>
  <c r="Q655" i="1" s="1"/>
  <c r="R655" i="1" l="1"/>
  <c r="F657" i="1"/>
  <c r="G657" i="1" s="1"/>
  <c r="H657" i="1" s="1"/>
  <c r="I657" i="1" s="1"/>
  <c r="L656" i="1" a="1"/>
  <c r="L656" i="1" s="1"/>
  <c r="V656" i="1" s="1"/>
  <c r="W656" i="1" s="1"/>
  <c r="M656" i="1" a="1"/>
  <c r="M656" i="1" s="1"/>
  <c r="P656" i="1" s="1"/>
  <c r="Q656" i="1" s="1"/>
  <c r="K656" i="1"/>
  <c r="R656" i="1" l="1"/>
  <c r="T656" i="1"/>
  <c r="U656" i="1" s="1"/>
  <c r="J657" i="1"/>
  <c r="F658" i="1" l="1"/>
  <c r="G658" i="1" s="1"/>
  <c r="H658" i="1" s="1"/>
  <c r="I658" i="1" s="1"/>
  <c r="L657" i="1" a="1"/>
  <c r="L657" i="1" s="1"/>
  <c r="V657" i="1" s="1"/>
  <c r="W657" i="1" s="1"/>
  <c r="M657" i="1" a="1"/>
  <c r="M657" i="1" s="1"/>
  <c r="T657" i="1" s="1"/>
  <c r="U657" i="1" s="1"/>
  <c r="K657" i="1"/>
  <c r="P657" i="1" l="1"/>
  <c r="Q657" i="1" s="1"/>
  <c r="R657" i="1" s="1"/>
  <c r="J658" i="1"/>
  <c r="K658" i="1" l="1"/>
  <c r="L658" i="1" a="1"/>
  <c r="L658" i="1" s="1"/>
  <c r="V658" i="1" s="1"/>
  <c r="W658" i="1" s="1"/>
  <c r="M658" i="1" a="1"/>
  <c r="M658" i="1" s="1"/>
  <c r="T658" i="1" s="1"/>
  <c r="U658" i="1" s="1"/>
  <c r="F659" i="1"/>
  <c r="G659" i="1" s="1"/>
  <c r="H659" i="1" s="1"/>
  <c r="I659" i="1" s="1"/>
  <c r="J659" i="1" s="1"/>
  <c r="P658" i="1" l="1"/>
  <c r="Q658" i="1" s="1"/>
  <c r="R658" i="1" s="1"/>
  <c r="F660" i="1"/>
  <c r="G660" i="1" s="1"/>
  <c r="H660" i="1" s="1"/>
  <c r="I660" i="1" s="1"/>
  <c r="M659" i="1" a="1"/>
  <c r="M659" i="1" s="1"/>
  <c r="T659" i="1" s="1"/>
  <c r="U659" i="1" s="1"/>
  <c r="L659" i="1" a="1"/>
  <c r="L659" i="1" s="1"/>
  <c r="V659" i="1" s="1"/>
  <c r="W659" i="1" s="1"/>
  <c r="K659" i="1"/>
  <c r="P659" i="1" l="1"/>
  <c r="Q659" i="1" s="1"/>
  <c r="R659" i="1" s="1"/>
  <c r="J660" i="1"/>
  <c r="F661" i="1" l="1"/>
  <c r="G661" i="1" s="1"/>
  <c r="H661" i="1" s="1"/>
  <c r="I661" i="1" s="1"/>
  <c r="M660" i="1" a="1"/>
  <c r="M660" i="1" s="1"/>
  <c r="T660" i="1" s="1"/>
  <c r="U660" i="1" s="1"/>
  <c r="L660" i="1" a="1"/>
  <c r="L660" i="1" s="1"/>
  <c r="V660" i="1" s="1"/>
  <c r="W660" i="1" s="1"/>
  <c r="K660" i="1"/>
  <c r="P660" i="1" l="1"/>
  <c r="Q660" i="1" s="1"/>
  <c r="R660" i="1" s="1"/>
  <c r="J661" i="1"/>
  <c r="F662" i="1" l="1"/>
  <c r="G662" i="1" s="1"/>
  <c r="H662" i="1" s="1"/>
  <c r="I662" i="1" s="1"/>
  <c r="L661" i="1" a="1"/>
  <c r="L661" i="1" s="1"/>
  <c r="V661" i="1" s="1"/>
  <c r="W661" i="1" s="1"/>
  <c r="M661" i="1" a="1"/>
  <c r="M661" i="1" s="1"/>
  <c r="P661" i="1" s="1"/>
  <c r="Q661" i="1" s="1"/>
  <c r="R661" i="1" s="1"/>
  <c r="K661" i="1"/>
  <c r="T661" i="1" l="1"/>
  <c r="U661" i="1" s="1"/>
  <c r="J662" i="1"/>
  <c r="F663" i="1" l="1"/>
  <c r="G663" i="1" s="1"/>
  <c r="H663" i="1" s="1"/>
  <c r="I663" i="1" s="1"/>
  <c r="L662" i="1" a="1"/>
  <c r="L662" i="1" s="1"/>
  <c r="V662" i="1" s="1"/>
  <c r="W662" i="1" s="1"/>
  <c r="M662" i="1" a="1"/>
  <c r="M662" i="1" s="1"/>
  <c r="T662" i="1" s="1"/>
  <c r="U662" i="1" s="1"/>
  <c r="K662" i="1"/>
  <c r="P662" i="1" l="1"/>
  <c r="Q662" i="1" s="1"/>
  <c r="R662" i="1" s="1"/>
  <c r="J663" i="1"/>
  <c r="K663" i="1" s="1"/>
  <c r="F664" i="1" l="1"/>
  <c r="G664" i="1" s="1"/>
  <c r="H664" i="1" s="1"/>
  <c r="I664" i="1" s="1"/>
  <c r="M663" i="1" a="1"/>
  <c r="M663" i="1" s="1"/>
  <c r="P663" i="1" s="1"/>
  <c r="Q663" i="1" s="1"/>
  <c r="R663" i="1" s="1"/>
  <c r="L663" i="1" a="1"/>
  <c r="L663" i="1" s="1"/>
  <c r="V663" i="1" s="1"/>
  <c r="W663" i="1" s="1"/>
  <c r="T663" i="1" l="1"/>
  <c r="U663" i="1" s="1"/>
  <c r="J664" i="1"/>
  <c r="K664" i="1" l="1"/>
  <c r="M664" i="1" a="1"/>
  <c r="M664" i="1" s="1"/>
  <c r="T664" i="1" s="1"/>
  <c r="U664" i="1" s="1"/>
  <c r="L664" i="1" a="1"/>
  <c r="L664" i="1" s="1"/>
  <c r="V664" i="1" s="1"/>
  <c r="W664" i="1" s="1"/>
  <c r="F665" i="1"/>
  <c r="G665" i="1" s="1"/>
  <c r="H665" i="1" s="1"/>
  <c r="I665" i="1" s="1"/>
  <c r="P664" i="1" l="1"/>
  <c r="Q664" i="1" s="1"/>
  <c r="R664" i="1" s="1"/>
  <c r="J665" i="1"/>
  <c r="F666" i="1" l="1"/>
  <c r="G666" i="1" s="1"/>
  <c r="H666" i="1" s="1"/>
  <c r="I666" i="1" s="1"/>
  <c r="M665" i="1" a="1"/>
  <c r="M665" i="1" s="1"/>
  <c r="T665" i="1" s="1"/>
  <c r="U665" i="1" s="1"/>
  <c r="L665" i="1" a="1"/>
  <c r="L665" i="1" s="1"/>
  <c r="V665" i="1" s="1"/>
  <c r="W665" i="1" s="1"/>
  <c r="K665" i="1"/>
  <c r="P665" i="1" l="1"/>
  <c r="Q665" i="1" s="1"/>
  <c r="R665" i="1" s="1"/>
  <c r="J666" i="1"/>
  <c r="F667" i="1" l="1"/>
  <c r="G667" i="1" s="1"/>
  <c r="L666" i="1" a="1"/>
  <c r="L666" i="1" s="1"/>
  <c r="V666" i="1" s="1"/>
  <c r="W666" i="1" s="1"/>
  <c r="M666" i="1" a="1"/>
  <c r="M666" i="1" s="1"/>
  <c r="P666" i="1" s="1"/>
  <c r="Q666" i="1" s="1"/>
  <c r="R666" i="1" s="1"/>
  <c r="K666" i="1"/>
  <c r="T666" i="1" l="1"/>
  <c r="U666" i="1" s="1"/>
  <c r="H667" i="1"/>
  <c r="I667" i="1" s="1"/>
  <c r="J667" i="1" l="1"/>
  <c r="K667" i="1" l="1"/>
  <c r="L667" i="1" a="1"/>
  <c r="L667" i="1" s="1"/>
  <c r="V667" i="1" s="1"/>
  <c r="W667" i="1" s="1"/>
  <c r="M667" i="1" a="1"/>
  <c r="M667" i="1" s="1"/>
  <c r="T667" i="1" s="1"/>
  <c r="U667" i="1" s="1"/>
  <c r="F668" i="1"/>
  <c r="G668" i="1" s="1"/>
  <c r="H668" i="1" s="1"/>
  <c r="I668" i="1" s="1"/>
  <c r="P667" i="1" l="1"/>
  <c r="Q667" i="1" s="1"/>
  <c r="R667" i="1" s="1"/>
  <c r="J668" i="1"/>
  <c r="F669" i="1" l="1"/>
  <c r="G669" i="1" s="1"/>
  <c r="H669" i="1" s="1"/>
  <c r="I669" i="1" s="1"/>
  <c r="M668" i="1" a="1"/>
  <c r="M668" i="1" s="1"/>
  <c r="T668" i="1" s="1"/>
  <c r="U668" i="1" s="1"/>
  <c r="L668" i="1" a="1"/>
  <c r="L668" i="1" s="1"/>
  <c r="V668" i="1" s="1"/>
  <c r="W668" i="1" s="1"/>
  <c r="K668" i="1"/>
  <c r="P668" i="1" l="1"/>
  <c r="Q668" i="1" s="1"/>
  <c r="R668" i="1" s="1"/>
  <c r="J669" i="1"/>
  <c r="F670" i="1" l="1"/>
  <c r="G670" i="1" s="1"/>
  <c r="H670" i="1" s="1"/>
  <c r="I670" i="1" s="1"/>
  <c r="M669" i="1" a="1"/>
  <c r="M669" i="1" s="1"/>
  <c r="T669" i="1" s="1"/>
  <c r="U669" i="1" s="1"/>
  <c r="L669" i="1" a="1"/>
  <c r="L669" i="1" s="1"/>
  <c r="V669" i="1" s="1"/>
  <c r="W669" i="1" s="1"/>
  <c r="K669" i="1"/>
  <c r="P669" i="1" l="1"/>
  <c r="Q669" i="1" s="1"/>
  <c r="R669" i="1" s="1"/>
  <c r="J670" i="1"/>
  <c r="F671" i="1" l="1"/>
  <c r="G671" i="1" s="1"/>
  <c r="H671" i="1" s="1"/>
  <c r="I671" i="1" s="1"/>
  <c r="M670" i="1" a="1"/>
  <c r="M670" i="1" s="1"/>
  <c r="T670" i="1" s="1"/>
  <c r="U670" i="1" s="1"/>
  <c r="L670" i="1" a="1"/>
  <c r="L670" i="1" s="1"/>
  <c r="V670" i="1" s="1"/>
  <c r="W670" i="1" s="1"/>
  <c r="K670" i="1"/>
  <c r="P670" i="1" l="1"/>
  <c r="Q670" i="1" s="1"/>
  <c r="R670" i="1" s="1"/>
  <c r="J671" i="1"/>
  <c r="K671" i="1" s="1"/>
  <c r="F672" i="1" l="1"/>
  <c r="G672" i="1" s="1"/>
  <c r="H672" i="1" s="1"/>
  <c r="I672" i="1" s="1"/>
  <c r="M671" i="1" a="1"/>
  <c r="M671" i="1" s="1"/>
  <c r="P671" i="1" s="1"/>
  <c r="Q671" i="1" s="1"/>
  <c r="R671" i="1" s="1"/>
  <c r="L671" i="1" a="1"/>
  <c r="L671" i="1" s="1"/>
  <c r="V671" i="1" s="1"/>
  <c r="W671" i="1" s="1"/>
  <c r="T671" i="1" l="1"/>
  <c r="U671" i="1" s="1"/>
  <c r="J672" i="1"/>
  <c r="F673" i="1" l="1"/>
  <c r="G673" i="1" s="1"/>
  <c r="H673" i="1" s="1"/>
  <c r="I673" i="1" s="1"/>
  <c r="M672" i="1" a="1"/>
  <c r="M672" i="1" s="1"/>
  <c r="T672" i="1" s="1"/>
  <c r="U672" i="1" s="1"/>
  <c r="L672" i="1" a="1"/>
  <c r="L672" i="1" s="1"/>
  <c r="V672" i="1" s="1"/>
  <c r="W672" i="1" s="1"/>
  <c r="K672" i="1"/>
  <c r="P672" i="1" l="1"/>
  <c r="Q672" i="1" s="1"/>
  <c r="R672" i="1" s="1"/>
  <c r="J673" i="1"/>
  <c r="K673" i="1" s="1"/>
  <c r="F674" i="1" l="1"/>
  <c r="G674" i="1" s="1"/>
  <c r="H674" i="1" s="1"/>
  <c r="I674" i="1" s="1"/>
  <c r="J674" i="1" s="1"/>
  <c r="M673" i="1" a="1"/>
  <c r="M673" i="1" s="1"/>
  <c r="P673" i="1" s="1"/>
  <c r="Q673" i="1" s="1"/>
  <c r="R673" i="1" s="1"/>
  <c r="L673" i="1" a="1"/>
  <c r="L673" i="1" s="1"/>
  <c r="V673" i="1" s="1"/>
  <c r="W673" i="1" s="1"/>
  <c r="T673" i="1" l="1"/>
  <c r="U673" i="1" s="1"/>
  <c r="K674" i="1"/>
  <c r="M674" i="1" a="1"/>
  <c r="M674" i="1" s="1"/>
  <c r="T674" i="1" s="1"/>
  <c r="U674" i="1" s="1"/>
  <c r="L674" i="1" a="1"/>
  <c r="L674" i="1" s="1"/>
  <c r="V674" i="1" s="1"/>
  <c r="W674" i="1" s="1"/>
  <c r="F675" i="1"/>
  <c r="G675" i="1" s="1"/>
  <c r="H675" i="1" s="1"/>
  <c r="I675" i="1" s="1"/>
  <c r="P674" i="1" l="1"/>
  <c r="Q674" i="1" s="1"/>
  <c r="R674" i="1" s="1"/>
  <c r="J675" i="1"/>
  <c r="K675" i="1" s="1"/>
  <c r="F676" i="1" l="1"/>
  <c r="G676" i="1" s="1"/>
  <c r="H676" i="1" s="1"/>
  <c r="I676" i="1" s="1"/>
  <c r="L675" i="1" a="1"/>
  <c r="L675" i="1" s="1"/>
  <c r="V675" i="1" s="1"/>
  <c r="W675" i="1" s="1"/>
  <c r="M675" i="1" a="1"/>
  <c r="M675" i="1" s="1"/>
  <c r="P675" i="1" s="1"/>
  <c r="Q675" i="1" s="1"/>
  <c r="R675" i="1" s="1"/>
  <c r="T675" i="1" l="1"/>
  <c r="U675" i="1" s="1"/>
  <c r="J676" i="1"/>
  <c r="F677" i="1" l="1"/>
  <c r="G677" i="1" s="1"/>
  <c r="L676" i="1" a="1"/>
  <c r="L676" i="1" s="1"/>
  <c r="V676" i="1" s="1"/>
  <c r="W676" i="1" s="1"/>
  <c r="M676" i="1" a="1"/>
  <c r="M676" i="1" s="1"/>
  <c r="T676" i="1" s="1"/>
  <c r="U676" i="1" s="1"/>
  <c r="K676" i="1"/>
  <c r="P676" i="1" l="1"/>
  <c r="Q676" i="1" s="1"/>
  <c r="R676" i="1" s="1"/>
  <c r="H677" i="1"/>
  <c r="I677" i="1" s="1"/>
  <c r="J677" i="1" l="1"/>
  <c r="K677" i="1" l="1"/>
  <c r="L677" i="1" a="1"/>
  <c r="L677" i="1" s="1"/>
  <c r="V677" i="1" s="1"/>
  <c r="W677" i="1" s="1"/>
  <c r="M677" i="1" a="1"/>
  <c r="M677" i="1" s="1"/>
  <c r="P677" i="1" s="1"/>
  <c r="Q677" i="1" s="1"/>
  <c r="R677" i="1" s="1"/>
  <c r="F678" i="1"/>
  <c r="G678" i="1" s="1"/>
  <c r="H678" i="1" s="1"/>
  <c r="I678" i="1" s="1"/>
  <c r="T677" i="1" l="1"/>
  <c r="U677" i="1" s="1"/>
  <c r="J678" i="1"/>
  <c r="F679" i="1" l="1"/>
  <c r="G679" i="1" s="1"/>
  <c r="H679" i="1" s="1"/>
  <c r="I679" i="1" s="1"/>
  <c r="J679" i="1" s="1"/>
  <c r="M678" i="1" a="1"/>
  <c r="M678" i="1" s="1"/>
  <c r="T678" i="1" s="1"/>
  <c r="U678" i="1" s="1"/>
  <c r="L678" i="1" a="1"/>
  <c r="L678" i="1" s="1"/>
  <c r="V678" i="1" s="1"/>
  <c r="W678" i="1" s="1"/>
  <c r="K678" i="1"/>
  <c r="P678" i="1" l="1"/>
  <c r="Q678" i="1" s="1"/>
  <c r="R678" i="1" s="1"/>
  <c r="F680" i="1"/>
  <c r="G680" i="1" s="1"/>
  <c r="H680" i="1" s="1"/>
  <c r="I680" i="1" s="1"/>
  <c r="L679" i="1" a="1"/>
  <c r="L679" i="1" s="1"/>
  <c r="V679" i="1" s="1"/>
  <c r="W679" i="1" s="1"/>
  <c r="M679" i="1" a="1"/>
  <c r="M679" i="1" s="1"/>
  <c r="T679" i="1" s="1"/>
  <c r="U679" i="1" s="1"/>
  <c r="K679" i="1"/>
  <c r="P679" i="1" l="1"/>
  <c r="Q679" i="1" s="1"/>
  <c r="R679" i="1" s="1"/>
  <c r="J680" i="1"/>
  <c r="K680" i="1" s="1"/>
  <c r="F681" i="1" l="1"/>
  <c r="G681" i="1" s="1"/>
  <c r="H681" i="1" s="1"/>
  <c r="I681" i="1" s="1"/>
  <c r="M680" i="1" a="1"/>
  <c r="M680" i="1" s="1"/>
  <c r="P680" i="1" s="1"/>
  <c r="Q680" i="1" s="1"/>
  <c r="R680" i="1" s="1"/>
  <c r="L680" i="1" a="1"/>
  <c r="L680" i="1" s="1"/>
  <c r="V680" i="1" s="1"/>
  <c r="W680" i="1" s="1"/>
  <c r="T680" i="1" l="1"/>
  <c r="U680" i="1" s="1"/>
  <c r="J681" i="1"/>
  <c r="F682" i="1" l="1"/>
  <c r="G682" i="1" s="1"/>
  <c r="H682" i="1" s="1"/>
  <c r="I682" i="1" s="1"/>
  <c r="L681" i="1" a="1"/>
  <c r="L681" i="1" s="1"/>
  <c r="V681" i="1" s="1"/>
  <c r="W681" i="1" s="1"/>
  <c r="M681" i="1" a="1"/>
  <c r="M681" i="1" s="1"/>
  <c r="T681" i="1" s="1"/>
  <c r="U681" i="1" s="1"/>
  <c r="K681" i="1"/>
  <c r="P681" i="1" l="1"/>
  <c r="Q681" i="1" s="1"/>
  <c r="R681" i="1" s="1"/>
  <c r="J682" i="1"/>
  <c r="K682" i="1" l="1"/>
  <c r="L682" i="1" a="1"/>
  <c r="L682" i="1" s="1"/>
  <c r="V682" i="1" s="1"/>
  <c r="W682" i="1" s="1"/>
  <c r="M682" i="1" a="1"/>
  <c r="M682" i="1" s="1"/>
  <c r="P682" i="1" s="1"/>
  <c r="Q682" i="1" s="1"/>
  <c r="R682" i="1" s="1"/>
  <c r="F683" i="1"/>
  <c r="G683" i="1" s="1"/>
  <c r="H683" i="1" s="1"/>
  <c r="I683" i="1" s="1"/>
  <c r="T682" i="1" l="1"/>
  <c r="U682" i="1" s="1"/>
  <c r="J683" i="1"/>
  <c r="F684" i="1" s="1"/>
  <c r="G684" i="1" s="1"/>
  <c r="K683" i="1" l="1"/>
  <c r="L683" i="1" a="1"/>
  <c r="L683" i="1" s="1"/>
  <c r="V683" i="1" s="1"/>
  <c r="W683" i="1" s="1"/>
  <c r="M683" i="1" a="1"/>
  <c r="M683" i="1" s="1"/>
  <c r="P683" i="1" s="1"/>
  <c r="Q683" i="1" s="1"/>
  <c r="R683" i="1" s="1"/>
  <c r="H684" i="1"/>
  <c r="I684" i="1" s="1"/>
  <c r="T683" i="1" l="1"/>
  <c r="U683" i="1" s="1"/>
  <c r="J684" i="1"/>
  <c r="K684" i="1" s="1"/>
  <c r="F685" i="1" l="1"/>
  <c r="G685" i="1" s="1"/>
  <c r="H685" i="1" s="1"/>
  <c r="I685" i="1" s="1"/>
  <c r="M684" i="1" a="1"/>
  <c r="M684" i="1" s="1"/>
  <c r="T684" i="1" s="1"/>
  <c r="U684" i="1" s="1"/>
  <c r="L684" i="1" a="1"/>
  <c r="L684" i="1" s="1"/>
  <c r="V684" i="1" s="1"/>
  <c r="W684" i="1" s="1"/>
  <c r="P684" i="1" l="1"/>
  <c r="Q684" i="1" s="1"/>
  <c r="R684" i="1" s="1"/>
  <c r="J685" i="1"/>
  <c r="K685" i="1" s="1"/>
  <c r="F686" i="1" l="1"/>
  <c r="G686" i="1" s="1"/>
  <c r="H686" i="1" s="1"/>
  <c r="I686" i="1" s="1"/>
  <c r="L685" i="1" a="1"/>
  <c r="L685" i="1" s="1"/>
  <c r="V685" i="1" s="1"/>
  <c r="W685" i="1" s="1"/>
  <c r="M685" i="1" a="1"/>
  <c r="M685" i="1" s="1"/>
  <c r="P685" i="1" s="1"/>
  <c r="Q685" i="1" s="1"/>
  <c r="R685" i="1" s="1"/>
  <c r="T685" i="1" l="1"/>
  <c r="U685" i="1" s="1"/>
  <c r="J686" i="1"/>
  <c r="K686" i="1" s="1"/>
  <c r="F687" i="1" l="1"/>
  <c r="G687" i="1" s="1"/>
  <c r="H687" i="1" s="1"/>
  <c r="I687" i="1" s="1"/>
  <c r="L686" i="1" a="1"/>
  <c r="L686" i="1" s="1"/>
  <c r="V686" i="1" s="1"/>
  <c r="W686" i="1" s="1"/>
  <c r="M686" i="1" a="1"/>
  <c r="M686" i="1" s="1"/>
  <c r="T686" i="1" s="1"/>
  <c r="U686" i="1" s="1"/>
  <c r="P686" i="1" l="1"/>
  <c r="Q686" i="1" s="1"/>
  <c r="R686" i="1" s="1"/>
  <c r="J687" i="1"/>
  <c r="F688" i="1" s="1"/>
  <c r="G688" i="1" s="1"/>
  <c r="K687" i="1" l="1"/>
  <c r="M687" i="1" a="1"/>
  <c r="M687" i="1" s="1"/>
  <c r="T687" i="1" s="1"/>
  <c r="U687" i="1" s="1"/>
  <c r="L687" i="1" a="1"/>
  <c r="L687" i="1" s="1"/>
  <c r="V687" i="1" s="1"/>
  <c r="W687" i="1" s="1"/>
  <c r="H688" i="1"/>
  <c r="I688" i="1" s="1"/>
  <c r="P687" i="1" l="1"/>
  <c r="Q687" i="1" s="1"/>
  <c r="R687" i="1" s="1"/>
  <c r="J688" i="1"/>
  <c r="F689" i="1" l="1"/>
  <c r="G689" i="1" s="1"/>
  <c r="H689" i="1" s="1"/>
  <c r="I689" i="1" s="1"/>
  <c r="M688" i="1" a="1"/>
  <c r="M688" i="1" s="1"/>
  <c r="T688" i="1" s="1"/>
  <c r="U688" i="1" s="1"/>
  <c r="L688" i="1" a="1"/>
  <c r="L688" i="1" s="1"/>
  <c r="V688" i="1" s="1"/>
  <c r="W688" i="1" s="1"/>
  <c r="K688" i="1"/>
  <c r="P688" i="1" l="1"/>
  <c r="Q688" i="1" s="1"/>
  <c r="R688" i="1" s="1"/>
  <c r="J689" i="1"/>
  <c r="F690" i="1" l="1"/>
  <c r="G690" i="1" s="1"/>
  <c r="H690" i="1" s="1"/>
  <c r="I690" i="1" s="1"/>
  <c r="L689" i="1" a="1"/>
  <c r="L689" i="1" s="1"/>
  <c r="V689" i="1" s="1"/>
  <c r="W689" i="1" s="1"/>
  <c r="M689" i="1" a="1"/>
  <c r="M689" i="1" s="1"/>
  <c r="T689" i="1" s="1"/>
  <c r="U689" i="1" s="1"/>
  <c r="K689" i="1"/>
  <c r="P689" i="1" l="1"/>
  <c r="Q689" i="1" s="1"/>
  <c r="R689" i="1" s="1"/>
  <c r="J690" i="1"/>
  <c r="F691" i="1" l="1"/>
  <c r="G691" i="1" s="1"/>
  <c r="H691" i="1" s="1"/>
  <c r="I691" i="1" s="1"/>
  <c r="J691" i="1" s="1"/>
  <c r="M690" i="1" a="1"/>
  <c r="M690" i="1" s="1"/>
  <c r="L690" i="1" a="1"/>
  <c r="L690" i="1" s="1"/>
  <c r="V690" i="1" s="1"/>
  <c r="W690" i="1" s="1"/>
  <c r="K690" i="1"/>
  <c r="F692" i="1" l="1"/>
  <c r="G692" i="1" s="1"/>
  <c r="H692" i="1" s="1"/>
  <c r="I692" i="1" s="1"/>
  <c r="J692" i="1" s="1"/>
  <c r="M691" i="1" a="1"/>
  <c r="M691" i="1" s="1"/>
  <c r="T691" i="1" s="1"/>
  <c r="U691" i="1" s="1"/>
  <c r="L691" i="1" a="1"/>
  <c r="L691" i="1" s="1"/>
  <c r="V691" i="1" s="1"/>
  <c r="W691" i="1" s="1"/>
  <c r="P690" i="1"/>
  <c r="Q690" i="1" s="1"/>
  <c r="R690" i="1" s="1"/>
  <c r="T690" i="1"/>
  <c r="U690" i="1" s="1"/>
  <c r="K691" i="1"/>
  <c r="P691" i="1" l="1"/>
  <c r="Q691" i="1" s="1"/>
  <c r="R691" i="1" s="1"/>
  <c r="F693" i="1"/>
  <c r="G693" i="1" s="1"/>
  <c r="H693" i="1" s="1"/>
  <c r="I693" i="1" s="1"/>
  <c r="J693" i="1" s="1"/>
  <c r="M692" i="1" a="1"/>
  <c r="M692" i="1" s="1"/>
  <c r="T692" i="1" s="1"/>
  <c r="U692" i="1" s="1"/>
  <c r="L692" i="1" a="1"/>
  <c r="L692" i="1" s="1"/>
  <c r="V692" i="1" s="1"/>
  <c r="W692" i="1" s="1"/>
  <c r="K692" i="1"/>
  <c r="P692" i="1" l="1"/>
  <c r="Q692" i="1" s="1"/>
  <c r="R692" i="1" s="1"/>
  <c r="F694" i="1"/>
  <c r="G694" i="1" s="1"/>
  <c r="H694" i="1" s="1"/>
  <c r="I694" i="1" s="1"/>
  <c r="L693" i="1" a="1"/>
  <c r="L693" i="1" s="1"/>
  <c r="V693" i="1" s="1"/>
  <c r="W693" i="1" s="1"/>
  <c r="M693" i="1" a="1"/>
  <c r="M693" i="1" s="1"/>
  <c r="T693" i="1" s="1"/>
  <c r="U693" i="1" s="1"/>
  <c r="K693" i="1"/>
  <c r="P693" i="1" l="1"/>
  <c r="Q693" i="1" s="1"/>
  <c r="R693" i="1" s="1"/>
  <c r="J694" i="1"/>
  <c r="K694" i="1" s="1"/>
  <c r="F695" i="1" l="1"/>
  <c r="G695" i="1" s="1"/>
  <c r="H695" i="1" s="1"/>
  <c r="I695" i="1" s="1"/>
  <c r="L694" i="1" a="1"/>
  <c r="L694" i="1" s="1"/>
  <c r="V694" i="1" s="1"/>
  <c r="W694" i="1" s="1"/>
  <c r="M694" i="1" a="1"/>
  <c r="M694" i="1" s="1"/>
  <c r="T694" i="1" s="1"/>
  <c r="U694" i="1" s="1"/>
  <c r="P694" i="1" l="1"/>
  <c r="Q694" i="1" s="1"/>
  <c r="R694" i="1" s="1"/>
  <c r="J695" i="1"/>
  <c r="F696" i="1" l="1"/>
  <c r="G696" i="1" s="1"/>
  <c r="H696" i="1" s="1"/>
  <c r="I696" i="1" s="1"/>
  <c r="L695" i="1" a="1"/>
  <c r="L695" i="1" s="1"/>
  <c r="V695" i="1" s="1"/>
  <c r="W695" i="1" s="1"/>
  <c r="M695" i="1" a="1"/>
  <c r="M695" i="1" s="1"/>
  <c r="P695" i="1" s="1"/>
  <c r="Q695" i="1" s="1"/>
  <c r="R695" i="1" s="1"/>
  <c r="K695" i="1"/>
  <c r="T695" i="1" l="1"/>
  <c r="U695" i="1" s="1"/>
  <c r="J696" i="1"/>
  <c r="F697" i="1" l="1"/>
  <c r="G697" i="1" s="1"/>
  <c r="H697" i="1" s="1"/>
  <c r="I697" i="1" s="1"/>
  <c r="J697" i="1" s="1"/>
  <c r="L696" i="1" a="1"/>
  <c r="L696" i="1" s="1"/>
  <c r="V696" i="1" s="1"/>
  <c r="W696" i="1" s="1"/>
  <c r="M696" i="1" a="1"/>
  <c r="M696" i="1" s="1"/>
  <c r="T696" i="1" s="1"/>
  <c r="U696" i="1" s="1"/>
  <c r="K696" i="1"/>
  <c r="P696" i="1" l="1"/>
  <c r="Q696" i="1" s="1"/>
  <c r="R696" i="1" s="1"/>
  <c r="F698" i="1"/>
  <c r="G698" i="1" s="1"/>
  <c r="H698" i="1" s="1"/>
  <c r="I698" i="1" s="1"/>
  <c r="M697" i="1" a="1"/>
  <c r="M697" i="1" s="1"/>
  <c r="P697" i="1" s="1"/>
  <c r="Q697" i="1" s="1"/>
  <c r="L697" i="1" a="1"/>
  <c r="L697" i="1" s="1"/>
  <c r="V697" i="1" s="1"/>
  <c r="W697" i="1" s="1"/>
  <c r="K697" i="1"/>
  <c r="R697" i="1" l="1"/>
  <c r="T697" i="1"/>
  <c r="U697" i="1" s="1"/>
  <c r="J698" i="1"/>
  <c r="K698" i="1" s="1"/>
  <c r="F699" i="1" l="1"/>
  <c r="G699" i="1" s="1"/>
  <c r="H699" i="1" s="1"/>
  <c r="I699" i="1" s="1"/>
  <c r="M698" i="1" a="1"/>
  <c r="M698" i="1" s="1"/>
  <c r="T698" i="1" s="1"/>
  <c r="U698" i="1" s="1"/>
  <c r="L698" i="1" a="1"/>
  <c r="L698" i="1" s="1"/>
  <c r="V698" i="1" s="1"/>
  <c r="W698" i="1" s="1"/>
  <c r="P698" i="1" l="1"/>
  <c r="Q698" i="1" s="1"/>
  <c r="R698" i="1" s="1"/>
  <c r="J699" i="1"/>
  <c r="F700" i="1" l="1"/>
  <c r="G700" i="1" s="1"/>
  <c r="H700" i="1" s="1"/>
  <c r="I700" i="1" s="1"/>
  <c r="L699" i="1" a="1"/>
  <c r="L699" i="1" s="1"/>
  <c r="V699" i="1" s="1"/>
  <c r="W699" i="1" s="1"/>
  <c r="M699" i="1" a="1"/>
  <c r="M699" i="1" s="1"/>
  <c r="P699" i="1" s="1"/>
  <c r="Q699" i="1" s="1"/>
  <c r="R699" i="1" s="1"/>
  <c r="K699" i="1"/>
  <c r="T699" i="1" l="1"/>
  <c r="U699" i="1" s="1"/>
  <c r="J700" i="1"/>
  <c r="K700" i="1" l="1"/>
  <c r="M700" i="1" a="1"/>
  <c r="M700" i="1" s="1"/>
  <c r="P700" i="1" s="1"/>
  <c r="Q700" i="1" s="1"/>
  <c r="R700" i="1" s="1"/>
  <c r="L700" i="1" a="1"/>
  <c r="L700" i="1" s="1"/>
  <c r="V700" i="1" s="1"/>
  <c r="W700" i="1" s="1"/>
  <c r="F701" i="1"/>
  <c r="G701" i="1" s="1"/>
  <c r="H701" i="1" s="1"/>
  <c r="I701" i="1" s="1"/>
  <c r="T700" i="1" l="1"/>
  <c r="U700" i="1" s="1"/>
  <c r="J701" i="1"/>
  <c r="F702" i="1" l="1"/>
  <c r="G702" i="1" s="1"/>
  <c r="H702" i="1" s="1"/>
  <c r="I702" i="1" s="1"/>
  <c r="M701" i="1" a="1"/>
  <c r="M701" i="1" s="1"/>
  <c r="P701" i="1" s="1"/>
  <c r="Q701" i="1" s="1"/>
  <c r="R701" i="1" s="1"/>
  <c r="L701" i="1" a="1"/>
  <c r="L701" i="1" s="1"/>
  <c r="V701" i="1" s="1"/>
  <c r="W701" i="1" s="1"/>
  <c r="K701" i="1"/>
  <c r="T701" i="1" l="1"/>
  <c r="U701" i="1" s="1"/>
  <c r="J702" i="1"/>
  <c r="F703" i="1" l="1"/>
  <c r="G703" i="1" s="1"/>
  <c r="H703" i="1" s="1"/>
  <c r="I703" i="1" s="1"/>
  <c r="M702" i="1" a="1"/>
  <c r="M702" i="1" s="1"/>
  <c r="T702" i="1" s="1"/>
  <c r="U702" i="1" s="1"/>
  <c r="L702" i="1" a="1"/>
  <c r="L702" i="1" s="1"/>
  <c r="V702" i="1" s="1"/>
  <c r="W702" i="1" s="1"/>
  <c r="K702" i="1"/>
  <c r="P702" i="1" l="1"/>
  <c r="Q702" i="1" s="1"/>
  <c r="R702" i="1" s="1"/>
  <c r="J703" i="1"/>
  <c r="F704" i="1" s="1"/>
  <c r="G704" i="1" s="1"/>
  <c r="K703" i="1" l="1"/>
  <c r="M703" i="1" a="1"/>
  <c r="M703" i="1" s="1"/>
  <c r="P703" i="1" s="1"/>
  <c r="Q703" i="1" s="1"/>
  <c r="R703" i="1" s="1"/>
  <c r="L703" i="1" a="1"/>
  <c r="L703" i="1" s="1"/>
  <c r="V703" i="1" s="1"/>
  <c r="W703" i="1" s="1"/>
  <c r="H704" i="1"/>
  <c r="I704" i="1" s="1"/>
  <c r="T703" i="1" l="1"/>
  <c r="U703" i="1" s="1"/>
  <c r="J704" i="1"/>
  <c r="F705" i="1" l="1"/>
  <c r="G705" i="1" s="1"/>
  <c r="H705" i="1" s="1"/>
  <c r="I705" i="1" s="1"/>
  <c r="M704" i="1" a="1"/>
  <c r="M704" i="1" s="1"/>
  <c r="T704" i="1" s="1"/>
  <c r="U704" i="1" s="1"/>
  <c r="L704" i="1" a="1"/>
  <c r="L704" i="1" s="1"/>
  <c r="V704" i="1" s="1"/>
  <c r="W704" i="1" s="1"/>
  <c r="K704" i="1"/>
  <c r="P704" i="1" l="1"/>
  <c r="Q704" i="1" s="1"/>
  <c r="R704" i="1" s="1"/>
  <c r="J705" i="1"/>
  <c r="K705" i="1" l="1"/>
  <c r="L705" i="1" a="1"/>
  <c r="L705" i="1" s="1"/>
  <c r="V705" i="1" s="1"/>
  <c r="W705" i="1" s="1"/>
  <c r="M705" i="1" a="1"/>
  <c r="M705" i="1" s="1"/>
  <c r="P705" i="1" s="1"/>
  <c r="Q705" i="1" s="1"/>
  <c r="R705" i="1" s="1"/>
  <c r="F706" i="1"/>
  <c r="G706" i="1" s="1"/>
  <c r="H706" i="1" s="1"/>
  <c r="I706" i="1" s="1"/>
  <c r="T705" i="1" l="1"/>
  <c r="U705" i="1" s="1"/>
  <c r="J706" i="1"/>
  <c r="K706" i="1" s="1"/>
  <c r="F707" i="1" l="1"/>
  <c r="G707" i="1" s="1"/>
  <c r="H707" i="1" s="1"/>
  <c r="I707" i="1" s="1"/>
  <c r="M706" i="1" a="1"/>
  <c r="M706" i="1" s="1"/>
  <c r="T706" i="1" s="1"/>
  <c r="U706" i="1" s="1"/>
  <c r="L706" i="1" a="1"/>
  <c r="L706" i="1" s="1"/>
  <c r="V706" i="1" s="1"/>
  <c r="W706" i="1" s="1"/>
  <c r="P706" i="1" l="1"/>
  <c r="Q706" i="1" s="1"/>
  <c r="R706" i="1" s="1"/>
  <c r="J707" i="1"/>
  <c r="K707" i="1" l="1"/>
  <c r="M707" i="1" a="1"/>
  <c r="M707" i="1" s="1"/>
  <c r="P707" i="1" s="1"/>
  <c r="Q707" i="1" s="1"/>
  <c r="R707" i="1" s="1"/>
  <c r="L707" i="1" a="1"/>
  <c r="L707" i="1" s="1"/>
  <c r="V707" i="1" s="1"/>
  <c r="W707" i="1" s="1"/>
  <c r="F708" i="1"/>
  <c r="G708" i="1" s="1"/>
  <c r="T707" i="1" l="1"/>
  <c r="U707" i="1" s="1"/>
  <c r="H708" i="1"/>
  <c r="I708" i="1" s="1"/>
  <c r="J708" i="1" l="1"/>
  <c r="K708" i="1" l="1"/>
  <c r="L708" i="1" a="1"/>
  <c r="L708" i="1" s="1"/>
  <c r="V708" i="1" s="1"/>
  <c r="W708" i="1" s="1"/>
  <c r="M708" i="1" a="1"/>
  <c r="M708" i="1" s="1"/>
  <c r="T708" i="1" s="1"/>
  <c r="U708" i="1" s="1"/>
  <c r="F709" i="1"/>
  <c r="G709" i="1" s="1"/>
  <c r="H709" i="1" s="1"/>
  <c r="I709" i="1" s="1"/>
  <c r="P708" i="1" l="1"/>
  <c r="Q708" i="1" s="1"/>
  <c r="R708" i="1" s="1"/>
  <c r="J709" i="1"/>
  <c r="F710" i="1" l="1"/>
  <c r="G710" i="1" s="1"/>
  <c r="H710" i="1" s="1"/>
  <c r="I710" i="1" s="1"/>
  <c r="M709" i="1" a="1"/>
  <c r="M709" i="1" s="1"/>
  <c r="T709" i="1" s="1"/>
  <c r="U709" i="1" s="1"/>
  <c r="L709" i="1" a="1"/>
  <c r="L709" i="1" s="1"/>
  <c r="V709" i="1" s="1"/>
  <c r="W709" i="1" s="1"/>
  <c r="K709" i="1"/>
  <c r="P709" i="1" l="1"/>
  <c r="Q709" i="1" s="1"/>
  <c r="R709" i="1" s="1"/>
  <c r="J710" i="1"/>
  <c r="F711" i="1" l="1"/>
  <c r="G711" i="1" s="1"/>
  <c r="H711" i="1" s="1"/>
  <c r="I711" i="1" s="1"/>
  <c r="M710" i="1" a="1"/>
  <c r="M710" i="1" s="1"/>
  <c r="P710" i="1" s="1"/>
  <c r="Q710" i="1" s="1"/>
  <c r="R710" i="1" s="1"/>
  <c r="L710" i="1" a="1"/>
  <c r="L710" i="1" s="1"/>
  <c r="V710" i="1" s="1"/>
  <c r="W710" i="1" s="1"/>
  <c r="K710" i="1"/>
  <c r="T710" i="1" l="1"/>
  <c r="U710" i="1" s="1"/>
  <c r="J711" i="1"/>
  <c r="F712" i="1" s="1"/>
  <c r="G712" i="1" s="1"/>
  <c r="K711" i="1" l="1"/>
  <c r="M711" i="1" a="1"/>
  <c r="M711" i="1" s="1"/>
  <c r="T711" i="1" s="1"/>
  <c r="U711" i="1" s="1"/>
  <c r="L711" i="1" a="1"/>
  <c r="L711" i="1" s="1"/>
  <c r="V711" i="1" s="1"/>
  <c r="W711" i="1" s="1"/>
  <c r="H712" i="1"/>
  <c r="I712" i="1" s="1"/>
  <c r="P711" i="1" l="1"/>
  <c r="Q711" i="1" s="1"/>
  <c r="R711" i="1" s="1"/>
  <c r="J712" i="1"/>
  <c r="F713" i="1" s="1"/>
  <c r="G713" i="1" s="1"/>
  <c r="K712" i="1" l="1"/>
  <c r="M712" i="1" a="1"/>
  <c r="M712" i="1" s="1"/>
  <c r="P712" i="1" s="1"/>
  <c r="Q712" i="1" s="1"/>
  <c r="R712" i="1" s="1"/>
  <c r="L712" i="1" a="1"/>
  <c r="L712" i="1" s="1"/>
  <c r="V712" i="1" s="1"/>
  <c r="W712" i="1" s="1"/>
  <c r="H713" i="1"/>
  <c r="I713" i="1" s="1"/>
  <c r="T712" i="1" l="1"/>
  <c r="U712" i="1" s="1"/>
  <c r="J713" i="1"/>
  <c r="F714" i="1" l="1"/>
  <c r="G714" i="1" s="1"/>
  <c r="L713" i="1" a="1"/>
  <c r="L713" i="1" s="1"/>
  <c r="V713" i="1" s="1"/>
  <c r="W713" i="1" s="1"/>
  <c r="M713" i="1" a="1"/>
  <c r="M713" i="1" s="1"/>
  <c r="T713" i="1" s="1"/>
  <c r="U713" i="1" s="1"/>
  <c r="K713" i="1"/>
  <c r="P713" i="1" l="1"/>
  <c r="Q713" i="1" s="1"/>
  <c r="R713" i="1" s="1"/>
  <c r="H714" i="1"/>
  <c r="I714" i="1" s="1"/>
  <c r="J714" i="1" l="1"/>
  <c r="K714" i="1" l="1"/>
  <c r="M714" i="1" a="1"/>
  <c r="M714" i="1" s="1"/>
  <c r="P714" i="1" s="1"/>
  <c r="Q714" i="1" s="1"/>
  <c r="R714" i="1" s="1"/>
  <c r="L714" i="1" a="1"/>
  <c r="L714" i="1" s="1"/>
  <c r="V714" i="1" s="1"/>
  <c r="W714" i="1" s="1"/>
  <c r="F715" i="1"/>
  <c r="G715" i="1" s="1"/>
  <c r="H715" i="1" s="1"/>
  <c r="I715" i="1" s="1"/>
  <c r="T714" i="1" l="1"/>
  <c r="U714" i="1" s="1"/>
  <c r="J715" i="1"/>
  <c r="F716" i="1" l="1"/>
  <c r="G716" i="1" s="1"/>
  <c r="H716" i="1" s="1"/>
  <c r="I716" i="1" s="1"/>
  <c r="L715" i="1" a="1"/>
  <c r="L715" i="1" s="1"/>
  <c r="V715" i="1" s="1"/>
  <c r="W715" i="1" s="1"/>
  <c r="M715" i="1" a="1"/>
  <c r="M715" i="1" s="1"/>
  <c r="T715" i="1" s="1"/>
  <c r="U715" i="1" s="1"/>
  <c r="K715" i="1"/>
  <c r="P715" i="1" l="1"/>
  <c r="Q715" i="1" s="1"/>
  <c r="R715" i="1" s="1"/>
  <c r="J716" i="1"/>
  <c r="F717" i="1" l="1"/>
  <c r="G717" i="1" s="1"/>
  <c r="H717" i="1" s="1"/>
  <c r="I717" i="1" s="1"/>
  <c r="L716" i="1" a="1"/>
  <c r="L716" i="1" s="1"/>
  <c r="V716" i="1" s="1"/>
  <c r="W716" i="1" s="1"/>
  <c r="M716" i="1" a="1"/>
  <c r="M716" i="1" s="1"/>
  <c r="P716" i="1" s="1"/>
  <c r="Q716" i="1" s="1"/>
  <c r="R716" i="1" s="1"/>
  <c r="K716" i="1"/>
  <c r="T716" i="1" l="1"/>
  <c r="U716" i="1" s="1"/>
  <c r="J717" i="1"/>
  <c r="F718" i="1" l="1"/>
  <c r="G718" i="1" s="1"/>
  <c r="H718" i="1" s="1"/>
  <c r="I718" i="1" s="1"/>
  <c r="M717" i="1" a="1"/>
  <c r="M717" i="1" s="1"/>
  <c r="T717" i="1" s="1"/>
  <c r="U717" i="1" s="1"/>
  <c r="L717" i="1" a="1"/>
  <c r="L717" i="1" s="1"/>
  <c r="V717" i="1" s="1"/>
  <c r="W717" i="1" s="1"/>
  <c r="K717" i="1"/>
  <c r="P717" i="1" l="1"/>
  <c r="Q717" i="1" s="1"/>
  <c r="R717" i="1" s="1"/>
  <c r="J718" i="1"/>
  <c r="F719" i="1" l="1"/>
  <c r="G719" i="1" s="1"/>
  <c r="L718" i="1" a="1"/>
  <c r="L718" i="1" s="1"/>
  <c r="V718" i="1" s="1"/>
  <c r="W718" i="1" s="1"/>
  <c r="M718" i="1" a="1"/>
  <c r="M718" i="1" s="1"/>
  <c r="P718" i="1" s="1"/>
  <c r="Q718" i="1" s="1"/>
  <c r="R718" i="1" s="1"/>
  <c r="K718" i="1"/>
  <c r="T718" i="1" l="1"/>
  <c r="U718" i="1" s="1"/>
  <c r="H719" i="1"/>
  <c r="I719" i="1" s="1"/>
  <c r="J719" i="1" l="1"/>
  <c r="K719" i="1" l="1"/>
  <c r="L719" i="1" a="1"/>
  <c r="L719" i="1" s="1"/>
  <c r="V719" i="1" s="1"/>
  <c r="W719" i="1" s="1"/>
  <c r="M719" i="1" a="1"/>
  <c r="M719" i="1" s="1"/>
  <c r="P719" i="1" s="1"/>
  <c r="Q719" i="1" s="1"/>
  <c r="R719" i="1" s="1"/>
  <c r="F720" i="1"/>
  <c r="G720" i="1" s="1"/>
  <c r="H720" i="1" s="1"/>
  <c r="I720" i="1" s="1"/>
  <c r="T719" i="1" l="1"/>
  <c r="U719" i="1" s="1"/>
  <c r="J720" i="1"/>
  <c r="F721" i="1" l="1"/>
  <c r="G721" i="1" s="1"/>
  <c r="H721" i="1" s="1"/>
  <c r="I721" i="1" s="1"/>
  <c r="M720" i="1" a="1"/>
  <c r="M720" i="1" s="1"/>
  <c r="P720" i="1" s="1"/>
  <c r="Q720" i="1" s="1"/>
  <c r="R720" i="1" s="1"/>
  <c r="L720" i="1" a="1"/>
  <c r="L720" i="1" s="1"/>
  <c r="V720" i="1" s="1"/>
  <c r="W720" i="1" s="1"/>
  <c r="K720" i="1"/>
  <c r="T720" i="1" l="1"/>
  <c r="U720" i="1" s="1"/>
  <c r="J721" i="1"/>
  <c r="F722" i="1" l="1"/>
  <c r="G722" i="1" s="1"/>
  <c r="H722" i="1" s="1"/>
  <c r="I722" i="1" s="1"/>
  <c r="L721" i="1" a="1"/>
  <c r="L721" i="1" s="1"/>
  <c r="V721" i="1" s="1"/>
  <c r="W721" i="1" s="1"/>
  <c r="M721" i="1" a="1"/>
  <c r="M721" i="1" s="1"/>
  <c r="P721" i="1" s="1"/>
  <c r="Q721" i="1" s="1"/>
  <c r="R721" i="1" s="1"/>
  <c r="K721" i="1"/>
  <c r="T721" i="1" l="1"/>
  <c r="U721" i="1" s="1"/>
  <c r="J722" i="1"/>
  <c r="K722" i="1" l="1"/>
  <c r="M722" i="1" a="1"/>
  <c r="M722" i="1" s="1"/>
  <c r="T722" i="1" s="1"/>
  <c r="U722" i="1" s="1"/>
  <c r="L722" i="1" a="1"/>
  <c r="L722" i="1" s="1"/>
  <c r="V722" i="1" s="1"/>
  <c r="W722" i="1" s="1"/>
  <c r="F723" i="1"/>
  <c r="G723" i="1" s="1"/>
  <c r="H723" i="1" s="1"/>
  <c r="I723" i="1" s="1"/>
  <c r="P722" i="1" l="1"/>
  <c r="Q722" i="1" s="1"/>
  <c r="R722" i="1" s="1"/>
  <c r="J723" i="1"/>
  <c r="F724" i="1" l="1"/>
  <c r="G724" i="1" s="1"/>
  <c r="H724" i="1" s="1"/>
  <c r="I724" i="1" s="1"/>
  <c r="M723" i="1" a="1"/>
  <c r="M723" i="1" s="1"/>
  <c r="P723" i="1" s="1"/>
  <c r="Q723" i="1" s="1"/>
  <c r="R723" i="1" s="1"/>
  <c r="L723" i="1" a="1"/>
  <c r="L723" i="1" s="1"/>
  <c r="V723" i="1" s="1"/>
  <c r="W723" i="1" s="1"/>
  <c r="K723" i="1"/>
  <c r="T723" i="1" l="1"/>
  <c r="U723" i="1" s="1"/>
  <c r="J724" i="1"/>
  <c r="F725" i="1" l="1"/>
  <c r="G725" i="1" s="1"/>
  <c r="H725" i="1" s="1"/>
  <c r="I725" i="1" s="1"/>
  <c r="J725" i="1" s="1"/>
  <c r="F726" i="1" s="1"/>
  <c r="G726" i="1" s="1"/>
  <c r="L724" i="1" a="1"/>
  <c r="L724" i="1" s="1"/>
  <c r="V724" i="1" s="1"/>
  <c r="W724" i="1" s="1"/>
  <c r="M724" i="1" a="1"/>
  <c r="M724" i="1" s="1"/>
  <c r="P724" i="1" s="1"/>
  <c r="Q724" i="1" s="1"/>
  <c r="R724" i="1" s="1"/>
  <c r="K724" i="1"/>
  <c r="T724" i="1" l="1"/>
  <c r="U724" i="1" s="1"/>
  <c r="L725" i="1" a="1"/>
  <c r="L725" i="1" s="1"/>
  <c r="V725" i="1" s="1"/>
  <c r="W725" i="1" s="1"/>
  <c r="M725" i="1" a="1"/>
  <c r="M725" i="1" s="1"/>
  <c r="T725" i="1" s="1"/>
  <c r="U725" i="1" s="1"/>
  <c r="K725" i="1"/>
  <c r="H726" i="1"/>
  <c r="I726" i="1" s="1"/>
  <c r="P725" i="1" l="1"/>
  <c r="Q725" i="1" s="1"/>
  <c r="R725" i="1" s="1"/>
  <c r="J726" i="1"/>
  <c r="F727" i="1" l="1"/>
  <c r="G727" i="1" s="1"/>
  <c r="H727" i="1" s="1"/>
  <c r="I727" i="1" s="1"/>
  <c r="J727" i="1" s="1"/>
  <c r="M726" i="1" a="1"/>
  <c r="M726" i="1" s="1"/>
  <c r="T726" i="1" s="1"/>
  <c r="U726" i="1" s="1"/>
  <c r="L726" i="1" a="1"/>
  <c r="L726" i="1" s="1"/>
  <c r="V726" i="1" s="1"/>
  <c r="W726" i="1" s="1"/>
  <c r="K726" i="1"/>
  <c r="P726" i="1" l="1"/>
  <c r="Q726" i="1" s="1"/>
  <c r="R726" i="1" s="1"/>
  <c r="K727" i="1"/>
  <c r="M727" i="1" a="1"/>
  <c r="M727" i="1" s="1"/>
  <c r="P727" i="1" s="1"/>
  <c r="Q727" i="1" s="1"/>
  <c r="L727" i="1" a="1"/>
  <c r="L727" i="1" s="1"/>
  <c r="V727" i="1" s="1"/>
  <c r="W727" i="1" s="1"/>
  <c r="F728" i="1"/>
  <c r="G728" i="1" s="1"/>
  <c r="H728" i="1" s="1"/>
  <c r="I728" i="1" s="1"/>
  <c r="J728" i="1" s="1"/>
  <c r="T727" i="1" l="1"/>
  <c r="U727" i="1" s="1"/>
  <c r="R727" i="1"/>
  <c r="L728" i="1" a="1"/>
  <c r="L728" i="1" s="1"/>
  <c r="V728" i="1" s="1"/>
  <c r="W728" i="1" s="1"/>
  <c r="M728" i="1" a="1"/>
  <c r="M728" i="1" s="1"/>
  <c r="T728" i="1" s="1"/>
  <c r="U728" i="1" s="1"/>
  <c r="K728" i="1"/>
  <c r="F729" i="1"/>
  <c r="G729" i="1" s="1"/>
  <c r="H729" i="1" s="1"/>
  <c r="I729" i="1" s="1"/>
  <c r="J729" i="1" s="1"/>
  <c r="P728" i="1" l="1"/>
  <c r="Q728" i="1" s="1"/>
  <c r="R728" i="1" s="1"/>
  <c r="K729" i="1"/>
  <c r="M729" i="1" a="1"/>
  <c r="M729" i="1" s="1"/>
  <c r="P729" i="1" s="1"/>
  <c r="Q729" i="1" s="1"/>
  <c r="L729" i="1" a="1"/>
  <c r="L729" i="1" s="1"/>
  <c r="V729" i="1" s="1"/>
  <c r="W729" i="1" s="1"/>
  <c r="F730" i="1"/>
  <c r="G730" i="1" s="1"/>
  <c r="R729" i="1" l="1"/>
  <c r="T729" i="1"/>
  <c r="U729" i="1" s="1"/>
  <c r="H730" i="1"/>
  <c r="I730" i="1" s="1"/>
  <c r="J730" i="1" l="1"/>
  <c r="F731" i="1" s="1"/>
  <c r="G731" i="1" s="1"/>
  <c r="K730" i="1" l="1"/>
  <c r="L730" i="1" a="1"/>
  <c r="L730" i="1" s="1"/>
  <c r="V730" i="1" s="1"/>
  <c r="W730" i="1" s="1"/>
  <c r="M730" i="1" a="1"/>
  <c r="M730" i="1" s="1"/>
  <c r="P730" i="1" s="1"/>
  <c r="Q730" i="1" s="1"/>
  <c r="R730" i="1" s="1"/>
  <c r="H731" i="1"/>
  <c r="I731" i="1" s="1"/>
  <c r="T730" i="1" l="1"/>
  <c r="U730" i="1" s="1"/>
  <c r="J731" i="1"/>
  <c r="F732" i="1" l="1"/>
  <c r="G732" i="1" s="1"/>
  <c r="H732" i="1" s="1"/>
  <c r="I732" i="1" s="1"/>
  <c r="M731" i="1" a="1"/>
  <c r="M731" i="1" s="1"/>
  <c r="P731" i="1" s="1"/>
  <c r="Q731" i="1" s="1"/>
  <c r="R731" i="1" s="1"/>
  <c r="L731" i="1" a="1"/>
  <c r="L731" i="1" s="1"/>
  <c r="V731" i="1" s="1"/>
  <c r="W731" i="1" s="1"/>
  <c r="K731" i="1"/>
  <c r="T731" i="1" l="1"/>
  <c r="U731" i="1" s="1"/>
  <c r="J732" i="1"/>
  <c r="K732" i="1" s="1"/>
  <c r="F733" i="1" l="1"/>
  <c r="G733" i="1" s="1"/>
  <c r="H733" i="1" s="1"/>
  <c r="I733" i="1" s="1"/>
  <c r="M732" i="1" a="1"/>
  <c r="M732" i="1" s="1"/>
  <c r="T732" i="1" s="1"/>
  <c r="U732" i="1" s="1"/>
  <c r="L732" i="1" a="1"/>
  <c r="L732" i="1" s="1"/>
  <c r="V732" i="1" s="1"/>
  <c r="W732" i="1" s="1"/>
  <c r="P732" i="1" l="1"/>
  <c r="Q732" i="1" s="1"/>
  <c r="R732" i="1" s="1"/>
  <c r="J733" i="1"/>
  <c r="F734" i="1" l="1"/>
  <c r="G734" i="1" s="1"/>
  <c r="H734" i="1" s="1"/>
  <c r="I734" i="1" s="1"/>
  <c r="J734" i="1" s="1"/>
  <c r="M733" i="1" a="1"/>
  <c r="M733" i="1" s="1"/>
  <c r="P733" i="1" s="1"/>
  <c r="Q733" i="1" s="1"/>
  <c r="R733" i="1" s="1"/>
  <c r="L733" i="1" a="1"/>
  <c r="L733" i="1" s="1"/>
  <c r="V733" i="1" s="1"/>
  <c r="W733" i="1" s="1"/>
  <c r="K733" i="1"/>
  <c r="T733" i="1" l="1"/>
  <c r="U733" i="1" s="1"/>
  <c r="F735" i="1"/>
  <c r="G735" i="1" s="1"/>
  <c r="H735" i="1" s="1"/>
  <c r="I735" i="1" s="1"/>
  <c r="M734" i="1" a="1"/>
  <c r="M734" i="1" s="1"/>
  <c r="P734" i="1" s="1"/>
  <c r="Q734" i="1" s="1"/>
  <c r="R734" i="1" s="1"/>
  <c r="L734" i="1" a="1"/>
  <c r="L734" i="1" s="1"/>
  <c r="V734" i="1" s="1"/>
  <c r="W734" i="1" s="1"/>
  <c r="K734" i="1"/>
  <c r="T734" i="1" l="1"/>
  <c r="U734" i="1" s="1"/>
  <c r="J735" i="1"/>
  <c r="F736" i="1" l="1"/>
  <c r="G736" i="1" s="1"/>
  <c r="H736" i="1" s="1"/>
  <c r="I736" i="1" s="1"/>
  <c r="M735" i="1" a="1"/>
  <c r="M735" i="1" s="1"/>
  <c r="T735" i="1" s="1"/>
  <c r="U735" i="1" s="1"/>
  <c r="L735" i="1" a="1"/>
  <c r="L735" i="1" s="1"/>
  <c r="V735" i="1" s="1"/>
  <c r="W735" i="1" s="1"/>
  <c r="K735" i="1"/>
  <c r="P735" i="1" l="1"/>
  <c r="Q735" i="1" s="1"/>
  <c r="R735" i="1" s="1"/>
  <c r="J736" i="1"/>
  <c r="K736" i="1" l="1"/>
  <c r="L736" i="1" a="1"/>
  <c r="L736" i="1" s="1"/>
  <c r="V736" i="1" s="1"/>
  <c r="W736" i="1" s="1"/>
  <c r="M736" i="1" a="1"/>
  <c r="M736" i="1" s="1"/>
  <c r="T736" i="1" s="1"/>
  <c r="U736" i="1" s="1"/>
  <c r="F737" i="1"/>
  <c r="G737" i="1" s="1"/>
  <c r="P736" i="1" l="1"/>
  <c r="Q736" i="1" s="1"/>
  <c r="R736" i="1" s="1"/>
  <c r="H737" i="1"/>
  <c r="I737" i="1" s="1"/>
  <c r="J737" i="1" l="1"/>
  <c r="F738" i="1" s="1"/>
  <c r="G738" i="1" s="1"/>
  <c r="K737" i="1" l="1"/>
  <c r="M737" i="1" a="1"/>
  <c r="M737" i="1" s="1"/>
  <c r="P737" i="1" s="1"/>
  <c r="Q737" i="1" s="1"/>
  <c r="R737" i="1" s="1"/>
  <c r="L737" i="1" a="1"/>
  <c r="L737" i="1" s="1"/>
  <c r="V737" i="1" s="1"/>
  <c r="W737" i="1" s="1"/>
  <c r="H738" i="1"/>
  <c r="I738" i="1" s="1"/>
  <c r="T737" i="1" l="1"/>
  <c r="U737" i="1" s="1"/>
  <c r="J738" i="1"/>
  <c r="F739" i="1" l="1"/>
  <c r="G739" i="1" s="1"/>
  <c r="H739" i="1" s="1"/>
  <c r="I739" i="1" s="1"/>
  <c r="M738" i="1" a="1"/>
  <c r="M738" i="1" s="1"/>
  <c r="T738" i="1" s="1"/>
  <c r="U738" i="1" s="1"/>
  <c r="L738" i="1" a="1"/>
  <c r="L738" i="1" s="1"/>
  <c r="V738" i="1" s="1"/>
  <c r="W738" i="1" s="1"/>
  <c r="K738" i="1"/>
  <c r="P738" i="1" l="1"/>
  <c r="Q738" i="1" s="1"/>
  <c r="R738" i="1" s="1"/>
  <c r="J739" i="1"/>
  <c r="F740" i="1" s="1"/>
  <c r="G740" i="1" s="1"/>
  <c r="K739" i="1" l="1"/>
  <c r="M739" i="1" a="1"/>
  <c r="M739" i="1" s="1"/>
  <c r="P739" i="1" s="1"/>
  <c r="Q739" i="1" s="1"/>
  <c r="R739" i="1" s="1"/>
  <c r="L739" i="1" a="1"/>
  <c r="L739" i="1" s="1"/>
  <c r="V739" i="1" s="1"/>
  <c r="W739" i="1" s="1"/>
  <c r="H740" i="1"/>
  <c r="I740" i="1" s="1"/>
  <c r="T739" i="1" l="1"/>
  <c r="U739" i="1" s="1"/>
  <c r="J740" i="1"/>
  <c r="F741" i="1" l="1"/>
  <c r="G741" i="1" s="1"/>
  <c r="H741" i="1" s="1"/>
  <c r="I741" i="1" s="1"/>
  <c r="J741" i="1" s="1"/>
  <c r="L740" i="1" a="1"/>
  <c r="L740" i="1" s="1"/>
  <c r="V740" i="1" s="1"/>
  <c r="W740" i="1" s="1"/>
  <c r="M740" i="1" a="1"/>
  <c r="M740" i="1" s="1"/>
  <c r="T740" i="1" s="1"/>
  <c r="U740" i="1" s="1"/>
  <c r="K740" i="1"/>
  <c r="P740" i="1" l="1"/>
  <c r="Q740" i="1" s="1"/>
  <c r="R740" i="1" s="1"/>
  <c r="F742" i="1"/>
  <c r="G742" i="1" s="1"/>
  <c r="H742" i="1" s="1"/>
  <c r="I742" i="1" s="1"/>
  <c r="J742" i="1" s="1"/>
  <c r="L741" i="1" a="1"/>
  <c r="L741" i="1" s="1"/>
  <c r="V741" i="1" s="1"/>
  <c r="W741" i="1" s="1"/>
  <c r="M741" i="1" a="1"/>
  <c r="M741" i="1" s="1"/>
  <c r="P741" i="1" s="1"/>
  <c r="Q741" i="1" s="1"/>
  <c r="K741" i="1"/>
  <c r="R741" i="1" l="1"/>
  <c r="T741" i="1"/>
  <c r="U741" i="1" s="1"/>
  <c r="K742" i="1"/>
  <c r="M742" i="1" a="1"/>
  <c r="M742" i="1" s="1"/>
  <c r="P742" i="1" s="1"/>
  <c r="Q742" i="1" s="1"/>
  <c r="L742" i="1" a="1"/>
  <c r="L742" i="1" s="1"/>
  <c r="V742" i="1" s="1"/>
  <c r="W742" i="1" s="1"/>
  <c r="F743" i="1"/>
  <c r="G743" i="1" s="1"/>
  <c r="H743" i="1" s="1"/>
  <c r="I743" i="1" s="1"/>
  <c r="J743" i="1" s="1"/>
  <c r="R742" i="1" l="1"/>
  <c r="T742" i="1"/>
  <c r="U742" i="1" s="1"/>
  <c r="F744" i="1"/>
  <c r="G744" i="1" s="1"/>
  <c r="H744" i="1" s="1"/>
  <c r="I744" i="1" s="1"/>
  <c r="L743" i="1" a="1"/>
  <c r="L743" i="1" s="1"/>
  <c r="V743" i="1" s="1"/>
  <c r="W743" i="1" s="1"/>
  <c r="M743" i="1" a="1"/>
  <c r="M743" i="1" s="1"/>
  <c r="P743" i="1" s="1"/>
  <c r="Q743" i="1" s="1"/>
  <c r="K743" i="1"/>
  <c r="R743" i="1" l="1"/>
  <c r="T743" i="1"/>
  <c r="U743" i="1" s="1"/>
  <c r="J744" i="1"/>
  <c r="F745" i="1" l="1"/>
  <c r="G745" i="1" s="1"/>
  <c r="H745" i="1" s="1"/>
  <c r="I745" i="1" s="1"/>
  <c r="J745" i="1" s="1"/>
  <c r="M744" i="1" a="1"/>
  <c r="M744" i="1" s="1"/>
  <c r="T744" i="1" s="1"/>
  <c r="U744" i="1" s="1"/>
  <c r="L744" i="1" a="1"/>
  <c r="L744" i="1" s="1"/>
  <c r="V744" i="1" s="1"/>
  <c r="W744" i="1" s="1"/>
  <c r="K744" i="1"/>
  <c r="P744" i="1" l="1"/>
  <c r="Q744" i="1" s="1"/>
  <c r="R744" i="1" s="1"/>
  <c r="F746" i="1"/>
  <c r="G746" i="1" s="1"/>
  <c r="H746" i="1" s="1"/>
  <c r="I746" i="1" s="1"/>
  <c r="M745" i="1" a="1"/>
  <c r="M745" i="1" s="1"/>
  <c r="P745" i="1" s="1"/>
  <c r="Q745" i="1" s="1"/>
  <c r="L745" i="1" a="1"/>
  <c r="L745" i="1" s="1"/>
  <c r="V745" i="1" s="1"/>
  <c r="W745" i="1" s="1"/>
  <c r="K745" i="1"/>
  <c r="R745" i="1" l="1"/>
  <c r="T745" i="1"/>
  <c r="U745" i="1" s="1"/>
  <c r="J746" i="1"/>
  <c r="K746" i="1" l="1"/>
  <c r="M746" i="1" a="1"/>
  <c r="M746" i="1" s="1"/>
  <c r="P746" i="1" s="1"/>
  <c r="Q746" i="1" s="1"/>
  <c r="R746" i="1" s="1"/>
  <c r="L746" i="1" a="1"/>
  <c r="L746" i="1" s="1"/>
  <c r="V746" i="1" s="1"/>
  <c r="W746" i="1" s="1"/>
  <c r="F747" i="1"/>
  <c r="G747" i="1" s="1"/>
  <c r="H747" i="1" s="1"/>
  <c r="I747" i="1" s="1"/>
  <c r="T746" i="1" l="1"/>
  <c r="U746" i="1" s="1"/>
  <c r="J747" i="1"/>
  <c r="F748" i="1" l="1"/>
  <c r="G748" i="1" s="1"/>
  <c r="H748" i="1" s="1"/>
  <c r="I748" i="1" s="1"/>
  <c r="L747" i="1" a="1"/>
  <c r="L747" i="1" s="1"/>
  <c r="V747" i="1" s="1"/>
  <c r="W747" i="1" s="1"/>
  <c r="M747" i="1" a="1"/>
  <c r="M747" i="1" s="1"/>
  <c r="T747" i="1" s="1"/>
  <c r="U747" i="1" s="1"/>
  <c r="K747" i="1"/>
  <c r="P747" i="1" l="1"/>
  <c r="Q747" i="1" s="1"/>
  <c r="R747" i="1" s="1"/>
  <c r="J748" i="1"/>
  <c r="K748" i="1" s="1"/>
  <c r="F749" i="1" l="1"/>
  <c r="G749" i="1" s="1"/>
  <c r="H749" i="1" s="1"/>
  <c r="I749" i="1" s="1"/>
  <c r="J749" i="1" s="1"/>
  <c r="M748" i="1" a="1"/>
  <c r="M748" i="1" s="1"/>
  <c r="T748" i="1" s="1"/>
  <c r="U748" i="1" s="1"/>
  <c r="L748" i="1" a="1"/>
  <c r="L748" i="1" s="1"/>
  <c r="V748" i="1" s="1"/>
  <c r="W748" i="1" s="1"/>
  <c r="P748" i="1" l="1"/>
  <c r="Q748" i="1" s="1"/>
  <c r="R748" i="1" s="1"/>
  <c r="Q749" i="1"/>
  <c r="M749" i="1" a="1"/>
  <c r="M749" i="1" s="1"/>
  <c r="T749" i="1" s="1"/>
  <c r="U749" i="1" s="1"/>
  <c r="L749" i="1" a="1"/>
  <c r="L749" i="1" s="1"/>
  <c r="V749" i="1" s="1"/>
  <c r="W749" i="1" s="1"/>
  <c r="K749" i="1"/>
  <c r="F750" i="1"/>
  <c r="G750" i="1" s="1"/>
  <c r="H750" i="1" s="1"/>
  <c r="I750" i="1" s="1"/>
  <c r="J750" i="1" s="1"/>
  <c r="P749" i="1" l="1"/>
  <c r="R749" i="1"/>
  <c r="M750" i="1" a="1"/>
  <c r="M750" i="1" s="1"/>
  <c r="T750" i="1" s="1"/>
  <c r="U750" i="1" s="1"/>
  <c r="L750" i="1" a="1"/>
  <c r="L750" i="1" s="1"/>
  <c r="V750" i="1" s="1"/>
  <c r="W750" i="1" s="1"/>
  <c r="F751" i="1"/>
  <c r="G751" i="1" s="1"/>
  <c r="H751" i="1" s="1"/>
  <c r="I751" i="1" s="1"/>
  <c r="K750" i="1"/>
  <c r="Q750" i="1"/>
  <c r="R750" i="1" l="1"/>
  <c r="P750" i="1"/>
  <c r="J751" i="1"/>
  <c r="L751" i="1" l="1" a="1"/>
  <c r="L751" i="1" s="1"/>
  <c r="V751" i="1" s="1"/>
  <c r="W751" i="1" s="1"/>
  <c r="M751" i="1" a="1"/>
  <c r="M751" i="1" s="1"/>
  <c r="P751" i="1" s="1"/>
  <c r="F752" i="1"/>
  <c r="Q751" i="1"/>
  <c r="R751" i="1" s="1"/>
  <c r="K751" i="1"/>
  <c r="T751" i="1" l="1"/>
  <c r="U751" i="1" s="1"/>
  <c r="G752" i="1"/>
  <c r="H752" i="1" s="1"/>
  <c r="I752" i="1" s="1"/>
  <c r="J752" i="1" s="1"/>
  <c r="F753" i="1" l="1"/>
  <c r="G753" i="1" s="1"/>
  <c r="H753" i="1" s="1"/>
  <c r="I753" i="1" s="1"/>
  <c r="J753" i="1" s="1"/>
  <c r="M752" i="1" a="1"/>
  <c r="M752" i="1" s="1"/>
  <c r="T752" i="1" s="1"/>
  <c r="U752" i="1" s="1"/>
  <c r="L752" i="1" a="1"/>
  <c r="L752" i="1" s="1"/>
  <c r="V752" i="1" s="1"/>
  <c r="W752" i="1" s="1"/>
  <c r="Q752" i="1"/>
  <c r="R752" i="1" s="1"/>
  <c r="K752" i="1"/>
  <c r="P752" i="1" l="1"/>
  <c r="F754" i="1"/>
  <c r="G754" i="1" s="1"/>
  <c r="H754" i="1" s="1"/>
  <c r="I754" i="1" s="1"/>
  <c r="J754" i="1" s="1"/>
  <c r="M753" i="1" a="1"/>
  <c r="M753" i="1" s="1"/>
  <c r="P753" i="1" s="1"/>
  <c r="L753" i="1" a="1"/>
  <c r="L753" i="1" s="1"/>
  <c r="V753" i="1" s="1"/>
  <c r="W753" i="1" s="1"/>
  <c r="K753" i="1"/>
  <c r="Q753" i="1"/>
  <c r="R753" i="1" s="1"/>
  <c r="T753" i="1" l="1"/>
  <c r="U753" i="1" s="1"/>
  <c r="F755" i="1"/>
  <c r="G755" i="1" s="1"/>
  <c r="L754" i="1" a="1"/>
  <c r="L754" i="1" s="1"/>
  <c r="V754" i="1" s="1"/>
  <c r="W754" i="1" s="1"/>
  <c r="M754" i="1" a="1"/>
  <c r="M754" i="1" s="1"/>
  <c r="K754" i="1"/>
  <c r="Q754" i="1"/>
  <c r="R754" i="1" s="1"/>
  <c r="T754" i="1" l="1"/>
  <c r="U754" i="1" s="1"/>
  <c r="P754" i="1"/>
  <c r="H755" i="1"/>
  <c r="I755" i="1" s="1"/>
  <c r="J755" i="1" s="1"/>
  <c r="L755" i="1" l="1" a="1"/>
  <c r="L755" i="1" s="1"/>
  <c r="V755" i="1" s="1"/>
  <c r="W755" i="1" s="1"/>
  <c r="M755" i="1" a="1"/>
  <c r="M755" i="1" s="1"/>
  <c r="T755" i="1" s="1"/>
  <c r="U755" i="1" s="1"/>
  <c r="Q755" i="1"/>
  <c r="R755" i="1" s="1"/>
  <c r="K755" i="1"/>
  <c r="F756" i="1"/>
  <c r="P755" i="1" l="1"/>
  <c r="G756" i="1"/>
  <c r="H756" i="1" s="1"/>
  <c r="I756" i="1" s="1"/>
  <c r="J756" i="1" s="1"/>
  <c r="F757" i="1" l="1"/>
  <c r="G757" i="1" s="1"/>
  <c r="L756" i="1" a="1"/>
  <c r="L756" i="1" s="1"/>
  <c r="V756" i="1" s="1"/>
  <c r="W756" i="1" s="1"/>
  <c r="M756" i="1" a="1"/>
  <c r="M756" i="1" s="1"/>
  <c r="T756" i="1" s="1"/>
  <c r="U756" i="1" s="1"/>
  <c r="K756" i="1"/>
  <c r="Q756" i="1"/>
  <c r="R756" i="1" s="1"/>
  <c r="P756" i="1" l="1"/>
  <c r="H757" i="1"/>
  <c r="I757" i="1" s="1"/>
  <c r="J757" i="1" s="1"/>
  <c r="L757" i="1" l="1" a="1"/>
  <c r="L757" i="1" s="1"/>
  <c r="V757" i="1" s="1"/>
  <c r="W757" i="1" s="1"/>
  <c r="M757" i="1" a="1"/>
  <c r="M757" i="1" s="1"/>
  <c r="Q757" i="1"/>
  <c r="R757" i="1" s="1"/>
  <c r="K757" i="1"/>
  <c r="F758" i="1"/>
  <c r="T757" i="1" l="1"/>
  <c r="U757" i="1" s="1"/>
  <c r="P757" i="1"/>
  <c r="G758" i="1"/>
  <c r="H758" i="1" l="1"/>
  <c r="I758" i="1" s="1"/>
  <c r="J758" i="1" s="1"/>
  <c r="M758" i="1" l="1" a="1"/>
  <c r="M758" i="1" s="1"/>
  <c r="L758" i="1" a="1"/>
  <c r="L758" i="1" s="1"/>
  <c r="V758" i="1" s="1"/>
  <c r="W758" i="1" s="1"/>
  <c r="Q758" i="1"/>
  <c r="R758" i="1" s="1"/>
  <c r="K758" i="1"/>
  <c r="F759" i="1"/>
  <c r="P758" i="1" l="1"/>
  <c r="T758" i="1"/>
  <c r="U758" i="1" s="1"/>
  <c r="G759" i="1"/>
  <c r="H759" i="1" l="1"/>
  <c r="I759" i="1" s="1"/>
  <c r="J759" i="1" s="1"/>
  <c r="L759" i="1" l="1" a="1"/>
  <c r="L759" i="1" s="1"/>
  <c r="V759" i="1" s="1"/>
  <c r="W759" i="1" s="1"/>
  <c r="M759" i="1" a="1"/>
  <c r="M759" i="1" s="1"/>
  <c r="P759" i="1" s="1"/>
  <c r="Q759" i="1"/>
  <c r="R759" i="1" s="1"/>
  <c r="K759" i="1"/>
  <c r="F760" i="1"/>
  <c r="T759" i="1" l="1"/>
  <c r="U759" i="1" s="1"/>
  <c r="G760" i="1"/>
  <c r="H760" i="1" l="1"/>
  <c r="I760" i="1" s="1"/>
  <c r="J760" i="1" s="1"/>
  <c r="M760" i="1" l="1" a="1"/>
  <c r="M760" i="1" s="1"/>
  <c r="P760" i="1" s="1"/>
  <c r="L760" i="1" a="1"/>
  <c r="L760" i="1" s="1"/>
  <c r="V760" i="1" s="1"/>
  <c r="W760" i="1" s="1"/>
  <c r="Q760" i="1"/>
  <c r="R760" i="1" s="1"/>
  <c r="K760" i="1"/>
  <c r="F761" i="1"/>
  <c r="T760" i="1" l="1"/>
  <c r="U760" i="1" s="1"/>
  <c r="G761" i="1"/>
  <c r="H761" i="1" s="1"/>
  <c r="I761" i="1" s="1"/>
  <c r="J761" i="1" s="1"/>
  <c r="F762" i="1" l="1"/>
  <c r="G762" i="1" s="1"/>
  <c r="H762" i="1" s="1"/>
  <c r="I762" i="1" s="1"/>
  <c r="J762" i="1" s="1"/>
  <c r="M761" i="1" a="1"/>
  <c r="M761" i="1" s="1"/>
  <c r="T761" i="1" s="1"/>
  <c r="U761" i="1" s="1"/>
  <c r="L761" i="1" a="1"/>
  <c r="L761" i="1" s="1"/>
  <c r="V761" i="1" s="1"/>
  <c r="W761" i="1" s="1"/>
  <c r="K761" i="1"/>
  <c r="Q761" i="1"/>
  <c r="R761" i="1" s="1"/>
  <c r="P761" i="1" l="1"/>
  <c r="F763" i="1"/>
  <c r="G763" i="1" s="1"/>
  <c r="M762" i="1" a="1"/>
  <c r="M762" i="1" s="1"/>
  <c r="P762" i="1" s="1"/>
  <c r="L762" i="1" a="1"/>
  <c r="L762" i="1" s="1"/>
  <c r="V762" i="1" s="1"/>
  <c r="W762" i="1" s="1"/>
  <c r="Q762" i="1"/>
  <c r="R762" i="1" s="1"/>
  <c r="K762" i="1"/>
  <c r="T762" i="1" l="1"/>
  <c r="U762" i="1" s="1"/>
  <c r="H763" i="1"/>
  <c r="I763" i="1" s="1"/>
  <c r="J763" i="1" s="1"/>
  <c r="L763" i="1" l="1" a="1"/>
  <c r="L763" i="1" s="1"/>
  <c r="V763" i="1" s="1"/>
  <c r="W763" i="1" s="1"/>
  <c r="M763" i="1" a="1"/>
  <c r="M763" i="1" s="1"/>
  <c r="P763" i="1" s="1"/>
  <c r="Q763" i="1"/>
  <c r="R763" i="1" s="1"/>
  <c r="K763" i="1"/>
  <c r="F764" i="1"/>
  <c r="T763" i="1" l="1"/>
  <c r="U763" i="1" s="1"/>
  <c r="G764" i="1"/>
  <c r="H764" i="1" l="1"/>
  <c r="I764" i="1" s="1"/>
  <c r="J764" i="1" s="1"/>
  <c r="M764" i="1" l="1" a="1"/>
  <c r="M764" i="1" s="1"/>
  <c r="T764" i="1" s="1"/>
  <c r="U764" i="1" s="1"/>
  <c r="L764" i="1" a="1"/>
  <c r="L764" i="1" s="1"/>
  <c r="Q764" i="1"/>
  <c r="R764" i="1" s="1"/>
  <c r="K764" i="1"/>
  <c r="F765" i="1"/>
  <c r="P764" i="1" l="1"/>
  <c r="V764" i="1" s="1"/>
  <c r="W764" i="1" s="1"/>
  <c r="G765" i="1"/>
  <c r="H765" i="1" s="1"/>
  <c r="I765" i="1" s="1"/>
  <c r="J765" i="1" s="1"/>
  <c r="F766" i="1" l="1"/>
  <c r="G766" i="1" s="1"/>
  <c r="M765" i="1" a="1"/>
  <c r="M765" i="1" s="1"/>
  <c r="L765" i="1" a="1"/>
  <c r="L765" i="1" s="1"/>
  <c r="V765" i="1" s="1"/>
  <c r="W765" i="1" s="1"/>
  <c r="K765" i="1"/>
  <c r="Q765" i="1"/>
  <c r="R765" i="1" s="1"/>
  <c r="T765" i="1" l="1"/>
  <c r="U765" i="1" s="1"/>
  <c r="P765" i="1"/>
  <c r="H766" i="1"/>
  <c r="I766" i="1" s="1"/>
  <c r="J766" i="1" s="1"/>
  <c r="M766" i="1" l="1" a="1"/>
  <c r="M766" i="1" s="1"/>
  <c r="L766" i="1" a="1"/>
  <c r="L766" i="1" s="1"/>
  <c r="V766" i="1" s="1"/>
  <c r="W766" i="1" s="1"/>
  <c r="K766" i="1"/>
  <c r="Q766" i="1"/>
  <c r="R766" i="1" s="1"/>
  <c r="F767" i="1"/>
  <c r="P766" i="1" l="1"/>
  <c r="T766" i="1"/>
  <c r="U766" i="1" s="1"/>
  <c r="G767" i="1"/>
  <c r="H767" i="1" l="1"/>
  <c r="I767" i="1" s="1"/>
  <c r="J767" i="1" s="1"/>
  <c r="L767" i="1" l="1" a="1"/>
  <c r="L767" i="1" s="1"/>
  <c r="V767" i="1" s="1"/>
  <c r="W767" i="1" s="1"/>
  <c r="M767" i="1" a="1"/>
  <c r="M767" i="1" s="1"/>
  <c r="Q767" i="1"/>
  <c r="R767" i="1" s="1"/>
  <c r="K767" i="1"/>
  <c r="F768" i="1"/>
  <c r="T767" i="1" l="1"/>
  <c r="U767" i="1" s="1"/>
  <c r="P767" i="1"/>
  <c r="G768" i="1"/>
  <c r="H768" i="1" l="1"/>
  <c r="I768" i="1" s="1"/>
  <c r="J768" i="1" s="1"/>
  <c r="M768" i="1" l="1" a="1"/>
  <c r="M768" i="1" s="1"/>
  <c r="L768" i="1" a="1"/>
  <c r="L768" i="1" s="1"/>
  <c r="V768" i="1" s="1"/>
  <c r="W768" i="1" s="1"/>
  <c r="Q768" i="1"/>
  <c r="R768" i="1" s="1"/>
  <c r="K768" i="1"/>
  <c r="F769" i="1"/>
  <c r="P768" i="1" l="1"/>
  <c r="T768" i="1"/>
  <c r="U768" i="1" s="1"/>
  <c r="G769" i="1"/>
  <c r="H769" i="1" l="1"/>
  <c r="I769" i="1" s="1"/>
  <c r="J769" i="1" s="1"/>
  <c r="M769" i="1" l="1" a="1"/>
  <c r="M769" i="1" s="1"/>
  <c r="L769" i="1" a="1"/>
  <c r="L769" i="1" s="1"/>
  <c r="V769" i="1" s="1"/>
  <c r="W769" i="1" s="1"/>
  <c r="Q769" i="1"/>
  <c r="R769" i="1" s="1"/>
  <c r="K769" i="1"/>
  <c r="F770" i="1"/>
  <c r="T769" i="1" l="1"/>
  <c r="U769" i="1" s="1"/>
  <c r="P769" i="1"/>
  <c r="G770" i="1"/>
  <c r="H770" i="1" l="1"/>
  <c r="I770" i="1" s="1"/>
  <c r="J770" i="1" s="1"/>
  <c r="L770" i="1" l="1" a="1"/>
  <c r="L770" i="1" s="1"/>
  <c r="V770" i="1" s="1"/>
  <c r="W770" i="1" s="1"/>
  <c r="M770" i="1" a="1"/>
  <c r="M770" i="1" s="1"/>
  <c r="Q770" i="1"/>
  <c r="R770" i="1" s="1"/>
  <c r="K770" i="1"/>
  <c r="F771" i="1"/>
  <c r="T770" i="1" l="1"/>
  <c r="U770" i="1" s="1"/>
  <c r="P770" i="1"/>
  <c r="G771" i="1"/>
  <c r="H771" i="1" l="1"/>
  <c r="I771" i="1" s="1"/>
  <c r="J771" i="1" s="1"/>
  <c r="M771" i="1" l="1" a="1"/>
  <c r="M771" i="1" s="1"/>
  <c r="P771" i="1" s="1"/>
  <c r="L771" i="1" a="1"/>
  <c r="L771" i="1" s="1"/>
  <c r="V771" i="1" s="1"/>
  <c r="W771" i="1" s="1"/>
  <c r="Q771" i="1"/>
  <c r="R771" i="1" s="1"/>
  <c r="K771" i="1"/>
  <c r="F772" i="1"/>
  <c r="T771" i="1" l="1"/>
  <c r="U771" i="1" s="1"/>
  <c r="G772" i="1"/>
  <c r="H772" i="1" s="1"/>
  <c r="I772" i="1" s="1"/>
  <c r="J772" i="1" s="1"/>
  <c r="F773" i="1" l="1"/>
  <c r="G773" i="1" s="1"/>
  <c r="M772" i="1" a="1"/>
  <c r="M772" i="1" s="1"/>
  <c r="L772" i="1" a="1"/>
  <c r="L772" i="1" s="1"/>
  <c r="V772" i="1" s="1"/>
  <c r="W772" i="1" s="1"/>
  <c r="K772" i="1"/>
  <c r="Q772" i="1"/>
  <c r="R772" i="1" s="1"/>
  <c r="P772" i="1" l="1"/>
  <c r="T772" i="1"/>
  <c r="U772" i="1" s="1"/>
  <c r="H773" i="1"/>
  <c r="I773" i="1" s="1"/>
  <c r="J773" i="1" s="1"/>
  <c r="M773" i="1" l="1" a="1"/>
  <c r="M773" i="1" s="1"/>
  <c r="L773" i="1" a="1"/>
  <c r="L773" i="1" s="1"/>
  <c r="V773" i="1" s="1"/>
  <c r="W773" i="1" s="1"/>
  <c r="K773" i="1"/>
  <c r="Q773" i="1"/>
  <c r="R773" i="1" s="1"/>
  <c r="F774" i="1"/>
  <c r="P773" i="1" l="1"/>
  <c r="T773" i="1"/>
  <c r="U773" i="1" s="1"/>
  <c r="G774" i="1"/>
  <c r="H774" i="1" l="1"/>
  <c r="I774" i="1" s="1"/>
  <c r="J774" i="1" s="1"/>
  <c r="L774" i="1" l="1" a="1"/>
  <c r="L774" i="1" s="1"/>
  <c r="V774" i="1" s="1"/>
  <c r="W774" i="1" s="1"/>
  <c r="M774" i="1" a="1"/>
  <c r="M774" i="1" s="1"/>
  <c r="T774" i="1" s="1"/>
  <c r="U774" i="1" s="1"/>
  <c r="Q774" i="1"/>
  <c r="R774" i="1" s="1"/>
  <c r="K774" i="1"/>
  <c r="F775" i="1"/>
  <c r="P774" i="1" l="1"/>
  <c r="G775" i="1"/>
  <c r="H775" i="1" s="1"/>
  <c r="I775" i="1" s="1"/>
  <c r="J775" i="1" s="1"/>
  <c r="F776" i="1" l="1"/>
  <c r="G776" i="1" s="1"/>
  <c r="M775" i="1" a="1"/>
  <c r="M775" i="1" s="1"/>
  <c r="L775" i="1" a="1"/>
  <c r="L775" i="1" s="1"/>
  <c r="V775" i="1" s="1"/>
  <c r="W775" i="1" s="1"/>
  <c r="K775" i="1"/>
  <c r="Q775" i="1"/>
  <c r="R775" i="1" s="1"/>
  <c r="T775" i="1" l="1"/>
  <c r="U775" i="1" s="1"/>
  <c r="P775" i="1"/>
  <c r="H776" i="1"/>
  <c r="I776" i="1" s="1"/>
  <c r="J776" i="1" s="1"/>
  <c r="L776" i="1" l="1" a="1"/>
  <c r="L776" i="1" s="1"/>
  <c r="V776" i="1" s="1"/>
  <c r="W776" i="1" s="1"/>
  <c r="M776" i="1" a="1"/>
  <c r="M776" i="1" s="1"/>
  <c r="Q776" i="1"/>
  <c r="R776" i="1" s="1"/>
  <c r="K776" i="1"/>
  <c r="F777" i="1"/>
  <c r="T776" i="1" l="1"/>
  <c r="U776" i="1" s="1"/>
  <c r="P776" i="1"/>
  <c r="G777" i="1"/>
  <c r="H777" i="1" l="1"/>
  <c r="I777" i="1" s="1"/>
  <c r="J777" i="1" s="1"/>
  <c r="M777" i="1" l="1" a="1"/>
  <c r="M777" i="1" s="1"/>
  <c r="L777" i="1" a="1"/>
  <c r="L777" i="1" s="1"/>
  <c r="V777" i="1" s="1"/>
  <c r="W777" i="1" s="1"/>
  <c r="K777" i="1"/>
  <c r="Q777" i="1"/>
  <c r="R777" i="1" s="1"/>
  <c r="F778" i="1"/>
  <c r="P777" i="1" l="1"/>
  <c r="T777" i="1"/>
  <c r="U777" i="1" s="1"/>
  <c r="G778" i="1"/>
  <c r="H778" i="1" l="1"/>
  <c r="I778" i="1" s="1"/>
  <c r="J778" i="1" s="1"/>
  <c r="M778" i="1" l="1" a="1"/>
  <c r="M778" i="1" s="1"/>
  <c r="L778" i="1" a="1"/>
  <c r="L778" i="1" s="1"/>
  <c r="V778" i="1" s="1"/>
  <c r="W778" i="1" s="1"/>
  <c r="Q778" i="1"/>
  <c r="R778" i="1" s="1"/>
  <c r="K778" i="1"/>
  <c r="F779" i="1"/>
  <c r="P778" i="1" l="1"/>
  <c r="T778" i="1"/>
  <c r="U778" i="1" s="1"/>
  <c r="G779" i="1"/>
  <c r="H779" i="1" l="1"/>
  <c r="I779" i="1" s="1"/>
  <c r="J779" i="1" s="1"/>
  <c r="M779" i="1" l="1" a="1"/>
  <c r="M779" i="1" s="1"/>
  <c r="T779" i="1" s="1"/>
  <c r="U779" i="1" s="1"/>
  <c r="L779" i="1" a="1"/>
  <c r="L779" i="1" s="1"/>
  <c r="V779" i="1" s="1"/>
  <c r="W779" i="1" s="1"/>
  <c r="Q779" i="1"/>
  <c r="R779" i="1" s="1"/>
  <c r="K779" i="1"/>
  <c r="F780" i="1"/>
  <c r="P779" i="1" l="1"/>
  <c r="G780" i="1"/>
  <c r="H780" i="1" s="1"/>
  <c r="I780" i="1" s="1"/>
  <c r="J780" i="1" s="1"/>
  <c r="L780" i="1" l="1" a="1"/>
  <c r="L780" i="1" s="1"/>
  <c r="V780" i="1" s="1"/>
  <c r="W780" i="1" s="1"/>
  <c r="M780" i="1" a="1"/>
  <c r="M780" i="1" s="1"/>
  <c r="P780" i="1" s="1"/>
  <c r="Q780" i="1"/>
  <c r="R780" i="1" s="1"/>
  <c r="K780" i="1"/>
  <c r="F781" i="1"/>
  <c r="T780" i="1" l="1"/>
  <c r="U780" i="1" s="1"/>
  <c r="G781" i="1"/>
  <c r="H781" i="1" s="1"/>
  <c r="I781" i="1" s="1"/>
  <c r="J781" i="1" s="1"/>
  <c r="F782" i="1" l="1"/>
  <c r="G782" i="1" s="1"/>
  <c r="H782" i="1" s="1"/>
  <c r="I782" i="1" s="1"/>
  <c r="J782" i="1" s="1"/>
  <c r="M781" i="1" a="1"/>
  <c r="M781" i="1" s="1"/>
  <c r="T781" i="1" s="1"/>
  <c r="U781" i="1" s="1"/>
  <c r="L781" i="1" a="1"/>
  <c r="L781" i="1" s="1"/>
  <c r="V781" i="1" s="1"/>
  <c r="W781" i="1" s="1"/>
  <c r="K781" i="1"/>
  <c r="Q781" i="1"/>
  <c r="R781" i="1" s="1"/>
  <c r="P781" i="1" l="1"/>
  <c r="F783" i="1"/>
  <c r="G783" i="1" s="1"/>
  <c r="H783" i="1" s="1"/>
  <c r="I783" i="1" s="1"/>
  <c r="J783" i="1" s="1"/>
  <c r="M782" i="1" a="1"/>
  <c r="M782" i="1" s="1"/>
  <c r="P782" i="1" s="1"/>
  <c r="L782" i="1" a="1"/>
  <c r="L782" i="1" s="1"/>
  <c r="V782" i="1" s="1"/>
  <c r="W782" i="1" s="1"/>
  <c r="Q782" i="1"/>
  <c r="R782" i="1" s="1"/>
  <c r="K782" i="1"/>
  <c r="T782" i="1" l="1"/>
  <c r="U782" i="1" s="1"/>
  <c r="F784" i="1"/>
  <c r="G784" i="1" s="1"/>
  <c r="L783" i="1" a="1"/>
  <c r="L783" i="1" s="1"/>
  <c r="V783" i="1" s="1"/>
  <c r="W783" i="1" s="1"/>
  <c r="M783" i="1" a="1"/>
  <c r="M783" i="1" s="1"/>
  <c r="K783" i="1"/>
  <c r="Q783" i="1"/>
  <c r="R783" i="1" s="1"/>
  <c r="P783" i="1" l="1"/>
  <c r="T783" i="1"/>
  <c r="U783" i="1" s="1"/>
  <c r="H784" i="1"/>
  <c r="I784" i="1" s="1"/>
  <c r="J784" i="1" s="1"/>
  <c r="L784" i="1" l="1" a="1"/>
  <c r="L784" i="1" s="1"/>
  <c r="V784" i="1" s="1"/>
  <c r="W784" i="1" s="1"/>
  <c r="M784" i="1" a="1"/>
  <c r="M784" i="1" s="1"/>
  <c r="K784" i="1"/>
  <c r="Q784" i="1"/>
  <c r="R784" i="1" s="1"/>
  <c r="F785" i="1"/>
  <c r="P784" i="1" l="1"/>
  <c r="T784" i="1"/>
  <c r="U784" i="1" s="1"/>
  <c r="G785" i="1"/>
  <c r="H785" i="1" l="1"/>
  <c r="I785" i="1" s="1"/>
  <c r="J785" i="1" s="1"/>
  <c r="M785" i="1" l="1" a="1"/>
  <c r="M785" i="1" s="1"/>
  <c r="P785" i="1" s="1"/>
  <c r="L785" i="1" a="1"/>
  <c r="L785" i="1" s="1"/>
  <c r="V785" i="1" s="1"/>
  <c r="W785" i="1" s="1"/>
  <c r="Q785" i="1"/>
  <c r="R785" i="1" s="1"/>
  <c r="K785" i="1"/>
  <c r="F786" i="1"/>
  <c r="T785" i="1" l="1"/>
  <c r="U785" i="1" s="1"/>
  <c r="G786" i="1"/>
  <c r="H786" i="1" s="1"/>
  <c r="I786" i="1" s="1"/>
  <c r="J786" i="1" s="1"/>
  <c r="F787" i="1" l="1"/>
  <c r="G787" i="1" s="1"/>
  <c r="L786" i="1" a="1"/>
  <c r="L786" i="1" s="1"/>
  <c r="V786" i="1" s="1"/>
  <c r="W786" i="1" s="1"/>
  <c r="M786" i="1" a="1"/>
  <c r="M786" i="1" s="1"/>
  <c r="Q786" i="1"/>
  <c r="R786" i="1" s="1"/>
  <c r="K786" i="1"/>
  <c r="T786" i="1" l="1"/>
  <c r="U786" i="1" s="1"/>
  <c r="P786" i="1"/>
  <c r="H787" i="1"/>
  <c r="I787" i="1" s="1"/>
  <c r="J787" i="1" s="1"/>
  <c r="L787" i="1" l="1" a="1"/>
  <c r="L787" i="1" s="1"/>
  <c r="V787" i="1" s="1"/>
  <c r="W787" i="1" s="1"/>
  <c r="M787" i="1" a="1"/>
  <c r="M787" i="1" s="1"/>
  <c r="K787" i="1"/>
  <c r="Q787" i="1"/>
  <c r="R787" i="1" s="1"/>
  <c r="F788" i="1"/>
  <c r="P787" i="1" l="1"/>
  <c r="T787" i="1"/>
  <c r="U787" i="1" s="1"/>
  <c r="G788" i="1"/>
  <c r="H788" i="1" l="1"/>
  <c r="I788" i="1" s="1"/>
  <c r="J788" i="1" s="1"/>
  <c r="L788" i="1" l="1" a="1"/>
  <c r="L788" i="1" s="1"/>
  <c r="V788" i="1" s="1"/>
  <c r="W788" i="1" s="1"/>
  <c r="M788" i="1" a="1"/>
  <c r="M788" i="1" s="1"/>
  <c r="P788" i="1" s="1"/>
  <c r="Q788" i="1"/>
  <c r="R788" i="1" s="1"/>
  <c r="K788" i="1"/>
  <c r="F789" i="1"/>
  <c r="T788" i="1" l="1"/>
  <c r="U788" i="1" s="1"/>
  <c r="G789" i="1"/>
  <c r="H789" i="1" s="1"/>
  <c r="I789" i="1" s="1"/>
  <c r="J789" i="1" s="1"/>
  <c r="F790" i="1" l="1"/>
  <c r="G790" i="1" s="1"/>
  <c r="L789" i="1" a="1"/>
  <c r="L789" i="1" s="1"/>
  <c r="V789" i="1" s="1"/>
  <c r="W789" i="1" s="1"/>
  <c r="M789" i="1" a="1"/>
  <c r="M789" i="1" s="1"/>
  <c r="K789" i="1"/>
  <c r="Q789" i="1"/>
  <c r="R789" i="1" s="1"/>
  <c r="P789" i="1" l="1"/>
  <c r="T789" i="1"/>
  <c r="U789" i="1" s="1"/>
  <c r="H790" i="1"/>
  <c r="I790" i="1" s="1"/>
  <c r="J790" i="1" s="1"/>
  <c r="M790" i="1" l="1" a="1"/>
  <c r="M790" i="1" s="1"/>
  <c r="T790" i="1" s="1"/>
  <c r="U790" i="1" s="1"/>
  <c r="L790" i="1" a="1"/>
  <c r="L790" i="1" s="1"/>
  <c r="V790" i="1" s="1"/>
  <c r="W790" i="1" s="1"/>
  <c r="Q790" i="1"/>
  <c r="R790" i="1" s="1"/>
  <c r="K790" i="1"/>
  <c r="F791" i="1"/>
  <c r="P790" i="1" l="1"/>
  <c r="G791" i="1"/>
  <c r="H791" i="1" l="1"/>
  <c r="I791" i="1" s="1"/>
  <c r="J791" i="1" s="1"/>
  <c r="M791" i="1" l="1" a="1"/>
  <c r="M791" i="1" s="1"/>
  <c r="L791" i="1" a="1"/>
  <c r="L791" i="1" s="1"/>
  <c r="V791" i="1" s="1"/>
  <c r="W791" i="1" s="1"/>
  <c r="K791" i="1"/>
  <c r="Q791" i="1"/>
  <c r="R791" i="1" s="1"/>
  <c r="F792" i="1"/>
  <c r="T791" i="1" l="1"/>
  <c r="U791" i="1" s="1"/>
  <c r="P791" i="1"/>
  <c r="G792" i="1"/>
  <c r="H792" i="1" l="1"/>
  <c r="I792" i="1" s="1"/>
  <c r="J792" i="1" s="1"/>
  <c r="M792" i="1" l="1" a="1"/>
  <c r="M792" i="1" s="1"/>
  <c r="L792" i="1" a="1"/>
  <c r="L792" i="1" s="1"/>
  <c r="V792" i="1" s="1"/>
  <c r="W792" i="1" s="1"/>
  <c r="Q792" i="1"/>
  <c r="R792" i="1" s="1"/>
  <c r="K792" i="1"/>
  <c r="F793" i="1"/>
  <c r="T792" i="1" l="1"/>
  <c r="U792" i="1" s="1"/>
  <c r="P792" i="1"/>
  <c r="G793" i="1"/>
  <c r="H793" i="1" l="1"/>
  <c r="I793" i="1" s="1"/>
  <c r="J793" i="1" s="1"/>
  <c r="L793" i="1" l="1" a="1"/>
  <c r="L793" i="1" s="1"/>
  <c r="M793" i="1" a="1"/>
  <c r="M793" i="1" s="1"/>
  <c r="T793" i="1" s="1"/>
  <c r="U793" i="1" s="1"/>
  <c r="K793" i="1"/>
  <c r="Q793" i="1"/>
  <c r="R793" i="1" s="1"/>
  <c r="F794" i="1"/>
  <c r="P793" i="1" l="1"/>
  <c r="V793" i="1" s="1"/>
  <c r="W793" i="1" s="1"/>
  <c r="G794" i="1"/>
  <c r="H794" i="1" s="1"/>
  <c r="I794" i="1" s="1"/>
  <c r="J794" i="1" s="1"/>
  <c r="F795" i="1" l="1"/>
  <c r="G795" i="1" s="1"/>
  <c r="M794" i="1" a="1"/>
  <c r="M794" i="1" s="1"/>
  <c r="L794" i="1" a="1"/>
  <c r="L794" i="1" s="1"/>
  <c r="V794" i="1" s="1"/>
  <c r="W794" i="1" s="1"/>
  <c r="Q794" i="1"/>
  <c r="R794" i="1" s="1"/>
  <c r="K794" i="1"/>
  <c r="P794" i="1" l="1"/>
  <c r="T794" i="1"/>
  <c r="U794" i="1" s="1"/>
  <c r="H795" i="1"/>
  <c r="I795" i="1" s="1"/>
  <c r="J795" i="1" s="1"/>
  <c r="M795" i="1" l="1" a="1"/>
  <c r="M795" i="1" s="1"/>
  <c r="P795" i="1" s="1"/>
  <c r="L795" i="1" a="1"/>
  <c r="L795" i="1" s="1"/>
  <c r="V795" i="1" s="1"/>
  <c r="W795" i="1" s="1"/>
  <c r="Q795" i="1"/>
  <c r="R795" i="1" s="1"/>
  <c r="K795" i="1"/>
  <c r="F796" i="1"/>
  <c r="T795" i="1" l="1"/>
  <c r="U795" i="1" s="1"/>
  <c r="G796" i="1"/>
  <c r="H796" i="1" l="1"/>
  <c r="I796" i="1" s="1"/>
  <c r="J796" i="1" s="1"/>
  <c r="L796" i="1" l="1" a="1"/>
  <c r="L796" i="1" s="1"/>
  <c r="V796" i="1" s="1"/>
  <c r="W796" i="1" s="1"/>
  <c r="M796" i="1" a="1"/>
  <c r="M796" i="1" s="1"/>
  <c r="K796" i="1"/>
  <c r="Q796" i="1"/>
  <c r="R796" i="1" s="1"/>
  <c r="F797" i="1"/>
  <c r="P796" i="1" l="1"/>
  <c r="T796" i="1"/>
  <c r="U796" i="1" s="1"/>
  <c r="G797" i="1"/>
  <c r="H797" i="1" l="1"/>
  <c r="I797" i="1" s="1"/>
  <c r="J797" i="1" s="1"/>
  <c r="L797" i="1" l="1" a="1"/>
  <c r="L797" i="1" s="1"/>
  <c r="V797" i="1" s="1"/>
  <c r="W797" i="1" s="1"/>
  <c r="M797" i="1" a="1"/>
  <c r="M797" i="1" s="1"/>
  <c r="Q797" i="1"/>
  <c r="R797" i="1" s="1"/>
  <c r="K797" i="1"/>
  <c r="F798" i="1"/>
  <c r="P797" i="1" l="1"/>
  <c r="T797" i="1"/>
  <c r="U797" i="1" s="1"/>
  <c r="G798" i="1"/>
  <c r="H798" i="1" l="1"/>
  <c r="I798" i="1" s="1"/>
  <c r="J798" i="1" s="1"/>
  <c r="M798" i="1" l="1" a="1"/>
  <c r="M798" i="1" s="1"/>
  <c r="P798" i="1" s="1"/>
  <c r="L798" i="1" a="1"/>
  <c r="L798" i="1" s="1"/>
  <c r="V798" i="1" s="1"/>
  <c r="W798" i="1" s="1"/>
  <c r="Q798" i="1"/>
  <c r="R798" i="1" s="1"/>
  <c r="K798" i="1"/>
  <c r="F799" i="1"/>
  <c r="T798" i="1" l="1"/>
  <c r="U798" i="1" s="1"/>
  <c r="G799" i="1"/>
  <c r="H799" i="1" s="1"/>
  <c r="I799" i="1" s="1"/>
  <c r="J799" i="1" s="1"/>
  <c r="F800" i="1" l="1"/>
  <c r="G800" i="1" s="1"/>
  <c r="M799" i="1" a="1"/>
  <c r="M799" i="1" s="1"/>
  <c r="L799" i="1" a="1"/>
  <c r="L799" i="1" s="1"/>
  <c r="V799" i="1" s="1"/>
  <c r="W799" i="1" s="1"/>
  <c r="K799" i="1"/>
  <c r="Q799" i="1"/>
  <c r="R799" i="1" s="1"/>
  <c r="P799" i="1" l="1"/>
  <c r="T799" i="1"/>
  <c r="U799" i="1" s="1"/>
  <c r="H800" i="1"/>
  <c r="I800" i="1" s="1"/>
  <c r="J800" i="1" s="1"/>
  <c r="M800" i="1" l="1" a="1"/>
  <c r="M800" i="1" s="1"/>
  <c r="L800" i="1" a="1"/>
  <c r="L800" i="1" s="1"/>
  <c r="V800" i="1" s="1"/>
  <c r="W800" i="1" s="1"/>
  <c r="Q800" i="1"/>
  <c r="R800" i="1" s="1"/>
  <c r="K800" i="1"/>
  <c r="F801" i="1"/>
  <c r="T800" i="1" l="1"/>
  <c r="U800" i="1" s="1"/>
  <c r="P800" i="1"/>
  <c r="G801" i="1"/>
  <c r="H801" i="1" l="1"/>
  <c r="I801" i="1" s="1"/>
  <c r="J801" i="1" s="1"/>
  <c r="M801" i="1" l="1" a="1"/>
  <c r="M801" i="1" s="1"/>
  <c r="L801" i="1" a="1"/>
  <c r="L801" i="1" s="1"/>
  <c r="V801" i="1" s="1"/>
  <c r="W801" i="1" s="1"/>
  <c r="Q801" i="1"/>
  <c r="R801" i="1" s="1"/>
  <c r="K801" i="1"/>
  <c r="F802" i="1"/>
  <c r="P801" i="1" l="1"/>
  <c r="T801" i="1"/>
  <c r="U801" i="1" s="1"/>
  <c r="G802" i="1"/>
  <c r="H802" i="1" l="1"/>
  <c r="I802" i="1" s="1"/>
  <c r="J802" i="1" s="1"/>
  <c r="L802" i="1" l="1" a="1"/>
  <c r="L802" i="1" s="1"/>
  <c r="V802" i="1" s="1"/>
  <c r="W802" i="1" s="1"/>
  <c r="M802" i="1" a="1"/>
  <c r="M802" i="1" s="1"/>
  <c r="Q802" i="1"/>
  <c r="R802" i="1" s="1"/>
  <c r="K802" i="1"/>
  <c r="F803" i="1"/>
  <c r="P802" i="1" l="1"/>
  <c r="T802" i="1"/>
  <c r="U802" i="1" s="1"/>
  <c r="G803" i="1"/>
  <c r="H803" i="1" l="1"/>
  <c r="I803" i="1" s="1"/>
  <c r="J803" i="1" s="1"/>
  <c r="M803" i="1" l="1" a="1"/>
  <c r="M803" i="1" s="1"/>
  <c r="L803" i="1" a="1"/>
  <c r="L803" i="1" s="1"/>
  <c r="V803" i="1" s="1"/>
  <c r="W803" i="1" s="1"/>
  <c r="Q803" i="1"/>
  <c r="R803" i="1" s="1"/>
  <c r="K803" i="1"/>
  <c r="F804" i="1"/>
  <c r="T803" i="1" l="1"/>
  <c r="U803" i="1" s="1"/>
  <c r="P803" i="1"/>
  <c r="G804" i="1"/>
  <c r="H804" i="1" l="1"/>
  <c r="I804" i="1" s="1"/>
  <c r="J804" i="1" s="1"/>
  <c r="M804" i="1" l="1" a="1"/>
  <c r="M804" i="1" s="1"/>
  <c r="P804" i="1" s="1"/>
  <c r="L804" i="1" a="1"/>
  <c r="L804" i="1" s="1"/>
  <c r="V804" i="1" s="1"/>
  <c r="W804" i="1" s="1"/>
  <c r="Q804" i="1"/>
  <c r="R804" i="1" s="1"/>
  <c r="K804" i="1"/>
  <c r="F805" i="1"/>
  <c r="T804" i="1" l="1"/>
  <c r="U804" i="1" s="1"/>
  <c r="G805" i="1"/>
  <c r="H805" i="1" l="1"/>
  <c r="I805" i="1" s="1"/>
  <c r="J805" i="1" s="1"/>
  <c r="L805" i="1" l="1" a="1"/>
  <c r="L805" i="1" s="1"/>
  <c r="V805" i="1" s="1"/>
  <c r="W805" i="1" s="1"/>
  <c r="M805" i="1" a="1"/>
  <c r="M805" i="1" s="1"/>
  <c r="K805" i="1"/>
  <c r="Q805" i="1"/>
  <c r="R805" i="1" s="1"/>
  <c r="F806" i="1"/>
  <c r="T805" i="1" l="1"/>
  <c r="U805" i="1" s="1"/>
  <c r="P805" i="1"/>
  <c r="G806" i="1"/>
  <c r="H806" i="1" l="1"/>
  <c r="I806" i="1" s="1"/>
  <c r="J806" i="1" s="1"/>
  <c r="M806" i="1" l="1" a="1"/>
  <c r="M806" i="1" s="1"/>
  <c r="L806" i="1" a="1"/>
  <c r="L806" i="1" s="1"/>
  <c r="V806" i="1" s="1"/>
  <c r="W806" i="1" s="1"/>
  <c r="K806" i="1"/>
  <c r="Q806" i="1"/>
  <c r="R806" i="1" s="1"/>
  <c r="F807" i="1"/>
  <c r="T806" i="1" l="1"/>
  <c r="U806" i="1" s="1"/>
  <c r="P806" i="1"/>
  <c r="G807" i="1"/>
  <c r="H807" i="1" l="1"/>
  <c r="I807" i="1" s="1"/>
  <c r="J807" i="1" s="1"/>
  <c r="L807" i="1" l="1" a="1"/>
  <c r="L807" i="1" s="1"/>
  <c r="V807" i="1" s="1"/>
  <c r="W807" i="1" s="1"/>
  <c r="M807" i="1" a="1"/>
  <c r="M807" i="1" s="1"/>
  <c r="Q807" i="1"/>
  <c r="R807" i="1" s="1"/>
  <c r="K807" i="1"/>
  <c r="F808" i="1"/>
  <c r="T807" i="1" l="1"/>
  <c r="U807" i="1" s="1"/>
  <c r="P807" i="1"/>
  <c r="G808" i="1"/>
  <c r="H808" i="1" l="1"/>
  <c r="I808" i="1" s="1"/>
  <c r="J808" i="1" s="1"/>
  <c r="L808" i="1" l="1" a="1"/>
  <c r="L808" i="1" s="1"/>
  <c r="V808" i="1" s="1"/>
  <c r="W808" i="1" s="1"/>
  <c r="M808" i="1" a="1"/>
  <c r="M808" i="1" s="1"/>
  <c r="K808" i="1"/>
  <c r="Q808" i="1"/>
  <c r="R808" i="1" s="1"/>
  <c r="F809" i="1"/>
  <c r="T808" i="1" l="1"/>
  <c r="U808" i="1" s="1"/>
  <c r="P808" i="1"/>
  <c r="G809" i="1"/>
  <c r="H809" i="1" l="1"/>
  <c r="I809" i="1" s="1"/>
  <c r="J809" i="1" s="1"/>
  <c r="L809" i="1" l="1" a="1"/>
  <c r="L809" i="1" s="1"/>
  <c r="V809" i="1" s="1"/>
  <c r="W809" i="1" s="1"/>
  <c r="M809" i="1" a="1"/>
  <c r="M809" i="1" s="1"/>
  <c r="Q809" i="1"/>
  <c r="R809" i="1" s="1"/>
  <c r="K809" i="1"/>
  <c r="F810" i="1"/>
  <c r="P809" i="1" l="1"/>
  <c r="T809" i="1"/>
  <c r="U809" i="1" s="1"/>
  <c r="G810" i="1"/>
  <c r="H810" i="1" l="1"/>
  <c r="I810" i="1" s="1"/>
  <c r="J810" i="1" s="1"/>
  <c r="M810" i="1" l="1" a="1"/>
  <c r="M810" i="1" s="1"/>
  <c r="L810" i="1" a="1"/>
  <c r="L810" i="1" s="1"/>
  <c r="V810" i="1" s="1"/>
  <c r="W810" i="1" s="1"/>
  <c r="Q810" i="1"/>
  <c r="R810" i="1" s="1"/>
  <c r="K810" i="1"/>
  <c r="F811" i="1"/>
  <c r="T810" i="1" l="1"/>
  <c r="U810" i="1" s="1"/>
  <c r="P810" i="1"/>
  <c r="G811" i="1"/>
  <c r="H811" i="1" l="1"/>
  <c r="I811" i="1" s="1"/>
  <c r="J811" i="1" s="1"/>
  <c r="L811" i="1" l="1" a="1"/>
  <c r="L811" i="1" s="1"/>
  <c r="V811" i="1" s="1"/>
  <c r="W811" i="1" s="1"/>
  <c r="M811" i="1" a="1"/>
  <c r="M811" i="1" s="1"/>
  <c r="P811" i="1" s="1"/>
  <c r="K811" i="1"/>
  <c r="Q811" i="1"/>
  <c r="R811" i="1" s="1"/>
  <c r="F812" i="1"/>
  <c r="T811" i="1" l="1"/>
  <c r="U811" i="1" s="1"/>
  <c r="G812" i="1"/>
  <c r="H812" i="1" l="1"/>
  <c r="I812" i="1" s="1"/>
  <c r="J812" i="1" s="1"/>
  <c r="L812" i="1" l="1" a="1"/>
  <c r="L812" i="1" s="1"/>
  <c r="V812" i="1" s="1"/>
  <c r="W812" i="1" s="1"/>
  <c r="M812" i="1" a="1"/>
  <c r="M812" i="1" s="1"/>
  <c r="Q812" i="1"/>
  <c r="R812" i="1" s="1"/>
  <c r="K812" i="1"/>
  <c r="F813" i="1"/>
  <c r="T812" i="1" l="1"/>
  <c r="U812" i="1" s="1"/>
  <c r="P812" i="1"/>
  <c r="G813" i="1"/>
  <c r="H813" i="1" l="1"/>
  <c r="I813" i="1" s="1"/>
  <c r="J813" i="1" s="1"/>
  <c r="M813" i="1" l="1" a="1"/>
  <c r="M813" i="1" s="1"/>
  <c r="L813" i="1" a="1"/>
  <c r="L813" i="1" s="1"/>
  <c r="V813" i="1" s="1"/>
  <c r="W813" i="1" s="1"/>
  <c r="Q813" i="1"/>
  <c r="R813" i="1" s="1"/>
  <c r="K813" i="1"/>
  <c r="F814" i="1"/>
  <c r="P813" i="1" l="1"/>
  <c r="T813" i="1"/>
  <c r="U813" i="1" s="1"/>
  <c r="G814" i="1"/>
  <c r="H814" i="1" l="1"/>
  <c r="I814" i="1" s="1"/>
  <c r="J814" i="1" s="1"/>
  <c r="L814" i="1" l="1" a="1"/>
  <c r="L814" i="1" s="1"/>
  <c r="V814" i="1" s="1"/>
  <c r="W814" i="1" s="1"/>
  <c r="M814" i="1" a="1"/>
  <c r="M814" i="1" s="1"/>
  <c r="Q814" i="1"/>
  <c r="R814" i="1" s="1"/>
  <c r="K814" i="1"/>
  <c r="F815" i="1"/>
  <c r="T814" i="1" l="1"/>
  <c r="U814" i="1" s="1"/>
  <c r="P814" i="1"/>
  <c r="G815" i="1"/>
  <c r="H815" i="1" l="1"/>
  <c r="I815" i="1" s="1"/>
  <c r="J815" i="1" s="1"/>
  <c r="M815" i="1" l="1" a="1"/>
  <c r="M815" i="1" s="1"/>
  <c r="L815" i="1" a="1"/>
  <c r="L815" i="1" s="1"/>
  <c r="V815" i="1" s="1"/>
  <c r="W815" i="1" s="1"/>
  <c r="Q815" i="1"/>
  <c r="R815" i="1" s="1"/>
  <c r="K815" i="1"/>
  <c r="F816" i="1"/>
  <c r="T815" i="1" l="1"/>
  <c r="U815" i="1" s="1"/>
  <c r="P815" i="1"/>
  <c r="G816" i="1"/>
  <c r="H816" i="1" l="1"/>
  <c r="I816" i="1" s="1"/>
  <c r="J816" i="1" s="1"/>
  <c r="L816" i="1" l="1" a="1"/>
  <c r="L816" i="1" s="1"/>
  <c r="V816" i="1" s="1"/>
  <c r="W816" i="1" s="1"/>
  <c r="M816" i="1" a="1"/>
  <c r="M816" i="1" s="1"/>
  <c r="K816" i="1"/>
  <c r="Q816" i="1"/>
  <c r="R816" i="1" s="1"/>
  <c r="F817" i="1"/>
  <c r="T816" i="1" l="1"/>
  <c r="U816" i="1" s="1"/>
  <c r="P816" i="1"/>
  <c r="G817" i="1"/>
  <c r="H817" i="1" l="1"/>
  <c r="I817" i="1" s="1"/>
  <c r="J817" i="1" s="1"/>
  <c r="M817" i="1" l="1" a="1"/>
  <c r="M817" i="1" s="1"/>
  <c r="L817" i="1" a="1"/>
  <c r="L817" i="1" s="1"/>
  <c r="V817" i="1" s="1"/>
  <c r="W817" i="1" s="1"/>
  <c r="Q817" i="1"/>
  <c r="R817" i="1" s="1"/>
  <c r="K817" i="1"/>
  <c r="F818" i="1"/>
  <c r="P817" i="1" l="1"/>
  <c r="T817" i="1"/>
  <c r="U817" i="1" s="1"/>
  <c r="G818" i="1"/>
  <c r="H818" i="1" l="1"/>
  <c r="I818" i="1" s="1"/>
  <c r="J818" i="1" s="1"/>
  <c r="M818" i="1" l="1" a="1"/>
  <c r="M818" i="1" s="1"/>
  <c r="L818" i="1" a="1"/>
  <c r="L818" i="1" s="1"/>
  <c r="V818" i="1" s="1"/>
  <c r="W818" i="1" s="1"/>
  <c r="K818" i="1"/>
  <c r="Q818" i="1"/>
  <c r="R818" i="1" s="1"/>
  <c r="F819" i="1"/>
  <c r="T818" i="1" l="1"/>
  <c r="U818" i="1" s="1"/>
  <c r="P818" i="1"/>
  <c r="G819" i="1"/>
  <c r="H819" i="1" l="1"/>
  <c r="I819" i="1" s="1"/>
  <c r="J819" i="1" s="1"/>
  <c r="L819" i="1" l="1" a="1"/>
  <c r="L819" i="1" s="1"/>
  <c r="V819" i="1" s="1"/>
  <c r="W819" i="1" s="1"/>
  <c r="M819" i="1" a="1"/>
  <c r="M819" i="1" s="1"/>
  <c r="Q819" i="1"/>
  <c r="R819" i="1" s="1"/>
  <c r="K819" i="1"/>
  <c r="F820" i="1"/>
  <c r="P819" i="1" l="1"/>
  <c r="T819" i="1"/>
  <c r="U819" i="1" s="1"/>
  <c r="G820" i="1"/>
  <c r="H820" i="1" l="1"/>
  <c r="I820" i="1" s="1"/>
  <c r="J820" i="1" s="1"/>
  <c r="M820" i="1" l="1" a="1"/>
  <c r="M820" i="1" s="1"/>
  <c r="L820" i="1" a="1"/>
  <c r="L820" i="1" s="1"/>
  <c r="V820" i="1" s="1"/>
  <c r="W820" i="1" s="1"/>
  <c r="K820" i="1"/>
  <c r="Q820" i="1"/>
  <c r="R820" i="1" s="1"/>
  <c r="F821" i="1"/>
  <c r="T820" i="1" l="1"/>
  <c r="U820" i="1" s="1"/>
  <c r="P820" i="1"/>
  <c r="G821" i="1"/>
  <c r="H821" i="1" l="1"/>
  <c r="I821" i="1" s="1"/>
  <c r="J821" i="1" s="1"/>
  <c r="M821" i="1" l="1" a="1"/>
  <c r="M821" i="1" s="1"/>
  <c r="L821" i="1" a="1"/>
  <c r="L821" i="1" s="1"/>
  <c r="V821" i="1" s="1"/>
  <c r="W821" i="1" s="1"/>
  <c r="Q821" i="1"/>
  <c r="R821" i="1" s="1"/>
  <c r="K821" i="1"/>
  <c r="F822" i="1"/>
  <c r="T821" i="1" l="1"/>
  <c r="U821" i="1" s="1"/>
  <c r="P821" i="1"/>
  <c r="G822" i="1"/>
  <c r="H822" i="1" l="1"/>
  <c r="I822" i="1" s="1"/>
  <c r="J822" i="1" s="1"/>
  <c r="M822" i="1" l="1" a="1"/>
  <c r="M822" i="1" s="1"/>
  <c r="L822" i="1" a="1"/>
  <c r="L822" i="1" s="1"/>
  <c r="V822" i="1" s="1"/>
  <c r="W822" i="1" s="1"/>
  <c r="Q822" i="1"/>
  <c r="R822" i="1" s="1"/>
  <c r="K822" i="1"/>
  <c r="F823" i="1"/>
  <c r="P822" i="1" l="1"/>
  <c r="T822" i="1"/>
  <c r="U822" i="1" s="1"/>
  <c r="G823" i="1"/>
  <c r="H823" i="1" l="1"/>
  <c r="I823" i="1" s="1"/>
  <c r="J823" i="1" s="1"/>
  <c r="M823" i="1" l="1" a="1"/>
  <c r="M823" i="1" s="1"/>
  <c r="L823" i="1" a="1"/>
  <c r="L823" i="1" s="1"/>
  <c r="V823" i="1" s="1"/>
  <c r="W823" i="1" s="1"/>
  <c r="K823" i="1"/>
  <c r="Q823" i="1"/>
  <c r="R823" i="1" s="1"/>
  <c r="F824" i="1"/>
  <c r="T823" i="1" l="1"/>
  <c r="U823" i="1" s="1"/>
  <c r="P823" i="1"/>
  <c r="G824" i="1"/>
  <c r="H824" i="1" l="1"/>
  <c r="I824" i="1" s="1"/>
  <c r="J824" i="1" s="1"/>
  <c r="L824" i="1" l="1" a="1"/>
  <c r="L824" i="1" s="1"/>
  <c r="V824" i="1" s="1"/>
  <c r="W824" i="1" s="1"/>
  <c r="M824" i="1" a="1"/>
  <c r="M824" i="1" s="1"/>
  <c r="Q824" i="1"/>
  <c r="R824" i="1" s="1"/>
  <c r="K824" i="1"/>
  <c r="F825" i="1"/>
  <c r="T824" i="1" l="1"/>
  <c r="U824" i="1" s="1"/>
  <c r="P824" i="1"/>
  <c r="G825" i="1"/>
  <c r="H825" i="1" l="1"/>
  <c r="I825" i="1" s="1"/>
  <c r="J825" i="1" s="1"/>
  <c r="M825" i="1" l="1" a="1"/>
  <c r="M825" i="1" s="1"/>
  <c r="L825" i="1" a="1"/>
  <c r="L825" i="1" s="1"/>
  <c r="V825" i="1" s="1"/>
  <c r="W825" i="1" s="1"/>
  <c r="Q825" i="1"/>
  <c r="R825" i="1" s="1"/>
  <c r="K825" i="1"/>
  <c r="F826" i="1"/>
  <c r="T825" i="1" l="1"/>
  <c r="U825" i="1" s="1"/>
  <c r="P825" i="1"/>
  <c r="G826" i="1"/>
  <c r="H826" i="1" l="1"/>
  <c r="I826" i="1" s="1"/>
  <c r="J826" i="1" s="1"/>
  <c r="M826" i="1" l="1" a="1"/>
  <c r="M826" i="1" s="1"/>
  <c r="L826" i="1" a="1"/>
  <c r="L826" i="1" s="1"/>
  <c r="V826" i="1" s="1"/>
  <c r="W826" i="1" s="1"/>
  <c r="K826" i="1"/>
  <c r="Q826" i="1"/>
  <c r="R826" i="1" s="1"/>
  <c r="F827" i="1"/>
  <c r="P826" i="1" l="1"/>
  <c r="T826" i="1"/>
  <c r="U826" i="1" s="1"/>
  <c r="G827" i="1"/>
  <c r="H827" i="1" l="1"/>
  <c r="I827" i="1" s="1"/>
  <c r="J827" i="1" s="1"/>
  <c r="M827" i="1" l="1" a="1"/>
  <c r="M827" i="1" s="1"/>
  <c r="L827" i="1" a="1"/>
  <c r="L827" i="1" s="1"/>
  <c r="V827" i="1" s="1"/>
  <c r="W827" i="1" s="1"/>
  <c r="Q827" i="1"/>
  <c r="R827" i="1" s="1"/>
  <c r="K827" i="1"/>
  <c r="F828" i="1"/>
  <c r="T827" i="1" l="1"/>
  <c r="U827" i="1" s="1"/>
  <c r="P827" i="1"/>
  <c r="G828" i="1"/>
  <c r="H828" i="1" l="1"/>
  <c r="I828" i="1" s="1"/>
  <c r="J828" i="1" s="1"/>
  <c r="M828" i="1" l="1" a="1"/>
  <c r="M828" i="1" s="1"/>
  <c r="L828" i="1" a="1"/>
  <c r="L828" i="1" s="1"/>
  <c r="V828" i="1" s="1"/>
  <c r="W828" i="1" s="1"/>
  <c r="Q828" i="1"/>
  <c r="R828" i="1" s="1"/>
  <c r="K828" i="1"/>
  <c r="F829" i="1"/>
  <c r="T828" i="1" l="1"/>
  <c r="U828" i="1" s="1"/>
  <c r="P828" i="1"/>
  <c r="G829" i="1"/>
  <c r="H829" i="1" l="1"/>
  <c r="I829" i="1" s="1"/>
  <c r="J829" i="1" s="1"/>
  <c r="L829" i="1" l="1" a="1"/>
  <c r="L829" i="1" s="1"/>
  <c r="V829" i="1" s="1"/>
  <c r="W829" i="1" s="1"/>
  <c r="M829" i="1" a="1"/>
  <c r="M829" i="1" s="1"/>
  <c r="Q829" i="1"/>
  <c r="R829" i="1" s="1"/>
  <c r="K829" i="1"/>
  <c r="F830" i="1"/>
  <c r="T829" i="1" l="1"/>
  <c r="U829" i="1" s="1"/>
  <c r="P829" i="1"/>
  <c r="G830" i="1"/>
  <c r="H830" i="1" l="1"/>
  <c r="I830" i="1" s="1"/>
  <c r="J830" i="1" s="1"/>
  <c r="L830" i="1" l="1" a="1"/>
  <c r="L830" i="1" s="1"/>
  <c r="V830" i="1" s="1"/>
  <c r="W830" i="1" s="1"/>
  <c r="M830" i="1" a="1"/>
  <c r="M830" i="1" s="1"/>
  <c r="Q830" i="1"/>
  <c r="R830" i="1" s="1"/>
  <c r="K830" i="1"/>
  <c r="F831" i="1"/>
  <c r="T830" i="1" l="1"/>
  <c r="U830" i="1" s="1"/>
  <c r="P830" i="1"/>
  <c r="G831" i="1"/>
  <c r="H831" i="1" l="1"/>
  <c r="I831" i="1" s="1"/>
  <c r="J831" i="1" s="1"/>
  <c r="M831" i="1" l="1" a="1"/>
  <c r="M831" i="1" s="1"/>
  <c r="T831" i="1" s="1"/>
  <c r="U831" i="1" s="1"/>
  <c r="L831" i="1" a="1"/>
  <c r="L831" i="1" s="1"/>
  <c r="V831" i="1" s="1"/>
  <c r="W831" i="1" s="1"/>
  <c r="K831" i="1"/>
  <c r="Q831" i="1"/>
  <c r="R831" i="1" s="1"/>
  <c r="F832" i="1"/>
  <c r="P831" i="1" l="1"/>
  <c r="G832" i="1"/>
  <c r="H832" i="1" s="1"/>
  <c r="I832" i="1" s="1"/>
  <c r="J832" i="1" s="1"/>
  <c r="F833" i="1" l="1"/>
  <c r="G833" i="1" s="1"/>
  <c r="M832" i="1" a="1"/>
  <c r="M832" i="1" s="1"/>
  <c r="L832" i="1" a="1"/>
  <c r="L832" i="1" s="1"/>
  <c r="V832" i="1" s="1"/>
  <c r="W832" i="1" s="1"/>
  <c r="Q832" i="1"/>
  <c r="R832" i="1" s="1"/>
  <c r="K832" i="1"/>
  <c r="P832" i="1" l="1"/>
  <c r="T832" i="1"/>
  <c r="U832" i="1" s="1"/>
  <c r="H833" i="1"/>
  <c r="I833" i="1" s="1"/>
  <c r="J833" i="1" s="1"/>
  <c r="M833" i="1" l="1" a="1"/>
  <c r="M833" i="1" s="1"/>
  <c r="L833" i="1" a="1"/>
  <c r="L833" i="1" s="1"/>
  <c r="V833" i="1" s="1"/>
  <c r="W833" i="1" s="1"/>
  <c r="K833" i="1"/>
  <c r="Q833" i="1"/>
  <c r="R833" i="1" s="1"/>
  <c r="F834" i="1"/>
  <c r="T833" i="1" l="1"/>
  <c r="U833" i="1" s="1"/>
  <c r="P833" i="1"/>
  <c r="G834" i="1"/>
  <c r="H834" i="1" l="1"/>
  <c r="I834" i="1" s="1"/>
  <c r="J834" i="1" s="1"/>
  <c r="L834" i="1" l="1" a="1"/>
  <c r="L834" i="1" s="1"/>
  <c r="V834" i="1" s="1"/>
  <c r="W834" i="1" s="1"/>
  <c r="M834" i="1" a="1"/>
  <c r="M834" i="1" s="1"/>
  <c r="K834" i="1"/>
  <c r="Q834" i="1"/>
  <c r="R834" i="1" s="1"/>
  <c r="F835" i="1"/>
  <c r="T834" i="1" l="1"/>
  <c r="U834" i="1" s="1"/>
  <c r="P834" i="1"/>
  <c r="G835" i="1"/>
  <c r="H835" i="1" l="1"/>
  <c r="I835" i="1" s="1"/>
  <c r="J835" i="1" s="1"/>
  <c r="L835" i="1" l="1" a="1"/>
  <c r="L835" i="1" s="1"/>
  <c r="V835" i="1" s="1"/>
  <c r="W835" i="1" s="1"/>
  <c r="M835" i="1" a="1"/>
  <c r="M835" i="1" s="1"/>
  <c r="Q835" i="1"/>
  <c r="R835" i="1" s="1"/>
  <c r="K835" i="1"/>
  <c r="F836" i="1"/>
  <c r="P835" i="1" l="1"/>
  <c r="T835" i="1"/>
  <c r="U835" i="1" s="1"/>
  <c r="G836" i="1"/>
  <c r="H836" i="1" l="1"/>
  <c r="I836" i="1" s="1"/>
  <c r="J836" i="1" s="1"/>
  <c r="M836" i="1" l="1" a="1"/>
  <c r="M836" i="1" s="1"/>
  <c r="L836" i="1" a="1"/>
  <c r="L836" i="1" s="1"/>
  <c r="V836" i="1" s="1"/>
  <c r="W836" i="1" s="1"/>
  <c r="K836" i="1"/>
  <c r="Q836" i="1"/>
  <c r="R836" i="1" s="1"/>
  <c r="F837" i="1"/>
  <c r="P836" i="1" l="1"/>
  <c r="T836" i="1"/>
  <c r="U836" i="1" s="1"/>
  <c r="G837" i="1"/>
  <c r="H837" i="1" l="1"/>
  <c r="I837" i="1" s="1"/>
  <c r="J837" i="1" s="1"/>
  <c r="M837" i="1" l="1" a="1"/>
  <c r="M837" i="1" s="1"/>
  <c r="L837" i="1" a="1"/>
  <c r="L837" i="1" s="1"/>
  <c r="V837" i="1" s="1"/>
  <c r="W837" i="1" s="1"/>
  <c r="K837" i="1"/>
  <c r="Q837" i="1"/>
  <c r="R837" i="1" s="1"/>
  <c r="F838" i="1"/>
  <c r="P837" i="1" l="1"/>
  <c r="T837" i="1"/>
  <c r="U837" i="1" s="1"/>
  <c r="G838" i="1"/>
  <c r="H838" i="1" l="1"/>
  <c r="I838" i="1" s="1"/>
  <c r="J838" i="1" s="1"/>
  <c r="M838" i="1" l="1" a="1"/>
  <c r="M838" i="1" s="1"/>
  <c r="L838" i="1" a="1"/>
  <c r="L838" i="1" s="1"/>
  <c r="V838" i="1" s="1"/>
  <c r="W838" i="1" s="1"/>
  <c r="Q838" i="1"/>
  <c r="R838" i="1" s="1"/>
  <c r="K838" i="1"/>
  <c r="F839" i="1"/>
  <c r="P838" i="1" l="1"/>
  <c r="T838" i="1"/>
  <c r="U838" i="1" s="1"/>
  <c r="G839" i="1"/>
  <c r="H839" i="1" l="1"/>
  <c r="I839" i="1" s="1"/>
  <c r="J839" i="1" s="1"/>
  <c r="M839" i="1" l="1" a="1"/>
  <c r="M839" i="1" s="1"/>
  <c r="L839" i="1" a="1"/>
  <c r="L839" i="1" s="1"/>
  <c r="V839" i="1" s="1"/>
  <c r="W839" i="1" s="1"/>
  <c r="Q839" i="1"/>
  <c r="R839" i="1" s="1"/>
  <c r="K839" i="1"/>
  <c r="F840" i="1"/>
  <c r="T839" i="1" l="1"/>
  <c r="U839" i="1" s="1"/>
  <c r="P839" i="1"/>
  <c r="G840" i="1"/>
  <c r="H840" i="1" l="1"/>
  <c r="I840" i="1" s="1"/>
  <c r="J840" i="1" s="1"/>
  <c r="M840" i="1" l="1" a="1"/>
  <c r="M840" i="1" s="1"/>
  <c r="L840" i="1" a="1"/>
  <c r="L840" i="1" s="1"/>
  <c r="V840" i="1" s="1"/>
  <c r="W840" i="1" s="1"/>
  <c r="Q840" i="1"/>
  <c r="R840" i="1" s="1"/>
  <c r="K840" i="1"/>
  <c r="F841" i="1"/>
  <c r="T840" i="1" l="1"/>
  <c r="U840" i="1" s="1"/>
  <c r="P840" i="1"/>
  <c r="G841" i="1"/>
  <c r="H841" i="1" l="1"/>
  <c r="I841" i="1" s="1"/>
  <c r="J841" i="1" s="1"/>
  <c r="M841" i="1" l="1" a="1"/>
  <c r="M841" i="1" s="1"/>
  <c r="L841" i="1" a="1"/>
  <c r="L841" i="1" s="1"/>
  <c r="V841" i="1" s="1"/>
  <c r="W841" i="1" s="1"/>
  <c r="K841" i="1"/>
  <c r="Q841" i="1"/>
  <c r="R841" i="1" s="1"/>
  <c r="F842" i="1"/>
  <c r="T841" i="1" l="1"/>
  <c r="U841" i="1" s="1"/>
  <c r="P841" i="1"/>
  <c r="G842" i="1"/>
  <c r="H842" i="1" l="1"/>
  <c r="I842" i="1" s="1"/>
  <c r="J842" i="1" s="1"/>
  <c r="M842" i="1" l="1" a="1"/>
  <c r="M842" i="1" s="1"/>
  <c r="L842" i="1" a="1"/>
  <c r="L842" i="1" s="1"/>
  <c r="V842" i="1" s="1"/>
  <c r="W842" i="1" s="1"/>
  <c r="Q842" i="1"/>
  <c r="R842" i="1" s="1"/>
  <c r="K842" i="1"/>
  <c r="F843" i="1"/>
  <c r="P842" i="1" l="1"/>
  <c r="T842" i="1"/>
  <c r="U842" i="1" s="1"/>
  <c r="G843" i="1"/>
  <c r="H843" i="1" l="1"/>
  <c r="I843" i="1" s="1"/>
  <c r="J843" i="1" s="1"/>
  <c r="L843" i="1" l="1" a="1"/>
  <c r="L843" i="1" s="1"/>
  <c r="V843" i="1" s="1"/>
  <c r="W843" i="1" s="1"/>
  <c r="M843" i="1" a="1"/>
  <c r="M843" i="1" s="1"/>
  <c r="K843" i="1"/>
  <c r="Q843" i="1"/>
  <c r="R843" i="1" s="1"/>
  <c r="F844" i="1"/>
  <c r="T843" i="1" l="1"/>
  <c r="U843" i="1" s="1"/>
  <c r="P843" i="1"/>
  <c r="G844" i="1"/>
  <c r="H844" i="1" l="1"/>
  <c r="I844" i="1" s="1"/>
  <c r="J844" i="1" s="1"/>
  <c r="L844" i="1" l="1" a="1"/>
  <c r="L844" i="1" s="1"/>
  <c r="V844" i="1" s="1"/>
  <c r="W844" i="1" s="1"/>
  <c r="M844" i="1" a="1"/>
  <c r="M844" i="1" s="1"/>
  <c r="P844" i="1" s="1"/>
  <c r="Q844" i="1"/>
  <c r="R844" i="1" s="1"/>
  <c r="K844" i="1"/>
  <c r="F845" i="1"/>
  <c r="T844" i="1" l="1"/>
  <c r="U844" i="1" s="1"/>
  <c r="G845" i="1"/>
  <c r="H845" i="1" s="1"/>
  <c r="I845" i="1" s="1"/>
  <c r="J845" i="1" s="1"/>
  <c r="F846" i="1" l="1"/>
  <c r="G846" i="1" s="1"/>
  <c r="M845" i="1" a="1"/>
  <c r="M845" i="1" s="1"/>
  <c r="L845" i="1" a="1"/>
  <c r="L845" i="1" s="1"/>
  <c r="V845" i="1" s="1"/>
  <c r="W845" i="1" s="1"/>
  <c r="K845" i="1"/>
  <c r="Q845" i="1"/>
  <c r="R845" i="1" s="1"/>
  <c r="T845" i="1" l="1"/>
  <c r="U845" i="1" s="1"/>
  <c r="P845" i="1"/>
  <c r="H846" i="1"/>
  <c r="I846" i="1" s="1"/>
  <c r="J846" i="1" s="1"/>
  <c r="L846" i="1" l="1" a="1"/>
  <c r="L846" i="1" s="1"/>
  <c r="V846" i="1" s="1"/>
  <c r="W846" i="1" s="1"/>
  <c r="M846" i="1" a="1"/>
  <c r="M846" i="1" s="1"/>
  <c r="Q846" i="1"/>
  <c r="R846" i="1" s="1"/>
  <c r="K846" i="1"/>
  <c r="F847" i="1"/>
  <c r="P846" i="1" l="1"/>
  <c r="T846" i="1"/>
  <c r="U846" i="1" s="1"/>
  <c r="G847" i="1"/>
  <c r="H847" i="1" l="1"/>
  <c r="I847" i="1" s="1"/>
  <c r="J847" i="1" s="1"/>
  <c r="M847" i="1" l="1" a="1"/>
  <c r="M847" i="1" s="1"/>
  <c r="P847" i="1" s="1"/>
  <c r="L847" i="1" a="1"/>
  <c r="L847" i="1" s="1"/>
  <c r="V847" i="1" s="1"/>
  <c r="W847" i="1" s="1"/>
  <c r="K847" i="1"/>
  <c r="Q847" i="1"/>
  <c r="R847" i="1" s="1"/>
  <c r="F848" i="1"/>
  <c r="T847" i="1" l="1"/>
  <c r="U847" i="1" s="1"/>
  <c r="G848" i="1"/>
  <c r="H848" i="1" s="1"/>
  <c r="I848" i="1" s="1"/>
  <c r="J848" i="1" s="1"/>
  <c r="F849" i="1" l="1"/>
  <c r="G849" i="1" s="1"/>
  <c r="M848" i="1" a="1"/>
  <c r="M848" i="1" s="1"/>
  <c r="L848" i="1" a="1"/>
  <c r="L848" i="1" s="1"/>
  <c r="V848" i="1" s="1"/>
  <c r="W848" i="1" s="1"/>
  <c r="Q848" i="1"/>
  <c r="R848" i="1" s="1"/>
  <c r="K848" i="1"/>
  <c r="T848" i="1" l="1"/>
  <c r="U848" i="1" s="1"/>
  <c r="P848" i="1"/>
  <c r="H849" i="1"/>
  <c r="I849" i="1" s="1"/>
  <c r="J849" i="1" s="1"/>
  <c r="M849" i="1" l="1" a="1"/>
  <c r="M849" i="1" s="1"/>
  <c r="P849" i="1" s="1"/>
  <c r="L849" i="1" a="1"/>
  <c r="L849" i="1" s="1"/>
  <c r="V849" i="1" s="1"/>
  <c r="W849" i="1" s="1"/>
  <c r="Q849" i="1"/>
  <c r="R849" i="1" s="1"/>
  <c r="K849" i="1"/>
  <c r="F850" i="1"/>
  <c r="T849" i="1" l="1"/>
  <c r="U849" i="1" s="1"/>
  <c r="G850" i="1"/>
  <c r="H850" i="1" s="1"/>
  <c r="I850" i="1" s="1"/>
  <c r="J850" i="1" s="1"/>
  <c r="F851" i="1" l="1"/>
  <c r="G851" i="1" s="1"/>
  <c r="H851" i="1" s="1"/>
  <c r="I851" i="1" s="1"/>
  <c r="J851" i="1" s="1"/>
  <c r="L850" i="1" a="1"/>
  <c r="L850" i="1" s="1"/>
  <c r="V850" i="1" s="1"/>
  <c r="W850" i="1" s="1"/>
  <c r="M850" i="1" a="1"/>
  <c r="M850" i="1" s="1"/>
  <c r="P850" i="1" s="1"/>
  <c r="K850" i="1"/>
  <c r="Q850" i="1"/>
  <c r="R850" i="1" s="1"/>
  <c r="T850" i="1" l="1"/>
  <c r="U850" i="1" s="1"/>
  <c r="F852" i="1"/>
  <c r="G852" i="1" s="1"/>
  <c r="H852" i="1" s="1"/>
  <c r="I852" i="1" s="1"/>
  <c r="J852" i="1" s="1"/>
  <c r="M851" i="1" a="1"/>
  <c r="M851" i="1" s="1"/>
  <c r="T851" i="1" s="1"/>
  <c r="U851" i="1" s="1"/>
  <c r="L851" i="1" a="1"/>
  <c r="L851" i="1" s="1"/>
  <c r="V851" i="1" s="1"/>
  <c r="W851" i="1" s="1"/>
  <c r="Q851" i="1"/>
  <c r="R851" i="1" s="1"/>
  <c r="K851" i="1"/>
  <c r="P851" i="1" l="1"/>
  <c r="F853" i="1"/>
  <c r="G853" i="1" s="1"/>
  <c r="M852" i="1" a="1"/>
  <c r="M852" i="1" s="1"/>
  <c r="L852" i="1" a="1"/>
  <c r="L852" i="1" s="1"/>
  <c r="V852" i="1" s="1"/>
  <c r="W852" i="1" s="1"/>
  <c r="Q852" i="1"/>
  <c r="R852" i="1" s="1"/>
  <c r="K852" i="1"/>
  <c r="T852" i="1" l="1"/>
  <c r="U852" i="1" s="1"/>
  <c r="P852" i="1"/>
  <c r="H853" i="1"/>
  <c r="I853" i="1" s="1"/>
  <c r="J853" i="1" s="1"/>
  <c r="M853" i="1" l="1" a="1"/>
  <c r="M853" i="1" s="1"/>
  <c r="L853" i="1" a="1"/>
  <c r="L853" i="1" s="1"/>
  <c r="V853" i="1" s="1"/>
  <c r="W853" i="1" s="1"/>
  <c r="Q853" i="1"/>
  <c r="R853" i="1" s="1"/>
  <c r="K853" i="1"/>
  <c r="F854" i="1"/>
  <c r="T853" i="1" l="1"/>
  <c r="U853" i="1" s="1"/>
  <c r="P853" i="1"/>
  <c r="G854" i="1"/>
  <c r="H854" i="1" l="1"/>
  <c r="I854" i="1" s="1"/>
  <c r="J854" i="1" s="1"/>
  <c r="M854" i="1" l="1" a="1"/>
  <c r="M854" i="1" s="1"/>
  <c r="L854" i="1" a="1"/>
  <c r="L854" i="1" s="1"/>
  <c r="V854" i="1" s="1"/>
  <c r="W854" i="1" s="1"/>
  <c r="K854" i="1"/>
  <c r="Q854" i="1"/>
  <c r="R854" i="1" s="1"/>
  <c r="F855" i="1"/>
  <c r="P854" i="1" l="1"/>
  <c r="T854" i="1"/>
  <c r="U854" i="1" s="1"/>
  <c r="G855" i="1"/>
  <c r="H855" i="1" l="1"/>
  <c r="I855" i="1" s="1"/>
  <c r="J855" i="1" s="1"/>
  <c r="M855" i="1" l="1" a="1"/>
  <c r="M855" i="1" s="1"/>
  <c r="L855" i="1" a="1"/>
  <c r="L855" i="1" s="1"/>
  <c r="V855" i="1" s="1"/>
  <c r="W855" i="1" s="1"/>
  <c r="K855" i="1"/>
  <c r="Q855" i="1"/>
  <c r="R855" i="1" s="1"/>
  <c r="F856" i="1"/>
  <c r="T855" i="1" l="1"/>
  <c r="U855" i="1" s="1"/>
  <c r="P855" i="1"/>
  <c r="G856" i="1"/>
  <c r="H856" i="1" l="1"/>
  <c r="I856" i="1" s="1"/>
  <c r="J856" i="1" s="1"/>
  <c r="L856" i="1" l="1" a="1"/>
  <c r="L856" i="1" s="1"/>
  <c r="V856" i="1" s="1"/>
  <c r="W856" i="1" s="1"/>
  <c r="M856" i="1" a="1"/>
  <c r="M856" i="1" s="1"/>
  <c r="K856" i="1"/>
  <c r="Q856" i="1"/>
  <c r="R856" i="1" s="1"/>
  <c r="F857" i="1"/>
  <c r="T856" i="1" l="1"/>
  <c r="U856" i="1" s="1"/>
  <c r="P856" i="1"/>
  <c r="G857" i="1"/>
  <c r="H857" i="1" l="1"/>
  <c r="I857" i="1" s="1"/>
  <c r="J857" i="1" s="1"/>
  <c r="L857" i="1" l="1" a="1"/>
  <c r="L857" i="1" s="1"/>
  <c r="V857" i="1" s="1"/>
  <c r="W857" i="1" s="1"/>
  <c r="M857" i="1" a="1"/>
  <c r="M857" i="1" s="1"/>
  <c r="Q857" i="1"/>
  <c r="R857" i="1" s="1"/>
  <c r="K857" i="1"/>
  <c r="F858" i="1"/>
  <c r="P857" i="1" l="1"/>
  <c r="T857" i="1"/>
  <c r="U857" i="1" s="1"/>
  <c r="G858" i="1"/>
  <c r="H858" i="1" l="1"/>
  <c r="I858" i="1" s="1"/>
  <c r="J858" i="1" s="1"/>
  <c r="L858" i="1" l="1" a="1"/>
  <c r="L858" i="1" s="1"/>
  <c r="V858" i="1" s="1"/>
  <c r="W858" i="1" s="1"/>
  <c r="M858" i="1" a="1"/>
  <c r="M858" i="1" s="1"/>
  <c r="Q858" i="1"/>
  <c r="R858" i="1" s="1"/>
  <c r="K858" i="1"/>
  <c r="F859" i="1"/>
  <c r="P858" i="1" l="1"/>
  <c r="T858" i="1"/>
  <c r="U858" i="1" s="1"/>
  <c r="G859" i="1"/>
  <c r="H859" i="1" l="1"/>
  <c r="I859" i="1" s="1"/>
  <c r="J859" i="1" s="1"/>
  <c r="L859" i="1" l="1" a="1"/>
  <c r="L859" i="1" s="1"/>
  <c r="V859" i="1" s="1"/>
  <c r="W859" i="1" s="1"/>
  <c r="M859" i="1" a="1"/>
  <c r="M859" i="1" s="1"/>
  <c r="P859" i="1" s="1"/>
  <c r="Q859" i="1"/>
  <c r="R859" i="1" s="1"/>
  <c r="K859" i="1"/>
  <c r="F860" i="1"/>
  <c r="T859" i="1" l="1"/>
  <c r="U859" i="1" s="1"/>
  <c r="G860" i="1"/>
  <c r="H860" i="1" l="1"/>
  <c r="I860" i="1" s="1"/>
  <c r="J860" i="1" s="1"/>
  <c r="L860" i="1" l="1" a="1"/>
  <c r="L860" i="1" s="1"/>
  <c r="V860" i="1" s="1"/>
  <c r="W860" i="1" s="1"/>
  <c r="M860" i="1" a="1"/>
  <c r="M860" i="1" s="1"/>
  <c r="Q860" i="1"/>
  <c r="R860" i="1" s="1"/>
  <c r="K860" i="1"/>
  <c r="F861" i="1"/>
  <c r="T860" i="1" l="1"/>
  <c r="U860" i="1" s="1"/>
  <c r="P860" i="1"/>
  <c r="G861" i="1"/>
  <c r="H861" i="1" l="1"/>
  <c r="I861" i="1" s="1"/>
  <c r="J861" i="1" s="1"/>
  <c r="M861" i="1" l="1" a="1"/>
  <c r="M861" i="1" s="1"/>
  <c r="L861" i="1" a="1"/>
  <c r="L861" i="1" s="1"/>
  <c r="V861" i="1" s="1"/>
  <c r="W861" i="1" s="1"/>
  <c r="K861" i="1"/>
  <c r="Q861" i="1"/>
  <c r="R861" i="1" s="1"/>
  <c r="F862" i="1"/>
  <c r="P861" i="1" l="1"/>
  <c r="T861" i="1"/>
  <c r="U861" i="1" s="1"/>
  <c r="G862" i="1"/>
  <c r="H862" i="1" l="1"/>
  <c r="I862" i="1" s="1"/>
  <c r="J862" i="1" s="1"/>
  <c r="M862" i="1" l="1" a="1"/>
  <c r="M862" i="1" s="1"/>
  <c r="L862" i="1" a="1"/>
  <c r="L862" i="1" s="1"/>
  <c r="V862" i="1" s="1"/>
  <c r="W862" i="1" s="1"/>
  <c r="K862" i="1"/>
  <c r="Q862" i="1"/>
  <c r="R862" i="1" s="1"/>
  <c r="F863" i="1"/>
  <c r="P862" i="1" l="1"/>
  <c r="T862" i="1"/>
  <c r="U862" i="1" s="1"/>
  <c r="G863" i="1"/>
  <c r="H863" i="1" l="1"/>
  <c r="I863" i="1" s="1"/>
  <c r="J863" i="1" s="1"/>
  <c r="M863" i="1" l="1" a="1"/>
  <c r="M863" i="1" s="1"/>
  <c r="T863" i="1" s="1"/>
  <c r="U863" i="1" s="1"/>
  <c r="L863" i="1" a="1"/>
  <c r="L863" i="1" s="1"/>
  <c r="V863" i="1" s="1"/>
  <c r="W863" i="1" s="1"/>
  <c r="K863" i="1"/>
  <c r="Q863" i="1"/>
  <c r="R863" i="1" s="1"/>
  <c r="F864" i="1"/>
  <c r="P863" i="1" l="1"/>
  <c r="G864" i="1"/>
  <c r="H864" i="1" l="1"/>
  <c r="I864" i="1" s="1"/>
  <c r="J864" i="1" s="1"/>
  <c r="M864" i="1" l="1" a="1"/>
  <c r="M864" i="1" s="1"/>
  <c r="P864" i="1" s="1"/>
  <c r="L864" i="1" a="1"/>
  <c r="L864" i="1" s="1"/>
  <c r="K864" i="1"/>
  <c r="Q864" i="1"/>
  <c r="R864" i="1" s="1"/>
  <c r="F865" i="1"/>
  <c r="T864" i="1" l="1"/>
  <c r="U864" i="1" s="1"/>
  <c r="V864" i="1"/>
  <c r="W864" i="1" s="1"/>
  <c r="G865" i="1"/>
  <c r="H865" i="1" l="1"/>
  <c r="I865" i="1" s="1"/>
  <c r="J865" i="1" s="1"/>
  <c r="M865" i="1" l="1" a="1"/>
  <c r="M865" i="1" s="1"/>
  <c r="P865" i="1" s="1"/>
  <c r="L865" i="1" a="1"/>
  <c r="L865" i="1" s="1"/>
  <c r="V865" i="1" s="1"/>
  <c r="W865" i="1" s="1"/>
  <c r="Q865" i="1"/>
  <c r="R865" i="1" s="1"/>
  <c r="K865" i="1"/>
  <c r="F866" i="1"/>
  <c r="T865" i="1" l="1"/>
  <c r="U865" i="1" s="1"/>
  <c r="G866" i="1"/>
  <c r="H866" i="1" l="1"/>
  <c r="I866" i="1" s="1"/>
  <c r="J866" i="1" s="1"/>
  <c r="M866" i="1" l="1" a="1"/>
  <c r="M866" i="1" s="1"/>
  <c r="L866" i="1" a="1"/>
  <c r="L866" i="1" s="1"/>
  <c r="V866" i="1" s="1"/>
  <c r="W866" i="1" s="1"/>
  <c r="K866" i="1"/>
  <c r="Q866" i="1"/>
  <c r="R866" i="1" s="1"/>
  <c r="F867" i="1"/>
  <c r="T866" i="1" l="1"/>
  <c r="U866" i="1" s="1"/>
  <c r="P866" i="1"/>
  <c r="G867" i="1"/>
  <c r="H867" i="1" l="1"/>
  <c r="I867" i="1" s="1"/>
  <c r="J867" i="1" s="1"/>
  <c r="M867" i="1" l="1" a="1"/>
  <c r="M867" i="1" s="1"/>
  <c r="L867" i="1" a="1"/>
  <c r="L867" i="1" s="1"/>
  <c r="V867" i="1" s="1"/>
  <c r="W867" i="1" s="1"/>
  <c r="K867" i="1"/>
  <c r="Q867" i="1"/>
  <c r="R867" i="1" s="1"/>
  <c r="F868" i="1"/>
  <c r="T867" i="1" l="1"/>
  <c r="U867" i="1" s="1"/>
  <c r="P867" i="1"/>
  <c r="G868" i="1"/>
  <c r="H868" i="1" l="1"/>
  <c r="I868" i="1" s="1"/>
  <c r="J868" i="1" s="1"/>
  <c r="M868" i="1" l="1" a="1"/>
  <c r="M868" i="1" s="1"/>
  <c r="L868" i="1" a="1"/>
  <c r="L868" i="1" s="1"/>
  <c r="V868" i="1" s="1"/>
  <c r="W868" i="1" s="1"/>
  <c r="Q868" i="1"/>
  <c r="R868" i="1" s="1"/>
  <c r="K868" i="1"/>
  <c r="F869" i="1"/>
  <c r="P868" i="1" l="1"/>
  <c r="T868" i="1"/>
  <c r="U868" i="1" s="1"/>
  <c r="G869" i="1"/>
  <c r="H869" i="1" l="1"/>
  <c r="I869" i="1" s="1"/>
  <c r="J869" i="1" s="1"/>
  <c r="L869" i="1" l="1" a="1"/>
  <c r="L869" i="1" s="1"/>
  <c r="V869" i="1" s="1"/>
  <c r="W869" i="1" s="1"/>
  <c r="M869" i="1" a="1"/>
  <c r="M869" i="1" s="1"/>
  <c r="K869" i="1"/>
  <c r="Q869" i="1"/>
  <c r="R869" i="1" s="1"/>
  <c r="F870" i="1"/>
  <c r="T869" i="1" l="1"/>
  <c r="U869" i="1" s="1"/>
  <c r="P869" i="1"/>
  <c r="G870" i="1"/>
  <c r="H870" i="1" l="1"/>
  <c r="I870" i="1" s="1"/>
  <c r="J870" i="1" s="1"/>
  <c r="L870" i="1" l="1" a="1"/>
  <c r="L870" i="1" s="1"/>
  <c r="V870" i="1" s="1"/>
  <c r="W870" i="1" s="1"/>
  <c r="M870" i="1" a="1"/>
  <c r="M870" i="1" s="1"/>
  <c r="Q870" i="1"/>
  <c r="R870" i="1" s="1"/>
  <c r="K870" i="1"/>
  <c r="F871" i="1"/>
  <c r="T870" i="1" l="1"/>
  <c r="U870" i="1" s="1"/>
  <c r="P870" i="1"/>
  <c r="G871" i="1"/>
  <c r="H871" i="1" l="1"/>
  <c r="I871" i="1" s="1"/>
  <c r="J871" i="1" s="1"/>
  <c r="M871" i="1" l="1" a="1"/>
  <c r="M871" i="1" s="1"/>
  <c r="L871" i="1" a="1"/>
  <c r="L871" i="1" s="1"/>
  <c r="V871" i="1" s="1"/>
  <c r="W871" i="1" s="1"/>
  <c r="Q871" i="1"/>
  <c r="R871" i="1" s="1"/>
  <c r="K871" i="1"/>
  <c r="F872" i="1"/>
  <c r="P871" i="1" l="1"/>
  <c r="T871" i="1"/>
  <c r="U871" i="1" s="1"/>
  <c r="G872" i="1"/>
  <c r="H872" i="1" l="1"/>
  <c r="I872" i="1" s="1"/>
  <c r="J872" i="1" s="1"/>
  <c r="L872" i="1" l="1" a="1"/>
  <c r="L872" i="1" s="1"/>
  <c r="V872" i="1" s="1"/>
  <c r="W872" i="1" s="1"/>
  <c r="M872" i="1" a="1"/>
  <c r="M872" i="1" s="1"/>
  <c r="K872" i="1"/>
  <c r="Q872" i="1"/>
  <c r="R872" i="1" s="1"/>
  <c r="F873" i="1"/>
  <c r="T872" i="1" l="1"/>
  <c r="U872" i="1" s="1"/>
  <c r="P872" i="1"/>
  <c r="G873" i="1"/>
  <c r="H873" i="1" l="1"/>
  <c r="I873" i="1" s="1"/>
  <c r="J873" i="1" s="1"/>
  <c r="L873" i="1" l="1" a="1"/>
  <c r="L873" i="1" s="1"/>
  <c r="V873" i="1" s="1"/>
  <c r="W873" i="1" s="1"/>
  <c r="M873" i="1" a="1"/>
  <c r="M873" i="1" s="1"/>
  <c r="Q873" i="1"/>
  <c r="R873" i="1" s="1"/>
  <c r="K873" i="1"/>
  <c r="F874" i="1"/>
  <c r="P873" i="1" l="1"/>
  <c r="T873" i="1"/>
  <c r="U873" i="1" s="1"/>
  <c r="G874" i="1"/>
  <c r="H874" i="1" l="1"/>
  <c r="I874" i="1" s="1"/>
  <c r="J874" i="1" s="1"/>
  <c r="L874" i="1" l="1" a="1"/>
  <c r="L874" i="1" s="1"/>
  <c r="V874" i="1" s="1"/>
  <c r="W874" i="1" s="1"/>
  <c r="M874" i="1" a="1"/>
  <c r="M874" i="1" s="1"/>
  <c r="Q874" i="1"/>
  <c r="R874" i="1" s="1"/>
  <c r="K874" i="1"/>
  <c r="F875" i="1"/>
  <c r="P874" i="1" l="1"/>
  <c r="T874" i="1"/>
  <c r="U874" i="1" s="1"/>
  <c r="G875" i="1"/>
  <c r="H875" i="1" l="1"/>
  <c r="I875" i="1" s="1"/>
  <c r="J875" i="1" s="1"/>
  <c r="L875" i="1" l="1" a="1"/>
  <c r="L875" i="1" s="1"/>
  <c r="V875" i="1" s="1"/>
  <c r="W875" i="1" s="1"/>
  <c r="M875" i="1" a="1"/>
  <c r="M875" i="1" s="1"/>
  <c r="Q875" i="1"/>
  <c r="R875" i="1" s="1"/>
  <c r="K875" i="1"/>
  <c r="F876" i="1"/>
  <c r="T875" i="1" l="1"/>
  <c r="U875" i="1" s="1"/>
  <c r="P875" i="1"/>
  <c r="G876" i="1"/>
  <c r="H876" i="1" l="1"/>
  <c r="I876" i="1" s="1"/>
  <c r="J876" i="1" s="1"/>
  <c r="M876" i="1" l="1" a="1"/>
  <c r="M876" i="1" s="1"/>
  <c r="L876" i="1" a="1"/>
  <c r="L876" i="1" s="1"/>
  <c r="V876" i="1" s="1"/>
  <c r="W876" i="1" s="1"/>
  <c r="K876" i="1"/>
  <c r="Q876" i="1"/>
  <c r="R876" i="1" s="1"/>
  <c r="F877" i="1"/>
  <c r="P876" i="1" l="1"/>
  <c r="T876" i="1"/>
  <c r="U876" i="1" s="1"/>
  <c r="G877" i="1"/>
  <c r="H877" i="1" l="1"/>
  <c r="I877" i="1" s="1"/>
  <c r="J877" i="1" s="1"/>
  <c r="M877" i="1" l="1" a="1"/>
  <c r="M877" i="1" s="1"/>
  <c r="L877" i="1" a="1"/>
  <c r="L877" i="1" s="1"/>
  <c r="V877" i="1" s="1"/>
  <c r="W877" i="1" s="1"/>
  <c r="K877" i="1"/>
  <c r="Q877" i="1"/>
  <c r="R877" i="1" s="1"/>
  <c r="F878" i="1"/>
  <c r="P877" i="1" l="1"/>
  <c r="T877" i="1"/>
  <c r="U877" i="1" s="1"/>
  <c r="G878" i="1"/>
  <c r="H878" i="1" l="1"/>
  <c r="I878" i="1" s="1"/>
  <c r="J878" i="1" s="1"/>
  <c r="L878" i="1" l="1" a="1"/>
  <c r="L878" i="1" s="1"/>
  <c r="V878" i="1" s="1"/>
  <c r="W878" i="1" s="1"/>
  <c r="M878" i="1" a="1"/>
  <c r="M878" i="1" s="1"/>
  <c r="P878" i="1" s="1"/>
  <c r="K878" i="1"/>
  <c r="Q878" i="1"/>
  <c r="R878" i="1" s="1"/>
  <c r="F879" i="1"/>
  <c r="T878" i="1" l="1"/>
  <c r="U878" i="1" s="1"/>
  <c r="G879" i="1"/>
  <c r="H879" i="1" l="1"/>
  <c r="I879" i="1" s="1"/>
  <c r="J879" i="1" s="1"/>
  <c r="L879" i="1" l="1" a="1"/>
  <c r="L879" i="1" s="1"/>
  <c r="V879" i="1" s="1"/>
  <c r="W879" i="1" s="1"/>
  <c r="M879" i="1" a="1"/>
  <c r="M879" i="1" s="1"/>
  <c r="Q879" i="1"/>
  <c r="R879" i="1" s="1"/>
  <c r="K879" i="1"/>
  <c r="F880" i="1"/>
  <c r="T879" i="1" l="1"/>
  <c r="U879" i="1" s="1"/>
  <c r="P879" i="1"/>
  <c r="G880" i="1"/>
  <c r="H880" i="1" l="1"/>
  <c r="I880" i="1" s="1"/>
  <c r="J880" i="1" s="1"/>
  <c r="L880" i="1" l="1" a="1"/>
  <c r="L880" i="1" s="1"/>
  <c r="V880" i="1" s="1"/>
  <c r="W880" i="1" s="1"/>
  <c r="M880" i="1" a="1"/>
  <c r="M880" i="1" s="1"/>
  <c r="Q880" i="1"/>
  <c r="R880" i="1" s="1"/>
  <c r="K880" i="1"/>
  <c r="F881" i="1"/>
  <c r="T880" i="1" l="1"/>
  <c r="U880" i="1" s="1"/>
  <c r="P880" i="1"/>
  <c r="G881" i="1"/>
  <c r="H881" i="1" l="1"/>
  <c r="I881" i="1" s="1"/>
  <c r="J881" i="1" s="1"/>
  <c r="M881" i="1" l="1" a="1"/>
  <c r="M881" i="1" s="1"/>
  <c r="T881" i="1" s="1"/>
  <c r="U881" i="1" s="1"/>
  <c r="L881" i="1" a="1"/>
  <c r="L881" i="1" s="1"/>
  <c r="V881" i="1" s="1"/>
  <c r="W881" i="1" s="1"/>
  <c r="Q881" i="1"/>
  <c r="R881" i="1" s="1"/>
  <c r="K881" i="1"/>
  <c r="F882" i="1"/>
  <c r="P881" i="1" l="1"/>
  <c r="G882" i="1"/>
  <c r="H882" i="1" s="1"/>
  <c r="I882" i="1" s="1"/>
  <c r="J882" i="1" s="1"/>
  <c r="F883" i="1" l="1"/>
  <c r="G883" i="1" s="1"/>
  <c r="M882" i="1" a="1"/>
  <c r="M882" i="1" s="1"/>
  <c r="L882" i="1" a="1"/>
  <c r="L882" i="1" s="1"/>
  <c r="V882" i="1" s="1"/>
  <c r="W882" i="1" s="1"/>
  <c r="Q882" i="1"/>
  <c r="R882" i="1" s="1"/>
  <c r="K882" i="1"/>
  <c r="T882" i="1" l="1"/>
  <c r="U882" i="1" s="1"/>
  <c r="P882" i="1"/>
  <c r="H883" i="1"/>
  <c r="I883" i="1" s="1"/>
  <c r="J883" i="1" s="1"/>
  <c r="M883" i="1" l="1" a="1"/>
  <c r="M883" i="1" s="1"/>
  <c r="L883" i="1" a="1"/>
  <c r="L883" i="1" s="1"/>
  <c r="V883" i="1" s="1"/>
  <c r="W883" i="1" s="1"/>
  <c r="Q883" i="1"/>
  <c r="R883" i="1" s="1"/>
  <c r="K883" i="1"/>
  <c r="F884" i="1"/>
  <c r="P883" i="1" l="1"/>
  <c r="T883" i="1"/>
  <c r="U883" i="1" s="1"/>
  <c r="G884" i="1"/>
  <c r="H884" i="1" l="1"/>
  <c r="I884" i="1" s="1"/>
  <c r="J884" i="1" s="1"/>
  <c r="L884" i="1" l="1" a="1"/>
  <c r="L884" i="1" s="1"/>
  <c r="V884" i="1" s="1"/>
  <c r="W884" i="1" s="1"/>
  <c r="M884" i="1" a="1"/>
  <c r="M884" i="1" s="1"/>
  <c r="K884" i="1"/>
  <c r="Q884" i="1"/>
  <c r="R884" i="1" s="1"/>
  <c r="F885" i="1"/>
  <c r="T884" i="1" l="1"/>
  <c r="U884" i="1" s="1"/>
  <c r="P884" i="1"/>
  <c r="G885" i="1"/>
  <c r="H885" i="1" l="1"/>
  <c r="I885" i="1" s="1"/>
  <c r="J885" i="1" s="1"/>
  <c r="M885" i="1" l="1" a="1"/>
  <c r="M885" i="1" s="1"/>
  <c r="L885" i="1" a="1"/>
  <c r="L885" i="1" s="1"/>
  <c r="V885" i="1" s="1"/>
  <c r="W885" i="1" s="1"/>
  <c r="K885" i="1"/>
  <c r="Q885" i="1"/>
  <c r="R885" i="1" s="1"/>
  <c r="F886" i="1"/>
  <c r="T885" i="1" l="1"/>
  <c r="U885" i="1" s="1"/>
  <c r="P885" i="1"/>
  <c r="G886" i="1"/>
  <c r="H886" i="1" l="1"/>
  <c r="I886" i="1" s="1"/>
  <c r="J886" i="1" s="1"/>
  <c r="M886" i="1" l="1" a="1"/>
  <c r="M886" i="1" s="1"/>
  <c r="L886" i="1" a="1"/>
  <c r="L886" i="1" s="1"/>
  <c r="V886" i="1" s="1"/>
  <c r="W886" i="1" s="1"/>
  <c r="K886" i="1"/>
  <c r="Q886" i="1"/>
  <c r="R886" i="1" s="1"/>
  <c r="F887" i="1"/>
  <c r="P886" i="1" l="1"/>
  <c r="T886" i="1"/>
  <c r="U886" i="1" s="1"/>
  <c r="G887" i="1"/>
  <c r="H887" i="1" l="1"/>
  <c r="I887" i="1" s="1"/>
  <c r="J887" i="1" s="1"/>
  <c r="M887" i="1" l="1" a="1"/>
  <c r="M887" i="1" s="1"/>
  <c r="L887" i="1" a="1"/>
  <c r="L887" i="1" s="1"/>
  <c r="V887" i="1" s="1"/>
  <c r="W887" i="1" s="1"/>
  <c r="Q887" i="1"/>
  <c r="R887" i="1" s="1"/>
  <c r="K887" i="1"/>
  <c r="F888" i="1"/>
  <c r="P887" i="1" l="1"/>
  <c r="T887" i="1"/>
  <c r="U887" i="1" s="1"/>
  <c r="G888" i="1"/>
  <c r="H888" i="1" l="1"/>
  <c r="I888" i="1" s="1"/>
  <c r="J888" i="1" s="1"/>
  <c r="M888" i="1" l="1" a="1"/>
  <c r="M888" i="1" s="1"/>
  <c r="L888" i="1" a="1"/>
  <c r="L888" i="1" s="1"/>
  <c r="V888" i="1" s="1"/>
  <c r="W888" i="1" s="1"/>
  <c r="K888" i="1"/>
  <c r="Q888" i="1"/>
  <c r="R888" i="1" s="1"/>
  <c r="F889" i="1"/>
  <c r="P888" i="1" l="1"/>
  <c r="T888" i="1"/>
  <c r="U888" i="1" s="1"/>
  <c r="G889" i="1"/>
  <c r="H889" i="1" l="1"/>
  <c r="I889" i="1" s="1"/>
  <c r="J889" i="1" s="1"/>
  <c r="M889" i="1" l="1" a="1"/>
  <c r="M889" i="1" s="1"/>
  <c r="L889" i="1" a="1"/>
  <c r="L889" i="1" s="1"/>
  <c r="V889" i="1" s="1"/>
  <c r="W889" i="1" s="1"/>
  <c r="Q889" i="1"/>
  <c r="R889" i="1" s="1"/>
  <c r="K889" i="1"/>
  <c r="F890" i="1"/>
  <c r="P889" i="1" l="1"/>
  <c r="T889" i="1"/>
  <c r="U889" i="1" s="1"/>
  <c r="G890" i="1"/>
  <c r="H890" i="1" l="1"/>
  <c r="I890" i="1" s="1"/>
  <c r="J890" i="1" s="1"/>
  <c r="M890" i="1" l="1" a="1"/>
  <c r="M890" i="1" s="1"/>
  <c r="L890" i="1" a="1"/>
  <c r="L890" i="1" s="1"/>
  <c r="V890" i="1" s="1"/>
  <c r="W890" i="1" s="1"/>
  <c r="Q890" i="1"/>
  <c r="R890" i="1" s="1"/>
  <c r="K890" i="1"/>
  <c r="F891" i="1"/>
  <c r="P890" i="1" l="1"/>
  <c r="T890" i="1"/>
  <c r="U890" i="1" s="1"/>
  <c r="G891" i="1"/>
  <c r="H891" i="1" l="1"/>
  <c r="I891" i="1" s="1"/>
  <c r="J891" i="1" s="1"/>
  <c r="M891" i="1" l="1" a="1"/>
  <c r="M891" i="1" s="1"/>
  <c r="L891" i="1" a="1"/>
  <c r="L891" i="1" s="1"/>
  <c r="V891" i="1" s="1"/>
  <c r="W891" i="1" s="1"/>
  <c r="K891" i="1"/>
  <c r="Q891" i="1"/>
  <c r="R891" i="1" s="1"/>
  <c r="F892" i="1"/>
  <c r="T891" i="1" l="1"/>
  <c r="U891" i="1" s="1"/>
  <c r="P891" i="1"/>
  <c r="G892" i="1"/>
  <c r="H892" i="1" l="1"/>
  <c r="I892" i="1" s="1"/>
  <c r="J892" i="1" s="1"/>
  <c r="M892" i="1" l="1" a="1"/>
  <c r="M892" i="1" s="1"/>
  <c r="P892" i="1" s="1"/>
  <c r="L892" i="1" a="1"/>
  <c r="L892" i="1" s="1"/>
  <c r="V892" i="1" s="1"/>
  <c r="W892" i="1" s="1"/>
  <c r="Q892" i="1"/>
  <c r="R892" i="1" s="1"/>
  <c r="K892" i="1"/>
  <c r="F893" i="1"/>
  <c r="T892" i="1" l="1"/>
  <c r="U892" i="1" s="1"/>
  <c r="G893" i="1"/>
  <c r="H893" i="1" s="1"/>
  <c r="I893" i="1" s="1"/>
  <c r="J893" i="1" s="1"/>
  <c r="F894" i="1" l="1"/>
  <c r="G894" i="1" s="1"/>
  <c r="M893" i="1" a="1"/>
  <c r="M893" i="1" s="1"/>
  <c r="L893" i="1" a="1"/>
  <c r="L893" i="1" s="1"/>
  <c r="V893" i="1" s="1"/>
  <c r="W893" i="1" s="1"/>
  <c r="K893" i="1"/>
  <c r="Q893" i="1"/>
  <c r="R893" i="1" s="1"/>
  <c r="T893" i="1" l="1"/>
  <c r="U893" i="1" s="1"/>
  <c r="P893" i="1"/>
  <c r="H894" i="1"/>
  <c r="I894" i="1" s="1"/>
  <c r="J894" i="1" s="1"/>
  <c r="L894" i="1" l="1" a="1"/>
  <c r="L894" i="1" s="1"/>
  <c r="V894" i="1" s="1"/>
  <c r="W894" i="1" s="1"/>
  <c r="M894" i="1" a="1"/>
  <c r="M894" i="1" s="1"/>
  <c r="Q894" i="1"/>
  <c r="R894" i="1" s="1"/>
  <c r="K894" i="1"/>
  <c r="F895" i="1"/>
  <c r="P894" i="1" l="1"/>
  <c r="T894" i="1"/>
  <c r="U894" i="1" s="1"/>
  <c r="G895" i="1"/>
  <c r="H895" i="1" l="1"/>
  <c r="I895" i="1" s="1"/>
  <c r="J895" i="1" s="1"/>
  <c r="M895" i="1" l="1" a="1"/>
  <c r="M895" i="1" s="1"/>
  <c r="L895" i="1" a="1"/>
  <c r="L895" i="1" s="1"/>
  <c r="V895" i="1" s="1"/>
  <c r="W895" i="1" s="1"/>
  <c r="Q895" i="1"/>
  <c r="R895" i="1" s="1"/>
  <c r="K895" i="1"/>
  <c r="F896" i="1"/>
  <c r="T895" i="1" l="1"/>
  <c r="U895" i="1" s="1"/>
  <c r="P895" i="1"/>
  <c r="G896" i="1"/>
  <c r="H896" i="1" l="1"/>
  <c r="I896" i="1" s="1"/>
  <c r="J896" i="1" s="1"/>
  <c r="M896" i="1" l="1" a="1"/>
  <c r="M896" i="1" s="1"/>
  <c r="L896" i="1" a="1"/>
  <c r="L896" i="1" s="1"/>
  <c r="V896" i="1" s="1"/>
  <c r="W896" i="1" s="1"/>
  <c r="Q896" i="1"/>
  <c r="R896" i="1" s="1"/>
  <c r="K896" i="1"/>
  <c r="F897" i="1"/>
  <c r="P896" i="1" l="1"/>
  <c r="T896" i="1"/>
  <c r="U896" i="1" s="1"/>
  <c r="G897" i="1"/>
  <c r="H897" i="1" l="1"/>
  <c r="I897" i="1" s="1"/>
  <c r="J897" i="1" s="1"/>
  <c r="M897" i="1" l="1" a="1"/>
  <c r="M897" i="1" s="1"/>
  <c r="L897" i="1" a="1"/>
  <c r="L897" i="1" s="1"/>
  <c r="V897" i="1" s="1"/>
  <c r="W897" i="1" s="1"/>
  <c r="Q897" i="1"/>
  <c r="R897" i="1" s="1"/>
  <c r="K897" i="1"/>
  <c r="F898" i="1"/>
  <c r="P897" i="1" l="1"/>
  <c r="T897" i="1"/>
  <c r="U897" i="1" s="1"/>
  <c r="G898" i="1"/>
  <c r="H898" i="1" l="1"/>
  <c r="I898" i="1" s="1"/>
  <c r="J898" i="1" s="1"/>
  <c r="M898" i="1" l="1" a="1"/>
  <c r="M898" i="1" s="1"/>
  <c r="L898" i="1" a="1"/>
  <c r="L898" i="1" s="1"/>
  <c r="V898" i="1" s="1"/>
  <c r="W898" i="1" s="1"/>
  <c r="K898" i="1"/>
  <c r="Q898" i="1"/>
  <c r="R898" i="1" s="1"/>
  <c r="F899" i="1"/>
  <c r="T898" i="1" l="1"/>
  <c r="U898" i="1" s="1"/>
  <c r="P898" i="1"/>
  <c r="G899" i="1"/>
  <c r="H899" i="1" l="1"/>
  <c r="I899" i="1" s="1"/>
  <c r="J899" i="1" s="1"/>
  <c r="M899" i="1" l="1" a="1"/>
  <c r="M899" i="1" s="1"/>
  <c r="L899" i="1" a="1"/>
  <c r="L899" i="1" s="1"/>
  <c r="V899" i="1" s="1"/>
  <c r="W899" i="1" s="1"/>
  <c r="Q899" i="1"/>
  <c r="R899" i="1" s="1"/>
  <c r="K899" i="1"/>
  <c r="F900" i="1"/>
  <c r="T899" i="1" l="1"/>
  <c r="U899" i="1" s="1"/>
  <c r="P899" i="1"/>
  <c r="G900" i="1"/>
  <c r="H900" i="1" l="1"/>
  <c r="I900" i="1" s="1"/>
  <c r="J900" i="1" s="1"/>
  <c r="L900" i="1" l="1" a="1"/>
  <c r="L900" i="1" s="1"/>
  <c r="V900" i="1" s="1"/>
  <c r="W900" i="1" s="1"/>
  <c r="M900" i="1" a="1"/>
  <c r="M900" i="1" s="1"/>
  <c r="K900" i="1"/>
  <c r="Q900" i="1"/>
  <c r="R900" i="1" s="1"/>
  <c r="F901" i="1"/>
  <c r="T900" i="1" l="1"/>
  <c r="U900" i="1" s="1"/>
  <c r="P900" i="1"/>
  <c r="G901" i="1"/>
  <c r="H901" i="1" l="1"/>
  <c r="I901" i="1" s="1"/>
  <c r="J901" i="1" s="1"/>
  <c r="M901" i="1" l="1" a="1"/>
  <c r="M901" i="1" s="1"/>
  <c r="L901" i="1" a="1"/>
  <c r="L901" i="1" s="1"/>
  <c r="V901" i="1" s="1"/>
  <c r="W901" i="1" s="1"/>
  <c r="Q901" i="1"/>
  <c r="R901" i="1" s="1"/>
  <c r="K901" i="1"/>
  <c r="F902" i="1"/>
  <c r="P901" i="1" l="1"/>
  <c r="T901" i="1"/>
  <c r="U901" i="1" s="1"/>
  <c r="G902" i="1"/>
  <c r="H902" i="1" l="1"/>
  <c r="I902" i="1" s="1"/>
  <c r="J902" i="1" s="1"/>
  <c r="M902" i="1" l="1" a="1"/>
  <c r="M902" i="1" s="1"/>
  <c r="L902" i="1" a="1"/>
  <c r="L902" i="1" s="1"/>
  <c r="V902" i="1" s="1"/>
  <c r="W902" i="1" s="1"/>
  <c r="Q902" i="1"/>
  <c r="R902" i="1" s="1"/>
  <c r="K902" i="1"/>
  <c r="F903" i="1"/>
  <c r="T902" i="1" l="1"/>
  <c r="U902" i="1" s="1"/>
  <c r="P902" i="1"/>
  <c r="G903" i="1"/>
  <c r="H903" i="1" l="1"/>
  <c r="I903" i="1" s="1"/>
  <c r="J903" i="1" s="1"/>
  <c r="M903" i="1" l="1" a="1"/>
  <c r="M903" i="1" s="1"/>
  <c r="P903" i="1" s="1"/>
  <c r="L903" i="1" a="1"/>
  <c r="L903" i="1" s="1"/>
  <c r="V903" i="1" s="1"/>
  <c r="W903" i="1" s="1"/>
  <c r="K903" i="1"/>
  <c r="Q903" i="1"/>
  <c r="R903" i="1" s="1"/>
  <c r="F904" i="1"/>
  <c r="T903" i="1" l="1"/>
  <c r="U903" i="1" s="1"/>
  <c r="G904" i="1"/>
  <c r="H904" i="1" s="1"/>
  <c r="I904" i="1" s="1"/>
  <c r="J904" i="1" s="1"/>
  <c r="F905" i="1" l="1"/>
  <c r="G905" i="1" s="1"/>
  <c r="M904" i="1" a="1"/>
  <c r="M904" i="1" s="1"/>
  <c r="L904" i="1" a="1"/>
  <c r="L904" i="1" s="1"/>
  <c r="V904" i="1" s="1"/>
  <c r="W904" i="1" s="1"/>
  <c r="Q904" i="1"/>
  <c r="R904" i="1" s="1"/>
  <c r="K904" i="1"/>
  <c r="P904" i="1" l="1"/>
  <c r="T904" i="1"/>
  <c r="U904" i="1" s="1"/>
  <c r="H905" i="1"/>
  <c r="I905" i="1" s="1"/>
  <c r="J905" i="1" s="1"/>
  <c r="M905" i="1" l="1" a="1"/>
  <c r="M905" i="1" s="1"/>
  <c r="L905" i="1" a="1"/>
  <c r="L905" i="1" s="1"/>
  <c r="V905" i="1" s="1"/>
  <c r="W905" i="1" s="1"/>
  <c r="Q905" i="1"/>
  <c r="R905" i="1" s="1"/>
  <c r="K905" i="1"/>
  <c r="F906" i="1"/>
  <c r="T905" i="1" l="1"/>
  <c r="U905" i="1" s="1"/>
  <c r="P905" i="1"/>
  <c r="G906" i="1"/>
  <c r="H906" i="1" l="1"/>
  <c r="I906" i="1" s="1"/>
  <c r="J906" i="1" s="1"/>
  <c r="M906" i="1" l="1" a="1"/>
  <c r="M906" i="1" s="1"/>
  <c r="L906" i="1" a="1"/>
  <c r="L906" i="1" s="1"/>
  <c r="V906" i="1" s="1"/>
  <c r="W906" i="1" s="1"/>
  <c r="Q906" i="1"/>
  <c r="R906" i="1" s="1"/>
  <c r="K906" i="1"/>
  <c r="F907" i="1"/>
  <c r="P906" i="1" l="1"/>
  <c r="T906" i="1"/>
  <c r="U906" i="1" s="1"/>
  <c r="G907" i="1"/>
  <c r="H907" i="1" l="1"/>
  <c r="I907" i="1" s="1"/>
  <c r="J907" i="1" s="1"/>
  <c r="M907" i="1" l="1" a="1"/>
  <c r="M907" i="1" s="1"/>
  <c r="L907" i="1" a="1"/>
  <c r="L907" i="1" s="1"/>
  <c r="V907" i="1" s="1"/>
  <c r="W907" i="1" s="1"/>
  <c r="Q907" i="1"/>
  <c r="R907" i="1" s="1"/>
  <c r="K907" i="1"/>
  <c r="F908" i="1"/>
  <c r="T907" i="1" l="1"/>
  <c r="U907" i="1" s="1"/>
  <c r="P907" i="1"/>
  <c r="G908" i="1"/>
  <c r="H908" i="1" l="1"/>
  <c r="I908" i="1" s="1"/>
  <c r="J908" i="1" s="1"/>
  <c r="M908" i="1" l="1" a="1"/>
  <c r="M908" i="1" s="1"/>
  <c r="L908" i="1" a="1"/>
  <c r="L908" i="1" s="1"/>
  <c r="V908" i="1" s="1"/>
  <c r="W908" i="1" s="1"/>
  <c r="K908" i="1"/>
  <c r="Q908" i="1"/>
  <c r="R908" i="1" s="1"/>
  <c r="F909" i="1"/>
  <c r="P908" i="1" l="1"/>
  <c r="T908" i="1"/>
  <c r="U908" i="1" s="1"/>
  <c r="G909" i="1"/>
  <c r="H909" i="1" l="1"/>
  <c r="I909" i="1" s="1"/>
  <c r="J909" i="1" s="1"/>
  <c r="M909" i="1" l="1" a="1"/>
  <c r="M909" i="1" s="1"/>
  <c r="L909" i="1" a="1"/>
  <c r="L909" i="1" s="1"/>
  <c r="V909" i="1" s="1"/>
  <c r="W909" i="1" s="1"/>
  <c r="K909" i="1"/>
  <c r="Q909" i="1"/>
  <c r="R909" i="1" s="1"/>
  <c r="F910" i="1"/>
  <c r="P909" i="1" l="1"/>
  <c r="T909" i="1"/>
  <c r="U909" i="1" s="1"/>
  <c r="G910" i="1"/>
  <c r="H910" i="1" l="1"/>
  <c r="I910" i="1" s="1"/>
  <c r="J910" i="1" s="1"/>
  <c r="M910" i="1" l="1" a="1"/>
  <c r="M910" i="1" s="1"/>
  <c r="L910" i="1" a="1"/>
  <c r="L910" i="1" s="1"/>
  <c r="V910" i="1" s="1"/>
  <c r="W910" i="1" s="1"/>
  <c r="K910" i="1"/>
  <c r="Q910" i="1"/>
  <c r="R910" i="1" s="1"/>
  <c r="F911" i="1"/>
  <c r="T910" i="1" l="1"/>
  <c r="U910" i="1" s="1"/>
  <c r="P910" i="1"/>
  <c r="G911" i="1"/>
  <c r="H911" i="1" l="1"/>
  <c r="I911" i="1" s="1"/>
  <c r="J911" i="1" s="1"/>
  <c r="M911" i="1" l="1" a="1"/>
  <c r="M911" i="1" s="1"/>
  <c r="P911" i="1" s="1"/>
  <c r="L911" i="1" a="1"/>
  <c r="L911" i="1" s="1"/>
  <c r="V911" i="1" s="1"/>
  <c r="W911" i="1" s="1"/>
  <c r="Q911" i="1"/>
  <c r="R911" i="1" s="1"/>
  <c r="K911" i="1"/>
  <c r="F912" i="1"/>
  <c r="T911" i="1" l="1"/>
  <c r="U911" i="1" s="1"/>
  <c r="G912" i="1"/>
  <c r="H912" i="1" l="1"/>
  <c r="I912" i="1" s="1"/>
  <c r="J912" i="1" s="1"/>
  <c r="M912" i="1" l="1" a="1"/>
  <c r="M912" i="1" s="1"/>
  <c r="T912" i="1" s="1"/>
  <c r="U912" i="1" s="1"/>
  <c r="L912" i="1" a="1"/>
  <c r="L912" i="1" s="1"/>
  <c r="V912" i="1" s="1"/>
  <c r="W912" i="1" s="1"/>
  <c r="K912" i="1"/>
  <c r="Q912" i="1"/>
  <c r="R912" i="1" s="1"/>
  <c r="F913" i="1"/>
  <c r="P912" i="1" l="1"/>
  <c r="G913" i="1"/>
  <c r="H913" i="1" l="1"/>
  <c r="I913" i="1" s="1"/>
  <c r="J913" i="1" s="1"/>
  <c r="M913" i="1" l="1" a="1"/>
  <c r="M913" i="1" s="1"/>
  <c r="P913" i="1" s="1"/>
  <c r="L913" i="1" a="1"/>
  <c r="L913" i="1" s="1"/>
  <c r="V913" i="1" s="1"/>
  <c r="W913" i="1" s="1"/>
  <c r="Q913" i="1"/>
  <c r="R913" i="1" s="1"/>
  <c r="K913" i="1"/>
  <c r="F914" i="1"/>
  <c r="T913" i="1" l="1"/>
  <c r="U913" i="1" s="1"/>
  <c r="G914" i="1"/>
  <c r="H914" i="1" l="1"/>
  <c r="I914" i="1" s="1"/>
  <c r="J914" i="1" s="1"/>
  <c r="L914" i="1" l="1" a="1"/>
  <c r="L914" i="1" s="1"/>
  <c r="V914" i="1" s="1"/>
  <c r="W914" i="1" s="1"/>
  <c r="M914" i="1" a="1"/>
  <c r="M914" i="1" s="1"/>
  <c r="Q914" i="1"/>
  <c r="R914" i="1" s="1"/>
  <c r="K914" i="1"/>
  <c r="F915" i="1"/>
  <c r="T914" i="1" l="1"/>
  <c r="U914" i="1" s="1"/>
  <c r="P914" i="1"/>
  <c r="G915" i="1"/>
  <c r="H915" i="1" l="1"/>
  <c r="I915" i="1" s="1"/>
  <c r="J915" i="1" s="1"/>
  <c r="M915" i="1" l="1" a="1"/>
  <c r="M915" i="1" s="1"/>
  <c r="L915" i="1" a="1"/>
  <c r="L915" i="1" s="1"/>
  <c r="V915" i="1" s="1"/>
  <c r="W915" i="1" s="1"/>
  <c r="K915" i="1"/>
  <c r="Q915" i="1"/>
  <c r="R915" i="1" s="1"/>
  <c r="F916" i="1"/>
  <c r="P915" i="1" l="1"/>
  <c r="T915" i="1"/>
  <c r="U915" i="1" s="1"/>
  <c r="G916" i="1"/>
  <c r="H916" i="1" l="1"/>
  <c r="I916" i="1" s="1"/>
  <c r="J916" i="1" s="1"/>
  <c r="L916" i="1" l="1" a="1"/>
  <c r="L916" i="1" s="1"/>
  <c r="V916" i="1" s="1"/>
  <c r="W916" i="1" s="1"/>
  <c r="M916" i="1" a="1"/>
  <c r="M916" i="1" s="1"/>
  <c r="Q916" i="1"/>
  <c r="R916" i="1" s="1"/>
  <c r="K916" i="1"/>
  <c r="F917" i="1"/>
  <c r="P916" i="1" l="1"/>
  <c r="T916" i="1"/>
  <c r="U916" i="1" s="1"/>
  <c r="G917" i="1"/>
  <c r="H917" i="1" l="1"/>
  <c r="I917" i="1" s="1"/>
  <c r="J917" i="1" s="1"/>
  <c r="M917" i="1" l="1" a="1"/>
  <c r="M917" i="1" s="1"/>
  <c r="L917" i="1" a="1"/>
  <c r="L917" i="1" s="1"/>
  <c r="V917" i="1" s="1"/>
  <c r="W917" i="1" s="1"/>
  <c r="K917" i="1"/>
  <c r="Q917" i="1"/>
  <c r="R917" i="1" s="1"/>
  <c r="F918" i="1"/>
  <c r="P917" i="1" l="1"/>
  <c r="T917" i="1"/>
  <c r="U917" i="1" s="1"/>
  <c r="G918" i="1"/>
  <c r="H918" i="1" l="1"/>
  <c r="I918" i="1" s="1"/>
  <c r="J918" i="1" s="1"/>
  <c r="M918" i="1" l="1" a="1"/>
  <c r="M918" i="1" s="1"/>
  <c r="L918" i="1" a="1"/>
  <c r="L918" i="1" s="1"/>
  <c r="V918" i="1" s="1"/>
  <c r="W918" i="1" s="1"/>
  <c r="Q918" i="1"/>
  <c r="R918" i="1" s="1"/>
  <c r="K918" i="1"/>
  <c r="F919" i="1"/>
  <c r="T918" i="1" l="1"/>
  <c r="U918" i="1" s="1"/>
  <c r="P918" i="1"/>
  <c r="G919" i="1"/>
  <c r="H919" i="1" l="1"/>
  <c r="I919" i="1" s="1"/>
  <c r="J919" i="1" s="1"/>
  <c r="M919" i="1" l="1" a="1"/>
  <c r="M919" i="1" s="1"/>
  <c r="T919" i="1" s="1"/>
  <c r="U919" i="1" s="1"/>
  <c r="L919" i="1" a="1"/>
  <c r="L919" i="1" s="1"/>
  <c r="V919" i="1" s="1"/>
  <c r="W919" i="1" s="1"/>
  <c r="Q919" i="1"/>
  <c r="R919" i="1" s="1"/>
  <c r="K919" i="1"/>
  <c r="F920" i="1"/>
  <c r="P919" i="1" l="1"/>
  <c r="G920" i="1"/>
  <c r="H920" i="1" l="1"/>
  <c r="I920" i="1" s="1"/>
  <c r="J920" i="1" s="1"/>
  <c r="M920" i="1" l="1" a="1"/>
  <c r="M920" i="1" s="1"/>
  <c r="L920" i="1" a="1"/>
  <c r="L920" i="1" s="1"/>
  <c r="V920" i="1" s="1"/>
  <c r="W920" i="1" s="1"/>
  <c r="Q920" i="1"/>
  <c r="R920" i="1" s="1"/>
  <c r="K920" i="1"/>
  <c r="F921" i="1"/>
  <c r="P920" i="1" l="1"/>
  <c r="T920" i="1"/>
  <c r="U920" i="1" s="1"/>
  <c r="G921" i="1"/>
  <c r="H921" i="1" l="1"/>
  <c r="I921" i="1" s="1"/>
  <c r="J921" i="1" s="1"/>
  <c r="M921" i="1" l="1" a="1"/>
  <c r="M921" i="1" s="1"/>
  <c r="P921" i="1" s="1"/>
  <c r="L921" i="1" a="1"/>
  <c r="L921" i="1" s="1"/>
  <c r="V921" i="1" s="1"/>
  <c r="W921" i="1" s="1"/>
  <c r="Q921" i="1"/>
  <c r="R921" i="1" s="1"/>
  <c r="K921" i="1"/>
  <c r="F922" i="1"/>
  <c r="T921" i="1" l="1"/>
  <c r="U921" i="1" s="1"/>
  <c r="G922" i="1"/>
  <c r="H922" i="1" s="1"/>
  <c r="I922" i="1" s="1"/>
  <c r="J922" i="1" s="1"/>
  <c r="F923" i="1" l="1"/>
  <c r="G923" i="1" s="1"/>
  <c r="M922" i="1" a="1"/>
  <c r="M922" i="1" s="1"/>
  <c r="L922" i="1" a="1"/>
  <c r="L922" i="1" s="1"/>
  <c r="V922" i="1" s="1"/>
  <c r="W922" i="1" s="1"/>
  <c r="K922" i="1"/>
  <c r="Q922" i="1"/>
  <c r="R922" i="1" s="1"/>
  <c r="T922" i="1" l="1"/>
  <c r="U922" i="1" s="1"/>
  <c r="P922" i="1"/>
  <c r="H923" i="1"/>
  <c r="I923" i="1" s="1"/>
  <c r="J923" i="1" s="1"/>
  <c r="M923" i="1" l="1" a="1"/>
  <c r="M923" i="1" s="1"/>
  <c r="T923" i="1" s="1"/>
  <c r="U923" i="1" s="1"/>
  <c r="L923" i="1" a="1"/>
  <c r="L923" i="1" s="1"/>
  <c r="V923" i="1" s="1"/>
  <c r="W923" i="1" s="1"/>
  <c r="Q923" i="1"/>
  <c r="R923" i="1" s="1"/>
  <c r="K923" i="1"/>
  <c r="F924" i="1"/>
  <c r="P923" i="1" l="1"/>
  <c r="G924" i="1"/>
  <c r="H924" i="1" s="1"/>
  <c r="I924" i="1" s="1"/>
  <c r="J924" i="1" s="1"/>
  <c r="F925" i="1" l="1"/>
  <c r="G925" i="1" s="1"/>
  <c r="M924" i="1" a="1"/>
  <c r="M924" i="1" s="1"/>
  <c r="L924" i="1" a="1"/>
  <c r="L924" i="1" s="1"/>
  <c r="V924" i="1" s="1"/>
  <c r="W924" i="1" s="1"/>
  <c r="K924" i="1"/>
  <c r="Q924" i="1"/>
  <c r="R924" i="1" s="1"/>
  <c r="P924" i="1" l="1"/>
  <c r="T924" i="1"/>
  <c r="U924" i="1" s="1"/>
  <c r="H925" i="1"/>
  <c r="I925" i="1" s="1"/>
  <c r="J925" i="1" s="1"/>
  <c r="M925" i="1" l="1" a="1"/>
  <c r="M925" i="1" s="1"/>
  <c r="L925" i="1" a="1"/>
  <c r="L925" i="1" s="1"/>
  <c r="V925" i="1" s="1"/>
  <c r="W925" i="1" s="1"/>
  <c r="K925" i="1"/>
  <c r="Q925" i="1"/>
  <c r="R925" i="1" s="1"/>
  <c r="F926" i="1"/>
  <c r="T925" i="1" l="1"/>
  <c r="U925" i="1" s="1"/>
  <c r="P925" i="1"/>
  <c r="G926" i="1"/>
  <c r="H926" i="1" l="1"/>
  <c r="I926" i="1" s="1"/>
  <c r="J926" i="1" s="1"/>
  <c r="M926" i="1" l="1" a="1"/>
  <c r="M926" i="1" s="1"/>
  <c r="L926" i="1" a="1"/>
  <c r="L926" i="1" s="1"/>
  <c r="V926" i="1" s="1"/>
  <c r="W926" i="1" s="1"/>
  <c r="Q926" i="1"/>
  <c r="R926" i="1" s="1"/>
  <c r="K926" i="1"/>
  <c r="F927" i="1"/>
  <c r="P926" i="1" l="1"/>
  <c r="T926" i="1"/>
  <c r="U926" i="1" s="1"/>
  <c r="G927" i="1"/>
  <c r="H927" i="1" l="1"/>
  <c r="I927" i="1" s="1"/>
  <c r="J927" i="1" s="1"/>
  <c r="L927" i="1" l="1" a="1"/>
  <c r="L927" i="1" s="1"/>
  <c r="V927" i="1" s="1"/>
  <c r="W927" i="1" s="1"/>
  <c r="M927" i="1" a="1"/>
  <c r="M927" i="1" s="1"/>
  <c r="K927" i="1"/>
  <c r="Q927" i="1"/>
  <c r="R927" i="1" s="1"/>
  <c r="F928" i="1"/>
  <c r="P927" i="1" l="1"/>
  <c r="T927" i="1"/>
  <c r="U927" i="1" s="1"/>
  <c r="G928" i="1"/>
  <c r="H928" i="1" l="1"/>
  <c r="I928" i="1" s="1"/>
  <c r="J928" i="1" s="1"/>
  <c r="M928" i="1" l="1" a="1"/>
  <c r="M928" i="1" s="1"/>
  <c r="L928" i="1" a="1"/>
  <c r="L928" i="1" s="1"/>
  <c r="V928" i="1" s="1"/>
  <c r="W928" i="1" s="1"/>
  <c r="Q928" i="1"/>
  <c r="R928" i="1" s="1"/>
  <c r="K928" i="1"/>
  <c r="F929" i="1"/>
  <c r="P928" i="1" l="1"/>
  <c r="T928" i="1"/>
  <c r="U928" i="1" s="1"/>
  <c r="G929" i="1"/>
  <c r="H929" i="1" l="1"/>
  <c r="I929" i="1" s="1"/>
  <c r="J929" i="1" s="1"/>
  <c r="M929" i="1" l="1" a="1"/>
  <c r="M929" i="1" s="1"/>
  <c r="L929" i="1" a="1"/>
  <c r="L929" i="1" s="1"/>
  <c r="V929" i="1" s="1"/>
  <c r="W929" i="1" s="1"/>
  <c r="K929" i="1"/>
  <c r="Q929" i="1"/>
  <c r="R929" i="1" s="1"/>
  <c r="F930" i="1"/>
  <c r="P929" i="1" l="1"/>
  <c r="T929" i="1"/>
  <c r="U929" i="1" s="1"/>
  <c r="G930" i="1"/>
  <c r="H930" i="1" l="1"/>
  <c r="I930" i="1" s="1"/>
  <c r="J930" i="1" s="1"/>
  <c r="L930" i="1" l="1" a="1"/>
  <c r="L930" i="1" s="1"/>
  <c r="V930" i="1" s="1"/>
  <c r="W930" i="1" s="1"/>
  <c r="M930" i="1" a="1"/>
  <c r="M930" i="1" s="1"/>
  <c r="Q930" i="1"/>
  <c r="R930" i="1" s="1"/>
  <c r="K930" i="1"/>
  <c r="F931" i="1"/>
  <c r="P930" i="1" l="1"/>
  <c r="T930" i="1"/>
  <c r="U930" i="1" s="1"/>
  <c r="G931" i="1"/>
  <c r="H931" i="1" l="1"/>
  <c r="I931" i="1" s="1"/>
  <c r="J931" i="1" s="1"/>
  <c r="L931" i="1" l="1" a="1"/>
  <c r="L931" i="1" s="1"/>
  <c r="V931" i="1" s="1"/>
  <c r="W931" i="1" s="1"/>
  <c r="M931" i="1" a="1"/>
  <c r="M931" i="1" s="1"/>
  <c r="K931" i="1"/>
  <c r="Q931" i="1"/>
  <c r="R931" i="1" s="1"/>
  <c r="F932" i="1"/>
  <c r="T931" i="1" l="1"/>
  <c r="U931" i="1" s="1"/>
  <c r="P931" i="1"/>
  <c r="G932" i="1"/>
  <c r="H932" i="1" l="1"/>
  <c r="I932" i="1" s="1"/>
  <c r="J932" i="1" s="1"/>
  <c r="M932" i="1" l="1" a="1"/>
  <c r="M932" i="1" s="1"/>
  <c r="L932" i="1" a="1"/>
  <c r="L932" i="1" s="1"/>
  <c r="V932" i="1" s="1"/>
  <c r="W932" i="1" s="1"/>
  <c r="Q932" i="1"/>
  <c r="R932" i="1" s="1"/>
  <c r="K932" i="1"/>
  <c r="F933" i="1"/>
  <c r="T932" i="1" l="1"/>
  <c r="U932" i="1" s="1"/>
  <c r="P932" i="1"/>
  <c r="G933" i="1"/>
  <c r="H933" i="1" l="1"/>
  <c r="I933" i="1" s="1"/>
  <c r="J933" i="1" s="1"/>
  <c r="M933" i="1" l="1" a="1"/>
  <c r="M933" i="1" s="1"/>
  <c r="T933" i="1" s="1"/>
  <c r="U933" i="1" s="1"/>
  <c r="L933" i="1" a="1"/>
  <c r="L933" i="1" s="1"/>
  <c r="V933" i="1" s="1"/>
  <c r="W933" i="1" s="1"/>
  <c r="Q933" i="1"/>
  <c r="R933" i="1" s="1"/>
  <c r="K933" i="1"/>
  <c r="F934" i="1"/>
  <c r="P933" i="1" l="1"/>
  <c r="G934" i="1"/>
  <c r="H934" i="1" s="1"/>
  <c r="I934" i="1" s="1"/>
  <c r="J934" i="1" s="1"/>
  <c r="F935" i="1" l="1"/>
  <c r="G935" i="1" s="1"/>
  <c r="M934" i="1" a="1"/>
  <c r="M934" i="1" s="1"/>
  <c r="L934" i="1" a="1"/>
  <c r="L934" i="1" s="1"/>
  <c r="V934" i="1" s="1"/>
  <c r="W934" i="1" s="1"/>
  <c r="Q934" i="1"/>
  <c r="R934" i="1" s="1"/>
  <c r="K934" i="1"/>
  <c r="T934" i="1" l="1"/>
  <c r="U934" i="1" s="1"/>
  <c r="P934" i="1"/>
  <c r="H935" i="1"/>
  <c r="I935" i="1" s="1"/>
  <c r="J935" i="1" s="1"/>
  <c r="M935" i="1" l="1" a="1"/>
  <c r="M935" i="1" s="1"/>
  <c r="L935" i="1" a="1"/>
  <c r="L935" i="1" s="1"/>
  <c r="V935" i="1" s="1"/>
  <c r="W935" i="1" s="1"/>
  <c r="K935" i="1"/>
  <c r="Q935" i="1"/>
  <c r="R935" i="1" s="1"/>
  <c r="F936" i="1"/>
  <c r="T935" i="1" l="1"/>
  <c r="U935" i="1" s="1"/>
  <c r="P935" i="1"/>
  <c r="G936" i="1"/>
  <c r="H936" i="1" l="1"/>
  <c r="I936" i="1" s="1"/>
  <c r="J936" i="1" s="1"/>
  <c r="M936" i="1" l="1" a="1"/>
  <c r="M936" i="1" s="1"/>
  <c r="L936" i="1" a="1"/>
  <c r="L936" i="1" s="1"/>
  <c r="V936" i="1" s="1"/>
  <c r="W936" i="1" s="1"/>
  <c r="Q936" i="1"/>
  <c r="R936" i="1" s="1"/>
  <c r="K936" i="1"/>
  <c r="F937" i="1"/>
  <c r="T936" i="1" l="1"/>
  <c r="U936" i="1" s="1"/>
  <c r="P936" i="1"/>
  <c r="G937" i="1"/>
  <c r="H937" i="1" l="1"/>
  <c r="I937" i="1" s="1"/>
  <c r="J937" i="1" s="1"/>
  <c r="L937" i="1" l="1" a="1"/>
  <c r="L937" i="1" s="1"/>
  <c r="V937" i="1" s="1"/>
  <c r="W937" i="1" s="1"/>
  <c r="M937" i="1" a="1"/>
  <c r="M937" i="1" s="1"/>
  <c r="K937" i="1"/>
  <c r="Q937" i="1"/>
  <c r="R937" i="1" s="1"/>
  <c r="F938" i="1"/>
  <c r="T937" i="1" l="1"/>
  <c r="U937" i="1" s="1"/>
  <c r="P937" i="1"/>
  <c r="G938" i="1"/>
  <c r="H938" i="1" l="1"/>
  <c r="I938" i="1" s="1"/>
  <c r="J938" i="1" s="1"/>
  <c r="M938" i="1" l="1" a="1"/>
  <c r="M938" i="1" s="1"/>
  <c r="T938" i="1" s="1"/>
  <c r="U938" i="1" s="1"/>
  <c r="L938" i="1" a="1"/>
  <c r="L938" i="1" s="1"/>
  <c r="V938" i="1" s="1"/>
  <c r="W938" i="1" s="1"/>
  <c r="K938" i="1"/>
  <c r="Q938" i="1"/>
  <c r="R938" i="1" s="1"/>
  <c r="F939" i="1"/>
  <c r="P938" i="1" l="1"/>
  <c r="G939" i="1"/>
  <c r="H939" i="1" s="1"/>
  <c r="I939" i="1" s="1"/>
  <c r="J939" i="1" s="1"/>
  <c r="F940" i="1" l="1"/>
  <c r="G940" i="1" s="1"/>
  <c r="M939" i="1" a="1"/>
  <c r="M939" i="1" s="1"/>
  <c r="L939" i="1" a="1"/>
  <c r="L939" i="1" s="1"/>
  <c r="V939" i="1" s="1"/>
  <c r="W939" i="1" s="1"/>
  <c r="K939" i="1"/>
  <c r="Q939" i="1"/>
  <c r="R939" i="1" s="1"/>
  <c r="T939" i="1" l="1"/>
  <c r="U939" i="1" s="1"/>
  <c r="P939" i="1"/>
  <c r="H940" i="1"/>
  <c r="I940" i="1" s="1"/>
  <c r="J940" i="1" s="1"/>
  <c r="M940" i="1" l="1" a="1"/>
  <c r="M940" i="1" s="1"/>
  <c r="L940" i="1" a="1"/>
  <c r="L940" i="1" s="1"/>
  <c r="V940" i="1" s="1"/>
  <c r="W940" i="1" s="1"/>
  <c r="K940" i="1"/>
  <c r="Q940" i="1"/>
  <c r="R940" i="1" s="1"/>
  <c r="F941" i="1"/>
  <c r="P940" i="1" l="1"/>
  <c r="T940" i="1"/>
  <c r="U940" i="1" s="1"/>
  <c r="G941" i="1"/>
  <c r="H941" i="1" l="1"/>
  <c r="I941" i="1" s="1"/>
  <c r="J941" i="1" s="1"/>
  <c r="M941" i="1" l="1" a="1"/>
  <c r="M941" i="1" s="1"/>
  <c r="L941" i="1" a="1"/>
  <c r="L941" i="1" s="1"/>
  <c r="V941" i="1" s="1"/>
  <c r="W941" i="1" s="1"/>
  <c r="K941" i="1"/>
  <c r="Q941" i="1"/>
  <c r="R941" i="1" s="1"/>
  <c r="F942" i="1"/>
  <c r="P941" i="1" l="1"/>
  <c r="T941" i="1"/>
  <c r="U941" i="1" s="1"/>
  <c r="G942" i="1"/>
  <c r="H942" i="1" l="1"/>
  <c r="I942" i="1" s="1"/>
  <c r="J942" i="1" s="1"/>
  <c r="M942" i="1" l="1" a="1"/>
  <c r="M942" i="1" s="1"/>
  <c r="T942" i="1" s="1"/>
  <c r="U942" i="1" s="1"/>
  <c r="L942" i="1" a="1"/>
  <c r="L942" i="1" s="1"/>
  <c r="V942" i="1" s="1"/>
  <c r="W942" i="1" s="1"/>
  <c r="Q942" i="1"/>
  <c r="R942" i="1" s="1"/>
  <c r="K942" i="1"/>
  <c r="F943" i="1"/>
  <c r="P942" i="1" l="1"/>
  <c r="G943" i="1"/>
  <c r="H943" i="1" l="1"/>
  <c r="I943" i="1" s="1"/>
  <c r="J943" i="1" s="1"/>
  <c r="M943" i="1" l="1" a="1"/>
  <c r="M943" i="1" s="1"/>
  <c r="P943" i="1" s="1"/>
  <c r="L943" i="1" a="1"/>
  <c r="L943" i="1" s="1"/>
  <c r="V943" i="1" s="1"/>
  <c r="W943" i="1" s="1"/>
  <c r="Q943" i="1"/>
  <c r="R943" i="1" s="1"/>
  <c r="K943" i="1"/>
  <c r="F944" i="1"/>
  <c r="T943" i="1" l="1"/>
  <c r="U943" i="1" s="1"/>
  <c r="G944" i="1"/>
  <c r="H944" i="1" l="1"/>
  <c r="I944" i="1" s="1"/>
  <c r="J944" i="1" s="1"/>
  <c r="M944" i="1" l="1" a="1"/>
  <c r="M944" i="1" s="1"/>
  <c r="L944" i="1" a="1"/>
  <c r="L944" i="1" s="1"/>
  <c r="V944" i="1" s="1"/>
  <c r="W944" i="1" s="1"/>
  <c r="Q944" i="1"/>
  <c r="R944" i="1" s="1"/>
  <c r="K944" i="1"/>
  <c r="F945" i="1"/>
  <c r="T944" i="1" l="1"/>
  <c r="U944" i="1" s="1"/>
  <c r="P944" i="1"/>
  <c r="G945" i="1"/>
  <c r="H945" i="1" l="1"/>
  <c r="I945" i="1" s="1"/>
  <c r="J945" i="1" s="1"/>
  <c r="M945" i="1" l="1" a="1"/>
  <c r="M945" i="1" s="1"/>
  <c r="L945" i="1" a="1"/>
  <c r="L945" i="1" s="1"/>
  <c r="V945" i="1" s="1"/>
  <c r="W945" i="1" s="1"/>
  <c r="Q945" i="1"/>
  <c r="R945" i="1" s="1"/>
  <c r="K945" i="1"/>
  <c r="F946" i="1"/>
  <c r="P945" i="1" l="1"/>
  <c r="T945" i="1"/>
  <c r="U945" i="1" s="1"/>
  <c r="G946" i="1"/>
  <c r="H946" i="1" l="1"/>
  <c r="I946" i="1" s="1"/>
  <c r="J946" i="1" s="1"/>
  <c r="M946" i="1" l="1" a="1"/>
  <c r="M946" i="1" s="1"/>
  <c r="L946" i="1" a="1"/>
  <c r="L946" i="1" s="1"/>
  <c r="V946" i="1" s="1"/>
  <c r="W946" i="1" s="1"/>
  <c r="Q946" i="1"/>
  <c r="R946" i="1" s="1"/>
  <c r="K946" i="1"/>
  <c r="F947" i="1"/>
  <c r="T946" i="1" l="1"/>
  <c r="U946" i="1" s="1"/>
  <c r="P946" i="1"/>
  <c r="G947" i="1"/>
  <c r="H947" i="1" l="1"/>
  <c r="I947" i="1" s="1"/>
  <c r="J947" i="1" s="1"/>
  <c r="L947" i="1" l="1" a="1"/>
  <c r="L947" i="1" s="1"/>
  <c r="V947" i="1" s="1"/>
  <c r="W947" i="1" s="1"/>
  <c r="M947" i="1" a="1"/>
  <c r="M947" i="1" s="1"/>
  <c r="Q947" i="1"/>
  <c r="R947" i="1" s="1"/>
  <c r="K947" i="1"/>
  <c r="F948" i="1"/>
  <c r="P947" i="1" l="1"/>
  <c r="T947" i="1"/>
  <c r="U947" i="1" s="1"/>
  <c r="G948" i="1"/>
  <c r="H948" i="1" l="1"/>
  <c r="I948" i="1" s="1"/>
  <c r="J948" i="1" s="1"/>
  <c r="L948" i="1" l="1" a="1"/>
  <c r="L948" i="1" s="1"/>
  <c r="V948" i="1" s="1"/>
  <c r="W948" i="1" s="1"/>
  <c r="M948" i="1" a="1"/>
  <c r="M948" i="1" s="1"/>
  <c r="K948" i="1"/>
  <c r="Q948" i="1"/>
  <c r="R948" i="1" s="1"/>
  <c r="F949" i="1"/>
  <c r="P948" i="1" l="1"/>
  <c r="T948" i="1"/>
  <c r="U948" i="1" s="1"/>
  <c r="G949" i="1"/>
  <c r="H949" i="1" l="1"/>
  <c r="I949" i="1" s="1"/>
  <c r="J949" i="1" s="1"/>
  <c r="L949" i="1" l="1" a="1"/>
  <c r="L949" i="1" s="1"/>
  <c r="V949" i="1" s="1"/>
  <c r="W949" i="1" s="1"/>
  <c r="M949" i="1" a="1"/>
  <c r="M949" i="1" s="1"/>
  <c r="Q949" i="1"/>
  <c r="R949" i="1" s="1"/>
  <c r="K949" i="1"/>
  <c r="F950" i="1"/>
  <c r="T949" i="1" l="1"/>
  <c r="U949" i="1" s="1"/>
  <c r="P949" i="1"/>
  <c r="G950" i="1"/>
  <c r="H950" i="1" l="1"/>
  <c r="I950" i="1" s="1"/>
  <c r="J950" i="1" s="1"/>
  <c r="L950" i="1" l="1" a="1"/>
  <c r="L950" i="1" s="1"/>
  <c r="V950" i="1" s="1"/>
  <c r="W950" i="1" s="1"/>
  <c r="M950" i="1" a="1"/>
  <c r="M950" i="1" s="1"/>
  <c r="P950" i="1" s="1"/>
  <c r="Q950" i="1"/>
  <c r="R950" i="1" s="1"/>
  <c r="K950" i="1"/>
  <c r="F951" i="1"/>
  <c r="T950" i="1" l="1"/>
  <c r="U950" i="1" s="1"/>
  <c r="G951" i="1"/>
  <c r="H951" i="1" l="1"/>
  <c r="I951" i="1" s="1"/>
  <c r="J951" i="1" s="1"/>
  <c r="L951" i="1" l="1" a="1"/>
  <c r="L951" i="1" s="1"/>
  <c r="M951" i="1" a="1"/>
  <c r="M951" i="1" s="1"/>
  <c r="T951" i="1" s="1"/>
  <c r="U951" i="1" s="1"/>
  <c r="K951" i="1"/>
  <c r="Q951" i="1"/>
  <c r="R951" i="1" s="1"/>
  <c r="F952" i="1"/>
  <c r="P951" i="1" l="1"/>
  <c r="V951" i="1"/>
  <c r="W951" i="1" s="1"/>
  <c r="G952" i="1"/>
  <c r="H952" i="1" s="1"/>
  <c r="I952" i="1" s="1"/>
  <c r="J952" i="1" s="1"/>
  <c r="F953" i="1" l="1"/>
  <c r="G953" i="1" s="1"/>
  <c r="M952" i="1" a="1"/>
  <c r="M952" i="1" s="1"/>
  <c r="L952" i="1" a="1"/>
  <c r="L952" i="1" s="1"/>
  <c r="V952" i="1" s="1"/>
  <c r="W952" i="1" s="1"/>
  <c r="K952" i="1"/>
  <c r="Q952" i="1"/>
  <c r="R952" i="1" s="1"/>
  <c r="T952" i="1" l="1"/>
  <c r="U952" i="1" s="1"/>
  <c r="P952" i="1"/>
  <c r="H953" i="1"/>
  <c r="I953" i="1" s="1"/>
  <c r="J953" i="1" s="1"/>
  <c r="M953" i="1" l="1" a="1"/>
  <c r="M953" i="1" s="1"/>
  <c r="P953" i="1" s="1"/>
  <c r="L953" i="1" a="1"/>
  <c r="L953" i="1" s="1"/>
  <c r="V953" i="1" s="1"/>
  <c r="W953" i="1" s="1"/>
  <c r="K953" i="1"/>
  <c r="Q953" i="1"/>
  <c r="R953" i="1" s="1"/>
  <c r="F954" i="1"/>
  <c r="T953" i="1" l="1"/>
  <c r="U953" i="1" s="1"/>
  <c r="G954" i="1"/>
  <c r="H954" i="1" s="1"/>
  <c r="I954" i="1" s="1"/>
  <c r="J954" i="1" s="1"/>
  <c r="F955" i="1" l="1"/>
  <c r="G955" i="1" s="1"/>
  <c r="L954" i="1" a="1"/>
  <c r="L954" i="1" s="1"/>
  <c r="V954" i="1" s="1"/>
  <c r="W954" i="1" s="1"/>
  <c r="M954" i="1" a="1"/>
  <c r="M954" i="1" s="1"/>
  <c r="Q954" i="1"/>
  <c r="R954" i="1" s="1"/>
  <c r="K954" i="1"/>
  <c r="P954" i="1" l="1"/>
  <c r="T954" i="1"/>
  <c r="U954" i="1" s="1"/>
  <c r="H955" i="1"/>
  <c r="I955" i="1" s="1"/>
  <c r="J955" i="1" s="1"/>
  <c r="M955" i="1" l="1" a="1"/>
  <c r="M955" i="1" s="1"/>
  <c r="T955" i="1" s="1"/>
  <c r="U955" i="1" s="1"/>
  <c r="L955" i="1" a="1"/>
  <c r="L955" i="1" s="1"/>
  <c r="V955" i="1" s="1"/>
  <c r="W955" i="1" s="1"/>
  <c r="K955" i="1"/>
  <c r="Q955" i="1"/>
  <c r="R955" i="1" s="1"/>
  <c r="F956" i="1"/>
  <c r="P955" i="1" l="1"/>
  <c r="G956" i="1"/>
  <c r="H956" i="1" l="1"/>
  <c r="I956" i="1" s="1"/>
  <c r="J956" i="1" s="1"/>
  <c r="M956" i="1" l="1" a="1"/>
  <c r="M956" i="1" s="1"/>
  <c r="L956" i="1" a="1"/>
  <c r="L956" i="1" s="1"/>
  <c r="V956" i="1" s="1"/>
  <c r="W956" i="1" s="1"/>
  <c r="K956" i="1"/>
  <c r="Q956" i="1"/>
  <c r="R956" i="1" s="1"/>
  <c r="F957" i="1"/>
  <c r="T956" i="1" l="1"/>
  <c r="U956" i="1" s="1"/>
  <c r="P956" i="1"/>
  <c r="G957" i="1"/>
  <c r="H957" i="1" l="1"/>
  <c r="I957" i="1" s="1"/>
  <c r="J957" i="1" s="1"/>
  <c r="L957" i="1" l="1" a="1"/>
  <c r="L957" i="1" s="1"/>
  <c r="V957" i="1" s="1"/>
  <c r="W957" i="1" s="1"/>
  <c r="M957" i="1" a="1"/>
  <c r="M957" i="1" s="1"/>
  <c r="Q957" i="1"/>
  <c r="R957" i="1" s="1"/>
  <c r="K957" i="1"/>
  <c r="F958" i="1"/>
  <c r="T957" i="1" l="1"/>
  <c r="U957" i="1" s="1"/>
  <c r="P957" i="1"/>
  <c r="G958" i="1"/>
  <c r="H958" i="1" l="1"/>
  <c r="I958" i="1" s="1"/>
  <c r="J958" i="1" s="1"/>
  <c r="M958" i="1" l="1" a="1"/>
  <c r="M958" i="1" s="1"/>
  <c r="L958" i="1" a="1"/>
  <c r="L958" i="1" s="1"/>
  <c r="V958" i="1" s="1"/>
  <c r="W958" i="1" s="1"/>
  <c r="K958" i="1"/>
  <c r="Q958" i="1"/>
  <c r="R958" i="1" s="1"/>
  <c r="F959" i="1"/>
  <c r="T958" i="1" l="1"/>
  <c r="U958" i="1" s="1"/>
  <c r="P958" i="1"/>
  <c r="G959" i="1"/>
  <c r="H959" i="1" l="1"/>
  <c r="I959" i="1" s="1"/>
  <c r="J959" i="1" s="1"/>
  <c r="M959" i="1" l="1" a="1"/>
  <c r="M959" i="1" s="1"/>
  <c r="L959" i="1" a="1"/>
  <c r="L959" i="1" s="1"/>
  <c r="V959" i="1" s="1"/>
  <c r="W959" i="1" s="1"/>
  <c r="Q959" i="1"/>
  <c r="R959" i="1" s="1"/>
  <c r="K959" i="1"/>
  <c r="F960" i="1"/>
  <c r="P959" i="1" l="1"/>
  <c r="T959" i="1"/>
  <c r="U959" i="1" s="1"/>
  <c r="G960" i="1"/>
  <c r="H960" i="1" l="1"/>
  <c r="I960" i="1" s="1"/>
  <c r="J960" i="1" s="1"/>
  <c r="M960" i="1" l="1" a="1"/>
  <c r="M960" i="1" s="1"/>
  <c r="L960" i="1" a="1"/>
  <c r="L960" i="1" s="1"/>
  <c r="V960" i="1" s="1"/>
  <c r="W960" i="1" s="1"/>
  <c r="Q960" i="1"/>
  <c r="R960" i="1" s="1"/>
  <c r="K960" i="1"/>
  <c r="F961" i="1"/>
  <c r="P960" i="1" l="1"/>
  <c r="T960" i="1"/>
  <c r="U960" i="1" s="1"/>
  <c r="G961" i="1"/>
  <c r="H961" i="1" l="1"/>
  <c r="I961" i="1" s="1"/>
  <c r="J961" i="1" s="1"/>
  <c r="L961" i="1" l="1" a="1"/>
  <c r="L961" i="1" s="1"/>
  <c r="V961" i="1" s="1"/>
  <c r="W961" i="1" s="1"/>
  <c r="M961" i="1" a="1"/>
  <c r="M961" i="1" s="1"/>
  <c r="Q961" i="1"/>
  <c r="R961" i="1" s="1"/>
  <c r="K961" i="1"/>
  <c r="F962" i="1"/>
  <c r="T961" i="1" l="1"/>
  <c r="U961" i="1" s="1"/>
  <c r="P961" i="1"/>
  <c r="G962" i="1"/>
  <c r="H962" i="1" l="1"/>
  <c r="I962" i="1" s="1"/>
  <c r="J962" i="1" s="1"/>
  <c r="M962" i="1" l="1" a="1"/>
  <c r="M962" i="1" s="1"/>
  <c r="P962" i="1" s="1"/>
  <c r="L962" i="1" a="1"/>
  <c r="L962" i="1" s="1"/>
  <c r="V962" i="1" s="1"/>
  <c r="W962" i="1" s="1"/>
  <c r="K962" i="1"/>
  <c r="Q962" i="1"/>
  <c r="R962" i="1" s="1"/>
  <c r="F963" i="1"/>
  <c r="T962" i="1" l="1"/>
  <c r="U962" i="1" s="1"/>
  <c r="G963" i="1"/>
  <c r="H963" i="1" l="1"/>
  <c r="I963" i="1" s="1"/>
  <c r="J963" i="1" s="1"/>
  <c r="M963" i="1" l="1" a="1"/>
  <c r="M963" i="1" s="1"/>
  <c r="L963" i="1" a="1"/>
  <c r="L963" i="1" s="1"/>
  <c r="V963" i="1" s="1"/>
  <c r="W963" i="1" s="1"/>
  <c r="K963" i="1"/>
  <c r="Q963" i="1"/>
  <c r="R963" i="1" s="1"/>
  <c r="F964" i="1"/>
  <c r="P963" i="1" l="1"/>
  <c r="T963" i="1"/>
  <c r="U963" i="1" s="1"/>
  <c r="G964" i="1"/>
  <c r="H964" i="1" l="1"/>
  <c r="I964" i="1" s="1"/>
  <c r="J964" i="1" s="1"/>
  <c r="M964" i="1" l="1" a="1"/>
  <c r="M964" i="1" s="1"/>
  <c r="L964" i="1" a="1"/>
  <c r="L964" i="1" s="1"/>
  <c r="V964" i="1" s="1"/>
  <c r="W964" i="1" s="1"/>
  <c r="Q964" i="1"/>
  <c r="R964" i="1" s="1"/>
  <c r="K964" i="1"/>
  <c r="F965" i="1"/>
  <c r="P964" i="1" l="1"/>
  <c r="T964" i="1"/>
  <c r="U964" i="1" s="1"/>
  <c r="G965" i="1"/>
  <c r="H965" i="1" l="1"/>
  <c r="I965" i="1" s="1"/>
  <c r="J965" i="1" s="1"/>
  <c r="M965" i="1" l="1" a="1"/>
  <c r="M965" i="1" s="1"/>
  <c r="L965" i="1" a="1"/>
  <c r="L965" i="1" s="1"/>
  <c r="V965" i="1" s="1"/>
  <c r="W965" i="1" s="1"/>
  <c r="Q965" i="1"/>
  <c r="R965" i="1" s="1"/>
  <c r="K965" i="1"/>
  <c r="F966" i="1"/>
  <c r="T965" i="1" l="1"/>
  <c r="U965" i="1" s="1"/>
  <c r="P965" i="1"/>
  <c r="G966" i="1"/>
  <c r="H966" i="1" l="1"/>
  <c r="I966" i="1" s="1"/>
  <c r="J966" i="1" s="1"/>
  <c r="M966" i="1" l="1" a="1"/>
  <c r="M966" i="1" s="1"/>
  <c r="L966" i="1" a="1"/>
  <c r="L966" i="1" s="1"/>
  <c r="V966" i="1" s="1"/>
  <c r="W966" i="1" s="1"/>
  <c r="Q966" i="1"/>
  <c r="R966" i="1" s="1"/>
  <c r="K966" i="1"/>
  <c r="F967" i="1"/>
  <c r="P966" i="1" l="1"/>
  <c r="T966" i="1"/>
  <c r="U966" i="1" s="1"/>
  <c r="G967" i="1"/>
  <c r="H967" i="1" l="1"/>
  <c r="I967" i="1" s="1"/>
  <c r="J967" i="1" s="1"/>
  <c r="M967" i="1" l="1" a="1"/>
  <c r="M967" i="1" s="1"/>
  <c r="L967" i="1" a="1"/>
  <c r="L967" i="1" s="1"/>
  <c r="V967" i="1" s="1"/>
  <c r="W967" i="1" s="1"/>
  <c r="K967" i="1"/>
  <c r="Q967" i="1"/>
  <c r="R967" i="1" s="1"/>
  <c r="F968" i="1"/>
  <c r="P967" i="1" l="1"/>
  <c r="T967" i="1"/>
  <c r="U967" i="1" s="1"/>
  <c r="G968" i="1"/>
  <c r="H968" i="1" l="1"/>
  <c r="I968" i="1" s="1"/>
  <c r="J968" i="1" s="1"/>
  <c r="M968" i="1" l="1" a="1"/>
  <c r="M968" i="1" s="1"/>
  <c r="L968" i="1" a="1"/>
  <c r="L968" i="1" s="1"/>
  <c r="V968" i="1" s="1"/>
  <c r="W968" i="1" s="1"/>
  <c r="Q968" i="1"/>
  <c r="R968" i="1" s="1"/>
  <c r="K968" i="1"/>
  <c r="F969" i="1"/>
  <c r="T968" i="1" l="1"/>
  <c r="U968" i="1" s="1"/>
  <c r="P968" i="1"/>
  <c r="G969" i="1"/>
  <c r="H969" i="1" l="1"/>
  <c r="I969" i="1" s="1"/>
  <c r="J969" i="1" s="1"/>
  <c r="M969" i="1" l="1" a="1"/>
  <c r="M969" i="1" s="1"/>
  <c r="P969" i="1" s="1"/>
  <c r="L969" i="1" a="1"/>
  <c r="L969" i="1" s="1"/>
  <c r="Q969" i="1"/>
  <c r="R969" i="1" s="1"/>
  <c r="K969" i="1"/>
  <c r="F970" i="1"/>
  <c r="T969" i="1" l="1"/>
  <c r="U969" i="1" s="1"/>
  <c r="V969" i="1" s="1"/>
  <c r="W969" i="1" s="1"/>
  <c r="G970" i="1"/>
  <c r="H970" i="1" l="1"/>
  <c r="I970" i="1" s="1"/>
  <c r="J970" i="1" s="1"/>
  <c r="M970" i="1" l="1" a="1"/>
  <c r="M970" i="1" s="1"/>
  <c r="L970" i="1" a="1"/>
  <c r="L970" i="1" s="1"/>
  <c r="V970" i="1" s="1"/>
  <c r="W970" i="1" s="1"/>
  <c r="K970" i="1"/>
  <c r="Q970" i="1"/>
  <c r="R970" i="1" s="1"/>
  <c r="F971" i="1"/>
  <c r="T970" i="1" l="1"/>
  <c r="U970" i="1" s="1"/>
  <c r="P970" i="1"/>
  <c r="G971" i="1"/>
  <c r="H971" i="1" l="1"/>
  <c r="I971" i="1" s="1"/>
  <c r="J971" i="1" s="1"/>
  <c r="L971" i="1" l="1" a="1"/>
  <c r="L971" i="1" s="1"/>
  <c r="V971" i="1" s="1"/>
  <c r="W971" i="1" s="1"/>
  <c r="M971" i="1" a="1"/>
  <c r="M971" i="1" s="1"/>
  <c r="P971" i="1" s="1"/>
  <c r="K971" i="1"/>
  <c r="Q971" i="1"/>
  <c r="R971" i="1" s="1"/>
  <c r="F972" i="1"/>
  <c r="T971" i="1" l="1"/>
  <c r="U971" i="1" s="1"/>
  <c r="G972" i="1"/>
  <c r="H972" i="1" s="1"/>
  <c r="I972" i="1" s="1"/>
  <c r="J972" i="1" s="1"/>
  <c r="F973" i="1" l="1"/>
  <c r="G973" i="1" s="1"/>
  <c r="L972" i="1" a="1"/>
  <c r="L972" i="1" s="1"/>
  <c r="V972" i="1" s="1"/>
  <c r="W972" i="1" s="1"/>
  <c r="M972" i="1" a="1"/>
  <c r="M972" i="1" s="1"/>
  <c r="Q972" i="1"/>
  <c r="R972" i="1" s="1"/>
  <c r="K972" i="1"/>
  <c r="T972" i="1" l="1"/>
  <c r="U972" i="1" s="1"/>
  <c r="P972" i="1"/>
  <c r="H973" i="1"/>
  <c r="I973" i="1" s="1"/>
  <c r="J973" i="1" s="1"/>
  <c r="M973" i="1" l="1" a="1"/>
  <c r="M973" i="1" s="1"/>
  <c r="L973" i="1" a="1"/>
  <c r="L973" i="1" s="1"/>
  <c r="V973" i="1" s="1"/>
  <c r="W973" i="1" s="1"/>
  <c r="Q973" i="1"/>
  <c r="R973" i="1" s="1"/>
  <c r="K973" i="1"/>
  <c r="F974" i="1"/>
  <c r="P973" i="1" l="1"/>
  <c r="T973" i="1"/>
  <c r="U973" i="1" s="1"/>
  <c r="G974" i="1"/>
  <c r="H974" i="1" l="1"/>
  <c r="I974" i="1" s="1"/>
  <c r="J974" i="1" s="1"/>
  <c r="M974" i="1" l="1" a="1"/>
  <c r="M974" i="1" s="1"/>
  <c r="T974" i="1" s="1"/>
  <c r="U974" i="1" s="1"/>
  <c r="L974" i="1" a="1"/>
  <c r="L974" i="1" s="1"/>
  <c r="V974" i="1" s="1"/>
  <c r="W974" i="1" s="1"/>
  <c r="K974" i="1"/>
  <c r="Q974" i="1"/>
  <c r="R974" i="1" s="1"/>
  <c r="F975" i="1"/>
  <c r="P974" i="1" l="1"/>
  <c r="G975" i="1"/>
  <c r="H975" i="1" l="1"/>
  <c r="I975" i="1" s="1"/>
  <c r="J975" i="1" s="1"/>
  <c r="M975" i="1" l="1" a="1"/>
  <c r="M975" i="1" s="1"/>
  <c r="P975" i="1" s="1"/>
  <c r="L975" i="1" a="1"/>
  <c r="L975" i="1" s="1"/>
  <c r="V975" i="1" s="1"/>
  <c r="W975" i="1" s="1"/>
  <c r="K975" i="1"/>
  <c r="Q975" i="1"/>
  <c r="R975" i="1" s="1"/>
  <c r="F976" i="1"/>
  <c r="T975" i="1" l="1"/>
  <c r="U975" i="1" s="1"/>
  <c r="G976" i="1"/>
  <c r="H976" i="1" l="1"/>
  <c r="I976" i="1" s="1"/>
  <c r="J976" i="1" s="1"/>
  <c r="M976" i="1" l="1" a="1"/>
  <c r="M976" i="1" s="1"/>
  <c r="L976" i="1" a="1"/>
  <c r="L976" i="1" s="1"/>
  <c r="V976" i="1" s="1"/>
  <c r="W976" i="1" s="1"/>
  <c r="K976" i="1"/>
  <c r="Q976" i="1"/>
  <c r="R976" i="1" s="1"/>
  <c r="F977" i="1"/>
  <c r="T976" i="1" l="1"/>
  <c r="U976" i="1" s="1"/>
  <c r="P976" i="1"/>
  <c r="G977" i="1"/>
  <c r="H977" i="1" l="1"/>
  <c r="I977" i="1" s="1"/>
  <c r="J977" i="1" s="1"/>
  <c r="L977" i="1" l="1" a="1"/>
  <c r="L977" i="1" s="1"/>
  <c r="V977" i="1" s="1"/>
  <c r="W977" i="1" s="1"/>
  <c r="M977" i="1" a="1"/>
  <c r="M977" i="1" s="1"/>
  <c r="Q977" i="1"/>
  <c r="R977" i="1" s="1"/>
  <c r="K977" i="1"/>
  <c r="F978" i="1"/>
  <c r="P977" i="1" l="1"/>
  <c r="T977" i="1"/>
  <c r="U977" i="1" s="1"/>
  <c r="G978" i="1"/>
  <c r="H978" i="1" l="1"/>
  <c r="I978" i="1" s="1"/>
  <c r="J978" i="1" s="1"/>
  <c r="L978" i="1" l="1" a="1"/>
  <c r="L978" i="1" s="1"/>
  <c r="V978" i="1" s="1"/>
  <c r="W978" i="1" s="1"/>
  <c r="M978" i="1" a="1"/>
  <c r="M978" i="1" s="1"/>
  <c r="Q978" i="1"/>
  <c r="R978" i="1" s="1"/>
  <c r="K978" i="1"/>
  <c r="F979" i="1"/>
  <c r="P978" i="1" l="1"/>
  <c r="T978" i="1"/>
  <c r="U978" i="1" s="1"/>
  <c r="G979" i="1"/>
  <c r="H979" i="1" l="1"/>
  <c r="I979" i="1" s="1"/>
  <c r="J979" i="1" s="1"/>
  <c r="M979" i="1" l="1" a="1"/>
  <c r="M979" i="1" s="1"/>
  <c r="T979" i="1" s="1"/>
  <c r="U979" i="1" s="1"/>
  <c r="L979" i="1" a="1"/>
  <c r="L979" i="1" s="1"/>
  <c r="V979" i="1" s="1"/>
  <c r="W979" i="1" s="1"/>
  <c r="Q979" i="1"/>
  <c r="R979" i="1" s="1"/>
  <c r="K979" i="1"/>
  <c r="F980" i="1"/>
  <c r="P979" i="1" l="1"/>
  <c r="G980" i="1"/>
  <c r="H980" i="1" l="1"/>
  <c r="I980" i="1" s="1"/>
  <c r="J980" i="1" s="1"/>
  <c r="M980" i="1" l="1" a="1"/>
  <c r="M980" i="1" s="1"/>
  <c r="L980" i="1" a="1"/>
  <c r="L980" i="1" s="1"/>
  <c r="V980" i="1" s="1"/>
  <c r="W980" i="1" s="1"/>
  <c r="K980" i="1"/>
  <c r="Q980" i="1"/>
  <c r="R980" i="1" s="1"/>
  <c r="F981" i="1"/>
  <c r="P980" i="1" l="1"/>
  <c r="T980" i="1"/>
  <c r="U980" i="1" s="1"/>
  <c r="G981" i="1"/>
  <c r="H981" i="1" l="1"/>
  <c r="I981" i="1" s="1"/>
  <c r="J981" i="1" s="1"/>
  <c r="M981" i="1" l="1" a="1"/>
  <c r="M981" i="1" s="1"/>
  <c r="L981" i="1" a="1"/>
  <c r="L981" i="1" s="1"/>
  <c r="V981" i="1" s="1"/>
  <c r="W981" i="1" s="1"/>
  <c r="Q981" i="1"/>
  <c r="R981" i="1" s="1"/>
  <c r="K981" i="1"/>
  <c r="F982" i="1"/>
  <c r="P981" i="1" l="1"/>
  <c r="T981" i="1"/>
  <c r="U981" i="1" s="1"/>
  <c r="G982" i="1"/>
  <c r="H982" i="1" l="1"/>
  <c r="I982" i="1" s="1"/>
  <c r="J982" i="1" s="1"/>
  <c r="M982" i="1" l="1" a="1"/>
  <c r="M982" i="1" s="1"/>
  <c r="T982" i="1" s="1"/>
  <c r="U982" i="1" s="1"/>
  <c r="L982" i="1" a="1"/>
  <c r="L982" i="1" s="1"/>
  <c r="V982" i="1" s="1"/>
  <c r="W982" i="1" s="1"/>
  <c r="Q982" i="1"/>
  <c r="R982" i="1" s="1"/>
  <c r="K982" i="1"/>
  <c r="F983" i="1"/>
  <c r="P982" i="1" l="1"/>
  <c r="G983" i="1"/>
  <c r="H983" i="1" l="1"/>
  <c r="I983" i="1" s="1"/>
  <c r="J983" i="1" s="1"/>
  <c r="L983" i="1" l="1" a="1"/>
  <c r="L983" i="1" s="1"/>
  <c r="V983" i="1" s="1"/>
  <c r="W983" i="1" s="1"/>
  <c r="M983" i="1" a="1"/>
  <c r="M983" i="1" s="1"/>
  <c r="P983" i="1" s="1"/>
  <c r="K983" i="1"/>
  <c r="Q983" i="1"/>
  <c r="R983" i="1" s="1"/>
  <c r="F984" i="1"/>
  <c r="T983" i="1" l="1"/>
  <c r="U983" i="1" s="1"/>
  <c r="G984" i="1"/>
  <c r="H984" i="1" l="1"/>
  <c r="I984" i="1" s="1"/>
  <c r="J984" i="1" s="1"/>
  <c r="M984" i="1" l="1" a="1"/>
  <c r="M984" i="1" s="1"/>
  <c r="L984" i="1" a="1"/>
  <c r="L984" i="1" s="1"/>
  <c r="V984" i="1" s="1"/>
  <c r="W984" i="1" s="1"/>
  <c r="Q984" i="1"/>
  <c r="R984" i="1" s="1"/>
  <c r="K984" i="1"/>
  <c r="F985" i="1"/>
  <c r="T984" i="1" l="1"/>
  <c r="U984" i="1" s="1"/>
  <c r="P984" i="1"/>
  <c r="G985" i="1"/>
  <c r="H985" i="1" l="1"/>
  <c r="I985" i="1" s="1"/>
  <c r="J985" i="1" s="1"/>
  <c r="L985" i="1" l="1" a="1"/>
  <c r="L985" i="1" s="1"/>
  <c r="M985" i="1" a="1"/>
  <c r="M985" i="1" s="1"/>
  <c r="P985" i="1" s="1"/>
  <c r="Q985" i="1"/>
  <c r="R985" i="1" s="1"/>
  <c r="K985" i="1"/>
  <c r="F986" i="1"/>
  <c r="T985" i="1" l="1"/>
  <c r="U985" i="1" s="1"/>
  <c r="V985" i="1" s="1"/>
  <c r="W985" i="1" s="1"/>
  <c r="G986" i="1"/>
  <c r="H986" i="1" s="1"/>
  <c r="I986" i="1" s="1"/>
  <c r="J986" i="1" s="1"/>
  <c r="F987" i="1" l="1"/>
  <c r="G987" i="1" s="1"/>
  <c r="M986" i="1" a="1"/>
  <c r="M986" i="1" s="1"/>
  <c r="L986" i="1" a="1"/>
  <c r="L986" i="1" s="1"/>
  <c r="V986" i="1" s="1"/>
  <c r="W986" i="1" s="1"/>
  <c r="Q986" i="1"/>
  <c r="R986" i="1" s="1"/>
  <c r="K986" i="1"/>
  <c r="T986" i="1" l="1"/>
  <c r="U986" i="1" s="1"/>
  <c r="P986" i="1"/>
  <c r="H987" i="1"/>
  <c r="I987" i="1" s="1"/>
  <c r="J987" i="1" s="1"/>
  <c r="L987" i="1" l="1" a="1"/>
  <c r="L987" i="1" s="1"/>
  <c r="V987" i="1" s="1"/>
  <c r="W987" i="1" s="1"/>
  <c r="M987" i="1" a="1"/>
  <c r="M987" i="1" s="1"/>
  <c r="Q987" i="1"/>
  <c r="R987" i="1" s="1"/>
  <c r="K987" i="1"/>
  <c r="F988" i="1"/>
  <c r="T987" i="1" l="1"/>
  <c r="U987" i="1" s="1"/>
  <c r="P987" i="1"/>
  <c r="G988" i="1"/>
  <c r="H988" i="1" l="1"/>
  <c r="I988" i="1" s="1"/>
  <c r="J988" i="1" s="1"/>
  <c r="M988" i="1" l="1" a="1"/>
  <c r="M988" i="1" s="1"/>
  <c r="L988" i="1" a="1"/>
  <c r="L988" i="1" s="1"/>
  <c r="V988" i="1" s="1"/>
  <c r="W988" i="1" s="1"/>
  <c r="Q988" i="1"/>
  <c r="R988" i="1" s="1"/>
  <c r="K988" i="1"/>
  <c r="F989" i="1"/>
  <c r="P988" i="1" l="1"/>
  <c r="T988" i="1"/>
  <c r="U988" i="1" s="1"/>
  <c r="G989" i="1"/>
  <c r="H989" i="1" l="1"/>
  <c r="I989" i="1" s="1"/>
  <c r="J989" i="1" s="1"/>
  <c r="L989" i="1" l="1" a="1"/>
  <c r="L989" i="1" s="1"/>
  <c r="V989" i="1" s="1"/>
  <c r="W989" i="1" s="1"/>
  <c r="M989" i="1" a="1"/>
  <c r="M989" i="1" s="1"/>
  <c r="T989" i="1" s="1"/>
  <c r="U989" i="1" s="1"/>
  <c r="Q989" i="1"/>
  <c r="R989" i="1" s="1"/>
  <c r="K989" i="1"/>
  <c r="F990" i="1"/>
  <c r="P989" i="1" l="1"/>
  <c r="G990" i="1"/>
  <c r="H990" i="1" s="1"/>
  <c r="I990" i="1" s="1"/>
  <c r="J990" i="1" s="1"/>
  <c r="F991" i="1" l="1"/>
  <c r="G991" i="1" s="1"/>
  <c r="M990" i="1" a="1"/>
  <c r="M990" i="1" s="1"/>
  <c r="L990" i="1" a="1"/>
  <c r="L990" i="1" s="1"/>
  <c r="V990" i="1" s="1"/>
  <c r="W990" i="1" s="1"/>
  <c r="Q990" i="1"/>
  <c r="R990" i="1" s="1"/>
  <c r="K990" i="1"/>
  <c r="P990" i="1" l="1"/>
  <c r="T990" i="1"/>
  <c r="U990" i="1" s="1"/>
  <c r="H991" i="1"/>
  <c r="I991" i="1" s="1"/>
  <c r="J991" i="1" s="1"/>
  <c r="L991" i="1" l="1" a="1"/>
  <c r="L991" i="1" s="1"/>
  <c r="V991" i="1" s="1"/>
  <c r="W991" i="1" s="1"/>
  <c r="M991" i="1" a="1"/>
  <c r="M991" i="1" s="1"/>
  <c r="P991" i="1" s="1"/>
  <c r="Q991" i="1"/>
  <c r="R991" i="1" s="1"/>
  <c r="K991" i="1"/>
  <c r="F992" i="1"/>
  <c r="T991" i="1" l="1"/>
  <c r="U991" i="1" s="1"/>
  <c r="G992" i="1"/>
  <c r="H992" i="1" s="1"/>
  <c r="I992" i="1" s="1"/>
  <c r="J992" i="1" s="1"/>
  <c r="F993" i="1" l="1"/>
  <c r="G993" i="1" s="1"/>
  <c r="M992" i="1" a="1"/>
  <c r="M992" i="1" s="1"/>
  <c r="P992" i="1" s="1"/>
  <c r="L992" i="1" a="1"/>
  <c r="L992" i="1" s="1"/>
  <c r="V992" i="1" s="1"/>
  <c r="W992" i="1" s="1"/>
  <c r="K992" i="1"/>
  <c r="Q992" i="1"/>
  <c r="R992" i="1" s="1"/>
  <c r="T992" i="1" l="1"/>
  <c r="U992" i="1" s="1"/>
  <c r="H993" i="1"/>
  <c r="I993" i="1" s="1"/>
  <c r="J993" i="1" s="1"/>
  <c r="L993" i="1" l="1" a="1"/>
  <c r="L993" i="1" s="1"/>
  <c r="V993" i="1" s="1"/>
  <c r="W993" i="1" s="1"/>
  <c r="M993" i="1" a="1"/>
  <c r="M993" i="1" s="1"/>
  <c r="P993" i="1" s="1"/>
  <c r="K993" i="1"/>
  <c r="Q993" i="1"/>
  <c r="R993" i="1" s="1"/>
  <c r="F994" i="1"/>
  <c r="T993" i="1" l="1"/>
  <c r="U993" i="1" s="1"/>
  <c r="G994" i="1"/>
  <c r="H994" i="1" l="1"/>
  <c r="I994" i="1" s="1"/>
  <c r="J994" i="1" s="1"/>
  <c r="L994" i="1" l="1" a="1"/>
  <c r="L994" i="1" s="1"/>
  <c r="V994" i="1" s="1"/>
  <c r="W994" i="1" s="1"/>
  <c r="M994" i="1" a="1"/>
  <c r="M994" i="1" s="1"/>
  <c r="Q994" i="1"/>
  <c r="R994" i="1" s="1"/>
  <c r="K994" i="1"/>
  <c r="F995" i="1"/>
  <c r="P994" i="1" l="1"/>
  <c r="T994" i="1"/>
  <c r="U994" i="1" s="1"/>
  <c r="G995" i="1"/>
  <c r="H995" i="1" l="1"/>
  <c r="I995" i="1" s="1"/>
  <c r="J995" i="1" s="1"/>
  <c r="M995" i="1" l="1" a="1"/>
  <c r="M995" i="1" s="1"/>
  <c r="P995" i="1" s="1"/>
  <c r="L995" i="1" a="1"/>
  <c r="L995" i="1" s="1"/>
  <c r="V995" i="1" s="1"/>
  <c r="W995" i="1" s="1"/>
  <c r="K995" i="1"/>
  <c r="Q995" i="1"/>
  <c r="R995" i="1" s="1"/>
  <c r="F996" i="1"/>
  <c r="T995" i="1" l="1"/>
  <c r="U995" i="1" s="1"/>
  <c r="G996" i="1"/>
  <c r="H996" i="1" l="1"/>
  <c r="I996" i="1" s="1"/>
  <c r="J996" i="1" s="1"/>
  <c r="M996" i="1" l="1" a="1"/>
  <c r="M996" i="1" s="1"/>
  <c r="L996" i="1" a="1"/>
  <c r="L996" i="1" s="1"/>
  <c r="V996" i="1" s="1"/>
  <c r="W996" i="1" s="1"/>
  <c r="K996" i="1"/>
  <c r="Q996" i="1"/>
  <c r="R996" i="1" s="1"/>
  <c r="F997" i="1"/>
  <c r="P996" i="1" l="1"/>
  <c r="T996" i="1"/>
  <c r="U996" i="1" s="1"/>
  <c r="G997" i="1"/>
  <c r="H997" i="1" l="1"/>
  <c r="I997" i="1" s="1"/>
  <c r="J997" i="1" s="1"/>
  <c r="M997" i="1" l="1" a="1"/>
  <c r="M997" i="1" s="1"/>
  <c r="L997" i="1" a="1"/>
  <c r="L997" i="1" s="1"/>
  <c r="V997" i="1" s="1"/>
  <c r="W997" i="1" s="1"/>
  <c r="Q997" i="1"/>
  <c r="R997" i="1" s="1"/>
  <c r="K997" i="1"/>
  <c r="F998" i="1"/>
  <c r="P997" i="1" l="1"/>
  <c r="T997" i="1"/>
  <c r="U997" i="1" s="1"/>
  <c r="G998" i="1"/>
  <c r="H998" i="1" l="1"/>
  <c r="I998" i="1" s="1"/>
  <c r="J998" i="1" s="1"/>
  <c r="M998" i="1" l="1" a="1"/>
  <c r="M998" i="1" s="1"/>
  <c r="L998" i="1" a="1"/>
  <c r="L998" i="1" s="1"/>
  <c r="V998" i="1" s="1"/>
  <c r="W998" i="1" s="1"/>
  <c r="Q998" i="1"/>
  <c r="R998" i="1" s="1"/>
  <c r="K998" i="1"/>
  <c r="F999" i="1"/>
  <c r="T998" i="1" l="1"/>
  <c r="U998" i="1" s="1"/>
  <c r="P998" i="1"/>
  <c r="G999" i="1"/>
  <c r="H999" i="1" l="1"/>
  <c r="I999" i="1" s="1"/>
  <c r="J999" i="1" s="1"/>
  <c r="L999" i="1" l="1" a="1"/>
  <c r="L999" i="1" s="1"/>
  <c r="V999" i="1" s="1"/>
  <c r="W999" i="1" s="1"/>
  <c r="M999" i="1" a="1"/>
  <c r="M999" i="1" s="1"/>
  <c r="K999" i="1"/>
  <c r="Q999" i="1"/>
  <c r="R999" i="1" s="1"/>
  <c r="F1000" i="1"/>
  <c r="T999" i="1" l="1"/>
  <c r="U999" i="1" s="1"/>
  <c r="P999" i="1"/>
  <c r="G1000" i="1"/>
  <c r="H1000" i="1" l="1"/>
  <c r="I1000" i="1" s="1"/>
  <c r="J1000" i="1" s="1"/>
  <c r="M1000" i="1" l="1" a="1"/>
  <c r="M1000" i="1" s="1"/>
  <c r="T1000" i="1" s="1"/>
  <c r="U1000" i="1" s="1"/>
  <c r="L1000" i="1" a="1"/>
  <c r="L1000" i="1" s="1"/>
  <c r="V1000" i="1" s="1"/>
  <c r="W1000" i="1" s="1"/>
  <c r="K1000" i="1"/>
  <c r="Q1000" i="1"/>
  <c r="R1000" i="1" s="1"/>
  <c r="F1001" i="1"/>
  <c r="P1000" i="1" l="1"/>
  <c r="G1001" i="1"/>
  <c r="H1001" i="1" l="1"/>
  <c r="I1001" i="1" s="1"/>
  <c r="J1001" i="1" s="1"/>
  <c r="M1001" i="1" l="1" a="1"/>
  <c r="M1001" i="1" s="1"/>
  <c r="P1001" i="1" s="1"/>
  <c r="L1001" i="1" a="1"/>
  <c r="L1001" i="1" s="1"/>
  <c r="V1001" i="1" s="1"/>
  <c r="W1001" i="1" s="1"/>
  <c r="Q1001" i="1"/>
  <c r="R1001" i="1" s="1"/>
  <c r="K1001" i="1"/>
  <c r="F1002" i="1"/>
  <c r="T1001" i="1" l="1"/>
  <c r="U1001" i="1" s="1"/>
  <c r="G1002" i="1"/>
  <c r="H1002" i="1" l="1"/>
  <c r="I1002" i="1" s="1"/>
  <c r="J1002" i="1" s="1"/>
  <c r="M1002" i="1" l="1" a="1"/>
  <c r="M1002" i="1" s="1"/>
  <c r="L1002" i="1" a="1"/>
  <c r="L1002" i="1" s="1"/>
  <c r="V1002" i="1" s="1"/>
  <c r="W1002" i="1" s="1"/>
  <c r="Q1002" i="1"/>
  <c r="R1002" i="1" s="1"/>
  <c r="K1002" i="1"/>
  <c r="F1003" i="1"/>
  <c r="T1002" i="1" l="1"/>
  <c r="U1002" i="1" s="1"/>
  <c r="P1002" i="1"/>
  <c r="G1003" i="1"/>
  <c r="H1003" i="1" l="1"/>
  <c r="I1003" i="1" s="1"/>
  <c r="J1003" i="1" s="1"/>
  <c r="M1003" i="1" l="1" a="1"/>
  <c r="M1003" i="1" s="1"/>
  <c r="L1003" i="1" a="1"/>
  <c r="L1003" i="1" s="1"/>
  <c r="V1003" i="1" s="1"/>
  <c r="W1003" i="1" s="1"/>
  <c r="Q1003" i="1"/>
  <c r="R1003" i="1" s="1"/>
  <c r="K1003" i="1"/>
  <c r="F1004" i="1"/>
  <c r="T1003" i="1" l="1"/>
  <c r="U1003" i="1" s="1"/>
  <c r="P1003" i="1"/>
  <c r="G1004" i="1"/>
  <c r="H1004" i="1" l="1"/>
  <c r="I1004" i="1" s="1"/>
  <c r="J1004" i="1" s="1"/>
  <c r="L1004" i="1" l="1" a="1"/>
  <c r="L1004" i="1" s="1"/>
  <c r="V1004" i="1" s="1"/>
  <c r="W1004" i="1" s="1"/>
  <c r="M1004" i="1" a="1"/>
  <c r="M1004" i="1" s="1"/>
  <c r="T1004" i="1" s="1"/>
  <c r="U1004" i="1" s="1"/>
  <c r="Q1004" i="1"/>
  <c r="R1004" i="1" s="1"/>
  <c r="K1004" i="1"/>
  <c r="F1005" i="1"/>
  <c r="P1004" i="1" l="1"/>
  <c r="G1005" i="1"/>
  <c r="H1005" i="1" l="1"/>
  <c r="I1005" i="1" s="1"/>
  <c r="J1005" i="1" s="1"/>
  <c r="M1005" i="1" l="1" a="1"/>
  <c r="M1005" i="1" s="1"/>
  <c r="T1005" i="1" s="1"/>
  <c r="U1005" i="1" s="1"/>
  <c r="L1005" i="1" a="1"/>
  <c r="L1005" i="1" s="1"/>
  <c r="V1005" i="1" s="1"/>
  <c r="W1005" i="1" s="1"/>
  <c r="Q1005" i="1"/>
  <c r="R1005" i="1" s="1"/>
  <c r="K1005" i="1"/>
  <c r="F1006" i="1"/>
  <c r="P1005" i="1" l="1"/>
  <c r="G1006" i="1"/>
  <c r="H1006" i="1" l="1"/>
  <c r="I1006" i="1" s="1"/>
  <c r="J1006" i="1" s="1"/>
  <c r="M1006" i="1" l="1" a="1"/>
  <c r="M1006" i="1" s="1"/>
  <c r="L1006" i="1" a="1"/>
  <c r="L1006" i="1" s="1"/>
  <c r="V1006" i="1" s="1"/>
  <c r="W1006" i="1" s="1"/>
  <c r="K1006" i="1"/>
  <c r="Q1006" i="1"/>
  <c r="R1006" i="1" s="1"/>
  <c r="F1007" i="1"/>
  <c r="P1006" i="1" l="1"/>
  <c r="T1006" i="1"/>
  <c r="U1006" i="1" s="1"/>
  <c r="G1007" i="1"/>
  <c r="H1007" i="1" l="1"/>
  <c r="I1007" i="1" s="1"/>
  <c r="J1007" i="1" s="1"/>
  <c r="L1007" i="1" l="1" a="1"/>
  <c r="L1007" i="1" s="1"/>
  <c r="V1007" i="1" s="1"/>
  <c r="W1007" i="1" s="1"/>
  <c r="M1007" i="1" a="1"/>
  <c r="M1007" i="1" s="1"/>
  <c r="Q1007" i="1"/>
  <c r="R1007" i="1" s="1"/>
  <c r="K1007" i="1"/>
  <c r="F1008" i="1"/>
  <c r="P1007" i="1" l="1"/>
  <c r="T1007" i="1"/>
  <c r="U1007" i="1" s="1"/>
  <c r="G1008" i="1"/>
  <c r="H1008" i="1" l="1"/>
  <c r="I1008" i="1" s="1"/>
  <c r="J1008" i="1" s="1"/>
  <c r="M1008" i="1" l="1" a="1"/>
  <c r="M1008" i="1" s="1"/>
  <c r="L1008" i="1" a="1"/>
  <c r="L1008" i="1" s="1"/>
  <c r="V1008" i="1" s="1"/>
  <c r="W1008" i="1" s="1"/>
  <c r="K1008" i="1"/>
  <c r="Q1008" i="1"/>
  <c r="R1008" i="1" s="1"/>
  <c r="F1009" i="1"/>
  <c r="P1008" i="1" l="1"/>
  <c r="T1008" i="1"/>
  <c r="U1008" i="1" s="1"/>
  <c r="G1009" i="1"/>
  <c r="H1009" i="1" l="1"/>
  <c r="I1009" i="1" s="1"/>
  <c r="J1009" i="1" s="1"/>
  <c r="M1009" i="1" l="1" a="1"/>
  <c r="M1009" i="1" s="1"/>
  <c r="L1009" i="1" a="1"/>
  <c r="L1009" i="1" s="1"/>
  <c r="V1009" i="1" s="1"/>
  <c r="W1009" i="1" s="1"/>
  <c r="Q1009" i="1"/>
  <c r="R1009" i="1" s="1"/>
  <c r="K1009" i="1"/>
  <c r="F1010" i="1"/>
  <c r="T1009" i="1" l="1"/>
  <c r="U1009" i="1" s="1"/>
  <c r="P1009" i="1"/>
  <c r="G1010" i="1"/>
  <c r="H1010" i="1" l="1"/>
  <c r="I1010" i="1" s="1"/>
  <c r="J1010" i="1" s="1"/>
  <c r="M1010" i="1" l="1" a="1"/>
  <c r="M1010" i="1" s="1"/>
  <c r="L1010" i="1" a="1"/>
  <c r="L1010" i="1" s="1"/>
  <c r="V1010" i="1" s="1"/>
  <c r="W1010" i="1" s="1"/>
  <c r="K1010" i="1"/>
  <c r="Q1010" i="1"/>
  <c r="R1010" i="1" s="1"/>
  <c r="F1011" i="1"/>
  <c r="T1010" i="1" l="1"/>
  <c r="U1010" i="1" s="1"/>
  <c r="P1010" i="1"/>
  <c r="G1011" i="1"/>
  <c r="H1011" i="1" l="1"/>
  <c r="I1011" i="1" s="1"/>
  <c r="J1011" i="1" s="1"/>
  <c r="M1011" i="1" l="1" a="1"/>
  <c r="M1011" i="1" s="1"/>
  <c r="L1011" i="1" a="1"/>
  <c r="L1011" i="1" s="1"/>
  <c r="V1011" i="1" s="1"/>
  <c r="W1011" i="1" s="1"/>
  <c r="Q1011" i="1"/>
  <c r="R1011" i="1" s="1"/>
  <c r="K1011" i="1"/>
  <c r="F1012" i="1"/>
  <c r="T1011" i="1" l="1"/>
  <c r="U1011" i="1" s="1"/>
  <c r="P1011" i="1"/>
  <c r="G1012" i="1"/>
  <c r="H1012" i="1" l="1"/>
  <c r="I1012" i="1" s="1"/>
  <c r="J1012" i="1" s="1"/>
  <c r="M1012" i="1" l="1" a="1"/>
  <c r="M1012" i="1" s="1"/>
  <c r="L1012" i="1" a="1"/>
  <c r="L1012" i="1" s="1"/>
  <c r="V1012" i="1" s="1"/>
  <c r="W1012" i="1" s="1"/>
  <c r="K1012" i="1"/>
  <c r="Q1012" i="1"/>
  <c r="R1012" i="1" s="1"/>
  <c r="F1013" i="1"/>
  <c r="P1012" i="1" l="1"/>
  <c r="T1012" i="1"/>
  <c r="U1012" i="1" s="1"/>
  <c r="G1013" i="1"/>
  <c r="H1013" i="1" l="1"/>
  <c r="I1013" i="1" s="1"/>
  <c r="J1013" i="1" s="1"/>
  <c r="L1013" i="1" l="1" a="1"/>
  <c r="L1013" i="1" s="1"/>
  <c r="V1013" i="1" s="1"/>
  <c r="W1013" i="1" s="1"/>
  <c r="M1013" i="1" a="1"/>
  <c r="M1013" i="1" s="1"/>
  <c r="Q1013" i="1"/>
  <c r="R1013" i="1" s="1"/>
  <c r="K1013" i="1"/>
  <c r="F1014" i="1"/>
  <c r="P1013" i="1" l="1"/>
  <c r="T1013" i="1"/>
  <c r="U1013" i="1" s="1"/>
  <c r="G1014" i="1"/>
  <c r="H1014" i="1" l="1"/>
  <c r="I1014" i="1" s="1"/>
  <c r="J1014" i="1" s="1"/>
  <c r="M1014" i="1" l="1" a="1"/>
  <c r="M1014" i="1" s="1"/>
  <c r="L1014" i="1" a="1"/>
  <c r="L1014" i="1" s="1"/>
  <c r="V1014" i="1" s="1"/>
  <c r="W1014" i="1" s="1"/>
  <c r="K1014" i="1"/>
  <c r="Q1014" i="1"/>
  <c r="R1014" i="1" s="1"/>
  <c r="F1015" i="1"/>
  <c r="P1014" i="1" l="1"/>
  <c r="T1014" i="1"/>
  <c r="U1014" i="1" s="1"/>
  <c r="G1015" i="1"/>
  <c r="H1015" i="1" l="1"/>
  <c r="I1015" i="1" s="1"/>
  <c r="J1015" i="1" s="1"/>
  <c r="M1015" i="1" l="1" a="1"/>
  <c r="M1015" i="1" s="1"/>
  <c r="L1015" i="1" a="1"/>
  <c r="L1015" i="1" s="1"/>
  <c r="V1015" i="1" s="1"/>
  <c r="W1015" i="1" s="1"/>
  <c r="Q1015" i="1"/>
  <c r="R1015" i="1" s="1"/>
  <c r="K1015" i="1"/>
  <c r="F1016" i="1"/>
  <c r="T1015" i="1" l="1"/>
  <c r="U1015" i="1" s="1"/>
  <c r="P1015" i="1"/>
  <c r="G1016" i="1"/>
  <c r="H1016" i="1" l="1"/>
  <c r="I1016" i="1" s="1"/>
  <c r="J1016" i="1" s="1"/>
  <c r="M1016" i="1" l="1" a="1"/>
  <c r="M1016" i="1" s="1"/>
  <c r="L1016" i="1" a="1"/>
  <c r="L1016" i="1" s="1"/>
  <c r="V1016" i="1" s="1"/>
  <c r="W1016" i="1" s="1"/>
  <c r="K1016" i="1"/>
  <c r="Q1016" i="1"/>
  <c r="R1016" i="1" s="1"/>
  <c r="F1017" i="1"/>
  <c r="P1016" i="1" l="1"/>
  <c r="T1016" i="1"/>
  <c r="U1016" i="1" s="1"/>
  <c r="G1017" i="1"/>
  <c r="H1017" i="1" l="1"/>
  <c r="I1017" i="1" s="1"/>
  <c r="J1017" i="1" s="1"/>
  <c r="M1017" i="1" l="1" a="1"/>
  <c r="M1017" i="1" s="1"/>
  <c r="L1017" i="1" a="1"/>
  <c r="L1017" i="1" s="1"/>
  <c r="V1017" i="1" s="1"/>
  <c r="W1017" i="1" s="1"/>
  <c r="K1017" i="1"/>
  <c r="Q1017" i="1"/>
  <c r="R1017" i="1" s="1"/>
  <c r="F1018" i="1"/>
  <c r="T1017" i="1" l="1"/>
  <c r="U1017" i="1" s="1"/>
  <c r="P1017" i="1"/>
  <c r="G1018" i="1"/>
  <c r="H1018" i="1" l="1"/>
  <c r="I1018" i="1" s="1"/>
  <c r="J1018" i="1" s="1"/>
  <c r="L1018" i="1" l="1" a="1"/>
  <c r="L1018" i="1" s="1"/>
  <c r="V1018" i="1" s="1"/>
  <c r="W1018" i="1" s="1"/>
  <c r="M1018" i="1" a="1"/>
  <c r="M1018" i="1" s="1"/>
  <c r="Q1018" i="1"/>
  <c r="R1018" i="1" s="1"/>
  <c r="K1018" i="1"/>
  <c r="F1019" i="1"/>
  <c r="P1018" i="1" l="1"/>
  <c r="T1018" i="1"/>
  <c r="U1018" i="1" s="1"/>
  <c r="G1019" i="1"/>
  <c r="H1019" i="1" l="1"/>
  <c r="I1019" i="1" s="1"/>
  <c r="J1019" i="1" s="1"/>
  <c r="M1019" i="1" l="1" a="1"/>
  <c r="M1019" i="1" s="1"/>
  <c r="T1019" i="1" s="1"/>
  <c r="U1019" i="1" s="1"/>
  <c r="L1019" i="1" a="1"/>
  <c r="L1019" i="1" s="1"/>
  <c r="V1019" i="1" s="1"/>
  <c r="W1019" i="1" s="1"/>
  <c r="K1019" i="1"/>
  <c r="Q1019" i="1"/>
  <c r="R1019" i="1" s="1"/>
  <c r="F1020" i="1"/>
  <c r="P1019" i="1" l="1"/>
  <c r="G1020" i="1"/>
  <c r="H1020" i="1" l="1"/>
  <c r="I1020" i="1" s="1"/>
  <c r="J1020" i="1" s="1"/>
  <c r="M1020" i="1" l="1" a="1"/>
  <c r="M1020" i="1" s="1"/>
  <c r="L1020" i="1" a="1"/>
  <c r="L1020" i="1" s="1"/>
  <c r="V1020" i="1" s="1"/>
  <c r="W1020" i="1" s="1"/>
  <c r="K1020" i="1"/>
  <c r="Q1020" i="1"/>
  <c r="R1020" i="1" s="1"/>
  <c r="F1021" i="1"/>
  <c r="T1020" i="1" l="1"/>
  <c r="U1020" i="1" s="1"/>
  <c r="P1020" i="1"/>
  <c r="G1021" i="1"/>
  <c r="H1021" i="1" l="1"/>
  <c r="I1021" i="1" s="1"/>
  <c r="J1021" i="1" s="1"/>
  <c r="M1021" i="1" l="1" a="1"/>
  <c r="M1021" i="1" s="1"/>
  <c r="L1021" i="1" a="1"/>
  <c r="L1021" i="1" s="1"/>
  <c r="V1021" i="1" s="1"/>
  <c r="W1021" i="1" s="1"/>
  <c r="Q1021" i="1"/>
  <c r="R1021" i="1" s="1"/>
  <c r="K1021" i="1"/>
  <c r="F1022" i="1"/>
  <c r="P1021" i="1" l="1"/>
  <c r="T1021" i="1"/>
  <c r="U1021" i="1" s="1"/>
  <c r="G1022" i="1"/>
  <c r="H1022" i="1" l="1"/>
  <c r="I1022" i="1" s="1"/>
  <c r="J1022" i="1" s="1"/>
  <c r="M1022" i="1" l="1" a="1"/>
  <c r="M1022" i="1" s="1"/>
  <c r="L1022" i="1" a="1"/>
  <c r="L1022" i="1" s="1"/>
  <c r="V1022" i="1" s="1"/>
  <c r="W1022" i="1" s="1"/>
  <c r="K1022" i="1"/>
  <c r="Q1022" i="1"/>
  <c r="R1022" i="1" s="1"/>
  <c r="F1023" i="1"/>
  <c r="T1022" i="1" l="1"/>
  <c r="U1022" i="1" s="1"/>
  <c r="P1022" i="1"/>
  <c r="G1023" i="1"/>
  <c r="H1023" i="1" l="1"/>
  <c r="I1023" i="1" s="1"/>
  <c r="J1023" i="1" s="1"/>
  <c r="M1023" i="1" l="1" a="1"/>
  <c r="M1023" i="1" s="1"/>
  <c r="L1023" i="1" a="1"/>
  <c r="L1023" i="1" s="1"/>
  <c r="V1023" i="1" s="1"/>
  <c r="W1023" i="1" s="1"/>
  <c r="Q1023" i="1"/>
  <c r="R1023" i="1" s="1"/>
  <c r="K1023" i="1"/>
  <c r="F1024" i="1"/>
  <c r="P1023" i="1" l="1"/>
  <c r="T1023" i="1"/>
  <c r="U1023" i="1" s="1"/>
  <c r="G1024" i="1"/>
  <c r="H1024" i="1" l="1"/>
  <c r="I1024" i="1" s="1"/>
  <c r="J1024" i="1" s="1"/>
  <c r="M1024" i="1" l="1" a="1"/>
  <c r="M1024" i="1" s="1"/>
  <c r="L1024" i="1" a="1"/>
  <c r="L1024" i="1" s="1"/>
  <c r="V1024" i="1" s="1"/>
  <c r="W1024" i="1" s="1"/>
  <c r="K1024" i="1"/>
  <c r="Q1024" i="1"/>
  <c r="R1024" i="1" s="1"/>
  <c r="F1025" i="1"/>
  <c r="P1024" i="1" l="1"/>
  <c r="T1024" i="1"/>
  <c r="U1024" i="1" s="1"/>
  <c r="G1025" i="1"/>
  <c r="H1025" i="1" l="1"/>
  <c r="I1025" i="1" s="1"/>
  <c r="J1025" i="1" s="1"/>
  <c r="M1025" i="1" l="1" a="1"/>
  <c r="M1025" i="1" s="1"/>
  <c r="L1025" i="1" a="1"/>
  <c r="L1025" i="1" s="1"/>
  <c r="V1025" i="1" s="1"/>
  <c r="W1025" i="1" s="1"/>
  <c r="Q1025" i="1"/>
  <c r="R1025" i="1" s="1"/>
  <c r="K1025" i="1"/>
  <c r="F1026" i="1"/>
  <c r="P1025" i="1" l="1"/>
  <c r="T1025" i="1"/>
  <c r="U1025" i="1" s="1"/>
  <c r="G1026" i="1"/>
  <c r="H1026" i="1" l="1"/>
  <c r="I1026" i="1" s="1"/>
  <c r="J1026" i="1" s="1"/>
  <c r="M1026" i="1" l="1" a="1"/>
  <c r="M1026" i="1" s="1"/>
  <c r="L1026" i="1" a="1"/>
  <c r="L1026" i="1" s="1"/>
  <c r="V1026" i="1" s="1"/>
  <c r="W1026" i="1" s="1"/>
  <c r="K1026" i="1"/>
  <c r="Q1026" i="1"/>
  <c r="R1026" i="1" s="1"/>
  <c r="F1027" i="1"/>
  <c r="P1026" i="1" l="1"/>
  <c r="T1026" i="1"/>
  <c r="U1026" i="1" s="1"/>
  <c r="G1027" i="1"/>
  <c r="H1027" i="1" l="1"/>
  <c r="I1027" i="1" s="1"/>
  <c r="J1027" i="1" s="1"/>
  <c r="M1027" i="1" l="1" a="1"/>
  <c r="M1027" i="1" s="1"/>
  <c r="T1027" i="1" s="1"/>
  <c r="U1027" i="1" s="1"/>
  <c r="L1027" i="1" a="1"/>
  <c r="L1027" i="1" s="1"/>
  <c r="V1027" i="1" s="1"/>
  <c r="W1027" i="1" s="1"/>
  <c r="Q1027" i="1"/>
  <c r="R1027" i="1" s="1"/>
  <c r="K1027" i="1"/>
  <c r="F1028" i="1"/>
  <c r="P1027" i="1" l="1"/>
  <c r="G1028" i="1"/>
  <c r="H1028" i="1" s="1"/>
  <c r="I1028" i="1" s="1"/>
  <c r="J1028" i="1" s="1"/>
  <c r="F1029" i="1" l="1"/>
  <c r="G1029" i="1" s="1"/>
  <c r="M1028" i="1" a="1"/>
  <c r="M1028" i="1" s="1"/>
  <c r="L1028" i="1" a="1"/>
  <c r="L1028" i="1" s="1"/>
  <c r="V1028" i="1" s="1"/>
  <c r="W1028" i="1" s="1"/>
  <c r="Q1028" i="1"/>
  <c r="R1028" i="1" s="1"/>
  <c r="K1028" i="1"/>
  <c r="P1028" i="1" l="1"/>
  <c r="T1028" i="1"/>
  <c r="U1028" i="1" s="1"/>
  <c r="H1029" i="1"/>
  <c r="I1029" i="1" s="1"/>
  <c r="J1029" i="1" s="1"/>
  <c r="M1029" i="1" l="1" a="1"/>
  <c r="M1029" i="1" s="1"/>
  <c r="L1029" i="1" a="1"/>
  <c r="L1029" i="1" s="1"/>
  <c r="V1029" i="1" s="1"/>
  <c r="W1029" i="1" s="1"/>
  <c r="Q1029" i="1"/>
  <c r="R1029" i="1" s="1"/>
  <c r="K1029" i="1"/>
  <c r="F1030" i="1"/>
  <c r="P1029" i="1" l="1"/>
  <c r="T1029" i="1"/>
  <c r="U1029" i="1" s="1"/>
  <c r="G1030" i="1"/>
  <c r="H1030" i="1" l="1"/>
  <c r="I1030" i="1" s="1"/>
  <c r="J1030" i="1" s="1"/>
  <c r="M1030" i="1" l="1" a="1"/>
  <c r="M1030" i="1" s="1"/>
  <c r="L1030" i="1" a="1"/>
  <c r="L1030" i="1" s="1"/>
  <c r="V1030" i="1" s="1"/>
  <c r="W1030" i="1" s="1"/>
  <c r="K1030" i="1"/>
  <c r="Q1030" i="1"/>
  <c r="R1030" i="1" s="1"/>
  <c r="F1031" i="1"/>
  <c r="P1030" i="1" l="1"/>
  <c r="T1030" i="1"/>
  <c r="U1030" i="1" s="1"/>
  <c r="G1031" i="1"/>
  <c r="H1031" i="1" l="1"/>
  <c r="I1031" i="1" s="1"/>
  <c r="J1031" i="1" s="1"/>
  <c r="L1031" i="1" l="1" a="1"/>
  <c r="L1031" i="1" s="1"/>
  <c r="V1031" i="1" s="1"/>
  <c r="W1031" i="1" s="1"/>
  <c r="M1031" i="1" a="1"/>
  <c r="M1031" i="1" s="1"/>
  <c r="K1031" i="1"/>
  <c r="Q1031" i="1"/>
  <c r="R1031" i="1" s="1"/>
  <c r="F1032" i="1"/>
  <c r="P1031" i="1" l="1"/>
  <c r="T1031" i="1"/>
  <c r="U1031" i="1" s="1"/>
  <c r="G1032" i="1"/>
  <c r="H1032" i="1" l="1"/>
  <c r="I1032" i="1" s="1"/>
  <c r="J1032" i="1" s="1"/>
  <c r="L1032" i="1" l="1" a="1"/>
  <c r="L1032" i="1" s="1"/>
  <c r="V1032" i="1" s="1"/>
  <c r="W1032" i="1" s="1"/>
  <c r="M1032" i="1" a="1"/>
  <c r="M1032" i="1" s="1"/>
  <c r="Q1032" i="1"/>
  <c r="R1032" i="1" s="1"/>
  <c r="K1032" i="1"/>
  <c r="F1033" i="1"/>
  <c r="P1032" i="1" l="1"/>
  <c r="T1032" i="1"/>
  <c r="U1032" i="1" s="1"/>
  <c r="G1033" i="1"/>
  <c r="H1033" i="1" l="1"/>
  <c r="I1033" i="1" s="1"/>
  <c r="J1033" i="1" s="1"/>
  <c r="L1033" i="1" l="1" a="1"/>
  <c r="L1033" i="1" s="1"/>
  <c r="V1033" i="1" s="1"/>
  <c r="W1033" i="1" s="1"/>
  <c r="M1033" i="1" a="1"/>
  <c r="M1033" i="1" s="1"/>
  <c r="Q1033" i="1"/>
  <c r="R1033" i="1" s="1"/>
  <c r="K1033" i="1"/>
  <c r="F1034" i="1"/>
  <c r="G1034" i="1" s="1"/>
  <c r="P1033" i="1" l="1"/>
  <c r="T1033" i="1"/>
  <c r="U1033" i="1" s="1"/>
  <c r="H1034" i="1"/>
  <c r="I1034" i="1" s="1"/>
  <c r="J1034" i="1" s="1"/>
  <c r="M1034" i="1" l="1" a="1"/>
  <c r="M1034" i="1" s="1"/>
  <c r="P1034" i="1" s="1"/>
  <c r="L1034" i="1" a="1"/>
  <c r="L1034" i="1" s="1"/>
  <c r="Q1034" i="1"/>
  <c r="R1034" i="1" s="1"/>
  <c r="K1034" i="1"/>
  <c r="T1034" i="1" l="1"/>
  <c r="U1034" i="1" s="1"/>
  <c r="V1034" i="1" s="1"/>
  <c r="W103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<sst xmlns="http://schemas.openxmlformats.org/spreadsheetml/2006/main" count="112" uniqueCount="108">
  <si>
    <t>初期タンク圧</t>
    <rPh sb="0" eb="2">
      <t>ショキ</t>
    </rPh>
    <rPh sb="5" eb="6">
      <t>アツ</t>
    </rPh>
    <phoneticPr fontId="3"/>
  </si>
  <si>
    <t>最終タンク圧</t>
    <rPh sb="0" eb="2">
      <t>サイシュウ</t>
    </rPh>
    <rPh sb="5" eb="6">
      <t>アツ</t>
    </rPh>
    <phoneticPr fontId="3"/>
  </si>
  <si>
    <t>燃焼予定時間</t>
    <rPh sb="0" eb="2">
      <t>ネンショウ</t>
    </rPh>
    <rPh sb="2" eb="6">
      <t>ヨテイジカン</t>
    </rPh>
    <phoneticPr fontId="3"/>
  </si>
  <si>
    <t>酸化剤充填量</t>
    <rPh sb="0" eb="3">
      <t>サンカザイ</t>
    </rPh>
    <rPh sb="3" eb="6">
      <t>ジュウテンリョウ</t>
    </rPh>
    <phoneticPr fontId="3"/>
  </si>
  <si>
    <t>酸化剤密度</t>
    <rPh sb="0" eb="5">
      <t>サンカザイミツド</t>
    </rPh>
    <phoneticPr fontId="3"/>
  </si>
  <si>
    <t>酸化剤ガス比熱比</t>
    <rPh sb="0" eb="3">
      <t>サンカザイ</t>
    </rPh>
    <rPh sb="5" eb="8">
      <t>ヒネツヒ</t>
    </rPh>
    <phoneticPr fontId="3"/>
  </si>
  <si>
    <t>オリフィス径</t>
    <rPh sb="5" eb="6">
      <t>ケイ</t>
    </rPh>
    <phoneticPr fontId="3"/>
  </si>
  <si>
    <t>流量係数</t>
    <rPh sb="0" eb="2">
      <t>リュウリョウ</t>
    </rPh>
    <rPh sb="2" eb="4">
      <t>ケイスウ</t>
    </rPh>
    <phoneticPr fontId="3"/>
  </si>
  <si>
    <t>燃料密度</t>
    <rPh sb="0" eb="4">
      <t>ネンリョウミツド</t>
    </rPh>
    <phoneticPr fontId="3"/>
  </si>
  <si>
    <t>燃料長さ</t>
    <rPh sb="0" eb="2">
      <t>ネンリョウ</t>
    </rPh>
    <rPh sb="2" eb="3">
      <t>ナガ</t>
    </rPh>
    <phoneticPr fontId="3"/>
  </si>
  <si>
    <t>初期ポート径</t>
    <rPh sb="0" eb="2">
      <t>ショキ</t>
    </rPh>
    <rPh sb="5" eb="6">
      <t>ケイ</t>
    </rPh>
    <phoneticPr fontId="3"/>
  </si>
  <si>
    <t>燃料外径</t>
    <rPh sb="0" eb="4">
      <t>ネンリョウガイケイ</t>
    </rPh>
    <phoneticPr fontId="3"/>
  </si>
  <si>
    <t>ポート数</t>
    <rPh sb="3" eb="4">
      <t>スウ</t>
    </rPh>
    <phoneticPr fontId="3"/>
  </si>
  <si>
    <t>酸化剤流束係数</t>
    <rPh sb="0" eb="3">
      <t>サンカザイ</t>
    </rPh>
    <rPh sb="3" eb="7">
      <t>リュウソクケイスウ</t>
    </rPh>
    <phoneticPr fontId="3"/>
  </si>
  <si>
    <t>酸化剤流束指数</t>
    <rPh sb="0" eb="3">
      <t>サンカザイ</t>
    </rPh>
    <rPh sb="3" eb="7">
      <t>リュウソクシスウ</t>
    </rPh>
    <phoneticPr fontId="3"/>
  </si>
  <si>
    <t>ファプタ</t>
    <phoneticPr fontId="3"/>
  </si>
  <si>
    <t>雰囲気圧</t>
    <rPh sb="0" eb="4">
      <t>フンイキアツ</t>
    </rPh>
    <phoneticPr fontId="3"/>
  </si>
  <si>
    <t>初期スロート径</t>
    <rPh sb="0" eb="2">
      <t>ショキ</t>
    </rPh>
    <rPh sb="6" eb="7">
      <t>ケイ</t>
    </rPh>
    <phoneticPr fontId="3"/>
  </si>
  <si>
    <t>ノズル半頂角</t>
    <rPh sb="3" eb="4">
      <t>ハン</t>
    </rPh>
    <rPh sb="4" eb="5">
      <t>チョウ</t>
    </rPh>
    <rPh sb="5" eb="6">
      <t>カク</t>
    </rPh>
    <phoneticPr fontId="3"/>
  </si>
  <si>
    <t>エロ―ジョン速度</t>
    <rPh sb="6" eb="8">
      <t>ソクド</t>
    </rPh>
    <phoneticPr fontId="3"/>
  </si>
  <si>
    <t>時刻</t>
    <rPh sb="0" eb="2">
      <t>ジコク</t>
    </rPh>
    <phoneticPr fontId="3"/>
  </si>
  <si>
    <t>酸化剤消費量</t>
    <rPh sb="0" eb="3">
      <t>サンカザイ</t>
    </rPh>
    <rPh sb="3" eb="6">
      <t>ショウヒリョウ</t>
    </rPh>
    <phoneticPr fontId="3"/>
  </si>
  <si>
    <t>タンク圧</t>
    <rPh sb="3" eb="4">
      <t>アツ</t>
    </rPh>
    <phoneticPr fontId="3"/>
  </si>
  <si>
    <t>燃焼室圧</t>
    <rPh sb="0" eb="4">
      <t>ネンショウシツアツ</t>
    </rPh>
    <phoneticPr fontId="3"/>
  </si>
  <si>
    <t>燃料消費量</t>
    <rPh sb="0" eb="5">
      <t>ネンリョウショウヒリョウ</t>
    </rPh>
    <phoneticPr fontId="3"/>
  </si>
  <si>
    <t>ポート径</t>
    <rPh sb="3" eb="4">
      <t>ケイ</t>
    </rPh>
    <phoneticPr fontId="3"/>
  </si>
  <si>
    <t>酸化剤流束</t>
    <rPh sb="0" eb="3">
      <t>サンカザイ</t>
    </rPh>
    <rPh sb="3" eb="5">
      <t>リュウソク</t>
    </rPh>
    <phoneticPr fontId="3"/>
  </si>
  <si>
    <t>燃料後退速</t>
    <rPh sb="0" eb="5">
      <t>ネンリョウコウタイソク</t>
    </rPh>
    <phoneticPr fontId="3"/>
  </si>
  <si>
    <t>燃料流量</t>
    <rPh sb="0" eb="4">
      <t>ネンリョウリュウリョウ</t>
    </rPh>
    <phoneticPr fontId="3"/>
  </si>
  <si>
    <t>特性排気速度</t>
    <rPh sb="0" eb="4">
      <t>トクセイハイキ</t>
    </rPh>
    <rPh sb="4" eb="6">
      <t>ソクド</t>
    </rPh>
    <phoneticPr fontId="3"/>
  </si>
  <si>
    <t>比熱比</t>
    <rPh sb="0" eb="3">
      <t>ヒネツヒ</t>
    </rPh>
    <phoneticPr fontId="3"/>
  </si>
  <si>
    <t>スロート径</t>
    <rPh sb="4" eb="5">
      <t>ケイ</t>
    </rPh>
    <phoneticPr fontId="3"/>
  </si>
  <si>
    <t>ノズル出口圧</t>
    <rPh sb="3" eb="6">
      <t>デグチアツ</t>
    </rPh>
    <phoneticPr fontId="3"/>
  </si>
  <si>
    <t>推力係数</t>
    <rPh sb="0" eb="2">
      <t>スイリョク</t>
    </rPh>
    <rPh sb="2" eb="4">
      <t>ケイスウ</t>
    </rPh>
    <phoneticPr fontId="3"/>
  </si>
  <si>
    <t>推力</t>
    <rPh sb="0" eb="2">
      <t>スイリョク</t>
    </rPh>
    <phoneticPr fontId="3"/>
  </si>
  <si>
    <t>力積</t>
    <rPh sb="0" eb="2">
      <t>リキセキ</t>
    </rPh>
    <phoneticPr fontId="3"/>
  </si>
  <si>
    <t>開口比</t>
    <rPh sb="0" eb="3">
      <t>カイコウヒ</t>
    </rPh>
    <phoneticPr fontId="3"/>
  </si>
  <si>
    <t>開口比誤差</t>
    <rPh sb="0" eb="3">
      <t>カイコウヒ</t>
    </rPh>
    <rPh sb="3" eb="5">
      <t>ゴサ</t>
    </rPh>
    <phoneticPr fontId="3"/>
  </si>
  <si>
    <t>燃焼室圧誤差</t>
    <rPh sb="0" eb="4">
      <t>ネンショウシツアツ</t>
    </rPh>
    <rPh sb="4" eb="6">
      <t>ゴサ</t>
    </rPh>
    <phoneticPr fontId="3"/>
  </si>
  <si>
    <t>終了モード</t>
    <rPh sb="0" eb="2">
      <t>シュウリョウ</t>
    </rPh>
    <phoneticPr fontId="3"/>
  </si>
  <si>
    <t>ノズル出口径</t>
    <rPh sb="3" eb="5">
      <t>デグチ</t>
    </rPh>
    <rPh sb="5" eb="6">
      <t>ケイ</t>
    </rPh>
    <phoneticPr fontId="3"/>
  </si>
  <si>
    <r>
      <t>P</t>
    </r>
    <r>
      <rPr>
        <vertAlign val="subscript"/>
        <sz val="11"/>
        <color theme="1"/>
        <rFont val="游ゴシック"/>
        <family val="2"/>
        <scheme val="minor"/>
      </rPr>
      <t>t,i</t>
    </r>
    <r>
      <rPr>
        <sz val="11"/>
        <color theme="1"/>
        <rFont val="游ゴシック"/>
        <family val="2"/>
        <charset val="128"/>
        <scheme val="minor"/>
      </rPr>
      <t>[Mpa]</t>
    </r>
    <phoneticPr fontId="3"/>
  </si>
  <si>
    <r>
      <t>P</t>
    </r>
    <r>
      <rPr>
        <vertAlign val="subscript"/>
        <sz val="11"/>
        <color theme="1"/>
        <rFont val="游ゴシック"/>
        <family val="2"/>
        <scheme val="minor"/>
      </rPr>
      <t>t,f</t>
    </r>
    <r>
      <rPr>
        <sz val="11"/>
        <color theme="1"/>
        <rFont val="游ゴシック"/>
        <family val="2"/>
        <charset val="128"/>
        <scheme val="minor"/>
      </rPr>
      <t>[Mpa]</t>
    </r>
    <phoneticPr fontId="3"/>
  </si>
  <si>
    <r>
      <rPr>
        <sz val="11"/>
        <color theme="1"/>
        <rFont val="游ゴシック"/>
        <family val="2"/>
        <scheme val="minor"/>
      </rPr>
      <t>P</t>
    </r>
    <r>
      <rPr>
        <vertAlign val="subscript"/>
        <sz val="11"/>
        <color theme="1"/>
        <rFont val="游ゴシック"/>
        <family val="2"/>
        <scheme val="minor"/>
      </rPr>
      <t>a</t>
    </r>
    <r>
      <rPr>
        <sz val="11"/>
        <color theme="1"/>
        <rFont val="游ゴシック"/>
        <family val="2"/>
        <charset val="128"/>
        <scheme val="minor"/>
      </rPr>
      <t>[Mpa]</t>
    </r>
    <phoneticPr fontId="3"/>
  </si>
  <si>
    <r>
      <t>t</t>
    </r>
    <r>
      <rPr>
        <vertAlign val="subscript"/>
        <sz val="11"/>
        <color theme="1"/>
        <rFont val="游ゴシック"/>
        <family val="2"/>
        <scheme val="minor"/>
      </rPr>
      <t>b</t>
    </r>
    <r>
      <rPr>
        <sz val="11"/>
        <color theme="1"/>
        <rFont val="游ゴシック"/>
        <family val="2"/>
        <scheme val="minor"/>
      </rPr>
      <t>[s]</t>
    </r>
    <phoneticPr fontId="3"/>
  </si>
  <si>
    <r>
      <t>V</t>
    </r>
    <r>
      <rPr>
        <vertAlign val="subscript"/>
        <sz val="11"/>
        <color theme="1"/>
        <rFont val="游ゴシック"/>
        <family val="2"/>
        <scheme val="minor"/>
      </rPr>
      <t>t</t>
    </r>
    <r>
      <rPr>
        <sz val="11"/>
        <color theme="1"/>
        <rFont val="游ゴシック"/>
        <family val="2"/>
        <charset val="128"/>
        <scheme val="minor"/>
      </rPr>
      <t>[cc(cm</t>
    </r>
    <r>
      <rPr>
        <vertAlign val="superscript"/>
        <sz val="11"/>
        <color theme="1"/>
        <rFont val="游ゴシック"/>
        <family val="2"/>
        <scheme val="minor"/>
      </rPr>
      <t>3</t>
    </r>
    <r>
      <rPr>
        <sz val="11"/>
        <color theme="1"/>
        <rFont val="游ゴシック"/>
        <family val="2"/>
        <scheme val="minor"/>
      </rPr>
      <t>)</t>
    </r>
    <r>
      <rPr>
        <sz val="11"/>
        <color theme="1"/>
        <rFont val="游ゴシック"/>
        <family val="2"/>
        <charset val="128"/>
        <scheme val="minor"/>
      </rPr>
      <t>]</t>
    </r>
    <phoneticPr fontId="3"/>
  </si>
  <si>
    <r>
      <t>ρ</t>
    </r>
    <r>
      <rPr>
        <vertAlign val="subscript"/>
        <sz val="11"/>
        <color theme="1"/>
        <rFont val="游ゴシック"/>
        <family val="2"/>
        <scheme val="minor"/>
      </rPr>
      <t>ox</t>
    </r>
    <r>
      <rPr>
        <sz val="11"/>
        <color theme="1"/>
        <rFont val="游ゴシック"/>
        <family val="2"/>
        <charset val="128"/>
        <scheme val="minor"/>
      </rPr>
      <t xml:space="preserve"> [kg/m</t>
    </r>
    <r>
      <rPr>
        <vertAlign val="superscript"/>
        <sz val="11"/>
        <color theme="1"/>
        <rFont val="游ゴシック"/>
        <family val="2"/>
        <scheme val="minor"/>
      </rPr>
      <t>3</t>
    </r>
    <r>
      <rPr>
        <sz val="11"/>
        <color theme="1"/>
        <rFont val="游ゴシック"/>
        <family val="2"/>
        <charset val="128"/>
        <scheme val="minor"/>
      </rPr>
      <t>]</t>
    </r>
    <phoneticPr fontId="3"/>
  </si>
  <si>
    <r>
      <t>ρ</t>
    </r>
    <r>
      <rPr>
        <vertAlign val="subscript"/>
        <sz val="11"/>
        <color theme="1"/>
        <rFont val="游ゴシック"/>
        <family val="2"/>
        <scheme val="minor"/>
      </rPr>
      <t>f</t>
    </r>
    <r>
      <rPr>
        <sz val="11"/>
        <color theme="1"/>
        <rFont val="游ゴシック"/>
        <family val="2"/>
        <charset val="128"/>
        <scheme val="minor"/>
      </rPr>
      <t>[kg/m</t>
    </r>
    <r>
      <rPr>
        <vertAlign val="superscript"/>
        <sz val="11"/>
        <color theme="1"/>
        <rFont val="游ゴシック"/>
        <family val="2"/>
        <scheme val="minor"/>
      </rPr>
      <t>3</t>
    </r>
    <r>
      <rPr>
        <sz val="11"/>
        <color theme="1"/>
        <rFont val="游ゴシック"/>
        <family val="2"/>
        <charset val="128"/>
        <scheme val="minor"/>
      </rPr>
      <t>]</t>
    </r>
    <phoneticPr fontId="3"/>
  </si>
  <si>
    <r>
      <t>L</t>
    </r>
    <r>
      <rPr>
        <vertAlign val="subscript"/>
        <sz val="11"/>
        <color theme="1"/>
        <rFont val="游ゴシック"/>
        <family val="2"/>
        <scheme val="minor"/>
      </rPr>
      <t>f</t>
    </r>
    <r>
      <rPr>
        <sz val="11"/>
        <color theme="1"/>
        <rFont val="游ゴシック"/>
        <family val="2"/>
        <charset val="128"/>
        <scheme val="minor"/>
      </rPr>
      <t>[mm]</t>
    </r>
    <phoneticPr fontId="3"/>
  </si>
  <si>
    <r>
      <t>D</t>
    </r>
    <r>
      <rPr>
        <vertAlign val="subscript"/>
        <sz val="11"/>
        <color theme="1"/>
        <rFont val="游ゴシック"/>
        <family val="2"/>
        <scheme val="minor"/>
      </rPr>
      <t>f,i</t>
    </r>
    <r>
      <rPr>
        <sz val="11"/>
        <color theme="1"/>
        <rFont val="游ゴシック"/>
        <family val="2"/>
        <charset val="128"/>
        <scheme val="minor"/>
      </rPr>
      <t>[mm]</t>
    </r>
    <phoneticPr fontId="3"/>
  </si>
  <si>
    <r>
      <t>D</t>
    </r>
    <r>
      <rPr>
        <vertAlign val="subscript"/>
        <sz val="11"/>
        <color theme="1"/>
        <rFont val="游ゴシック"/>
        <family val="2"/>
        <scheme val="minor"/>
      </rPr>
      <t>f,f</t>
    </r>
    <r>
      <rPr>
        <sz val="11"/>
        <color theme="1"/>
        <rFont val="游ゴシック"/>
        <family val="2"/>
        <charset val="128"/>
        <scheme val="minor"/>
      </rPr>
      <t>[mm]</t>
    </r>
    <phoneticPr fontId="3"/>
  </si>
  <si>
    <r>
      <t>D</t>
    </r>
    <r>
      <rPr>
        <vertAlign val="subscript"/>
        <sz val="11"/>
        <color theme="1"/>
        <rFont val="游ゴシック"/>
        <family val="2"/>
        <scheme val="minor"/>
      </rPr>
      <t>o</t>
    </r>
    <r>
      <rPr>
        <sz val="11"/>
        <color theme="1"/>
        <rFont val="游ゴシック"/>
        <family val="2"/>
        <charset val="128"/>
        <scheme val="minor"/>
      </rPr>
      <t>[mm]</t>
    </r>
    <phoneticPr fontId="3"/>
  </si>
  <si>
    <r>
      <t>D</t>
    </r>
    <r>
      <rPr>
        <vertAlign val="subscript"/>
        <sz val="11"/>
        <color theme="1"/>
        <rFont val="游ゴシック"/>
        <family val="2"/>
        <scheme val="minor"/>
      </rPr>
      <t>t,i</t>
    </r>
    <r>
      <rPr>
        <sz val="11"/>
        <color theme="1"/>
        <rFont val="游ゴシック"/>
        <family val="2"/>
        <charset val="128"/>
        <scheme val="minor"/>
      </rPr>
      <t>[mm]</t>
    </r>
    <phoneticPr fontId="3"/>
  </si>
  <si>
    <r>
      <t>D</t>
    </r>
    <r>
      <rPr>
        <vertAlign val="subscript"/>
        <sz val="11"/>
        <color theme="1"/>
        <rFont val="游ゴシック"/>
        <family val="2"/>
        <scheme val="minor"/>
      </rPr>
      <t>e</t>
    </r>
    <r>
      <rPr>
        <sz val="11"/>
        <color theme="1"/>
        <rFont val="游ゴシック"/>
        <family val="2"/>
        <charset val="128"/>
        <scheme val="minor"/>
      </rPr>
      <t>[mm]</t>
    </r>
    <phoneticPr fontId="3"/>
  </si>
  <si>
    <r>
      <t>r</t>
    </r>
    <r>
      <rPr>
        <vertAlign val="subscript"/>
        <sz val="11"/>
        <color theme="1"/>
        <rFont val="游ゴシック"/>
        <family val="2"/>
        <scheme val="minor"/>
      </rPr>
      <t>dot,n</t>
    </r>
    <r>
      <rPr>
        <sz val="11"/>
        <color theme="1"/>
        <rFont val="游ゴシック"/>
        <family val="2"/>
        <charset val="128"/>
        <scheme val="minor"/>
      </rPr>
      <t>[mm/s]</t>
    </r>
    <phoneticPr fontId="3"/>
  </si>
  <si>
    <t>α[deg]</t>
    <phoneticPr fontId="3"/>
  </si>
  <si>
    <t>η[]</t>
    <phoneticPr fontId="3"/>
  </si>
  <si>
    <r>
      <t>a[m</t>
    </r>
    <r>
      <rPr>
        <vertAlign val="superscript"/>
        <sz val="11"/>
        <color theme="1"/>
        <rFont val="游ゴシック"/>
        <family val="2"/>
        <scheme val="minor"/>
      </rPr>
      <t>3</t>
    </r>
    <r>
      <rPr>
        <sz val="11"/>
        <color theme="1"/>
        <rFont val="游ゴシック"/>
        <family val="2"/>
        <scheme val="minor"/>
      </rPr>
      <t>/kg]</t>
    </r>
    <phoneticPr fontId="3"/>
  </si>
  <si>
    <t>n[]</t>
    <phoneticPr fontId="3"/>
  </si>
  <si>
    <t>N[個]</t>
    <rPh sb="2" eb="3">
      <t>コ</t>
    </rPh>
    <phoneticPr fontId="3"/>
  </si>
  <si>
    <r>
      <t>C</t>
    </r>
    <r>
      <rPr>
        <vertAlign val="subscript"/>
        <sz val="11"/>
        <color theme="1"/>
        <rFont val="游ゴシック"/>
        <family val="2"/>
        <scheme val="minor"/>
      </rPr>
      <t>d</t>
    </r>
    <r>
      <rPr>
        <sz val="11"/>
        <color theme="1"/>
        <rFont val="游ゴシック"/>
        <family val="2"/>
        <charset val="128"/>
        <scheme val="minor"/>
      </rPr>
      <t>[]</t>
    </r>
    <phoneticPr fontId="3"/>
  </si>
  <si>
    <r>
      <t>γ</t>
    </r>
    <r>
      <rPr>
        <vertAlign val="subscript"/>
        <sz val="11"/>
        <color theme="1"/>
        <rFont val="游ゴシック"/>
        <family val="2"/>
        <scheme val="minor"/>
      </rPr>
      <t>ox</t>
    </r>
    <r>
      <rPr>
        <sz val="11"/>
        <color theme="1"/>
        <rFont val="游ゴシック"/>
        <family val="2"/>
        <charset val="128"/>
        <scheme val="minor"/>
      </rPr>
      <t>[]</t>
    </r>
    <phoneticPr fontId="3"/>
  </si>
  <si>
    <t>最大推力[N]</t>
    <rPh sb="0" eb="2">
      <t>サイダイ</t>
    </rPh>
    <rPh sb="2" eb="4">
      <t>スイリョク</t>
    </rPh>
    <phoneticPr fontId="3"/>
  </si>
  <si>
    <t>総力積[Ns]</t>
    <rPh sb="0" eb="3">
      <t>ソウリキセキ</t>
    </rPh>
    <phoneticPr fontId="3"/>
  </si>
  <si>
    <t>混合比</t>
    <rPh sb="0" eb="3">
      <t>コンゴウヒ</t>
    </rPh>
    <phoneticPr fontId="3"/>
  </si>
  <si>
    <t>ε</t>
    <phoneticPr fontId="3"/>
  </si>
  <si>
    <t>t[s]</t>
    <phoneticPr fontId="3"/>
  </si>
  <si>
    <r>
      <t>m</t>
    </r>
    <r>
      <rPr>
        <vertAlign val="subscript"/>
        <sz val="11"/>
        <color theme="1"/>
        <rFont val="游ゴシック"/>
        <family val="2"/>
        <scheme val="minor"/>
      </rPr>
      <t>ox</t>
    </r>
    <r>
      <rPr>
        <sz val="11"/>
        <color theme="1"/>
        <rFont val="游ゴシック"/>
        <family val="2"/>
        <charset val="128"/>
        <scheme val="minor"/>
      </rPr>
      <t>[kg]</t>
    </r>
    <phoneticPr fontId="3"/>
  </si>
  <si>
    <r>
      <t>P</t>
    </r>
    <r>
      <rPr>
        <vertAlign val="subscript"/>
        <sz val="11"/>
        <color theme="1"/>
        <rFont val="游ゴシック"/>
        <family val="2"/>
        <scheme val="minor"/>
      </rPr>
      <t>t</t>
    </r>
    <r>
      <rPr>
        <sz val="11"/>
        <color theme="1"/>
        <rFont val="游ゴシック"/>
        <family val="2"/>
        <charset val="128"/>
        <scheme val="minor"/>
      </rPr>
      <t>[Mpa]</t>
    </r>
    <phoneticPr fontId="3"/>
  </si>
  <si>
    <r>
      <t>P</t>
    </r>
    <r>
      <rPr>
        <vertAlign val="subscript"/>
        <sz val="11"/>
        <color theme="1"/>
        <rFont val="游ゴシック"/>
        <family val="2"/>
        <scheme val="minor"/>
      </rPr>
      <t>c</t>
    </r>
    <r>
      <rPr>
        <sz val="11"/>
        <color theme="1"/>
        <rFont val="游ゴシック"/>
        <family val="2"/>
        <charset val="128"/>
        <scheme val="minor"/>
      </rPr>
      <t>[Mpa]</t>
    </r>
    <phoneticPr fontId="3"/>
  </si>
  <si>
    <r>
      <t>P</t>
    </r>
    <r>
      <rPr>
        <vertAlign val="subscript"/>
        <sz val="11"/>
        <color theme="1"/>
        <rFont val="游ゴシック"/>
        <family val="2"/>
        <scheme val="minor"/>
      </rPr>
      <t>e</t>
    </r>
    <r>
      <rPr>
        <sz val="11"/>
        <color theme="1"/>
        <rFont val="游ゴシック"/>
        <family val="2"/>
        <charset val="128"/>
        <scheme val="minor"/>
      </rPr>
      <t>[Mpa]</t>
    </r>
    <phoneticPr fontId="3"/>
  </si>
  <si>
    <r>
      <t>C</t>
    </r>
    <r>
      <rPr>
        <vertAlign val="subscript"/>
        <sz val="11"/>
        <color theme="1"/>
        <rFont val="游ゴシック"/>
        <family val="2"/>
        <scheme val="minor"/>
      </rPr>
      <t>f</t>
    </r>
    <r>
      <rPr>
        <sz val="11"/>
        <color theme="1"/>
        <rFont val="游ゴシック"/>
        <family val="2"/>
        <charset val="128"/>
        <scheme val="minor"/>
      </rPr>
      <t>[]</t>
    </r>
    <phoneticPr fontId="3"/>
  </si>
  <si>
    <t>F[N]</t>
    <phoneticPr fontId="3"/>
  </si>
  <si>
    <t>I[Ns]</t>
    <phoneticPr fontId="3"/>
  </si>
  <si>
    <r>
      <t>D</t>
    </r>
    <r>
      <rPr>
        <vertAlign val="subscript"/>
        <sz val="11"/>
        <color theme="1"/>
        <rFont val="游ゴシック"/>
        <family val="2"/>
        <scheme val="minor"/>
      </rPr>
      <t>t</t>
    </r>
    <r>
      <rPr>
        <sz val="11"/>
        <color theme="1"/>
        <rFont val="游ゴシック"/>
        <family val="2"/>
        <charset val="128"/>
        <scheme val="minor"/>
      </rPr>
      <t>[mm]</t>
    </r>
    <phoneticPr fontId="3"/>
  </si>
  <si>
    <t>γ[]</t>
    <phoneticPr fontId="3"/>
  </si>
  <si>
    <t>c*[m/s]</t>
    <phoneticPr fontId="3"/>
  </si>
  <si>
    <t>O/F[]</t>
    <phoneticPr fontId="3"/>
  </si>
  <si>
    <r>
      <t>dm</t>
    </r>
    <r>
      <rPr>
        <vertAlign val="subscript"/>
        <sz val="11"/>
        <color theme="1"/>
        <rFont val="游ゴシック"/>
        <family val="2"/>
        <scheme val="minor"/>
      </rPr>
      <t>f</t>
    </r>
    <r>
      <rPr>
        <sz val="11"/>
        <color theme="1"/>
        <rFont val="游ゴシック"/>
        <family val="2"/>
        <charset val="128"/>
        <scheme val="minor"/>
      </rPr>
      <t>[kg/s]</t>
    </r>
    <phoneticPr fontId="3"/>
  </si>
  <si>
    <t>dr[mm/s]</t>
    <phoneticPr fontId="3"/>
  </si>
  <si>
    <r>
      <t>G</t>
    </r>
    <r>
      <rPr>
        <vertAlign val="subscript"/>
        <sz val="11"/>
        <color theme="1"/>
        <rFont val="游ゴシック"/>
        <family val="2"/>
        <scheme val="minor"/>
      </rPr>
      <t>ox</t>
    </r>
    <r>
      <rPr>
        <sz val="11"/>
        <color theme="1"/>
        <rFont val="游ゴシック"/>
        <family val="2"/>
        <charset val="128"/>
        <scheme val="minor"/>
      </rPr>
      <t>[kg/m</t>
    </r>
    <r>
      <rPr>
        <vertAlign val="superscript"/>
        <sz val="11"/>
        <color theme="1"/>
        <rFont val="游ゴシック"/>
        <family val="2"/>
        <scheme val="minor"/>
      </rPr>
      <t>2</t>
    </r>
    <r>
      <rPr>
        <sz val="11"/>
        <color theme="1"/>
        <rFont val="游ゴシック"/>
        <family val="2"/>
        <scheme val="minor"/>
      </rPr>
      <t>s]</t>
    </r>
    <phoneticPr fontId="3"/>
  </si>
  <si>
    <r>
      <t>D</t>
    </r>
    <r>
      <rPr>
        <vertAlign val="subscript"/>
        <sz val="11"/>
        <color theme="1"/>
        <rFont val="游ゴシック"/>
        <family val="2"/>
        <scheme val="minor"/>
      </rPr>
      <t>f</t>
    </r>
    <r>
      <rPr>
        <sz val="11"/>
        <color theme="1"/>
        <rFont val="游ゴシック"/>
        <family val="2"/>
        <charset val="128"/>
        <scheme val="minor"/>
      </rPr>
      <t>[mm]</t>
    </r>
    <phoneticPr fontId="3"/>
  </si>
  <si>
    <r>
      <t>m</t>
    </r>
    <r>
      <rPr>
        <vertAlign val="subscript"/>
        <sz val="11"/>
        <color theme="1"/>
        <rFont val="游ゴシック"/>
        <family val="2"/>
        <scheme val="minor"/>
      </rPr>
      <t>f</t>
    </r>
    <r>
      <rPr>
        <sz val="11"/>
        <color theme="1"/>
        <rFont val="游ゴシック"/>
        <family val="2"/>
        <charset val="128"/>
        <scheme val="minor"/>
      </rPr>
      <t>[kg]</t>
    </r>
    <phoneticPr fontId="3"/>
  </si>
  <si>
    <r>
      <t>dm</t>
    </r>
    <r>
      <rPr>
        <vertAlign val="subscript"/>
        <sz val="11"/>
        <color theme="1"/>
        <rFont val="游ゴシック"/>
        <family val="2"/>
        <scheme val="minor"/>
      </rPr>
      <t>ox</t>
    </r>
    <r>
      <rPr>
        <sz val="11"/>
        <color theme="1"/>
        <rFont val="游ゴシック"/>
        <family val="2"/>
        <charset val="128"/>
        <scheme val="minor"/>
      </rPr>
      <t>[kg/s]</t>
    </r>
    <phoneticPr fontId="3"/>
  </si>
  <si>
    <t>燃焼時間[s]</t>
    <rPh sb="0" eb="2">
      <t>ネンショウ</t>
    </rPh>
    <rPh sb="2" eb="4">
      <t>ジカン</t>
    </rPh>
    <phoneticPr fontId="3"/>
  </si>
  <si>
    <r>
      <t>dr[mm/s]=a*G[kg/(s*m</t>
    </r>
    <r>
      <rPr>
        <vertAlign val="superscript"/>
        <sz val="11"/>
        <color theme="1"/>
        <rFont val="游ゴシック"/>
        <family val="2"/>
        <scheme val="minor"/>
      </rPr>
      <t>2</t>
    </r>
    <r>
      <rPr>
        <sz val="11"/>
        <color theme="1"/>
        <rFont val="游ゴシック"/>
        <family val="2"/>
        <scheme val="minor"/>
      </rPr>
      <t>)]^n</t>
    </r>
    <phoneticPr fontId="3"/>
  </si>
  <si>
    <t>C*ファイル名</t>
    <phoneticPr fontId="3"/>
  </si>
  <si>
    <t>gammaファイル名</t>
    <phoneticPr fontId="3"/>
  </si>
  <si>
    <t>解析時間</t>
    <rPh sb="0" eb="2">
      <t>カイセキ</t>
    </rPh>
    <rPh sb="2" eb="4">
      <t>ジカン</t>
    </rPh>
    <phoneticPr fontId="3"/>
  </si>
  <si>
    <t>解析間隔</t>
    <rPh sb="0" eb="4">
      <t>カイセキカンカク</t>
    </rPh>
    <phoneticPr fontId="3"/>
  </si>
  <si>
    <r>
      <t>t</t>
    </r>
    <r>
      <rPr>
        <vertAlign val="subscript"/>
        <sz val="11"/>
        <color theme="1"/>
        <rFont val="游ゴシック"/>
        <family val="2"/>
        <scheme val="minor"/>
      </rPr>
      <t>step</t>
    </r>
    <r>
      <rPr>
        <sz val="11"/>
        <color theme="1"/>
        <rFont val="游ゴシック"/>
        <family val="2"/>
        <charset val="128"/>
        <scheme val="minor"/>
      </rPr>
      <t>[s]</t>
    </r>
    <phoneticPr fontId="3"/>
  </si>
  <si>
    <t>酸化剤流量</t>
  </si>
  <si>
    <t>推力計算進捗[%]</t>
    <rPh sb="0" eb="4">
      <t>スイリョクケイサン</t>
    </rPh>
    <rPh sb="4" eb="6">
      <t>シンチョク</t>
    </rPh>
    <phoneticPr fontId="3"/>
  </si>
  <si>
    <t>予定時間進捗[%]</t>
    <rPh sb="0" eb="4">
      <t>ヨテイジカン</t>
    </rPh>
    <rPh sb="4" eb="6">
      <t>シンチョク</t>
    </rPh>
    <phoneticPr fontId="3"/>
  </si>
  <si>
    <t>重力加速度</t>
    <rPh sb="0" eb="5">
      <t>ジュウリョクカソクド</t>
    </rPh>
    <phoneticPr fontId="3"/>
  </si>
  <si>
    <r>
      <t>g[m/s</t>
    </r>
    <r>
      <rPr>
        <vertAlign val="superscript"/>
        <sz val="11"/>
        <color theme="1"/>
        <rFont val="游ゴシック"/>
        <family val="2"/>
        <scheme val="minor"/>
      </rPr>
      <t>2</t>
    </r>
    <r>
      <rPr>
        <sz val="11"/>
        <color theme="1"/>
        <rFont val="游ゴシック"/>
        <family val="2"/>
        <scheme val="minor"/>
      </rPr>
      <t>]</t>
    </r>
    <phoneticPr fontId="3"/>
  </si>
  <si>
    <t>酸化剤諸元</t>
    <rPh sb="0" eb="3">
      <t>サンカザイ</t>
    </rPh>
    <rPh sb="3" eb="5">
      <t>ショゲン</t>
    </rPh>
    <phoneticPr fontId="3"/>
  </si>
  <si>
    <t>燃料諸元</t>
    <rPh sb="0" eb="4">
      <t>ネンリョウショゲン</t>
    </rPh>
    <phoneticPr fontId="3"/>
  </si>
  <si>
    <t>モーター諸元</t>
    <rPh sb="4" eb="6">
      <t>ショゲン</t>
    </rPh>
    <phoneticPr fontId="3"/>
  </si>
  <si>
    <t>解析条件</t>
    <rPh sb="0" eb="4">
      <t>カイセキジョウケン</t>
    </rPh>
    <phoneticPr fontId="3"/>
  </si>
  <si>
    <t>計算結果表示</t>
    <rPh sb="0" eb="2">
      <t>ケイサン</t>
    </rPh>
    <rPh sb="2" eb="4">
      <t>ケッカ</t>
    </rPh>
    <rPh sb="4" eb="6">
      <t>ヒョウジ</t>
    </rPh>
    <phoneticPr fontId="3"/>
  </si>
  <si>
    <t>実行(ctrl + q)</t>
    <rPh sb="0" eb="2">
      <t>ジッコウ</t>
    </rPh>
    <phoneticPr fontId="3"/>
  </si>
  <si>
    <t>平均推力[N]</t>
    <rPh sb="0" eb="4">
      <t>ヘイキンスイリョク</t>
    </rPh>
    <phoneticPr fontId="3"/>
  </si>
  <si>
    <t>比推力[s]</t>
    <rPh sb="0" eb="3">
      <t>ヒスイリョク</t>
    </rPh>
    <phoneticPr fontId="3"/>
  </si>
  <si>
    <t>最終ポート径[mm]</t>
    <rPh sb="0" eb="2">
      <t>サイシュウ</t>
    </rPh>
    <rPh sb="5" eb="6">
      <t>ケイ</t>
    </rPh>
    <phoneticPr fontId="3"/>
  </si>
  <si>
    <t>shortage of oxidant</t>
  </si>
  <si>
    <t>20230924_paraffin_n100.out_cstar.csv</t>
    <phoneticPr fontId="3"/>
  </si>
  <si>
    <t>20230924_paraffin_n100.out_gammas.csv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</si>
</sst>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vertAlign val="subscript"/>
      <sz val="11"/>
      <color theme="1"/>
      <name val="游ゴシック"/>
      <family val="2"/>
      <scheme val="minor"/>
    </font>
    <font>
      <vertAlign val="superscript"/>
      <sz val="11"/>
      <color theme="1"/>
      <name val="游ゴシック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3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96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1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0" xfId="0" applyBorder="1">
      <alignment vertical="center"/>
    </xf>
    <xf numFmtId="0" fontId="0" fillId="0" borderId="0" xfId="0" applyBorder="1" applyAlignment="1">
      <alignment vertical="center"/>
    </xf>
    <xf numFmtId="0" fontId="0" fillId="0" borderId="2" xfId="0" applyFill="1" applyBorder="1">
      <alignment vertical="center"/>
    </xf>
    <xf numFmtId="0" fontId="4" fillId="0" borderId="0" xfId="1" quotePrefix="1" applyBorder="1">
      <alignment vertical="center"/>
    </xf>
    <xf numFmtId="0" fontId="4" fillId="0" borderId="0" xfId="1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2" borderId="2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28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30" xfId="0" applyBorder="1">
      <alignment vertical="center"/>
    </xf>
    <xf numFmtId="0" fontId="0" fillId="3" borderId="14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4" xfId="0" applyFill="1" applyBorder="1">
      <alignment vertical="center"/>
    </xf>
    <xf numFmtId="0" fontId="0" fillId="4" borderId="2" xfId="0" applyFill="1" applyBorder="1">
      <alignment vertical="center"/>
    </xf>
    <xf numFmtId="0" fontId="0" fillId="4" borderId="6" xfId="0" applyFill="1" applyBorder="1">
      <alignment vertical="center"/>
    </xf>
    <xf numFmtId="0" fontId="0" fillId="4" borderId="7" xfId="0" applyFill="1" applyBorder="1">
      <alignment vertical="center"/>
    </xf>
    <xf numFmtId="0" fontId="0" fillId="5" borderId="14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9" xfId="0" applyFill="1" applyBorder="1">
      <alignment vertical="center"/>
    </xf>
    <xf numFmtId="0" fontId="0" fillId="6" borderId="4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6" xfId="0" applyFill="1" applyBorder="1">
      <alignment vertical="center"/>
    </xf>
    <xf numFmtId="0" fontId="0" fillId="6" borderId="7" xfId="0" applyFill="1" applyBorder="1">
      <alignment vertical="center"/>
    </xf>
    <xf numFmtId="11" fontId="0" fillId="4" borderId="2" xfId="0" applyNumberFormat="1" applyFill="1" applyBorder="1">
      <alignment vertical="center"/>
    </xf>
    <xf numFmtId="0" fontId="0" fillId="4" borderId="16" xfId="0" applyFill="1" applyBorder="1">
      <alignment vertical="center"/>
    </xf>
    <xf numFmtId="0" fontId="0" fillId="4" borderId="15" xfId="0" applyFill="1" applyBorder="1">
      <alignment vertical="center"/>
    </xf>
    <xf numFmtId="0" fontId="0" fillId="4" borderId="2" xfId="0" quotePrefix="1" applyFill="1" applyBorder="1">
      <alignment vertical="center"/>
    </xf>
    <xf numFmtId="0" fontId="0" fillId="8" borderId="3" xfId="0" applyFill="1" applyBorder="1">
      <alignment vertical="center"/>
    </xf>
    <xf numFmtId="0" fontId="0" fillId="8" borderId="9" xfId="0" applyFill="1" applyBorder="1">
      <alignment vertical="center"/>
    </xf>
    <xf numFmtId="0" fontId="0" fillId="8" borderId="4" xfId="0" applyFill="1" applyBorder="1">
      <alignment vertical="center"/>
    </xf>
    <xf numFmtId="0" fontId="2" fillId="8" borderId="2" xfId="0" applyFont="1" applyFill="1" applyBorder="1">
      <alignment vertical="center"/>
    </xf>
    <xf numFmtId="0" fontId="0" fillId="8" borderId="2" xfId="0" applyFill="1" applyBorder="1">
      <alignment vertical="center"/>
    </xf>
    <xf numFmtId="0" fontId="0" fillId="8" borderId="6" xfId="0" applyFill="1" applyBorder="1">
      <alignment vertical="center"/>
    </xf>
    <xf numFmtId="0" fontId="0" fillId="8" borderId="7" xfId="0" applyFill="1" applyBorder="1">
      <alignment vertical="center"/>
    </xf>
    <xf numFmtId="0" fontId="0" fillId="9" borderId="14" xfId="0" applyFill="1" applyBorder="1">
      <alignment vertical="center"/>
    </xf>
    <xf numFmtId="0" fontId="0" fillId="10" borderId="3" xfId="0" applyFill="1" applyBorder="1">
      <alignment vertical="center"/>
    </xf>
    <xf numFmtId="0" fontId="0" fillId="10" borderId="9" xfId="0" applyFill="1" applyBorder="1">
      <alignment vertical="center"/>
    </xf>
    <xf numFmtId="0" fontId="0" fillId="10" borderId="16" xfId="0" applyFill="1" applyBorder="1">
      <alignment vertical="center"/>
    </xf>
    <xf numFmtId="0" fontId="0" fillId="10" borderId="15" xfId="0" applyFill="1" applyBorder="1">
      <alignment vertical="center"/>
    </xf>
    <xf numFmtId="0" fontId="0" fillId="10" borderId="6" xfId="0" applyFill="1" applyBorder="1">
      <alignment vertical="center"/>
    </xf>
    <xf numFmtId="0" fontId="0" fillId="10" borderId="7" xfId="0" applyFill="1" applyBorder="1">
      <alignment vertical="center"/>
    </xf>
    <xf numFmtId="0" fontId="0" fillId="2" borderId="4" xfId="0" applyFill="1" applyBorder="1">
      <alignment vertical="center"/>
    </xf>
    <xf numFmtId="0" fontId="0" fillId="0" borderId="18" xfId="0" applyFill="1" applyBorder="1">
      <alignment vertical="center"/>
    </xf>
    <xf numFmtId="0" fontId="0" fillId="2" borderId="21" xfId="0" applyFill="1" applyBorder="1">
      <alignment vertical="center"/>
    </xf>
    <xf numFmtId="0" fontId="0" fillId="0" borderId="29" xfId="0" applyBorder="1">
      <alignment vertical="center"/>
    </xf>
    <xf numFmtId="0" fontId="0" fillId="7" borderId="31" xfId="0" applyFill="1" applyBorder="1">
      <alignment vertical="center"/>
    </xf>
    <xf numFmtId="0" fontId="0" fillId="4" borderId="7" xfId="0" quotePrefix="1" applyFill="1" applyBorder="1">
      <alignment vertical="center"/>
    </xf>
    <xf numFmtId="0" fontId="0" fillId="6" borderId="9" xfId="0" applyFill="1" applyBorder="1" applyAlignment="1">
      <alignment vertical="center"/>
    </xf>
    <xf numFmtId="0" fontId="0" fillId="6" borderId="10" xfId="0" applyFill="1" applyBorder="1" applyAlignment="1">
      <alignment vertical="center"/>
    </xf>
    <xf numFmtId="0" fontId="0" fillId="6" borderId="2" xfId="0" applyFill="1" applyBorder="1" applyAlignment="1">
      <alignment vertical="center"/>
    </xf>
    <xf numFmtId="0" fontId="0" fillId="6" borderId="5" xfId="0" applyFill="1" applyBorder="1" applyAlignment="1">
      <alignment vertical="center"/>
    </xf>
    <xf numFmtId="0" fontId="0" fillId="4" borderId="15" xfId="0" applyFill="1" applyBorder="1" applyAlignment="1">
      <alignment vertical="center"/>
    </xf>
    <xf numFmtId="0" fontId="0" fillId="4" borderId="17" xfId="0" applyFill="1" applyBorder="1" applyAlignment="1">
      <alignment vertical="center"/>
    </xf>
    <xf numFmtId="0" fontId="0" fillId="6" borderId="7" xfId="0" applyFill="1" applyBorder="1" applyAlignment="1">
      <alignment vertical="center"/>
    </xf>
    <xf numFmtId="0" fontId="0" fillId="6" borderId="8" xfId="0" applyFill="1" applyBorder="1" applyAlignment="1">
      <alignment vertical="center"/>
    </xf>
    <xf numFmtId="0" fontId="0" fillId="4" borderId="9" xfId="0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0" fontId="0" fillId="4" borderId="2" xfId="0" applyFill="1" applyBorder="1" applyAlignment="1">
      <alignment vertical="center"/>
    </xf>
    <xf numFmtId="0" fontId="0" fillId="4" borderId="5" xfId="0" applyFill="1" applyBorder="1" applyAlignment="1">
      <alignment vertical="center"/>
    </xf>
    <xf numFmtId="0" fontId="0" fillId="10" borderId="15" xfId="0" applyFill="1" applyBorder="1" applyAlignment="1">
      <alignment vertical="center"/>
    </xf>
    <xf numFmtId="0" fontId="0" fillId="10" borderId="17" xfId="0" applyFill="1" applyBorder="1" applyAlignment="1">
      <alignment vertical="center"/>
    </xf>
    <xf numFmtId="0" fontId="0" fillId="10" borderId="21" xfId="0" applyFont="1" applyFill="1" applyBorder="1" applyAlignment="1">
      <alignment vertical="center"/>
    </xf>
    <xf numFmtId="0" fontId="0" fillId="10" borderId="22" xfId="0" applyFont="1" applyFill="1" applyBorder="1" applyAlignment="1">
      <alignment vertical="center"/>
    </xf>
    <xf numFmtId="0" fontId="0" fillId="10" borderId="23" xfId="0" applyFont="1" applyFill="1" applyBorder="1" applyAlignment="1">
      <alignment vertical="center"/>
    </xf>
    <xf numFmtId="0" fontId="0" fillId="8" borderId="7" xfId="0" applyFill="1" applyBorder="1" applyAlignment="1">
      <alignment vertical="center"/>
    </xf>
    <xf numFmtId="0" fontId="0" fillId="8" borderId="8" xfId="0" applyFill="1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4" borderId="18" xfId="0" applyFill="1" applyBorder="1" applyAlignment="1">
      <alignment vertical="center"/>
    </xf>
    <xf numFmtId="0" fontId="0" fillId="4" borderId="19" xfId="0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4" borderId="21" xfId="0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0" fontId="0" fillId="4" borderId="23" xfId="0" applyFill="1" applyBorder="1" applyAlignment="1">
      <alignment vertical="center"/>
    </xf>
    <xf numFmtId="0" fontId="0" fillId="10" borderId="9" xfId="0" applyFill="1" applyBorder="1" applyAlignment="1">
      <alignment vertical="center"/>
    </xf>
    <xf numFmtId="0" fontId="0" fillId="10" borderId="10" xfId="0" applyFill="1" applyBorder="1" applyAlignment="1">
      <alignment vertical="center"/>
    </xf>
    <xf numFmtId="0" fontId="0" fillId="8" borderId="9" xfId="0" applyFill="1" applyBorder="1" applyAlignment="1">
      <alignment vertical="center"/>
    </xf>
    <xf numFmtId="0" fontId="0" fillId="8" borderId="10" xfId="0" applyFill="1" applyBorder="1" applyAlignment="1">
      <alignment vertical="center"/>
    </xf>
    <xf numFmtId="0" fontId="0" fillId="8" borderId="2" xfId="0" applyFill="1" applyBorder="1" applyAlignment="1">
      <alignment vertical="center"/>
    </xf>
    <xf numFmtId="0" fontId="0" fillId="8" borderId="5" xfId="0" applyFill="1" applyBorder="1" applyAlignme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star_L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$C$19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cstar_LT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">
          <cell r="C3">
            <v>0.2</v>
          </cell>
          <cell r="D3">
            <v>0.6</v>
          </cell>
          <cell r="E3">
            <v>1</v>
          </cell>
          <cell r="F3">
            <v>1.4</v>
          </cell>
          <cell r="G3">
            <v>1.6</v>
          </cell>
          <cell r="H3">
            <v>1.8</v>
          </cell>
          <cell r="I3">
            <v>2</v>
          </cell>
          <cell r="J3">
            <v>2.2000000000000002</v>
          </cell>
          <cell r="K3">
            <v>2.4</v>
          </cell>
          <cell r="L3">
            <v>2.6</v>
          </cell>
          <cell r="M3">
            <v>2.8</v>
          </cell>
          <cell r="N3">
            <v>3</v>
          </cell>
          <cell r="O3">
            <v>3.2</v>
          </cell>
          <cell r="P3">
            <v>3.6</v>
          </cell>
          <cell r="Q3">
            <v>5</v>
          </cell>
        </row>
        <row r="4">
          <cell r="B4">
            <v>0.5</v>
          </cell>
          <cell r="C4">
            <v>1240.0999999999999</v>
          </cell>
          <cell r="D4">
            <v>1250.0999999999999</v>
          </cell>
          <cell r="E4">
            <v>1255.4000000000001</v>
          </cell>
          <cell r="F4">
            <v>1259</v>
          </cell>
          <cell r="G4">
            <v>1260.5</v>
          </cell>
          <cell r="H4">
            <v>1261.7</v>
          </cell>
          <cell r="I4">
            <v>1262.9000000000001</v>
          </cell>
          <cell r="J4">
            <v>1263.9000000000001</v>
          </cell>
          <cell r="K4">
            <v>1264.8</v>
          </cell>
          <cell r="L4">
            <v>1265.5999999999999</v>
          </cell>
          <cell r="M4">
            <v>1266.4000000000001</v>
          </cell>
          <cell r="N4">
            <v>1267.0999999999999</v>
          </cell>
          <cell r="O4">
            <v>1267.8</v>
          </cell>
          <cell r="P4">
            <v>1269</v>
          </cell>
          <cell r="Q4">
            <v>1272.3</v>
          </cell>
        </row>
        <row r="5">
          <cell r="B5">
            <v>1.5</v>
          </cell>
          <cell r="C5">
            <v>1402.3</v>
          </cell>
          <cell r="D5">
            <v>1402.8</v>
          </cell>
          <cell r="E5">
            <v>1403.2</v>
          </cell>
          <cell r="F5">
            <v>1403.6</v>
          </cell>
          <cell r="G5">
            <v>1403.8</v>
          </cell>
          <cell r="H5">
            <v>1403.9</v>
          </cell>
          <cell r="I5">
            <v>1404.1</v>
          </cell>
          <cell r="J5">
            <v>1404.3</v>
          </cell>
          <cell r="K5">
            <v>1404.5</v>
          </cell>
          <cell r="L5">
            <v>1404.7</v>
          </cell>
          <cell r="M5">
            <v>1404.8</v>
          </cell>
          <cell r="N5">
            <v>1405</v>
          </cell>
          <cell r="O5">
            <v>1405.2</v>
          </cell>
          <cell r="P5">
            <v>1405.5</v>
          </cell>
          <cell r="Q5">
            <v>1406.5</v>
          </cell>
        </row>
        <row r="6">
          <cell r="B6">
            <v>2.5</v>
          </cell>
          <cell r="C6">
            <v>1492.8</v>
          </cell>
          <cell r="D6">
            <v>1492.8</v>
          </cell>
          <cell r="E6">
            <v>1492.9</v>
          </cell>
          <cell r="F6">
            <v>1493</v>
          </cell>
          <cell r="G6">
            <v>1493</v>
          </cell>
          <cell r="H6">
            <v>1493</v>
          </cell>
          <cell r="I6">
            <v>1493</v>
          </cell>
          <cell r="J6">
            <v>1493.1</v>
          </cell>
          <cell r="K6">
            <v>1493.1</v>
          </cell>
          <cell r="L6">
            <v>1493.1</v>
          </cell>
          <cell r="M6">
            <v>1493.1</v>
          </cell>
          <cell r="N6">
            <v>1493.2</v>
          </cell>
          <cell r="O6">
            <v>1493.2</v>
          </cell>
          <cell r="P6">
            <v>1493.2</v>
          </cell>
          <cell r="Q6">
            <v>1493.4</v>
          </cell>
        </row>
        <row r="7">
          <cell r="B7">
            <v>3.5</v>
          </cell>
          <cell r="C7">
            <v>1570.4</v>
          </cell>
          <cell r="D7">
            <v>1571.1</v>
          </cell>
          <cell r="E7">
            <v>1571.2</v>
          </cell>
          <cell r="F7">
            <v>1571.3</v>
          </cell>
          <cell r="G7">
            <v>1571.3</v>
          </cell>
          <cell r="H7">
            <v>1571.3</v>
          </cell>
          <cell r="I7">
            <v>1571.3</v>
          </cell>
          <cell r="J7">
            <v>1571.3</v>
          </cell>
          <cell r="K7">
            <v>1571.3</v>
          </cell>
          <cell r="L7">
            <v>1571.3</v>
          </cell>
          <cell r="M7">
            <v>1571.3</v>
          </cell>
          <cell r="N7">
            <v>1571.3</v>
          </cell>
          <cell r="O7">
            <v>1571.3</v>
          </cell>
          <cell r="P7">
            <v>1571.3</v>
          </cell>
          <cell r="Q7">
            <v>1571.3</v>
          </cell>
        </row>
        <row r="8">
          <cell r="B8">
            <v>4.5</v>
          </cell>
          <cell r="C8">
            <v>1621</v>
          </cell>
          <cell r="D8">
            <v>1627.9</v>
          </cell>
          <cell r="E8">
            <v>1630.2</v>
          </cell>
          <cell r="F8">
            <v>1631.5</v>
          </cell>
          <cell r="G8">
            <v>1631.9</v>
          </cell>
          <cell r="H8">
            <v>1632.3</v>
          </cell>
          <cell r="I8">
            <v>1632.6</v>
          </cell>
          <cell r="J8">
            <v>1632.9</v>
          </cell>
          <cell r="K8">
            <v>1633.1</v>
          </cell>
          <cell r="L8">
            <v>1633.3</v>
          </cell>
          <cell r="M8">
            <v>1633.5</v>
          </cell>
          <cell r="N8">
            <v>1633.7</v>
          </cell>
          <cell r="O8">
            <v>1633.8</v>
          </cell>
          <cell r="P8">
            <v>1634.1</v>
          </cell>
          <cell r="Q8">
            <v>1634.7</v>
          </cell>
        </row>
        <row r="9">
          <cell r="B9">
            <v>5.5</v>
          </cell>
          <cell r="C9">
            <v>1630.8</v>
          </cell>
          <cell r="D9">
            <v>1644.5</v>
          </cell>
          <cell r="E9">
            <v>1649.9</v>
          </cell>
          <cell r="F9">
            <v>1653.1</v>
          </cell>
          <cell r="G9">
            <v>1654.3</v>
          </cell>
          <cell r="H9">
            <v>1655.3</v>
          </cell>
          <cell r="I9">
            <v>1656.2</v>
          </cell>
          <cell r="J9">
            <v>1656.9</v>
          </cell>
          <cell r="K9">
            <v>1657.6</v>
          </cell>
          <cell r="L9">
            <v>1658.2</v>
          </cell>
          <cell r="M9">
            <v>1658.8</v>
          </cell>
          <cell r="N9">
            <v>1659.3</v>
          </cell>
          <cell r="O9">
            <v>1659.7</v>
          </cell>
          <cell r="P9">
            <v>1660.5</v>
          </cell>
          <cell r="Q9">
            <v>1662.6</v>
          </cell>
        </row>
        <row r="10">
          <cell r="B10">
            <v>6.5</v>
          </cell>
          <cell r="C10">
            <v>1618.8</v>
          </cell>
          <cell r="D10">
            <v>1637</v>
          </cell>
          <cell r="E10">
            <v>1644.9</v>
          </cell>
          <cell r="F10">
            <v>1649.8</v>
          </cell>
          <cell r="G10">
            <v>1651.7</v>
          </cell>
          <cell r="H10">
            <v>1653.4</v>
          </cell>
          <cell r="I10">
            <v>1654.8</v>
          </cell>
          <cell r="J10">
            <v>1656.1</v>
          </cell>
          <cell r="K10">
            <v>1657.2</v>
          </cell>
          <cell r="L10">
            <v>1658.3</v>
          </cell>
          <cell r="M10">
            <v>1659.2</v>
          </cell>
          <cell r="N10">
            <v>1660.1</v>
          </cell>
          <cell r="O10">
            <v>1660.9</v>
          </cell>
          <cell r="P10">
            <v>1662.4</v>
          </cell>
          <cell r="Q10">
            <v>1666.3</v>
          </cell>
        </row>
        <row r="11">
          <cell r="B11">
            <v>7.5</v>
          </cell>
          <cell r="C11">
            <v>1599.1</v>
          </cell>
          <cell r="D11">
            <v>1618.8</v>
          </cell>
          <cell r="E11">
            <v>1627.6</v>
          </cell>
          <cell r="F11">
            <v>1633.3</v>
          </cell>
          <cell r="G11">
            <v>1635.5</v>
          </cell>
          <cell r="H11">
            <v>1637.4</v>
          </cell>
          <cell r="I11">
            <v>1639.2</v>
          </cell>
          <cell r="J11">
            <v>1640.7</v>
          </cell>
          <cell r="K11">
            <v>1642.1</v>
          </cell>
          <cell r="L11">
            <v>1643.4</v>
          </cell>
          <cell r="M11">
            <v>1644.5</v>
          </cell>
          <cell r="N11">
            <v>1645.6</v>
          </cell>
          <cell r="O11">
            <v>1646.6</v>
          </cell>
          <cell r="P11">
            <v>1648.4</v>
          </cell>
          <cell r="Q11">
            <v>1653.4</v>
          </cell>
        </row>
        <row r="12">
          <cell r="B12">
            <v>8.5</v>
          </cell>
          <cell r="C12">
            <v>1578.7</v>
          </cell>
          <cell r="D12">
            <v>1598.4</v>
          </cell>
          <cell r="E12">
            <v>1607.3</v>
          </cell>
          <cell r="F12">
            <v>1613.1</v>
          </cell>
          <cell r="G12">
            <v>1615.4</v>
          </cell>
          <cell r="H12">
            <v>1617.3</v>
          </cell>
          <cell r="I12">
            <v>1619.1</v>
          </cell>
          <cell r="J12">
            <v>1620.7</v>
          </cell>
          <cell r="K12">
            <v>1622.1</v>
          </cell>
          <cell r="L12">
            <v>1623.5</v>
          </cell>
          <cell r="M12">
            <v>1624.7</v>
          </cell>
          <cell r="N12">
            <v>1625.8</v>
          </cell>
          <cell r="O12">
            <v>1626.9</v>
          </cell>
          <cell r="P12">
            <v>1628.8</v>
          </cell>
          <cell r="Q12">
            <v>1634</v>
          </cell>
        </row>
        <row r="13">
          <cell r="B13">
            <v>9.5</v>
          </cell>
          <cell r="C13">
            <v>1559.5</v>
          </cell>
          <cell r="D13">
            <v>1578.7</v>
          </cell>
          <cell r="E13">
            <v>1587.4</v>
          </cell>
          <cell r="F13">
            <v>1593</v>
          </cell>
          <cell r="G13">
            <v>1595.2</v>
          </cell>
          <cell r="H13">
            <v>1597.1</v>
          </cell>
          <cell r="I13">
            <v>1598.8</v>
          </cell>
          <cell r="J13">
            <v>1600.4</v>
          </cell>
          <cell r="K13">
            <v>1601.8</v>
          </cell>
          <cell r="L13">
            <v>1603.1</v>
          </cell>
          <cell r="M13">
            <v>1604.3</v>
          </cell>
          <cell r="N13">
            <v>1605.4</v>
          </cell>
          <cell r="O13">
            <v>1606.4</v>
          </cell>
          <cell r="P13">
            <v>1608.3</v>
          </cell>
          <cell r="Q13">
            <v>1613.4</v>
          </cell>
        </row>
        <row r="14">
          <cell r="B14">
            <v>10.5</v>
          </cell>
          <cell r="C14">
            <v>1542</v>
          </cell>
          <cell r="D14">
            <v>1560.4</v>
          </cell>
          <cell r="E14">
            <v>1568.7</v>
          </cell>
          <cell r="F14">
            <v>1574</v>
          </cell>
          <cell r="G14">
            <v>1576.1</v>
          </cell>
          <cell r="H14">
            <v>1578</v>
          </cell>
          <cell r="I14">
            <v>1579.6</v>
          </cell>
          <cell r="J14">
            <v>1581.1</v>
          </cell>
          <cell r="K14">
            <v>1582.4</v>
          </cell>
          <cell r="L14">
            <v>1583.6</v>
          </cell>
          <cell r="M14">
            <v>1584.8</v>
          </cell>
          <cell r="N14">
            <v>1585.8</v>
          </cell>
          <cell r="O14">
            <v>1586.8</v>
          </cell>
          <cell r="P14">
            <v>1588.5</v>
          </cell>
          <cell r="Q14">
            <v>1593.4</v>
          </cell>
        </row>
        <row r="15">
          <cell r="B15">
            <v>11.5</v>
          </cell>
          <cell r="C15">
            <v>1526</v>
          </cell>
          <cell r="D15">
            <v>1543.5</v>
          </cell>
          <cell r="E15">
            <v>1551.4</v>
          </cell>
          <cell r="F15">
            <v>1556.4</v>
          </cell>
          <cell r="G15">
            <v>1558.4</v>
          </cell>
          <cell r="H15">
            <v>1560.1</v>
          </cell>
          <cell r="I15">
            <v>1561.6</v>
          </cell>
          <cell r="J15">
            <v>1563</v>
          </cell>
          <cell r="K15">
            <v>1564.3</v>
          </cell>
          <cell r="L15">
            <v>1565.4</v>
          </cell>
          <cell r="M15">
            <v>1566.5</v>
          </cell>
          <cell r="N15">
            <v>1567.4</v>
          </cell>
          <cell r="O15">
            <v>1568.3</v>
          </cell>
          <cell r="P15">
            <v>1570</v>
          </cell>
          <cell r="Q15">
            <v>1574.5</v>
          </cell>
        </row>
        <row r="16">
          <cell r="B16">
            <v>12.5</v>
          </cell>
          <cell r="C16">
            <v>1511.4</v>
          </cell>
          <cell r="D16">
            <v>1528</v>
          </cell>
          <cell r="E16">
            <v>1535.3</v>
          </cell>
          <cell r="F16">
            <v>1540</v>
          </cell>
          <cell r="G16">
            <v>1541.9</v>
          </cell>
          <cell r="H16">
            <v>1543.5</v>
          </cell>
          <cell r="I16">
            <v>1544.9</v>
          </cell>
          <cell r="J16">
            <v>1546.2</v>
          </cell>
          <cell r="K16">
            <v>1547.3</v>
          </cell>
          <cell r="L16">
            <v>1548.4</v>
          </cell>
          <cell r="M16">
            <v>1549.4</v>
          </cell>
          <cell r="N16">
            <v>1550.3</v>
          </cell>
          <cell r="O16">
            <v>1551.1</v>
          </cell>
          <cell r="P16">
            <v>1552.6</v>
          </cell>
          <cell r="Q16">
            <v>1556.7</v>
          </cell>
        </row>
        <row r="17">
          <cell r="B17">
            <v>13.5</v>
          </cell>
          <cell r="C17">
            <v>1497.9</v>
          </cell>
          <cell r="D17">
            <v>1513.6</v>
          </cell>
          <cell r="E17">
            <v>1520.4</v>
          </cell>
          <cell r="F17">
            <v>1524.8</v>
          </cell>
          <cell r="G17">
            <v>1526.5</v>
          </cell>
          <cell r="H17">
            <v>1528</v>
          </cell>
          <cell r="I17">
            <v>1529.3</v>
          </cell>
          <cell r="J17">
            <v>1530.5</v>
          </cell>
          <cell r="K17">
            <v>1531.5</v>
          </cell>
          <cell r="L17">
            <v>1532.5</v>
          </cell>
          <cell r="M17">
            <v>1533.4</v>
          </cell>
          <cell r="N17">
            <v>1534.2</v>
          </cell>
          <cell r="O17">
            <v>1534.9</v>
          </cell>
          <cell r="P17">
            <v>1536.3</v>
          </cell>
          <cell r="Q17">
            <v>1540</v>
          </cell>
        </row>
        <row r="18">
          <cell r="B18">
            <v>14.5</v>
          </cell>
          <cell r="C18">
            <v>1485.5</v>
          </cell>
          <cell r="D18">
            <v>1500.1</v>
          </cell>
          <cell r="E18">
            <v>1506.5</v>
          </cell>
          <cell r="F18">
            <v>1510.5</v>
          </cell>
          <cell r="G18">
            <v>1512.1</v>
          </cell>
          <cell r="H18">
            <v>1513.4</v>
          </cell>
          <cell r="I18">
            <v>1514.6</v>
          </cell>
          <cell r="J18">
            <v>1515.7</v>
          </cell>
          <cell r="K18">
            <v>1516.7</v>
          </cell>
          <cell r="L18">
            <v>1517.5</v>
          </cell>
          <cell r="M18">
            <v>1518.4</v>
          </cell>
          <cell r="N18">
            <v>1519.1</v>
          </cell>
          <cell r="O18">
            <v>1519.8</v>
          </cell>
          <cell r="P18">
            <v>1521</v>
          </cell>
          <cell r="Q18">
            <v>1524.4</v>
          </cell>
        </row>
        <row r="19">
          <cell r="B19">
            <v>15.5</v>
          </cell>
          <cell r="C19">
            <v>1473.8</v>
          </cell>
          <cell r="D19">
            <v>1487.6</v>
          </cell>
          <cell r="E19">
            <v>1493.5</v>
          </cell>
          <cell r="F19">
            <v>1497.1</v>
          </cell>
          <cell r="G19">
            <v>1498.6</v>
          </cell>
          <cell r="H19">
            <v>1499.8</v>
          </cell>
          <cell r="I19">
            <v>1500.9</v>
          </cell>
          <cell r="J19">
            <v>1501.8</v>
          </cell>
          <cell r="K19">
            <v>1502.7</v>
          </cell>
          <cell r="L19">
            <v>1503.5</v>
          </cell>
          <cell r="M19">
            <v>1504.2</v>
          </cell>
          <cell r="N19">
            <v>1504.9</v>
          </cell>
          <cell r="O19">
            <v>1505.5</v>
          </cell>
          <cell r="P19">
            <v>1506.6</v>
          </cell>
          <cell r="Q19">
            <v>1509.6</v>
          </cell>
        </row>
        <row r="20">
          <cell r="B20">
            <v>16.5</v>
          </cell>
          <cell r="C20">
            <v>1463</v>
          </cell>
          <cell r="D20">
            <v>1475.7</v>
          </cell>
          <cell r="E20">
            <v>1481.1</v>
          </cell>
          <cell r="F20">
            <v>1484.5</v>
          </cell>
          <cell r="G20">
            <v>1485.8</v>
          </cell>
          <cell r="H20">
            <v>1486.9</v>
          </cell>
          <cell r="I20">
            <v>1487.9</v>
          </cell>
          <cell r="J20">
            <v>1488.8</v>
          </cell>
          <cell r="K20">
            <v>1489.5</v>
          </cell>
          <cell r="L20">
            <v>1490.2</v>
          </cell>
          <cell r="M20">
            <v>1490.9</v>
          </cell>
          <cell r="N20">
            <v>1491.5</v>
          </cell>
          <cell r="O20">
            <v>1492</v>
          </cell>
          <cell r="P20">
            <v>1493</v>
          </cell>
          <cell r="Q20">
            <v>1495.7</v>
          </cell>
        </row>
        <row r="21">
          <cell r="B21">
            <v>17.5</v>
          </cell>
          <cell r="C21">
            <v>1452.7</v>
          </cell>
          <cell r="D21">
            <v>1464.6</v>
          </cell>
          <cell r="E21">
            <v>1469.5</v>
          </cell>
          <cell r="F21">
            <v>1472.6</v>
          </cell>
          <cell r="G21">
            <v>1473.7</v>
          </cell>
          <cell r="H21">
            <v>1474.7</v>
          </cell>
          <cell r="I21">
            <v>1475.6</v>
          </cell>
          <cell r="J21">
            <v>1476.4</v>
          </cell>
          <cell r="K21">
            <v>1477.1</v>
          </cell>
          <cell r="L21">
            <v>1477.7</v>
          </cell>
          <cell r="M21">
            <v>1478.3</v>
          </cell>
          <cell r="N21">
            <v>1478.8</v>
          </cell>
          <cell r="O21">
            <v>1479.3</v>
          </cell>
          <cell r="P21">
            <v>1480.2</v>
          </cell>
          <cell r="Q21">
            <v>1482.5</v>
          </cell>
        </row>
        <row r="22">
          <cell r="B22">
            <v>18.5</v>
          </cell>
          <cell r="C22">
            <v>1443</v>
          </cell>
          <cell r="D22">
            <v>1454</v>
          </cell>
          <cell r="E22">
            <v>1458.5</v>
          </cell>
          <cell r="F22">
            <v>1461.2</v>
          </cell>
          <cell r="G22">
            <v>1462.3</v>
          </cell>
          <cell r="H22">
            <v>1463.2</v>
          </cell>
          <cell r="I22">
            <v>1464</v>
          </cell>
          <cell r="J22">
            <v>1464.6</v>
          </cell>
          <cell r="K22">
            <v>1465.3</v>
          </cell>
          <cell r="L22">
            <v>1465.8</v>
          </cell>
          <cell r="M22">
            <v>1466.3</v>
          </cell>
          <cell r="N22">
            <v>1466.8</v>
          </cell>
          <cell r="O22">
            <v>1467.2</v>
          </cell>
          <cell r="P22">
            <v>1468</v>
          </cell>
          <cell r="Q22">
            <v>1470</v>
          </cell>
        </row>
        <row r="23">
          <cell r="B23">
            <v>19.5</v>
          </cell>
          <cell r="C23">
            <v>1433.8</v>
          </cell>
          <cell r="D23">
            <v>1443.9</v>
          </cell>
          <cell r="E23">
            <v>1448</v>
          </cell>
          <cell r="F23">
            <v>1450.5</v>
          </cell>
          <cell r="G23">
            <v>1451.4</v>
          </cell>
          <cell r="H23">
            <v>1452.2</v>
          </cell>
          <cell r="I23">
            <v>1452.9</v>
          </cell>
          <cell r="J23">
            <v>1453.5</v>
          </cell>
          <cell r="K23">
            <v>1454.1</v>
          </cell>
          <cell r="L23">
            <v>1454.6</v>
          </cell>
          <cell r="M23">
            <v>1455</v>
          </cell>
          <cell r="N23">
            <v>1455.4</v>
          </cell>
          <cell r="O23">
            <v>1455.8</v>
          </cell>
          <cell r="P23">
            <v>1456.5</v>
          </cell>
          <cell r="Q23">
            <v>1458.2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">
          <cell r="C3">
            <v>0.2</v>
          </cell>
          <cell r="D3">
            <v>0.6</v>
          </cell>
          <cell r="E3">
            <v>1</v>
          </cell>
          <cell r="F3">
            <v>1.4</v>
          </cell>
          <cell r="G3">
            <v>1.6</v>
          </cell>
          <cell r="H3">
            <v>1.8</v>
          </cell>
          <cell r="I3">
            <v>2</v>
          </cell>
          <cell r="J3">
            <v>2.2000000000000002</v>
          </cell>
          <cell r="K3">
            <v>2.4</v>
          </cell>
          <cell r="L3">
            <v>2.6</v>
          </cell>
          <cell r="M3">
            <v>2.8</v>
          </cell>
          <cell r="N3">
            <v>3</v>
          </cell>
          <cell r="O3">
            <v>3.2</v>
          </cell>
          <cell r="P3">
            <v>3.6</v>
          </cell>
          <cell r="Q3">
            <v>5</v>
          </cell>
        </row>
        <row r="4">
          <cell r="B4">
            <v>0.5</v>
          </cell>
          <cell r="C4">
            <v>1.1966000000000001</v>
          </cell>
          <cell r="D4">
            <v>1.1865000000000001</v>
          </cell>
          <cell r="E4">
            <v>1.1827000000000001</v>
          </cell>
          <cell r="F4">
            <v>1.1803999999999999</v>
          </cell>
          <cell r="G4">
            <v>1.1795</v>
          </cell>
          <cell r="H4">
            <v>1.1788000000000001</v>
          </cell>
          <cell r="I4">
            <v>1.1780999999999999</v>
          </cell>
          <cell r="J4">
            <v>1.1775</v>
          </cell>
          <cell r="K4">
            <v>1.1769000000000001</v>
          </cell>
          <cell r="L4">
            <v>1.1763999999999999</v>
          </cell>
          <cell r="M4">
            <v>1.1759999999999999</v>
          </cell>
          <cell r="N4">
            <v>1.1755</v>
          </cell>
          <cell r="O4">
            <v>1.1751</v>
          </cell>
          <cell r="P4">
            <v>1.1744000000000001</v>
          </cell>
          <cell r="Q4">
            <v>1.1721999999999999</v>
          </cell>
        </row>
        <row r="5">
          <cell r="B5">
            <v>1.5</v>
          </cell>
          <cell r="C5">
            <v>1.2501</v>
          </cell>
          <cell r="D5">
            <v>1.2493000000000001</v>
          </cell>
          <cell r="E5">
            <v>1.2484</v>
          </cell>
          <cell r="F5">
            <v>1.2476</v>
          </cell>
          <cell r="G5">
            <v>1.2471000000000001</v>
          </cell>
          <cell r="H5">
            <v>1.2466999999999999</v>
          </cell>
          <cell r="I5">
            <v>1.2463</v>
          </cell>
          <cell r="J5">
            <v>1.2459</v>
          </cell>
          <cell r="K5">
            <v>1.2455000000000001</v>
          </cell>
          <cell r="L5">
            <v>1.2452000000000001</v>
          </cell>
          <cell r="M5">
            <v>1.2447999999999999</v>
          </cell>
          <cell r="N5">
            <v>1.2444</v>
          </cell>
          <cell r="O5">
            <v>1.2441</v>
          </cell>
          <cell r="P5">
            <v>1.2434000000000001</v>
          </cell>
          <cell r="Q5">
            <v>1.2412000000000001</v>
          </cell>
        </row>
        <row r="6">
          <cell r="B6">
            <v>2.5</v>
          </cell>
          <cell r="C6">
            <v>1.2546999999999999</v>
          </cell>
          <cell r="D6">
            <v>1.2567999999999999</v>
          </cell>
          <cell r="E6">
            <v>1.2573000000000001</v>
          </cell>
          <cell r="F6">
            <v>1.2575000000000001</v>
          </cell>
          <cell r="G6">
            <v>1.2576000000000001</v>
          </cell>
          <cell r="H6">
            <v>1.2576000000000001</v>
          </cell>
          <cell r="I6">
            <v>1.2576000000000001</v>
          </cell>
          <cell r="J6">
            <v>1.2576000000000001</v>
          </cell>
          <cell r="K6">
            <v>1.2576000000000001</v>
          </cell>
          <cell r="L6">
            <v>1.2575000000000001</v>
          </cell>
          <cell r="M6">
            <v>1.2575000000000001</v>
          </cell>
          <cell r="N6">
            <v>1.2575000000000001</v>
          </cell>
          <cell r="O6">
            <v>1.2574000000000001</v>
          </cell>
          <cell r="P6">
            <v>1.2573000000000001</v>
          </cell>
          <cell r="Q6">
            <v>1.2568999999999999</v>
          </cell>
        </row>
        <row r="7">
          <cell r="B7">
            <v>3.5</v>
          </cell>
          <cell r="C7">
            <v>1.2568999999999999</v>
          </cell>
          <cell r="D7">
            <v>1.2688999999999999</v>
          </cell>
          <cell r="E7">
            <v>1.2732000000000001</v>
          </cell>
          <cell r="F7">
            <v>1.2755000000000001</v>
          </cell>
          <cell r="G7">
            <v>1.2764</v>
          </cell>
          <cell r="H7">
            <v>1.2770999999999999</v>
          </cell>
          <cell r="I7">
            <v>1.2777000000000001</v>
          </cell>
          <cell r="J7">
            <v>1.2783</v>
          </cell>
          <cell r="K7">
            <v>1.2786999999999999</v>
          </cell>
          <cell r="L7">
            <v>1.2790999999999999</v>
          </cell>
          <cell r="M7">
            <v>1.2795000000000001</v>
          </cell>
          <cell r="N7">
            <v>1.2799</v>
          </cell>
          <cell r="O7">
            <v>1.2802</v>
          </cell>
          <cell r="P7">
            <v>1.2806999999999999</v>
          </cell>
          <cell r="Q7">
            <v>1.282</v>
          </cell>
        </row>
        <row r="8">
          <cell r="B8">
            <v>4.5</v>
          </cell>
          <cell r="C8">
            <v>1.1954</v>
          </cell>
          <cell r="D8">
            <v>1.2124999999999999</v>
          </cell>
          <cell r="E8">
            <v>1.22</v>
          </cell>
          <cell r="F8">
            <v>1.2246999999999999</v>
          </cell>
          <cell r="G8">
            <v>1.2264999999999999</v>
          </cell>
          <cell r="H8">
            <v>1.228</v>
          </cell>
          <cell r="I8">
            <v>1.2294</v>
          </cell>
          <cell r="J8">
            <v>1.2304999999999999</v>
          </cell>
          <cell r="K8">
            <v>1.2316</v>
          </cell>
          <cell r="L8">
            <v>1.2325999999999999</v>
          </cell>
          <cell r="M8">
            <v>1.2335</v>
          </cell>
          <cell r="N8">
            <v>1.2343</v>
          </cell>
          <cell r="O8">
            <v>1.2350000000000001</v>
          </cell>
          <cell r="P8">
            <v>1.2363</v>
          </cell>
          <cell r="Q8">
            <v>1.2398</v>
          </cell>
        </row>
        <row r="9">
          <cell r="B9">
            <v>5.5</v>
          </cell>
          <cell r="C9">
            <v>1.1561999999999999</v>
          </cell>
          <cell r="D9">
            <v>1.1704000000000001</v>
          </cell>
          <cell r="E9">
            <v>1.1776</v>
          </cell>
          <cell r="F9">
            <v>1.1823999999999999</v>
          </cell>
          <cell r="G9">
            <v>1.1842999999999999</v>
          </cell>
          <cell r="H9">
            <v>1.1859999999999999</v>
          </cell>
          <cell r="I9">
            <v>1.1875</v>
          </cell>
          <cell r="J9">
            <v>1.1889000000000001</v>
          </cell>
          <cell r="K9">
            <v>1.1901999999999999</v>
          </cell>
          <cell r="L9">
            <v>1.1913</v>
          </cell>
          <cell r="M9">
            <v>1.1923999999999999</v>
          </cell>
          <cell r="N9">
            <v>1.1934</v>
          </cell>
          <cell r="O9">
            <v>1.1942999999999999</v>
          </cell>
          <cell r="P9">
            <v>1.196</v>
          </cell>
          <cell r="Q9">
            <v>1.2007000000000001</v>
          </cell>
        </row>
        <row r="10">
          <cell r="B10">
            <v>6.5</v>
          </cell>
          <cell r="C10">
            <v>1.1365000000000001</v>
          </cell>
          <cell r="D10">
            <v>1.1458999999999999</v>
          </cell>
          <cell r="E10">
            <v>1.1508</v>
          </cell>
          <cell r="F10">
            <v>1.1540999999999999</v>
          </cell>
          <cell r="G10">
            <v>1.1555</v>
          </cell>
          <cell r="H10">
            <v>1.1567000000000001</v>
          </cell>
          <cell r="I10">
            <v>1.1577999999999999</v>
          </cell>
          <cell r="J10">
            <v>1.1588000000000001</v>
          </cell>
          <cell r="K10">
            <v>1.1597</v>
          </cell>
          <cell r="L10">
            <v>1.1606000000000001</v>
          </cell>
          <cell r="M10">
            <v>1.1614</v>
          </cell>
          <cell r="N10">
            <v>1.1621999999999999</v>
          </cell>
          <cell r="O10">
            <v>1.1629</v>
          </cell>
          <cell r="P10">
            <v>1.1641999999999999</v>
          </cell>
          <cell r="Q10">
            <v>1.1679999999999999</v>
          </cell>
        </row>
        <row r="11">
          <cell r="B11">
            <v>7.5</v>
          </cell>
          <cell r="C11">
            <v>1.1293</v>
          </cell>
          <cell r="D11">
            <v>1.1363000000000001</v>
          </cell>
          <cell r="E11">
            <v>1.1397999999999999</v>
          </cell>
          <cell r="F11">
            <v>1.1420999999999999</v>
          </cell>
          <cell r="G11">
            <v>1.143</v>
          </cell>
          <cell r="H11">
            <v>1.1438999999999999</v>
          </cell>
          <cell r="I11">
            <v>1.1446000000000001</v>
          </cell>
          <cell r="J11">
            <v>1.1453</v>
          </cell>
          <cell r="K11">
            <v>1.1458999999999999</v>
          </cell>
          <cell r="L11">
            <v>1.1465000000000001</v>
          </cell>
          <cell r="M11">
            <v>1.147</v>
          </cell>
          <cell r="N11">
            <v>1.1475</v>
          </cell>
          <cell r="O11">
            <v>1.1479999999999999</v>
          </cell>
          <cell r="P11">
            <v>1.1489</v>
          </cell>
          <cell r="Q11">
            <v>1.1514</v>
          </cell>
        </row>
        <row r="12">
          <cell r="B12">
            <v>8.5</v>
          </cell>
          <cell r="C12">
            <v>1.1269</v>
          </cell>
          <cell r="D12">
            <v>1.1331</v>
          </cell>
          <cell r="E12">
            <v>1.1359999999999999</v>
          </cell>
          <cell r="F12">
            <v>1.1379999999999999</v>
          </cell>
          <cell r="G12">
            <v>1.1388</v>
          </cell>
          <cell r="H12">
            <v>1.1395</v>
          </cell>
          <cell r="I12">
            <v>1.1400999999999999</v>
          </cell>
          <cell r="J12">
            <v>1.1406000000000001</v>
          </cell>
          <cell r="K12">
            <v>1.1411</v>
          </cell>
          <cell r="L12">
            <v>1.1415999999999999</v>
          </cell>
          <cell r="M12">
            <v>1.1420999999999999</v>
          </cell>
          <cell r="N12">
            <v>1.1425000000000001</v>
          </cell>
          <cell r="O12">
            <v>1.1428</v>
          </cell>
          <cell r="P12">
            <v>1.1435</v>
          </cell>
          <cell r="Q12">
            <v>1.1455</v>
          </cell>
        </row>
        <row r="13">
          <cell r="B13">
            <v>9.5</v>
          </cell>
          <cell r="C13">
            <v>1.1264000000000001</v>
          </cell>
          <cell r="D13">
            <v>1.1324000000000001</v>
          </cell>
          <cell r="E13">
            <v>1.1353</v>
          </cell>
          <cell r="F13">
            <v>1.1371</v>
          </cell>
          <cell r="G13">
            <v>1.1378999999999999</v>
          </cell>
          <cell r="H13">
            <v>1.1385000000000001</v>
          </cell>
          <cell r="I13">
            <v>1.1391</v>
          </cell>
          <cell r="J13">
            <v>1.1396999999999999</v>
          </cell>
          <cell r="K13">
            <v>1.1400999999999999</v>
          </cell>
          <cell r="L13">
            <v>1.1406000000000001</v>
          </cell>
          <cell r="M13">
            <v>1.141</v>
          </cell>
          <cell r="N13">
            <v>1.1414</v>
          </cell>
          <cell r="O13">
            <v>1.1416999999999999</v>
          </cell>
          <cell r="P13">
            <v>1.1424000000000001</v>
          </cell>
          <cell r="Q13">
            <v>1.1442000000000001</v>
          </cell>
        </row>
        <row r="14">
          <cell r="B14">
            <v>10.5</v>
          </cell>
          <cell r="C14">
            <v>1.1269</v>
          </cell>
          <cell r="D14">
            <v>1.133</v>
          </cell>
          <cell r="E14">
            <v>1.1358999999999999</v>
          </cell>
          <cell r="F14">
            <v>1.1377999999999999</v>
          </cell>
          <cell r="G14">
            <v>1.1386000000000001</v>
          </cell>
          <cell r="H14">
            <v>1.1393</v>
          </cell>
          <cell r="I14">
            <v>1.1398999999999999</v>
          </cell>
          <cell r="J14">
            <v>1.1404000000000001</v>
          </cell>
          <cell r="K14">
            <v>1.1409</v>
          </cell>
          <cell r="L14">
            <v>1.1414</v>
          </cell>
          <cell r="M14">
            <v>1.1417999999999999</v>
          </cell>
          <cell r="N14">
            <v>1.1422000000000001</v>
          </cell>
          <cell r="O14">
            <v>1.1426000000000001</v>
          </cell>
          <cell r="P14">
            <v>1.1433</v>
          </cell>
          <cell r="Q14">
            <v>1.1452</v>
          </cell>
        </row>
        <row r="15">
          <cell r="B15">
            <v>11.5</v>
          </cell>
          <cell r="C15">
            <v>1.1281000000000001</v>
          </cell>
          <cell r="D15">
            <v>1.1344000000000001</v>
          </cell>
          <cell r="E15">
            <v>1.1374</v>
          </cell>
          <cell r="F15">
            <v>1.1395</v>
          </cell>
          <cell r="G15">
            <v>1.1403000000000001</v>
          </cell>
          <cell r="H15">
            <v>1.141</v>
          </cell>
          <cell r="I15">
            <v>1.1415999999999999</v>
          </cell>
          <cell r="J15">
            <v>1.1422000000000001</v>
          </cell>
          <cell r="K15">
            <v>1.1427</v>
          </cell>
          <cell r="L15">
            <v>1.1432</v>
          </cell>
          <cell r="M15">
            <v>1.1436999999999999</v>
          </cell>
          <cell r="N15">
            <v>1.1440999999999999</v>
          </cell>
          <cell r="O15">
            <v>1.1445000000000001</v>
          </cell>
          <cell r="P15">
            <v>1.1453</v>
          </cell>
          <cell r="Q15">
            <v>1.1473</v>
          </cell>
        </row>
        <row r="16">
          <cell r="B16">
            <v>12.5</v>
          </cell>
          <cell r="C16">
            <v>1.1296999999999999</v>
          </cell>
          <cell r="D16">
            <v>1.1364000000000001</v>
          </cell>
          <cell r="E16">
            <v>1.1395999999999999</v>
          </cell>
          <cell r="F16">
            <v>1.1417999999999999</v>
          </cell>
          <cell r="G16">
            <v>1.1426000000000001</v>
          </cell>
          <cell r="H16">
            <v>1.1434</v>
          </cell>
          <cell r="I16">
            <v>1.1440999999999999</v>
          </cell>
          <cell r="J16">
            <v>1.1447000000000001</v>
          </cell>
          <cell r="K16">
            <v>1.1453</v>
          </cell>
          <cell r="L16">
            <v>1.1457999999999999</v>
          </cell>
          <cell r="M16">
            <v>1.1463000000000001</v>
          </cell>
          <cell r="N16">
            <v>1.1468</v>
          </cell>
          <cell r="O16">
            <v>1.1472</v>
          </cell>
          <cell r="P16">
            <v>1.1479999999999999</v>
          </cell>
          <cell r="Q16">
            <v>1.1503000000000001</v>
          </cell>
        </row>
        <row r="17">
          <cell r="B17">
            <v>13.5</v>
          </cell>
          <cell r="C17">
            <v>1.1315999999999999</v>
          </cell>
          <cell r="D17">
            <v>1.1387</v>
          </cell>
          <cell r="E17">
            <v>1.1422000000000001</v>
          </cell>
          <cell r="F17">
            <v>1.1445000000000001</v>
          </cell>
          <cell r="G17">
            <v>1.1455</v>
          </cell>
          <cell r="H17">
            <v>1.1463000000000001</v>
          </cell>
          <cell r="I17">
            <v>1.1471</v>
          </cell>
          <cell r="J17">
            <v>1.1477999999999999</v>
          </cell>
          <cell r="K17">
            <v>1.1484000000000001</v>
          </cell>
          <cell r="L17">
            <v>1.149</v>
          </cell>
          <cell r="M17">
            <v>1.1495</v>
          </cell>
          <cell r="N17">
            <v>1.1499999999999999</v>
          </cell>
          <cell r="O17">
            <v>1.1505000000000001</v>
          </cell>
          <cell r="P17">
            <v>1.1513</v>
          </cell>
          <cell r="Q17">
            <v>1.1537999999999999</v>
          </cell>
        </row>
        <row r="18">
          <cell r="B18">
            <v>14.5</v>
          </cell>
          <cell r="C18">
            <v>1.1337999999999999</v>
          </cell>
          <cell r="D18">
            <v>1.1415</v>
          </cell>
          <cell r="E18">
            <v>1.1452</v>
          </cell>
          <cell r="F18">
            <v>1.1476999999999999</v>
          </cell>
          <cell r="G18">
            <v>1.1487000000000001</v>
          </cell>
          <cell r="H18">
            <v>1.1496</v>
          </cell>
          <cell r="I18">
            <v>1.1505000000000001</v>
          </cell>
          <cell r="J18">
            <v>1.1512</v>
          </cell>
          <cell r="K18">
            <v>1.1518999999999999</v>
          </cell>
          <cell r="L18">
            <v>1.1525000000000001</v>
          </cell>
          <cell r="M18">
            <v>1.1531</v>
          </cell>
          <cell r="N18">
            <v>1.1536</v>
          </cell>
          <cell r="O18">
            <v>1.1540999999999999</v>
          </cell>
          <cell r="P18">
            <v>1.1551</v>
          </cell>
          <cell r="Q18">
            <v>1.1577</v>
          </cell>
        </row>
        <row r="19">
          <cell r="B19">
            <v>15.5</v>
          </cell>
          <cell r="C19">
            <v>1.1366000000000001</v>
          </cell>
          <cell r="D19">
            <v>1.1445000000000001</v>
          </cell>
          <cell r="E19">
            <v>1.1485000000000001</v>
          </cell>
          <cell r="F19">
            <v>1.1512</v>
          </cell>
          <cell r="G19">
            <v>1.1523000000000001</v>
          </cell>
          <cell r="H19">
            <v>1.1533</v>
          </cell>
          <cell r="I19">
            <v>1.1540999999999999</v>
          </cell>
          <cell r="J19">
            <v>1.1549</v>
          </cell>
          <cell r="K19">
            <v>1.1556999999999999</v>
          </cell>
          <cell r="L19">
            <v>1.1563000000000001</v>
          </cell>
          <cell r="M19">
            <v>1.157</v>
          </cell>
          <cell r="N19">
            <v>1.1575</v>
          </cell>
          <cell r="O19">
            <v>1.1580999999999999</v>
          </cell>
          <cell r="P19">
            <v>1.1591</v>
          </cell>
          <cell r="Q19">
            <v>1.1618999999999999</v>
          </cell>
        </row>
        <row r="20">
          <cell r="B20">
            <v>16.5</v>
          </cell>
          <cell r="C20">
            <v>1.1391</v>
          </cell>
          <cell r="D20">
            <v>1.1477999999999999</v>
          </cell>
          <cell r="E20">
            <v>1.1520999999999999</v>
          </cell>
          <cell r="F20">
            <v>1.155</v>
          </cell>
          <cell r="G20">
            <v>1.1560999999999999</v>
          </cell>
          <cell r="H20">
            <v>1.1571</v>
          </cell>
          <cell r="I20">
            <v>1.1580999999999999</v>
          </cell>
          <cell r="J20">
            <v>1.1589</v>
          </cell>
          <cell r="K20">
            <v>1.1597</v>
          </cell>
          <cell r="L20">
            <v>1.1604000000000001</v>
          </cell>
          <cell r="M20">
            <v>1.1611</v>
          </cell>
          <cell r="N20">
            <v>1.1617</v>
          </cell>
          <cell r="O20">
            <v>1.1623000000000001</v>
          </cell>
          <cell r="P20">
            <v>1.1633</v>
          </cell>
          <cell r="Q20">
            <v>1.1662999999999999</v>
          </cell>
        </row>
        <row r="21">
          <cell r="B21">
            <v>17.5</v>
          </cell>
          <cell r="C21">
            <v>1.1419999999999999</v>
          </cell>
          <cell r="D21">
            <v>1.1513</v>
          </cell>
          <cell r="E21">
            <v>1.1557999999999999</v>
          </cell>
          <cell r="F21">
            <v>1.1589</v>
          </cell>
          <cell r="G21">
            <v>1.1600999999999999</v>
          </cell>
          <cell r="H21">
            <v>1.1612</v>
          </cell>
          <cell r="I21">
            <v>1.1621999999999999</v>
          </cell>
          <cell r="J21">
            <v>1.163</v>
          </cell>
          <cell r="K21">
            <v>1.1638999999999999</v>
          </cell>
          <cell r="L21">
            <v>1.1646000000000001</v>
          </cell>
          <cell r="M21">
            <v>1.1653</v>
          </cell>
          <cell r="N21">
            <v>1.1658999999999999</v>
          </cell>
          <cell r="O21">
            <v>1.1665000000000001</v>
          </cell>
          <cell r="P21">
            <v>1.1676</v>
          </cell>
          <cell r="Q21">
            <v>1.1707000000000001</v>
          </cell>
        </row>
        <row r="22">
          <cell r="B22">
            <v>18.5</v>
          </cell>
          <cell r="C22">
            <v>1.1451</v>
          </cell>
          <cell r="D22">
            <v>1.1549</v>
          </cell>
          <cell r="E22">
            <v>1.1597</v>
          </cell>
          <cell r="F22">
            <v>1.1629</v>
          </cell>
          <cell r="G22">
            <v>1.1641999999999999</v>
          </cell>
          <cell r="H22">
            <v>1.1653</v>
          </cell>
          <cell r="I22">
            <v>1.1662999999999999</v>
          </cell>
          <cell r="J22">
            <v>1.1672</v>
          </cell>
          <cell r="K22">
            <v>1.1680999999999999</v>
          </cell>
          <cell r="L22">
            <v>1.1689000000000001</v>
          </cell>
          <cell r="M22">
            <v>1.1696</v>
          </cell>
          <cell r="N22">
            <v>1.1701999999999999</v>
          </cell>
          <cell r="O22">
            <v>1.1709000000000001</v>
          </cell>
          <cell r="P22">
            <v>1.1719999999999999</v>
          </cell>
          <cell r="Q22">
            <v>1.1751</v>
          </cell>
        </row>
        <row r="23">
          <cell r="B23">
            <v>19.5</v>
          </cell>
          <cell r="C23">
            <v>1.1483000000000001</v>
          </cell>
          <cell r="D23">
            <v>1.1587000000000001</v>
          </cell>
          <cell r="E23">
            <v>1.1637</v>
          </cell>
          <cell r="F23">
            <v>1.167</v>
          </cell>
          <cell r="G23">
            <v>1.1682999999999999</v>
          </cell>
          <cell r="H23">
            <v>1.1695</v>
          </cell>
          <cell r="I23">
            <v>1.1705000000000001</v>
          </cell>
          <cell r="J23">
            <v>1.1715</v>
          </cell>
          <cell r="K23">
            <v>1.1722999999999999</v>
          </cell>
          <cell r="L23">
            <v>1.1731</v>
          </cell>
          <cell r="M23">
            <v>1.1738</v>
          </cell>
          <cell r="N23">
            <v>1.1745000000000001</v>
          </cell>
          <cell r="O23">
            <v>1.1752</v>
          </cell>
          <cell r="P23">
            <v>1.1762999999999999</v>
          </cell>
          <cell r="Q23">
            <v>1.1795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">
          <cell r="C3">
            <v>0.2</v>
          </cell>
          <cell r="D3">
            <v>0.6</v>
          </cell>
          <cell r="E3">
            <v>1</v>
          </cell>
          <cell r="F3">
            <v>1.4</v>
          </cell>
          <cell r="G3">
            <v>1.6</v>
          </cell>
          <cell r="H3">
            <v>1.8</v>
          </cell>
          <cell r="I3">
            <v>2</v>
          </cell>
          <cell r="J3">
            <v>2.2000000000000002</v>
          </cell>
          <cell r="K3">
            <v>2.4</v>
          </cell>
          <cell r="L3">
            <v>2.6</v>
          </cell>
          <cell r="M3">
            <v>2.8</v>
          </cell>
          <cell r="N3">
            <v>3</v>
          </cell>
          <cell r="O3">
            <v>3.2</v>
          </cell>
          <cell r="P3">
            <v>3.6</v>
          </cell>
          <cell r="Q3">
            <v>5</v>
          </cell>
        </row>
        <row r="4">
          <cell r="B4">
            <v>0.5</v>
          </cell>
          <cell r="C4">
            <v>1240.0999999999999</v>
          </cell>
          <cell r="D4">
            <v>1250.0999999999999</v>
          </cell>
          <cell r="E4">
            <v>1255.4000000000001</v>
          </cell>
          <cell r="F4">
            <v>1259</v>
          </cell>
          <cell r="G4">
            <v>1260.5</v>
          </cell>
          <cell r="H4">
            <v>1261.7</v>
          </cell>
          <cell r="I4">
            <v>1262.9000000000001</v>
          </cell>
          <cell r="J4">
            <v>1263.9000000000001</v>
          </cell>
          <cell r="K4">
            <v>1264.8</v>
          </cell>
          <cell r="L4">
            <v>1265.5999999999999</v>
          </cell>
          <cell r="M4">
            <v>1266.4000000000001</v>
          </cell>
          <cell r="N4">
            <v>1267.0999999999999</v>
          </cell>
          <cell r="O4">
            <v>1267.8</v>
          </cell>
          <cell r="P4">
            <v>1269</v>
          </cell>
          <cell r="Q4">
            <v>1272.3</v>
          </cell>
        </row>
        <row r="5">
          <cell r="B5">
            <v>1.5</v>
          </cell>
          <cell r="C5">
            <v>1402.3</v>
          </cell>
          <cell r="D5">
            <v>1402.8</v>
          </cell>
          <cell r="E5">
            <v>1403.2</v>
          </cell>
          <cell r="F5">
            <v>1403.6</v>
          </cell>
          <cell r="G5">
            <v>1403.8</v>
          </cell>
          <cell r="H5">
            <v>1403.9</v>
          </cell>
          <cell r="I5">
            <v>1404.1</v>
          </cell>
          <cell r="J5">
            <v>1404.3</v>
          </cell>
          <cell r="K5">
            <v>1404.5</v>
          </cell>
          <cell r="L5">
            <v>1404.7</v>
          </cell>
          <cell r="M5">
            <v>1404.8</v>
          </cell>
          <cell r="N5">
            <v>1405</v>
          </cell>
          <cell r="O5">
            <v>1405.2</v>
          </cell>
          <cell r="P5">
            <v>1405.5</v>
          </cell>
          <cell r="Q5">
            <v>1406.5</v>
          </cell>
        </row>
        <row r="6">
          <cell r="B6">
            <v>2.5</v>
          </cell>
          <cell r="C6">
            <v>1492.8</v>
          </cell>
          <cell r="D6">
            <v>1492.8</v>
          </cell>
          <cell r="E6">
            <v>1492.9</v>
          </cell>
          <cell r="F6">
            <v>1493</v>
          </cell>
          <cell r="G6">
            <v>1493</v>
          </cell>
          <cell r="H6">
            <v>1493</v>
          </cell>
          <cell r="I6">
            <v>1493</v>
          </cell>
          <cell r="J6">
            <v>1493.1</v>
          </cell>
          <cell r="K6">
            <v>1493.1</v>
          </cell>
          <cell r="L6">
            <v>1493.1</v>
          </cell>
          <cell r="M6">
            <v>1493.1</v>
          </cell>
          <cell r="N6">
            <v>1493.2</v>
          </cell>
          <cell r="O6">
            <v>1493.2</v>
          </cell>
          <cell r="P6">
            <v>1493.2</v>
          </cell>
          <cell r="Q6">
            <v>1493.4</v>
          </cell>
        </row>
        <row r="7">
          <cell r="B7">
            <v>3.5</v>
          </cell>
          <cell r="C7">
            <v>1570.4</v>
          </cell>
          <cell r="D7">
            <v>1571.1</v>
          </cell>
          <cell r="E7">
            <v>1571.2</v>
          </cell>
          <cell r="F7">
            <v>1571.3</v>
          </cell>
          <cell r="G7">
            <v>1571.3</v>
          </cell>
          <cell r="H7">
            <v>1571.3</v>
          </cell>
          <cell r="I7">
            <v>1571.3</v>
          </cell>
          <cell r="J7">
            <v>1571.3</v>
          </cell>
          <cell r="K7">
            <v>1571.3</v>
          </cell>
          <cell r="L7">
            <v>1571.3</v>
          </cell>
          <cell r="M7">
            <v>1571.3</v>
          </cell>
          <cell r="N7">
            <v>1571.3</v>
          </cell>
          <cell r="O7">
            <v>1571.3</v>
          </cell>
          <cell r="P7">
            <v>1571.3</v>
          </cell>
          <cell r="Q7">
            <v>1571.3</v>
          </cell>
        </row>
        <row r="8">
          <cell r="B8">
            <v>4.5</v>
          </cell>
          <cell r="C8">
            <v>1621</v>
          </cell>
          <cell r="D8">
            <v>1627.9</v>
          </cell>
          <cell r="E8">
            <v>1630.2</v>
          </cell>
          <cell r="F8">
            <v>1631.5</v>
          </cell>
          <cell r="G8">
            <v>1631.9</v>
          </cell>
          <cell r="H8">
            <v>1632.3</v>
          </cell>
          <cell r="I8">
            <v>1632.6</v>
          </cell>
          <cell r="J8">
            <v>1632.9</v>
          </cell>
          <cell r="K8">
            <v>1633.1</v>
          </cell>
          <cell r="L8">
            <v>1633.3</v>
          </cell>
          <cell r="M8">
            <v>1633.5</v>
          </cell>
          <cell r="N8">
            <v>1633.7</v>
          </cell>
          <cell r="O8">
            <v>1633.8</v>
          </cell>
          <cell r="P8">
            <v>1634.1</v>
          </cell>
          <cell r="Q8">
            <v>1634.7</v>
          </cell>
        </row>
        <row r="9">
          <cell r="B9">
            <v>5.5</v>
          </cell>
          <cell r="C9">
            <v>1630.8</v>
          </cell>
          <cell r="D9">
            <v>1644.5</v>
          </cell>
          <cell r="E9">
            <v>1649.9</v>
          </cell>
          <cell r="F9">
            <v>1653.1</v>
          </cell>
          <cell r="G9">
            <v>1654.3</v>
          </cell>
          <cell r="H9">
            <v>1655.3</v>
          </cell>
          <cell r="I9">
            <v>1656.2</v>
          </cell>
          <cell r="J9">
            <v>1656.9</v>
          </cell>
          <cell r="K9">
            <v>1657.6</v>
          </cell>
          <cell r="L9">
            <v>1658.2</v>
          </cell>
          <cell r="M9">
            <v>1658.8</v>
          </cell>
          <cell r="N9">
            <v>1659.3</v>
          </cell>
          <cell r="O9">
            <v>1659.7</v>
          </cell>
          <cell r="P9">
            <v>1660.5</v>
          </cell>
          <cell r="Q9">
            <v>1662.6</v>
          </cell>
        </row>
        <row r="10">
          <cell r="B10">
            <v>6.5</v>
          </cell>
          <cell r="C10">
            <v>1618.8</v>
          </cell>
          <cell r="D10">
            <v>1637</v>
          </cell>
          <cell r="E10">
            <v>1644.9</v>
          </cell>
          <cell r="F10">
            <v>1649.8</v>
          </cell>
          <cell r="G10">
            <v>1651.7</v>
          </cell>
          <cell r="H10">
            <v>1653.4</v>
          </cell>
          <cell r="I10">
            <v>1654.8</v>
          </cell>
          <cell r="J10">
            <v>1656.1</v>
          </cell>
          <cell r="K10">
            <v>1657.2</v>
          </cell>
          <cell r="L10">
            <v>1658.3</v>
          </cell>
          <cell r="M10">
            <v>1659.2</v>
          </cell>
          <cell r="N10">
            <v>1660.1</v>
          </cell>
          <cell r="O10">
            <v>1660.9</v>
          </cell>
          <cell r="P10">
            <v>1662.4</v>
          </cell>
          <cell r="Q10">
            <v>1666.3</v>
          </cell>
        </row>
        <row r="11">
          <cell r="B11">
            <v>7.5</v>
          </cell>
          <cell r="C11">
            <v>1599.1</v>
          </cell>
          <cell r="D11">
            <v>1618.8</v>
          </cell>
          <cell r="E11">
            <v>1627.6</v>
          </cell>
          <cell r="F11">
            <v>1633.3</v>
          </cell>
          <cell r="G11">
            <v>1635.5</v>
          </cell>
          <cell r="H11">
            <v>1637.4</v>
          </cell>
          <cell r="I11">
            <v>1639.2</v>
          </cell>
          <cell r="J11">
            <v>1640.7</v>
          </cell>
          <cell r="K11">
            <v>1642.1</v>
          </cell>
          <cell r="L11">
            <v>1643.4</v>
          </cell>
          <cell r="M11">
            <v>1644.5</v>
          </cell>
          <cell r="N11">
            <v>1645.6</v>
          </cell>
          <cell r="O11">
            <v>1646.6</v>
          </cell>
          <cell r="P11">
            <v>1648.4</v>
          </cell>
          <cell r="Q11">
            <v>1653.4</v>
          </cell>
        </row>
        <row r="12">
          <cell r="B12">
            <v>8.5</v>
          </cell>
          <cell r="C12">
            <v>1578.7</v>
          </cell>
          <cell r="D12">
            <v>1598.4</v>
          </cell>
          <cell r="E12">
            <v>1607.3</v>
          </cell>
          <cell r="F12">
            <v>1613.1</v>
          </cell>
          <cell r="G12">
            <v>1615.4</v>
          </cell>
          <cell r="H12">
            <v>1617.3</v>
          </cell>
          <cell r="I12">
            <v>1619.1</v>
          </cell>
          <cell r="J12">
            <v>1620.7</v>
          </cell>
          <cell r="K12">
            <v>1622.1</v>
          </cell>
          <cell r="L12">
            <v>1623.5</v>
          </cell>
          <cell r="M12">
            <v>1624.7</v>
          </cell>
          <cell r="N12">
            <v>1625.8</v>
          </cell>
          <cell r="O12">
            <v>1626.9</v>
          </cell>
          <cell r="P12">
            <v>1628.8</v>
          </cell>
          <cell r="Q12">
            <v>1634</v>
          </cell>
        </row>
        <row r="13">
          <cell r="B13">
            <v>9.5</v>
          </cell>
          <cell r="C13">
            <v>1559.5</v>
          </cell>
          <cell r="D13">
            <v>1578.7</v>
          </cell>
          <cell r="E13">
            <v>1587.4</v>
          </cell>
          <cell r="F13">
            <v>1593</v>
          </cell>
          <cell r="G13">
            <v>1595.2</v>
          </cell>
          <cell r="H13">
            <v>1597.1</v>
          </cell>
          <cell r="I13">
            <v>1598.8</v>
          </cell>
          <cell r="J13">
            <v>1600.4</v>
          </cell>
          <cell r="K13">
            <v>1601.8</v>
          </cell>
          <cell r="L13">
            <v>1603.1</v>
          </cell>
          <cell r="M13">
            <v>1604.3</v>
          </cell>
          <cell r="N13">
            <v>1605.4</v>
          </cell>
          <cell r="O13">
            <v>1606.4</v>
          </cell>
          <cell r="P13">
            <v>1608.3</v>
          </cell>
          <cell r="Q13">
            <v>1613.4</v>
          </cell>
        </row>
        <row r="14">
          <cell r="B14">
            <v>10.5</v>
          </cell>
          <cell r="C14">
            <v>1542</v>
          </cell>
          <cell r="D14">
            <v>1560.4</v>
          </cell>
          <cell r="E14">
            <v>1568.7</v>
          </cell>
          <cell r="F14">
            <v>1574</v>
          </cell>
          <cell r="G14">
            <v>1576.1</v>
          </cell>
          <cell r="H14">
            <v>1578</v>
          </cell>
          <cell r="I14">
            <v>1579.6</v>
          </cell>
          <cell r="J14">
            <v>1581.1</v>
          </cell>
          <cell r="K14">
            <v>1582.4</v>
          </cell>
          <cell r="L14">
            <v>1583.6</v>
          </cell>
          <cell r="M14">
            <v>1584.8</v>
          </cell>
          <cell r="N14">
            <v>1585.8</v>
          </cell>
          <cell r="O14">
            <v>1586.8</v>
          </cell>
          <cell r="P14">
            <v>1588.5</v>
          </cell>
          <cell r="Q14">
            <v>1593.4</v>
          </cell>
        </row>
        <row r="15">
          <cell r="B15">
            <v>11.5</v>
          </cell>
          <cell r="C15">
            <v>1526</v>
          </cell>
          <cell r="D15">
            <v>1543.5</v>
          </cell>
          <cell r="E15">
            <v>1551.4</v>
          </cell>
          <cell r="F15">
            <v>1556.4</v>
          </cell>
          <cell r="G15">
            <v>1558.4</v>
          </cell>
          <cell r="H15">
            <v>1560.1</v>
          </cell>
          <cell r="I15">
            <v>1561.6</v>
          </cell>
          <cell r="J15">
            <v>1563</v>
          </cell>
          <cell r="K15">
            <v>1564.3</v>
          </cell>
          <cell r="L15">
            <v>1565.4</v>
          </cell>
          <cell r="M15">
            <v>1566.5</v>
          </cell>
          <cell r="N15">
            <v>1567.4</v>
          </cell>
          <cell r="O15">
            <v>1568.3</v>
          </cell>
          <cell r="P15">
            <v>1570</v>
          </cell>
          <cell r="Q15">
            <v>1574.5</v>
          </cell>
        </row>
        <row r="16">
          <cell r="B16">
            <v>12.5</v>
          </cell>
          <cell r="C16">
            <v>1511.4</v>
          </cell>
          <cell r="D16">
            <v>1528</v>
          </cell>
          <cell r="E16">
            <v>1535.3</v>
          </cell>
          <cell r="F16">
            <v>1540</v>
          </cell>
          <cell r="G16">
            <v>1541.9</v>
          </cell>
          <cell r="H16">
            <v>1543.5</v>
          </cell>
          <cell r="I16">
            <v>1544.9</v>
          </cell>
          <cell r="J16">
            <v>1546.2</v>
          </cell>
          <cell r="K16">
            <v>1547.3</v>
          </cell>
          <cell r="L16">
            <v>1548.4</v>
          </cell>
          <cell r="M16">
            <v>1549.4</v>
          </cell>
          <cell r="N16">
            <v>1550.3</v>
          </cell>
          <cell r="O16">
            <v>1551.1</v>
          </cell>
          <cell r="P16">
            <v>1552.6</v>
          </cell>
          <cell r="Q16">
            <v>1556.7</v>
          </cell>
        </row>
        <row r="17">
          <cell r="B17">
            <v>13.5</v>
          </cell>
          <cell r="C17">
            <v>1497.9</v>
          </cell>
          <cell r="D17">
            <v>1513.6</v>
          </cell>
          <cell r="E17">
            <v>1520.4</v>
          </cell>
          <cell r="F17">
            <v>1524.8</v>
          </cell>
          <cell r="G17">
            <v>1526.5</v>
          </cell>
          <cell r="H17">
            <v>1528</v>
          </cell>
          <cell r="I17">
            <v>1529.3</v>
          </cell>
          <cell r="J17">
            <v>1530.5</v>
          </cell>
          <cell r="K17">
            <v>1531.5</v>
          </cell>
          <cell r="L17">
            <v>1532.5</v>
          </cell>
          <cell r="M17">
            <v>1533.4</v>
          </cell>
          <cell r="N17">
            <v>1534.2</v>
          </cell>
          <cell r="O17">
            <v>1534.9</v>
          </cell>
          <cell r="P17">
            <v>1536.3</v>
          </cell>
          <cell r="Q17">
            <v>1540</v>
          </cell>
        </row>
        <row r="18">
          <cell r="B18">
            <v>14.5</v>
          </cell>
          <cell r="C18">
            <v>1485.5</v>
          </cell>
          <cell r="D18">
            <v>1500.1</v>
          </cell>
          <cell r="E18">
            <v>1506.5</v>
          </cell>
          <cell r="F18">
            <v>1510.5</v>
          </cell>
          <cell r="G18">
            <v>1512.1</v>
          </cell>
          <cell r="H18">
            <v>1513.4</v>
          </cell>
          <cell r="I18">
            <v>1514.6</v>
          </cell>
          <cell r="J18">
            <v>1515.7</v>
          </cell>
          <cell r="K18">
            <v>1516.7</v>
          </cell>
          <cell r="L18">
            <v>1517.5</v>
          </cell>
          <cell r="M18">
            <v>1518.4</v>
          </cell>
          <cell r="N18">
            <v>1519.1</v>
          </cell>
          <cell r="O18">
            <v>1519.8</v>
          </cell>
          <cell r="P18">
            <v>1521</v>
          </cell>
          <cell r="Q18">
            <v>1524.4</v>
          </cell>
        </row>
        <row r="19">
          <cell r="B19">
            <v>15.5</v>
          </cell>
          <cell r="C19">
            <v>1473.8</v>
          </cell>
          <cell r="D19">
            <v>1487.6</v>
          </cell>
          <cell r="E19">
            <v>1493.5</v>
          </cell>
          <cell r="F19">
            <v>1497.1</v>
          </cell>
          <cell r="G19">
            <v>1498.6</v>
          </cell>
          <cell r="H19">
            <v>1499.8</v>
          </cell>
          <cell r="I19">
            <v>1500.9</v>
          </cell>
          <cell r="J19">
            <v>1501.8</v>
          </cell>
          <cell r="K19">
            <v>1502.7</v>
          </cell>
          <cell r="L19">
            <v>1503.5</v>
          </cell>
          <cell r="M19">
            <v>1504.2</v>
          </cell>
          <cell r="N19">
            <v>1504.9</v>
          </cell>
          <cell r="O19">
            <v>1505.5</v>
          </cell>
          <cell r="P19">
            <v>1506.6</v>
          </cell>
          <cell r="Q19">
            <v>1509.6</v>
          </cell>
        </row>
        <row r="20">
          <cell r="B20">
            <v>16.5</v>
          </cell>
          <cell r="C20">
            <v>1463</v>
          </cell>
          <cell r="D20">
            <v>1475.7</v>
          </cell>
          <cell r="E20">
            <v>1481.1</v>
          </cell>
          <cell r="F20">
            <v>1484.5</v>
          </cell>
          <cell r="G20">
            <v>1485.8</v>
          </cell>
          <cell r="H20">
            <v>1486.9</v>
          </cell>
          <cell r="I20">
            <v>1487.9</v>
          </cell>
          <cell r="J20">
            <v>1488.8</v>
          </cell>
          <cell r="K20">
            <v>1489.5</v>
          </cell>
          <cell r="L20">
            <v>1490.2</v>
          </cell>
          <cell r="M20">
            <v>1490.9</v>
          </cell>
          <cell r="N20">
            <v>1491.5</v>
          </cell>
          <cell r="O20">
            <v>1492</v>
          </cell>
          <cell r="P20">
            <v>1493</v>
          </cell>
          <cell r="Q20">
            <v>1495.7</v>
          </cell>
        </row>
        <row r="21">
          <cell r="B21">
            <v>17.5</v>
          </cell>
          <cell r="C21">
            <v>1452.7</v>
          </cell>
          <cell r="D21">
            <v>1464.6</v>
          </cell>
          <cell r="E21">
            <v>1469.5</v>
          </cell>
          <cell r="F21">
            <v>1472.6</v>
          </cell>
          <cell r="G21">
            <v>1473.7</v>
          </cell>
          <cell r="H21">
            <v>1474.7</v>
          </cell>
          <cell r="I21">
            <v>1475.6</v>
          </cell>
          <cell r="J21">
            <v>1476.4</v>
          </cell>
          <cell r="K21">
            <v>1477.1</v>
          </cell>
          <cell r="L21">
            <v>1477.7</v>
          </cell>
          <cell r="M21">
            <v>1478.3</v>
          </cell>
          <cell r="N21">
            <v>1478.8</v>
          </cell>
          <cell r="O21">
            <v>1479.3</v>
          </cell>
          <cell r="P21">
            <v>1480.2</v>
          </cell>
          <cell r="Q21">
            <v>1482.5</v>
          </cell>
        </row>
        <row r="22">
          <cell r="B22">
            <v>18.5</v>
          </cell>
          <cell r="C22">
            <v>1443</v>
          </cell>
          <cell r="D22">
            <v>1454</v>
          </cell>
          <cell r="E22">
            <v>1458.5</v>
          </cell>
          <cell r="F22">
            <v>1461.2</v>
          </cell>
          <cell r="G22">
            <v>1462.3</v>
          </cell>
          <cell r="H22">
            <v>1463.2</v>
          </cell>
          <cell r="I22">
            <v>1464</v>
          </cell>
          <cell r="J22">
            <v>1464.6</v>
          </cell>
          <cell r="K22">
            <v>1465.3</v>
          </cell>
          <cell r="L22">
            <v>1465.8</v>
          </cell>
          <cell r="M22">
            <v>1466.3</v>
          </cell>
          <cell r="N22">
            <v>1466.8</v>
          </cell>
          <cell r="O22">
            <v>1467.2</v>
          </cell>
          <cell r="P22">
            <v>1468</v>
          </cell>
          <cell r="Q22">
            <v>1470</v>
          </cell>
        </row>
        <row r="23">
          <cell r="B23">
            <v>19.5</v>
          </cell>
          <cell r="C23">
            <v>1433.8</v>
          </cell>
          <cell r="D23">
            <v>1443.9</v>
          </cell>
          <cell r="E23">
            <v>1448</v>
          </cell>
          <cell r="F23">
            <v>1450.5</v>
          </cell>
          <cell r="G23">
            <v>1451.4</v>
          </cell>
          <cell r="H23">
            <v>1452.2</v>
          </cell>
          <cell r="I23">
            <v>1452.9</v>
          </cell>
          <cell r="J23">
            <v>1453.5</v>
          </cell>
          <cell r="K23">
            <v>1454.1</v>
          </cell>
          <cell r="L23">
            <v>1454.6</v>
          </cell>
          <cell r="M23">
            <v>1455</v>
          </cell>
          <cell r="N23">
            <v>1455.4</v>
          </cell>
          <cell r="O23">
            <v>1455.8</v>
          </cell>
          <cell r="P23">
            <v>1456.5</v>
          </cell>
          <cell r="Q23">
            <v>1458.2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D2655-A898-4F1E-A771-C20563CDE5F8}">
  <sheetPr codeName="Sheet1"/>
  <dimension ref="A1:W1035"/>
  <sheetViews>
    <sheetView tabSelected="1" topLeftCell="A5" zoomScale="70" zoomScaleNormal="70" workbookViewId="0">
      <selection activeCell="C6" sqref="C6"/>
    </sheetView>
  </sheetViews>
  <sheetFormatPr defaultRowHeight="18" x14ac:dyDescent="0.55000000000000004"/>
  <cols>
    <col min="1" max="1" width="17.6640625" customWidth="1"/>
    <col min="2" max="2" width="15.6640625" customWidth="1"/>
    <col min="3" max="3" width="10.6640625" customWidth="1"/>
    <col min="4" max="4" width="10.58203125" customWidth="1"/>
    <col min="5" max="7" width="10.6640625" customWidth="1"/>
    <col min="8" max="9" width="15.6640625" customWidth="1"/>
    <col min="10" max="11" width="10.83203125" customWidth="1"/>
    <col min="12" max="13" width="10.6640625" customWidth="1"/>
    <col min="14" max="14" width="16.83203125" customWidth="1"/>
    <col min="15" max="15" width="10.6640625" customWidth="1"/>
    <col min="16" max="16" width="10.83203125" customWidth="1"/>
    <col min="17" max="17" width="10.6640625" customWidth="1"/>
    <col min="18" max="18" width="10.83203125" customWidth="1"/>
    <col min="20" max="20" width="9" bestFit="1" customWidth="1"/>
    <col min="21" max="21" width="13.4140625" bestFit="1" customWidth="1"/>
    <col min="22" max="22" width="9.58203125" bestFit="1" customWidth="1"/>
    <col min="23" max="23" width="14.33203125" bestFit="1" customWidth="1"/>
  </cols>
  <sheetData>
    <row r="1" spans="1:14" ht="18.5" thickBot="1" x14ac:dyDescent="0.6">
      <c r="A1" s="32" t="s">
        <v>96</v>
      </c>
      <c r="B1" s="24"/>
      <c r="C1" s="8"/>
      <c r="D1" s="82"/>
      <c r="E1" s="82"/>
      <c r="F1" s="83"/>
    </row>
    <row r="2" spans="1:14" ht="20" x14ac:dyDescent="0.55000000000000004">
      <c r="A2" s="33" t="s">
        <v>0</v>
      </c>
      <c r="B2" s="34" t="s">
        <v>41</v>
      </c>
      <c r="C2" s="34">
        <v>5</v>
      </c>
      <c r="D2" s="63"/>
      <c r="E2" s="63"/>
      <c r="F2" s="64"/>
      <c r="H2" s="11"/>
      <c r="I2" s="14"/>
    </row>
    <row r="3" spans="1:14" ht="20" x14ac:dyDescent="0.55000000000000004">
      <c r="A3" s="35" t="s">
        <v>1</v>
      </c>
      <c r="B3" s="36" t="s">
        <v>42</v>
      </c>
      <c r="C3" s="36">
        <v>3.5</v>
      </c>
      <c r="D3" s="65"/>
      <c r="E3" s="65"/>
      <c r="F3" s="66"/>
      <c r="H3" s="11"/>
      <c r="I3" s="15"/>
    </row>
    <row r="4" spans="1:14" ht="20" x14ac:dyDescent="0.55000000000000004">
      <c r="A4" s="35" t="s">
        <v>2</v>
      </c>
      <c r="B4" s="36" t="s">
        <v>44</v>
      </c>
      <c r="C4" s="36">
        <v>2.2999999999999998</v>
      </c>
      <c r="D4" s="65"/>
      <c r="E4" s="65"/>
      <c r="F4" s="66"/>
    </row>
    <row r="5" spans="1:14" ht="20" x14ac:dyDescent="0.55000000000000004">
      <c r="A5" s="35" t="s">
        <v>3</v>
      </c>
      <c r="B5" s="36" t="s">
        <v>45</v>
      </c>
      <c r="C5" s="36">
        <v>400</v>
      </c>
      <c r="D5" s="65"/>
      <c r="E5" s="65"/>
      <c r="F5" s="66"/>
    </row>
    <row r="6" spans="1:14" ht="20" x14ac:dyDescent="0.55000000000000004">
      <c r="A6" s="35" t="s">
        <v>4</v>
      </c>
      <c r="B6" s="36" t="s">
        <v>46</v>
      </c>
      <c r="C6" s="36">
        <v>790</v>
      </c>
      <c r="D6" s="65"/>
      <c r="E6" s="65"/>
      <c r="F6" s="66"/>
      <c r="H6" t="s">
        <v>105</v>
      </c>
      <c r="I6">
        <v>2.4000000000000008</v>
      </c>
      <c r="J6">
        <v>405.93566216753715</v>
      </c>
      <c r="K6">
        <v>886.91131194836498</v>
      </c>
      <c r="L6">
        <v>369.54637997848528</v>
      </c>
      <c r="M6">
        <v>210.35274892098789</v>
      </c>
      <c r="N6">
        <v>40.052222861506003</v>
      </c>
    </row>
    <row r="7" spans="1:14" ht="20" x14ac:dyDescent="0.55000000000000004">
      <c r="A7" s="35" t="s">
        <v>5</v>
      </c>
      <c r="B7" s="36" t="s">
        <v>61</v>
      </c>
      <c r="C7" s="36">
        <v>1</v>
      </c>
      <c r="D7" s="65"/>
      <c r="E7" s="65"/>
      <c r="F7" s="66"/>
      <c r="H7" t="s">
        <v>105</v>
      </c>
      <c r="I7">
        <v>2.8000000000000012</v>
      </c>
      <c r="J7">
        <v>385.56755861275059</v>
      </c>
      <c r="K7">
        <v>911.74299167138429</v>
      </c>
      <c r="L7">
        <v>325.62249702549423</v>
      </c>
      <c r="M7">
        <v>205.22816624196807</v>
      </c>
      <c r="N7">
        <v>40.443331846565798</v>
      </c>
    </row>
    <row r="8" spans="1:14" ht="20" x14ac:dyDescent="0.55000000000000004">
      <c r="A8" s="35" t="s">
        <v>6</v>
      </c>
      <c r="B8" s="36" t="s">
        <v>51</v>
      </c>
      <c r="C8" s="36">
        <v>3.3</v>
      </c>
      <c r="D8" s="65"/>
      <c r="E8" s="65"/>
      <c r="F8" s="66"/>
    </row>
    <row r="9" spans="1:14" ht="20.5" thickBot="1" x14ac:dyDescent="0.6">
      <c r="A9" s="37" t="s">
        <v>7</v>
      </c>
      <c r="B9" s="38" t="s">
        <v>60</v>
      </c>
      <c r="C9" s="38">
        <v>0.3</v>
      </c>
      <c r="D9" s="69"/>
      <c r="E9" s="69"/>
      <c r="F9" s="70"/>
    </row>
    <row r="10" spans="1:14" ht="18.5" thickBot="1" x14ac:dyDescent="0.6">
      <c r="A10" s="25" t="s">
        <v>97</v>
      </c>
    </row>
    <row r="11" spans="1:14" ht="20" x14ac:dyDescent="0.55000000000000004">
      <c r="A11" s="26" t="s">
        <v>8</v>
      </c>
      <c r="B11" s="27" t="s">
        <v>47</v>
      </c>
      <c r="C11" s="27">
        <v>920</v>
      </c>
      <c r="D11" s="71"/>
      <c r="E11" s="71"/>
      <c r="F11" s="72"/>
      <c r="H11" s="16" t="s">
        <v>100</v>
      </c>
      <c r="I11" s="7" t="s">
        <v>101</v>
      </c>
      <c r="J11" s="20"/>
      <c r="K11" s="21"/>
      <c r="L11" s="21"/>
      <c r="M11" s="21"/>
      <c r="N11" s="17"/>
    </row>
    <row r="12" spans="1:14" ht="20" x14ac:dyDescent="0.55000000000000004">
      <c r="A12" s="28" t="s">
        <v>9</v>
      </c>
      <c r="B12" s="29" t="s">
        <v>48</v>
      </c>
      <c r="C12" s="29">
        <v>200</v>
      </c>
      <c r="D12" s="73"/>
      <c r="E12" s="73"/>
      <c r="F12" s="74"/>
      <c r="H12" s="3" t="s">
        <v>92</v>
      </c>
      <c r="I12" s="2" t="s">
        <v>93</v>
      </c>
      <c r="J12" s="10"/>
      <c r="K12" s="12"/>
      <c r="L12" s="12"/>
      <c r="M12" s="12"/>
      <c r="N12" s="60"/>
    </row>
    <row r="13" spans="1:14" ht="20" x14ac:dyDescent="0.55000000000000004">
      <c r="A13" s="28" t="s">
        <v>10</v>
      </c>
      <c r="B13" s="29" t="s">
        <v>49</v>
      </c>
      <c r="C13" s="29">
        <v>35</v>
      </c>
      <c r="D13" s="73">
        <f>C23*2^0.5</f>
        <v>16.970562748477143</v>
      </c>
      <c r="E13" s="73"/>
      <c r="F13" s="74"/>
      <c r="H13" s="57">
        <v>100</v>
      </c>
      <c r="I13" s="18">
        <v>434.78260869565224</v>
      </c>
      <c r="J13" s="22"/>
      <c r="K13" s="23"/>
      <c r="L13" s="23"/>
      <c r="M13" s="23"/>
      <c r="N13" s="60"/>
    </row>
    <row r="14" spans="1:14" ht="20" x14ac:dyDescent="0.55000000000000004">
      <c r="A14" s="28" t="s">
        <v>11</v>
      </c>
      <c r="B14" s="29" t="s">
        <v>50</v>
      </c>
      <c r="C14" s="29">
        <v>50</v>
      </c>
      <c r="D14" s="73"/>
      <c r="E14" s="73"/>
      <c r="F14" s="74"/>
      <c r="H14" s="3" t="s">
        <v>39</v>
      </c>
      <c r="I14" s="2" t="s">
        <v>84</v>
      </c>
      <c r="J14" s="2" t="s">
        <v>62</v>
      </c>
      <c r="K14" s="2" t="s">
        <v>63</v>
      </c>
      <c r="L14" s="13" t="s">
        <v>102</v>
      </c>
      <c r="M14" s="58" t="s">
        <v>103</v>
      </c>
      <c r="N14" s="19" t="s">
        <v>104</v>
      </c>
    </row>
    <row r="15" spans="1:14" ht="18.5" thickBot="1" x14ac:dyDescent="0.6">
      <c r="A15" s="28" t="s">
        <v>12</v>
      </c>
      <c r="B15" s="29" t="s">
        <v>59</v>
      </c>
      <c r="C15" s="29">
        <v>1</v>
      </c>
      <c r="D15" s="73"/>
      <c r="E15" s="73"/>
      <c r="F15" s="74"/>
      <c r="H15" s="4" t="s">
        <v>105</v>
      </c>
      <c r="I15" s="5">
        <v>2.2000000000000006</v>
      </c>
      <c r="J15" s="5">
        <v>386.8967023944831</v>
      </c>
      <c r="K15" s="5">
        <v>741.9099431943954</v>
      </c>
      <c r="L15" s="5">
        <v>337.23179236108871</v>
      </c>
      <c r="M15" s="59">
        <v>207.99627733044181</v>
      </c>
      <c r="N15" s="6">
        <v>39.425847511618137</v>
      </c>
    </row>
    <row r="16" spans="1:14" ht="20" x14ac:dyDescent="0.55000000000000004">
      <c r="A16" s="28" t="s">
        <v>13</v>
      </c>
      <c r="B16" s="29" t="s">
        <v>57</v>
      </c>
      <c r="C16" s="39">
        <v>3.7999999999999999E-2</v>
      </c>
      <c r="D16" s="73" t="s">
        <v>85</v>
      </c>
      <c r="E16" s="73"/>
      <c r="F16" s="74"/>
    </row>
    <row r="17" spans="1:23" x14ac:dyDescent="0.55000000000000004">
      <c r="A17" s="40" t="s">
        <v>14</v>
      </c>
      <c r="B17" s="41" t="s">
        <v>58</v>
      </c>
      <c r="C17" s="41">
        <v>0.67</v>
      </c>
      <c r="D17" s="67"/>
      <c r="E17" s="67"/>
      <c r="F17" s="68"/>
    </row>
    <row r="18" spans="1:23" x14ac:dyDescent="0.55000000000000004">
      <c r="A18" s="28" t="s">
        <v>86</v>
      </c>
      <c r="B18" s="29"/>
      <c r="C18" s="42" t="s">
        <v>106</v>
      </c>
      <c r="D18" s="84"/>
      <c r="E18" s="85"/>
      <c r="F18" s="86"/>
    </row>
    <row r="19" spans="1:23" ht="18.5" thickBot="1" x14ac:dyDescent="0.6">
      <c r="A19" s="30" t="s">
        <v>87</v>
      </c>
      <c r="B19" s="31"/>
      <c r="C19" s="62" t="s">
        <v>107</v>
      </c>
      <c r="D19" s="87"/>
      <c r="E19" s="88"/>
      <c r="F19" s="89"/>
    </row>
    <row r="20" spans="1:23" ht="18.5" thickBot="1" x14ac:dyDescent="0.6">
      <c r="A20" s="61" t="s">
        <v>98</v>
      </c>
    </row>
    <row r="21" spans="1:23" x14ac:dyDescent="0.55000000000000004">
      <c r="A21" s="43" t="s">
        <v>15</v>
      </c>
      <c r="B21" s="44" t="s">
        <v>56</v>
      </c>
      <c r="C21" s="44">
        <v>0.87</v>
      </c>
      <c r="D21" s="92"/>
      <c r="E21" s="92"/>
      <c r="F21" s="93"/>
    </row>
    <row r="22" spans="1:23" ht="20" x14ac:dyDescent="0.55000000000000004">
      <c r="A22" s="45" t="s">
        <v>16</v>
      </c>
      <c r="B22" s="46" t="s">
        <v>43</v>
      </c>
      <c r="C22" s="47">
        <v>0.101325</v>
      </c>
      <c r="D22" s="94"/>
      <c r="E22" s="94"/>
      <c r="F22" s="95"/>
    </row>
    <row r="23" spans="1:23" ht="20" x14ac:dyDescent="0.55000000000000004">
      <c r="A23" s="45" t="s">
        <v>17</v>
      </c>
      <c r="B23" s="47" t="s">
        <v>52</v>
      </c>
      <c r="C23" s="47">
        <v>12</v>
      </c>
      <c r="D23" s="94"/>
      <c r="E23" s="94"/>
      <c r="F23" s="95"/>
    </row>
    <row r="24" spans="1:23" ht="20" x14ac:dyDescent="0.55000000000000004">
      <c r="A24" s="45" t="s">
        <v>40</v>
      </c>
      <c r="B24" s="47" t="s">
        <v>53</v>
      </c>
      <c r="C24" s="47">
        <v>25.603100000000001</v>
      </c>
      <c r="D24" s="94"/>
      <c r="E24" s="94"/>
      <c r="F24" s="95"/>
    </row>
    <row r="25" spans="1:23" x14ac:dyDescent="0.55000000000000004">
      <c r="A25" s="45" t="s">
        <v>18</v>
      </c>
      <c r="B25" s="47" t="s">
        <v>55</v>
      </c>
      <c r="C25" s="47">
        <v>15</v>
      </c>
      <c r="D25" s="94"/>
      <c r="E25" s="94"/>
      <c r="F25" s="95"/>
    </row>
    <row r="26" spans="1:23" ht="20.5" thickBot="1" x14ac:dyDescent="0.6">
      <c r="A26" s="48" t="s">
        <v>19</v>
      </c>
      <c r="B26" s="49" t="s">
        <v>54</v>
      </c>
      <c r="C26" s="49">
        <v>0</v>
      </c>
      <c r="D26" s="80"/>
      <c r="E26" s="80"/>
      <c r="F26" s="81"/>
    </row>
    <row r="27" spans="1:23" ht="18.5" thickBot="1" x14ac:dyDescent="0.6">
      <c r="A27" s="50" t="s">
        <v>99</v>
      </c>
      <c r="B27" s="11"/>
      <c r="C27" s="11"/>
      <c r="D27" s="12"/>
      <c r="E27" s="12"/>
      <c r="F27" s="12"/>
    </row>
    <row r="28" spans="1:23" x14ac:dyDescent="0.55000000000000004">
      <c r="A28" s="51" t="s">
        <v>88</v>
      </c>
      <c r="B28" s="52" t="s">
        <v>66</v>
      </c>
      <c r="C28" s="52">
        <v>10</v>
      </c>
      <c r="D28" s="90"/>
      <c r="E28" s="90"/>
      <c r="F28" s="91"/>
    </row>
    <row r="29" spans="1:23" ht="20" x14ac:dyDescent="0.55000000000000004">
      <c r="A29" s="53" t="s">
        <v>89</v>
      </c>
      <c r="B29" s="54" t="s">
        <v>90</v>
      </c>
      <c r="C29" s="54">
        <v>0.1</v>
      </c>
      <c r="D29" s="75"/>
      <c r="E29" s="75"/>
      <c r="F29" s="76"/>
    </row>
    <row r="30" spans="1:23" ht="20.5" thickBot="1" x14ac:dyDescent="0.6">
      <c r="A30" s="55" t="s">
        <v>94</v>
      </c>
      <c r="B30" s="56" t="s">
        <v>95</v>
      </c>
      <c r="C30" s="56">
        <v>9.81</v>
      </c>
      <c r="D30" s="77"/>
      <c r="E30" s="78"/>
      <c r="F30" s="79"/>
    </row>
    <row r="32" spans="1:23" x14ac:dyDescent="0.55000000000000004">
      <c r="A32" s="9" t="s">
        <v>20</v>
      </c>
      <c r="B32" s="9" t="s">
        <v>21</v>
      </c>
      <c r="C32" s="9" t="s">
        <v>22</v>
      </c>
      <c r="D32" s="9" t="s">
        <v>23</v>
      </c>
      <c r="E32" s="9" t="s">
        <v>91</v>
      </c>
      <c r="F32" s="9" t="s">
        <v>24</v>
      </c>
      <c r="G32" s="9" t="s">
        <v>25</v>
      </c>
      <c r="H32" s="9" t="s">
        <v>26</v>
      </c>
      <c r="I32" s="9" t="s">
        <v>27</v>
      </c>
      <c r="J32" s="9" t="s">
        <v>28</v>
      </c>
      <c r="K32" s="9" t="s">
        <v>64</v>
      </c>
      <c r="L32" s="9" t="s">
        <v>29</v>
      </c>
      <c r="M32" s="9" t="s">
        <v>30</v>
      </c>
      <c r="N32" s="9" t="s">
        <v>31</v>
      </c>
      <c r="O32" s="9" t="s">
        <v>32</v>
      </c>
      <c r="P32" s="9" t="s">
        <v>33</v>
      </c>
      <c r="Q32" s="9" t="s">
        <v>34</v>
      </c>
      <c r="R32" s="9" t="s">
        <v>35</v>
      </c>
      <c r="S32" s="9"/>
      <c r="T32" s="9" t="s">
        <v>36</v>
      </c>
      <c r="U32" s="9" t="s">
        <v>37</v>
      </c>
      <c r="V32" s="9" t="s">
        <v>23</v>
      </c>
      <c r="W32" s="9" t="s">
        <v>38</v>
      </c>
    </row>
    <row r="33" spans="1:23" ht="20" x14ac:dyDescent="0.55000000000000004">
      <c r="A33" s="9" t="s">
        <v>66</v>
      </c>
      <c r="B33" s="9" t="s">
        <v>67</v>
      </c>
      <c r="C33" s="9" t="s">
        <v>68</v>
      </c>
      <c r="D33" s="9" t="s">
        <v>69</v>
      </c>
      <c r="E33" s="9" t="s">
        <v>83</v>
      </c>
      <c r="F33" s="9" t="s">
        <v>82</v>
      </c>
      <c r="G33" s="9" t="s">
        <v>81</v>
      </c>
      <c r="H33" s="9" t="s">
        <v>80</v>
      </c>
      <c r="I33" s="9" t="s">
        <v>79</v>
      </c>
      <c r="J33" s="9" t="s">
        <v>78</v>
      </c>
      <c r="K33" s="9" t="s">
        <v>77</v>
      </c>
      <c r="L33" s="9" t="s">
        <v>76</v>
      </c>
      <c r="M33" s="9" t="s">
        <v>75</v>
      </c>
      <c r="N33" s="9" t="s">
        <v>74</v>
      </c>
      <c r="O33" s="9" t="s">
        <v>70</v>
      </c>
      <c r="P33" s="9" t="s">
        <v>71</v>
      </c>
      <c r="Q33" s="9" t="s">
        <v>72</v>
      </c>
      <c r="R33" s="9" t="s">
        <v>73</v>
      </c>
      <c r="S33" s="9"/>
      <c r="T33" s="9" t="s">
        <v>65</v>
      </c>
      <c r="U33" s="9"/>
      <c r="V33" s="9"/>
      <c r="W33" s="9"/>
    </row>
    <row r="34" spans="1:23" x14ac:dyDescent="0.55000000000000004">
      <c r="A34">
        <v>0</v>
      </c>
      <c r="B34">
        <v>0</v>
      </c>
      <c r="C34">
        <f t="shared" ref="C34:C36" si="0">($C$3-$C$2)*A34/$C$4+$C$2</f>
        <v>5</v>
      </c>
      <c r="D34">
        <v>2.3967832664638946</v>
      </c>
      <c r="E34">
        <f>IF(B34&lt;($C$5*$C$6*10^-6),$C$9*(PI()/4*($C$8*0.001)^2)*SQRT(2*$C$6*IF(C34&gt;D34,(C34-D34),0)*10^6),0)</f>
        <v>0.16455941051047454</v>
      </c>
      <c r="F34">
        <f>0</f>
        <v>0</v>
      </c>
      <c r="G34">
        <f>C13</f>
        <v>35</v>
      </c>
      <c r="H34">
        <f>4*E34/($C$15*PI()*(G34*0.001)^2)</f>
        <v>171.03963177162723</v>
      </c>
      <c r="I34" s="1">
        <f>IF(G34=$C$14,0,$C$16*(H34)^$C$17)</f>
        <v>1.1911279650749229</v>
      </c>
      <c r="J34" s="1">
        <f>($C$12*10^-3)*PI()*(G34*10^-3)*$C$11*(I34*10^-3)*$C$15</f>
        <v>2.4098730287796914E-2</v>
      </c>
      <c r="K34">
        <f>IF(E34*J34=0,0,E34/J34)</f>
        <v>6.828551070750974</v>
      </c>
      <c r="L34" cm="1">
        <f t="array" ref="L34">IF(E34*J34=0,0,$C$21*INDEX([1]Sheet1!$C$4:$Q$23,MATCH(K34,[1]Sheet1!$B$4:$B$23,1),MATCH(D34,[1]Sheet1!$C$3:$Q$3,1))
+(K34-INDEX([1]Sheet1!$B$4:$B$23,MATCH(K34,[1]Sheet1!$B$4:$B$23,1),1))/(INDEX([1]Sheet1!$B$4:$B$23,MATCH(K34,[1]Sheet1!$B$4:$B$23,1)+1,1)-INDEX([1]Sheet1!$B$4:$B$23,
MATCH(K34,[1]Sheet1!$B$4:$B$23,1),1))*(INDEX([1]Sheet1!$C$4:$Q$23,MATCH(K34,[1]Sheet1!$B$4:$B$23,1)+1,MATCH(D34,[1]Sheet1!$C$3:$Q$3,1))-INDEX([1]Sheet1!$C$4:$Q$23,
MATCH(K34,[1]Sheet1!$B$4:$B$23,1),MATCH(D34,[1]Sheet1!$C$3:$Q$3,1)))
+(D34-INDEX([1]Sheet1!$C$3:$Q$3,1,MATCH(D34,[1]Sheet1!$C$3:$Q$3)))/(INDEX([1]Sheet1!$C$3:$Q$3,1,MATCH(D34,[1]Sheet1!$C$3:$Q$3)+1)-INDEX([1]Sheet1!$C$3:$Q$3,1,MATCH(
D34,[1]Sheet1!$C$3:$Q$3)))*(INDEX([1]Sheet1!$C$4:$Q$23,MATCH(K34,[1]Sheet1!$B$4:$B$23,1),MATCH(D34,[1]Sheet1!$C$3:$Q$3,1)+1)-INDEX([1]Sheet1!$C$4:$Q$23,MATCH(K34,[1]Sheet1!$B$4:$B$23,1),MATCH(D34,[1]Sheet1!$C$3:$Q$3,1))))</f>
        <v>1436.8296214759866</v>
      </c>
      <c r="M34" cm="1">
        <f t="array" ref="M34" xml:space="preserve"> IF(E34*J34=0,0,(INDEX([2]Sheet1!$C$4:$Q$23,MATCH(K34,[2]Sheet1!$B$4:$B$23,1),MATCH(D34,[2]Sheet1!$C$3:$Q$3,1))
+ (K34 - INDEX([2]Sheet1!$B$4:$B$23,MATCH(K34,[2]Sheet1!$B$4:$B$23,1),1))/(INDEX([2]Sheet1!$B$4:$B$23,MATCH(K34,[2]Sheet1!$B$4:$B$23,1)+1,1) - INDEX([2]Sheet1!$B$4:$B$23,MATCH(K34,[2]Sheet1!$B$4:$B$23,1),1))*(INDEX([2]Sheet1!$C$4:$Q$23,MATCH(K34,[2]Sheet1!$B$4:$B$23,1)+1,MATCH(D34,[2]Sheet1!$C$3:$Q$3,1)) - INDEX([2]Sheet1!$C$4:$Q$23,MATCH(K34,[2]Sheet1!$B$4:$B$23,1),MATCH(D34,[2]Sheet1!$C$3:$Q$3,1)))
+ (D34 - INDEX([2]Sheet1!$C$3:$Q$3,1,MATCH(D34,[2]Sheet1!$C$3:$Q$3)))/(INDEX([2]Sheet1!$C$3:$Q$3,1,MATCH(D34,[2]Sheet1!$C$3:$Q$3)+1) - INDEX([2]Sheet1!$C$3:$Q$3,1,MATCH(D34,[2]Sheet1!$C$3:$Q$3)))*(
INDEX([2]Sheet1!$C$4:$Q$23,MATCH(K34,[2]Sheet1!$B$4:$B$23,1),MATCH(D34,[2]Sheet1!$C$3:$Q$3,1)+1) - INDEX([2]Sheet1!$C$4:$Q$23,MATCH(K34,[2]Sheet1!$B$4:$B$23,1),MATCH(D34,[2]Sheet1!$C$3:$Q$3,1)))))</f>
        <v>1.1552500852439493</v>
      </c>
      <c r="N34">
        <f>C$23+$C$26*(A35-A34)</f>
        <v>12</v>
      </c>
      <c r="O34">
        <v>9.549530844777486E-2</v>
      </c>
      <c r="P34">
        <f>SQRT(2*(M34^2)/(M34-1)*((2/(M34+1))^((M34+1)/(M34-1)))*(1-(O34/D34)^((M34-1)/M34)))+((O34-$C$22)/D34)*(($C$24^2)/($C$23^2))</f>
        <v>1.4520339088016301</v>
      </c>
      <c r="Q34">
        <f>IF(E34*J34=0,0,((1+COS(RADIANS($C$25)))/2)*P34*D34*(PI()*($C$23^2)/4))</f>
        <v>386.8967023944831</v>
      </c>
      <c r="R34">
        <v>0</v>
      </c>
      <c r="T34">
        <f>((2/(M34+1))^(1/(M34-1)))*((D34/O34)^(1/M34))/SQRT(((M34+1)/(M34-1))*(1-(O34/D34)^((M34-1)/M34)))</f>
        <v>4.5522131550105165</v>
      </c>
      <c r="U34">
        <f>(T34-(($C$24^2)/(N34^2)))/(($C$24^2)/(N34^2))*100</f>
        <v>-5.3832917370077755E-6</v>
      </c>
      <c r="V34" s="1">
        <f>4*L34*(E34+J34)/(PI()*N34^2)</f>
        <v>2.3967815312632164</v>
      </c>
      <c r="W34" s="1">
        <f>(D34-V34)/V34*100</f>
        <v>7.2397114865115308E-5</v>
      </c>
    </row>
    <row r="35" spans="1:23" x14ac:dyDescent="0.55000000000000004">
      <c r="A35">
        <f t="shared" ref="A35:A42" si="1">A34+$C$29</f>
        <v>0.1</v>
      </c>
      <c r="B35">
        <f>B34+(E34)*(A35-A34)/2</f>
        <v>8.2279705255237281E-3</v>
      </c>
      <c r="C35">
        <f t="shared" si="0"/>
        <v>4.9347826086956523</v>
      </c>
      <c r="D35">
        <v>2.3766021933764794</v>
      </c>
      <c r="E35">
        <f t="shared" ref="E35:E98" si="2">IF(B35&lt;($C$5*$C$6*10^-6),$C$9*(PI()/4*($C$8*0.001)^2)*SQRT(2*$C$6*IF(C35&gt;D35,(C35-D35),0)*10^6),0)</f>
        <v>0.16312974007918302</v>
      </c>
      <c r="F35" s="1">
        <f>F34+(J34+0)*(A35-A34)/2</f>
        <v>1.2049365143898458E-3</v>
      </c>
      <c r="G35">
        <f>IF(SQRT(4*F35/($C$15*PI()*$C$11*$C$12*0.001)+($C$13*0.001)^2)*1000&lt;$C$14,SQRT(4*F35/($C$15*PI()*$C$11*$C$12*0.001)+($C$13*0.001)^2)*1000,$C$14)</f>
        <v>35.118910799674936</v>
      </c>
      <c r="H35">
        <f t="shared" ref="H35:H36" si="3">4*E35/($C$15*PI()*(G35*0.001)^2)</f>
        <v>168.40740619905179</v>
      </c>
      <c r="I35" s="1">
        <f t="shared" ref="I35:I98" si="4">IF(G35=$C$14,0,$C$16*(H35)^$C$17)</f>
        <v>1.1788148328103274</v>
      </c>
      <c r="J35">
        <f t="shared" ref="J35" si="5">($C$12*10^-3)*PI()*(G35*10^-3)*$C$11*(I35*10^-3)*$C$15</f>
        <v>2.3930640661147733E-2</v>
      </c>
      <c r="K35">
        <f t="shared" ref="K35:K98" si="6">IF(E35*J35=0,0,E35/J35)</f>
        <v>6.8167727888718872</v>
      </c>
      <c r="L35" cm="1">
        <f t="array" ref="L35">IF(E35*J35=0,0,$C$21*INDEX([3]Sheet1!$C$4:$Q$23,MATCH(K35,[3]Sheet1!$B$4:$B$23,1),MATCH(D35,[3]Sheet1!$C$3:$Q$3,1))
+(K35-INDEX([3]Sheet1!$B$4:$B$23,MATCH(K35,[3]Sheet1!$B$4:$B$23,1),1))/(INDEX([3]Sheet1!$B$4:$B$23,MATCH(K35,[3]Sheet1!$B$4:$B$23,1)+1,1)-INDEX([3]Sheet1!$B$4:$B$23,
MATCH(K35,[3]Sheet1!$B$4:$B$23,1),1))*(INDEX([3]Sheet1!$C$4:$Q$23,MATCH(K35,[3]Sheet1!$B$4:$B$23,1)+1,MATCH(D35,[3]Sheet1!$C$3:$Q$3,1))-INDEX([3]Sheet1!$C$4:$Q$23,
MATCH(K35,[3]Sheet1!$B$4:$B$23,1),MATCH(D35,[3]Sheet1!$C$3:$Q$3,1)))
+(D35-INDEX([3]Sheet1!$C$3:$Q$3,1,MATCH(D35,[3]Sheet1!$C$3:$Q$3)))/(INDEX([3]Sheet1!$C$3:$Q$3,1,MATCH(D35,[3]Sheet1!$C$3:$Q$3)+1)-INDEX([3]Sheet1!$C$3:$Q$3,1,MATCH(
D35,[3]Sheet1!$C$3:$Q$3)))*(INDEX([3]Sheet1!$C$4:$Q$23,MATCH(K35,[3]Sheet1!$B$4:$B$23,1),MATCH(D35,[3]Sheet1!$C$3:$Q$3,1)+1)-INDEX([3]Sheet1!$C$4:$Q$23,MATCH(K35,[3]Sheet1!$B$4:$B$23,1),MATCH(D35,[3]Sheet1!$C$3:$Q$3,1))))</f>
        <v>1436.9000111149439</v>
      </c>
      <c r="M35" cm="1">
        <f t="array" ref="M35" xml:space="preserve"> IF(E35*J35=0,0,(INDEX([2]Sheet1!$C$4:$Q$23,MATCH(K35,[2]Sheet1!$B$4:$B$23,1),MATCH(D35,[2]Sheet1!$C$3:$Q$3,1))
+ (K35 - INDEX([2]Sheet1!$B$4:$B$23,MATCH(K35,[2]Sheet1!$B$4:$B$23,1),1))/(INDEX([2]Sheet1!$B$4:$B$23,MATCH(K35,[2]Sheet1!$B$4:$B$23,1)+1,1) - INDEX([2]Sheet1!$B$4:$B$23,MATCH(K35,[2]Sheet1!$B$4:$B$23,1),1))*(INDEX([2]Sheet1!$C$4:$Q$23,MATCH(K35,[2]Sheet1!$B$4:$B$23,1)+1,MATCH(D35,[2]Sheet1!$C$3:$Q$3,1)) - INDEX([2]Sheet1!$C$4:$Q$23,MATCH(K35,[2]Sheet1!$B$4:$B$23,1),MATCH(D35,[2]Sheet1!$C$3:$Q$3,1)))
+ (D35 - INDEX([2]Sheet1!$C$3:$Q$3,1,MATCH(D35,[2]Sheet1!$C$3:$Q$3)))/(INDEX([2]Sheet1!$C$3:$Q$3,1,MATCH(D35,[2]Sheet1!$C$3:$Q$3)+1) - INDEX([2]Sheet1!$C$3:$Q$3,1,MATCH(D35,[2]Sheet1!$C$3:$Q$3)))*(
INDEX([2]Sheet1!$C$4:$Q$23,MATCH(K35,[2]Sheet1!$B$4:$B$23,1),MATCH(D35,[2]Sheet1!$C$3:$Q$3,1)+1) - INDEX([2]Sheet1!$C$4:$Q$23,MATCH(K35,[2]Sheet1!$B$4:$B$23,1),MATCH(D35,[2]Sheet1!$C$3:$Q$3,1)))))</f>
        <v>1.1553182772204238</v>
      </c>
      <c r="N35">
        <f t="shared" ref="N35:N36" si="7">C$23+$C$26*(A36-A35)</f>
        <v>12</v>
      </c>
      <c r="O35">
        <v>9.4677831109097263E-2</v>
      </c>
      <c r="P35">
        <f>SQRT(2*(M35^2)/(M35-1)*((2/(M35+1))^((M35+1)/(M35-1)))*(1-(O35/D35)^((M35-1)/M35)))+((O35-$C$22)/D35)*(($C$24^2)/($C$23^2))</f>
        <v>1.450375159168998</v>
      </c>
      <c r="Q35">
        <f>IF(E35*J35=0,0,((1+COS(RADIANS($C$25)))/2)*P35*D35*(PI()*($C$23^2)/4))</f>
        <v>383.20075169892436</v>
      </c>
      <c r="R35">
        <f>R34+(Q35+Q34)*(A35-A34)/2</f>
        <v>38.504872704670376</v>
      </c>
      <c r="T35">
        <f>((2/(M35+1))^(1/(M35-1)))*((D35/O35)^(1/M35))/SQRT(((M35+1)/(M35-1))*(1-(O35/D35)^((M35-1)/M35)))</f>
        <v>4.5522127312821654</v>
      </c>
      <c r="U35">
        <f>(T35-(($C$24^2)/(N35^2)))/(($C$24^2)/(N35^2))*100</f>
        <v>-1.4691474676472555E-5</v>
      </c>
      <c r="V35">
        <f>4*L35*(E35+J35)/(PI()*N35^2)</f>
        <v>2.3765994301030444</v>
      </c>
      <c r="W35">
        <f>(D35-V35)/V35*100</f>
        <v>1.1627005375652513E-4</v>
      </c>
    </row>
    <row r="36" spans="1:23" x14ac:dyDescent="0.55000000000000004">
      <c r="A36">
        <f t="shared" si="1"/>
        <v>0.2</v>
      </c>
      <c r="B36">
        <f>IF(B35+(E35+E34)*(A35-A34)/2&lt;$C$5*$C$6*10^-6,B35+(E35+E34)*(A35-A34)/2,$C$5*$C$6*10^-6)</f>
        <v>2.4612428055006602E-2</v>
      </c>
      <c r="C36">
        <f t="shared" si="0"/>
        <v>4.8695652173913047</v>
      </c>
      <c r="D36">
        <v>2.3559286920648601</v>
      </c>
      <c r="E36">
        <f t="shared" si="2"/>
        <v>0.16170326855977746</v>
      </c>
      <c r="F36">
        <f>F35+(J35+J34)*(A36-A35)/2</f>
        <v>3.606405061837078E-3</v>
      </c>
      <c r="G36">
        <f>IF(SQRT(4*F36/($C$15*PI()*$C$11*$C$12*0.001)+($C$13*0.001)^2)*1000&lt;$C$14,SQRT(4*F36/($C$15*PI()*$C$11*$C$12*0.001)+($C$13*0.001)^2)*1000,$C$14)</f>
        <v>35.354710154427927</v>
      </c>
      <c r="H36">
        <f t="shared" si="3"/>
        <v>164.71545673802714</v>
      </c>
      <c r="I36" s="1">
        <f t="shared" si="4"/>
        <v>1.1614368852548467</v>
      </c>
      <c r="J36">
        <f>($C$12*10^-3)*PI()*(G36*10^-3)*$C$11*(I36*10^-3)*$C$15</f>
        <v>2.3736167128511051E-2</v>
      </c>
      <c r="K36">
        <f t="shared" si="6"/>
        <v>6.8125265416397056</v>
      </c>
      <c r="L36" cm="1">
        <f t="array" ref="L36">IF(E36*J36=0,0,$C$21*INDEX([3]Sheet1!$C$4:$Q$23,MATCH(K36,[3]Sheet1!$B$4:$B$23,1),MATCH(D36,[3]Sheet1!$C$3:$Q$3,1))
+(K36-INDEX([3]Sheet1!$B$4:$B$23,MATCH(K36,[3]Sheet1!$B$4:$B$23,1),1))/(INDEX([3]Sheet1!$B$4:$B$23,MATCH(K36,[3]Sheet1!$B$4:$B$23,1)+1,1)-INDEX([3]Sheet1!$B$4:$B$23,
MATCH(K36,[3]Sheet1!$B$4:$B$23,1),1))*(INDEX([3]Sheet1!$C$4:$Q$23,MATCH(K36,[3]Sheet1!$B$4:$B$23,1)+1,MATCH(D36,[3]Sheet1!$C$3:$Q$3,1))-INDEX([3]Sheet1!$C$4:$Q$23,
MATCH(K36,[3]Sheet1!$B$4:$B$23,1),MATCH(D36,[3]Sheet1!$C$3:$Q$3,1)))
+(D36-INDEX([3]Sheet1!$C$3:$Q$3,1,MATCH(D36,[3]Sheet1!$C$3:$Q$3)))/(INDEX([3]Sheet1!$C$3:$Q$3,1,MATCH(D36,[3]Sheet1!$C$3:$Q$3)+1)-INDEX([3]Sheet1!$C$3:$Q$3,1,MATCH(
D36,[3]Sheet1!$C$3:$Q$3)))*(INDEX([3]Sheet1!$C$4:$Q$23,MATCH(K36,[3]Sheet1!$B$4:$B$23,1),MATCH(D36,[3]Sheet1!$C$3:$Q$3,1)+1)-INDEX([3]Sheet1!$C$4:$Q$23,MATCH(K36,[3]Sheet1!$B$4:$B$23,1),MATCH(D36,[3]Sheet1!$C$3:$Q$3,1))))</f>
        <v>1436.8516990651053</v>
      </c>
      <c r="M36" cm="1">
        <f t="array" ref="M36" xml:space="preserve"> IF(E36*J36=0,0,(INDEX([2]Sheet1!$C$4:$Q$23,MATCH(K36,[2]Sheet1!$B$4:$B$23,1),MATCH(D36,[2]Sheet1!$C$3:$Q$3,1))
+ (K36 - INDEX([2]Sheet1!$B$4:$B$23,MATCH(K36,[2]Sheet1!$B$4:$B$23,1),1))/(INDEX([2]Sheet1!$B$4:$B$23,MATCH(K36,[2]Sheet1!$B$4:$B$23,1)+1,1) - INDEX([2]Sheet1!$B$4:$B$23,MATCH(K36,[2]Sheet1!$B$4:$B$23,1),1))*(INDEX([2]Sheet1!$C$4:$Q$23,MATCH(K36,[2]Sheet1!$B$4:$B$23,1)+1,MATCH(D36,[2]Sheet1!$C$3:$Q$3,1)) - INDEX([2]Sheet1!$C$4:$Q$23,MATCH(K36,[2]Sheet1!$B$4:$B$23,1),MATCH(D36,[2]Sheet1!$C$3:$Q$3,1)))
+ (D36 - INDEX([2]Sheet1!$C$3:$Q$3,1,MATCH(D36,[2]Sheet1!$C$3:$Q$3)))/(INDEX([2]Sheet1!$C$3:$Q$3,1,MATCH(D36,[2]Sheet1!$C$3:$Q$3)+1) - INDEX([2]Sheet1!$C$3:$Q$3,1,MATCH(D36,[2]Sheet1!$C$3:$Q$3)))*(
INDEX([2]Sheet1!$C$4:$Q$23,MATCH(K36,[2]Sheet1!$B$4:$B$23,1),MATCH(D36,[2]Sheet1!$C$3:$Q$3,1)+1) - INDEX([2]Sheet1!$C$4:$Q$23,MATCH(K36,[2]Sheet1!$B$4:$B$23,1),MATCH(D36,[2]Sheet1!$C$3:$Q$3,1)))))</f>
        <v>1.1552825708021557</v>
      </c>
      <c r="N36">
        <f t="shared" si="7"/>
        <v>12</v>
      </c>
      <c r="O36">
        <v>9.3861237386000135E-2</v>
      </c>
      <c r="P36">
        <f>SQRT(2*(M36^2)/(M36-1)*((2/(M36+1))^((M36+1)/(M36-1)))*(1-(O36/D36)^((M36-1)/M36)))+((O36-$C$22)/D36)*(($C$24^2)/($C$23^2))</f>
        <v>1.4486849487126383</v>
      </c>
      <c r="Q36">
        <f>IF(E36*J36=0,0,((1+COS(RADIANS($C$25)))/2)*P36*D36*(PI()*($C$23^2)/4))</f>
        <v>379.42469626326215</v>
      </c>
      <c r="R36">
        <f>R35+(Q36+Q35)*(A36-A35)/2</f>
        <v>76.636145102779693</v>
      </c>
      <c r="T36">
        <f>((2/(M36+1))^(1/(M36-1)))*((D36/O36)^(1/M36))/SQRT(((M36+1)/(M36-1))*(1-(O36/D36)^((M36-1)/M36)))</f>
        <v>4.5522118405684173</v>
      </c>
      <c r="U36">
        <f>(T36-(($C$24^2)/(N36^2)))/(($C$24^2)/(N36^2))*100</f>
        <v>-3.4258082605666085E-5</v>
      </c>
      <c r="V36">
        <f t="shared" ref="V36" si="8">4*L36*(E36+J36)/(PI()*N36^2)</f>
        <v>2.3559261320840044</v>
      </c>
      <c r="W36">
        <f>(D36-V36)/V36*100</f>
        <v>1.086613379290692E-4</v>
      </c>
    </row>
    <row r="37" spans="1:23" x14ac:dyDescent="0.55000000000000004">
      <c r="A37">
        <f t="shared" si="1"/>
        <v>0.30000000000000004</v>
      </c>
      <c r="B37">
        <f>IF(B36+(E36+E35)*(A36-A35)/2&lt;$C$5*$C$6*10^-6,B36+(E36+E35)*(A36-A35)/2,$C$5*$C$6*10^-6)</f>
        <v>4.0854078486954631E-2</v>
      </c>
      <c r="C37">
        <f t="shared" ref="C37" si="9">($C$3-$C$2)*A37/$C$4+$C$2</f>
        <v>4.8043478260869561</v>
      </c>
      <c r="D37">
        <v>2.3351570997681796</v>
      </c>
      <c r="E37">
        <f t="shared" si="2"/>
        <v>0.16026728428746406</v>
      </c>
      <c r="F37">
        <f>F36+(J36+J35)*(A37-A36)/2</f>
        <v>5.9897454513200181E-3</v>
      </c>
      <c r="G37">
        <f>IF(SQRT(4*F37/($C$15*PI()*$C$11*$C$12*0.001)+($C$13*0.001)^2)*1000&lt;$C$14,SQRT(4*F37/($C$15*PI()*$C$11*$C$12*0.001)+($C$13*0.001)^2)*1000,$C$14)</f>
        <v>35.587184794309572</v>
      </c>
      <c r="H37">
        <f t="shared" ref="H37" si="10">4*E37/($C$15*PI()*(G37*0.001)^2)</f>
        <v>161.12678052500448</v>
      </c>
      <c r="I37" s="1">
        <f t="shared" si="4"/>
        <v>1.1444214135758723</v>
      </c>
      <c r="J37">
        <f t="shared" ref="J37" si="11">($C$12*10^-3)*PI()*(G37*10^-3)*$C$11*(I37*10^-3)*$C$15</f>
        <v>2.3542214079807867E-2</v>
      </c>
      <c r="K37">
        <f t="shared" si="6"/>
        <v>6.8076555477815122</v>
      </c>
      <c r="L37" cm="1">
        <f t="array" ref="L37">IF(E37*J37=0,0,$C$21*INDEX([3]Sheet1!$C$4:$Q$23,MATCH(K37,[3]Sheet1!$B$4:$B$23,1),MATCH(D37,[3]Sheet1!$C$3:$Q$3,1))
+(K37-INDEX([3]Sheet1!$B$4:$B$23,MATCH(K37,[3]Sheet1!$B$4:$B$23,1),1))/(INDEX([3]Sheet1!$B$4:$B$23,MATCH(K37,[3]Sheet1!$B$4:$B$23,1)+1,1)-INDEX([3]Sheet1!$B$4:$B$23,
MATCH(K37,[3]Sheet1!$B$4:$B$23,1),1))*(INDEX([3]Sheet1!$C$4:$Q$23,MATCH(K37,[3]Sheet1!$B$4:$B$23,1)+1,MATCH(D37,[3]Sheet1!$C$3:$Q$3,1))-INDEX([3]Sheet1!$C$4:$Q$23,
MATCH(K37,[3]Sheet1!$B$4:$B$23,1),MATCH(D37,[3]Sheet1!$C$3:$Q$3,1)))
+(D37-INDEX([3]Sheet1!$C$3:$Q$3,1,MATCH(D37,[3]Sheet1!$C$3:$Q$3)))/(INDEX([3]Sheet1!$C$3:$Q$3,1,MATCH(D37,[3]Sheet1!$C$3:$Q$3)+1)-INDEX([3]Sheet1!$C$3:$Q$3,1,MATCH(
D37,[3]Sheet1!$C$3:$Q$3)))*(INDEX([3]Sheet1!$C$4:$Q$23,MATCH(K37,[3]Sheet1!$B$4:$B$23,1),MATCH(D37,[3]Sheet1!$C$3:$Q$3,1)+1)-INDEX([3]Sheet1!$C$4:$Q$23,MATCH(K37,[3]Sheet1!$B$4:$B$23,1),MATCH(D37,[3]Sheet1!$C$3:$Q$3,1))))</f>
        <v>1436.8124686128897</v>
      </c>
      <c r="M37" cm="1">
        <f t="array" ref="M37" xml:space="preserve"> IF(E37*J37=0,0,(INDEX([2]Sheet1!$C$4:$Q$23,MATCH(K37,[2]Sheet1!$B$4:$B$23,1),MATCH(D37,[2]Sheet1!$C$3:$Q$3,1))
+ (K37 - INDEX([2]Sheet1!$B$4:$B$23,MATCH(K37,[2]Sheet1!$B$4:$B$23,1),1))/(INDEX([2]Sheet1!$B$4:$B$23,MATCH(K37,[2]Sheet1!$B$4:$B$23,1)+1,1) - INDEX([2]Sheet1!$B$4:$B$23,MATCH(K37,[2]Sheet1!$B$4:$B$23,1),1))*(INDEX([2]Sheet1!$C$4:$Q$23,MATCH(K37,[2]Sheet1!$B$4:$B$23,1)+1,MATCH(D37,[2]Sheet1!$C$3:$Q$3,1)) - INDEX([2]Sheet1!$C$4:$Q$23,MATCH(K37,[2]Sheet1!$B$4:$B$23,1),MATCH(D37,[2]Sheet1!$C$3:$Q$3,1)))
+ (D37 - INDEX([2]Sheet1!$C$3:$Q$3,1,MATCH(D37,[2]Sheet1!$C$3:$Q$3)))/(INDEX([2]Sheet1!$C$3:$Q$3,1,MATCH(D37,[2]Sheet1!$C$3:$Q$3)+1) - INDEX([2]Sheet1!$C$3:$Q$3,1,MATCH(D37,[2]Sheet1!$C$3:$Q$3)))*(
INDEX([2]Sheet1!$C$4:$Q$23,MATCH(K37,[2]Sheet1!$B$4:$B$23,1),MATCH(D37,[2]Sheet1!$C$3:$Q$3,1)+1) - INDEX([2]Sheet1!$C$4:$Q$23,MATCH(K37,[2]Sheet1!$B$4:$B$23,1),MATCH(D37,[2]Sheet1!$C$3:$Q$3,1)))))</f>
        <v>1.1552548570539065</v>
      </c>
      <c r="N37">
        <f t="shared" ref="N37" si="12">C$23+$C$26*(A38-A37)</f>
        <v>12</v>
      </c>
      <c r="O37">
        <v>9.303909108126468E-2</v>
      </c>
      <c r="P37">
        <f t="shared" ref="P37" si="13">SQRT(2*(M37^2)/(M37-1)*((2/(M37+1))^((M37+1)/(M37-1)))*(1-(O37/D37)^((M37-1)/M37)))+((O37-$C$22)/D37)*(($C$24^2)/($C$23^2))</f>
        <v>1.4469534076512953</v>
      </c>
      <c r="Q37">
        <f t="shared" ref="Q37:Q98" si="14">IF(E37*J37=0,0,((1+COS(RADIANS($C$25)))/2)*P37*D37*(PI()*($C$23^2)/4))</f>
        <v>375.62990132356089</v>
      </c>
      <c r="R37">
        <f>R36+(Q37+Q36)*(A37-A36)/2</f>
        <v>114.38887498212085</v>
      </c>
      <c r="T37">
        <f t="shared" ref="T37:T100" si="15">((2/(M37+1))^(1/(M37-1)))*((D37/O37)^(1/M37))/SQRT(((M37+1)/(M37-1))*(1-(O37/D37)^((M37-1)/M37)))</f>
        <v>4.5522101338371082</v>
      </c>
      <c r="U37">
        <f t="shared" ref="U37:U100" si="16">(T37-(($C$24^2)/(N37^2)))/(($C$24^2)/(N37^2))*100</f>
        <v>-7.1750422247389799E-5</v>
      </c>
      <c r="V37">
        <f t="shared" ref="V37:V100" si="17">4*L37*(E37+J37)/(PI()*N37^2)</f>
        <v>2.3351547396562173</v>
      </c>
      <c r="W37">
        <f>(D37-V37)/V37*100</f>
        <v>1.0106876097876065E-4</v>
      </c>
    </row>
    <row r="38" spans="1:23" x14ac:dyDescent="0.55000000000000004">
      <c r="A38">
        <f t="shared" si="1"/>
        <v>0.4</v>
      </c>
      <c r="B38">
        <f t="shared" ref="B38:B101" si="18">IF(B37+(E37+E36)*(A37-A36)/2&lt;$C$5*$C$6*10^-6,B37+(E37+E36)*(A37-A36)/2,$C$5*$C$6*10^-6)</f>
        <v>5.6952606129316713E-2</v>
      </c>
      <c r="C38">
        <f t="shared" ref="C38:C101" si="19">($C$3-$C$2)*A38/$C$4+$C$2</f>
        <v>4.7391304347826084</v>
      </c>
      <c r="D38">
        <v>2.3142844209380597</v>
      </c>
      <c r="E38">
        <f t="shared" si="2"/>
        <v>0.15882162733455671</v>
      </c>
      <c r="F38">
        <f t="shared" ref="F38:F101" si="20">F37+(J37+J36)*(A38-A37)/2</f>
        <v>8.3536645117359629E-3</v>
      </c>
      <c r="G38">
        <f t="shared" ref="G38:G101" si="21">IF(SQRT(4*F38/($C$15*PI()*$C$11*$C$12*0.001)+($C$13*0.001)^2)*1000&lt;$C$14,SQRT(4*F38/($C$15*PI()*$C$11*$C$12*0.001)+($C$13*0.001)^2)*1000,$C$14)</f>
        <v>35.816274537394385</v>
      </c>
      <c r="H38">
        <f t="shared" ref="H38:H101" si="22">4*E38/($C$15*PI()*(G38*0.001)^2)</f>
        <v>157.63728254581738</v>
      </c>
      <c r="I38" s="1">
        <f t="shared" si="4"/>
        <v>1.1277558436771595</v>
      </c>
      <c r="J38">
        <f t="shared" ref="J38:J101" si="23">($C$12*10^-3)*PI()*(G38*10^-3)*$C$11*(I38*10^-3)*$C$15</f>
        <v>2.3348726187016524E-2</v>
      </c>
      <c r="K38">
        <f t="shared" si="6"/>
        <v>6.8021538332516105</v>
      </c>
      <c r="L38" cm="1">
        <f t="array" ref="L38">IF(E38*J38=0,0,$C$21*INDEX([3]Sheet1!$C$4:$Q$23,MATCH(K38,[3]Sheet1!$B$4:$B$23,1),MATCH(D38,[3]Sheet1!$C$3:$Q$3,1))
+(K38-INDEX([3]Sheet1!$B$4:$B$23,MATCH(K38,[3]Sheet1!$B$4:$B$23,1),1))/(INDEX([3]Sheet1!$B$4:$B$23,MATCH(K38,[3]Sheet1!$B$4:$B$23,1)+1,1)-INDEX([3]Sheet1!$B$4:$B$23,
MATCH(K38,[3]Sheet1!$B$4:$B$23,1),1))*(INDEX([3]Sheet1!$C$4:$Q$23,MATCH(K38,[3]Sheet1!$B$4:$B$23,1)+1,MATCH(D38,[3]Sheet1!$C$3:$Q$3,1))-INDEX([3]Sheet1!$C$4:$Q$23,
MATCH(K38,[3]Sheet1!$B$4:$B$23,1),MATCH(D38,[3]Sheet1!$C$3:$Q$3,1)))
+(D38-INDEX([3]Sheet1!$C$3:$Q$3,1,MATCH(D38,[3]Sheet1!$C$3:$Q$3)))/(INDEX([3]Sheet1!$C$3:$Q$3,1,MATCH(D38,[3]Sheet1!$C$3:$Q$3)+1)-INDEX([3]Sheet1!$C$3:$Q$3,1,MATCH(
D38,[3]Sheet1!$C$3:$Q$3)))*(INDEX([3]Sheet1!$C$4:$Q$23,MATCH(K38,[3]Sheet1!$B$4:$B$23,1),MATCH(D38,[3]Sheet1!$C$3:$Q$3,1)+1)-INDEX([3]Sheet1!$C$4:$Q$23,MATCH(K38,[3]Sheet1!$B$4:$B$23,1),MATCH(D38,[3]Sheet1!$C$3:$Q$3,1))))</f>
        <v>1436.7823952830845</v>
      </c>
      <c r="M38" cm="1">
        <f t="array" ref="M38" xml:space="preserve"> IF(E38*J38=0,0,(INDEX([2]Sheet1!$C$4:$Q$23,MATCH(K38,[2]Sheet1!$B$4:$B$23,1),MATCH(D38,[2]Sheet1!$C$3:$Q$3,1))
+ (K38 - INDEX([2]Sheet1!$B$4:$B$23,MATCH(K38,[2]Sheet1!$B$4:$B$23,1),1))/(INDEX([2]Sheet1!$B$4:$B$23,MATCH(K38,[2]Sheet1!$B$4:$B$23,1)+1,1) - INDEX([2]Sheet1!$B$4:$B$23,MATCH(K38,[2]Sheet1!$B$4:$B$23,1),1))*(INDEX([2]Sheet1!$C$4:$Q$23,MATCH(K38,[2]Sheet1!$B$4:$B$23,1)+1,MATCH(D38,[2]Sheet1!$C$3:$Q$3,1)) - INDEX([2]Sheet1!$C$4:$Q$23,MATCH(K38,[2]Sheet1!$B$4:$B$23,1),MATCH(D38,[2]Sheet1!$C$3:$Q$3,1)))
+ (D38 - INDEX([2]Sheet1!$C$3:$Q$3,1,MATCH(D38,[2]Sheet1!$C$3:$Q$3)))/(INDEX([2]Sheet1!$C$3:$Q$3,1,MATCH(D38,[2]Sheet1!$C$3:$Q$3)+1) - INDEX([2]Sheet1!$C$3:$Q$3,1,MATCH(D38,[2]Sheet1!$C$3:$Q$3)))*(
INDEX([2]Sheet1!$C$4:$Q$23,MATCH(K38,[2]Sheet1!$B$4:$B$23,1),MATCH(D38,[2]Sheet1!$C$3:$Q$3,1)+1) - INDEX([2]Sheet1!$C$4:$Q$23,MATCH(K38,[2]Sheet1!$B$4:$B$23,1),MATCH(D38,[2]Sheet1!$C$3:$Q$3,1)))))</f>
        <v>1.1552352031453246</v>
      </c>
      <c r="N38">
        <f t="shared" ref="N38:N101" si="24">C$23+$C$26*(A39-A38)</f>
        <v>12</v>
      </c>
      <c r="O38">
        <v>9.2211313778144732E-2</v>
      </c>
      <c r="P38">
        <f>SQRT(2*(M38^2)/(M38-1)*((2/(M38+1))^((M38+1)/(M38-1)))*(1-(O38/D38)^((M38-1)/M38)))+((O38-$C$22)/D38)*(($C$24^2)/($C$23^2))</f>
        <v>1.4451789964981347</v>
      </c>
      <c r="Q38">
        <f t="shared" si="14"/>
        <v>371.81583249824769</v>
      </c>
      <c r="R38">
        <f t="shared" ref="R38:R101" si="25">R37+(Q38+Q37)*(A38-A37)/2</f>
        <v>151.76116167321126</v>
      </c>
      <c r="T38">
        <f t="shared" si="15"/>
        <v>4.5522070920955047</v>
      </c>
      <c r="U38">
        <f t="shared" si="16"/>
        <v>-1.3856938120559349E-4</v>
      </c>
      <c r="V38">
        <f t="shared" si="17"/>
        <v>2.3142822565845496</v>
      </c>
      <c r="W38">
        <f t="shared" ref="W38:W98" si="26">(D38-V38)/V38*100</f>
        <v>9.3521587698920902E-5</v>
      </c>
    </row>
    <row r="39" spans="1:23" x14ac:dyDescent="0.55000000000000004">
      <c r="A39">
        <f t="shared" si="1"/>
        <v>0.5</v>
      </c>
      <c r="B39">
        <f t="shared" si="18"/>
        <v>7.2907051710417753E-2</v>
      </c>
      <c r="C39">
        <f t="shared" si="19"/>
        <v>4.6739130434782608</v>
      </c>
      <c r="D39">
        <v>2.2933071963515768</v>
      </c>
      <c r="E39">
        <f t="shared" si="2"/>
        <v>0.1573661454577191</v>
      </c>
      <c r="F39">
        <f t="shared" si="20"/>
        <v>1.0698211525077182E-2</v>
      </c>
      <c r="G39">
        <f t="shared" si="21"/>
        <v>36.042048659658093</v>
      </c>
      <c r="H39">
        <f t="shared" si="22"/>
        <v>154.24194341272636</v>
      </c>
      <c r="I39" s="1">
        <f t="shared" si="4"/>
        <v>1.1114227033066026</v>
      </c>
      <c r="J39">
        <f t="shared" si="23"/>
        <v>2.3155620771655425E-2</v>
      </c>
      <c r="K39">
        <f t="shared" si="6"/>
        <v>6.7960236095397404</v>
      </c>
      <c r="L39" cm="1">
        <f t="array" ref="L39">IF(E39*J39=0,0,$C$21*INDEX([3]Sheet1!$C$4:$Q$23,MATCH(K39,[3]Sheet1!$B$4:$B$23,1),MATCH(D39,[3]Sheet1!$C$3:$Q$3,1))
+(K39-INDEX([3]Sheet1!$B$4:$B$23,MATCH(K39,[3]Sheet1!$B$4:$B$23,1),1))/(INDEX([3]Sheet1!$B$4:$B$23,MATCH(K39,[3]Sheet1!$B$4:$B$23,1)+1,1)-INDEX([3]Sheet1!$B$4:$B$23,
MATCH(K39,[3]Sheet1!$B$4:$B$23,1),1))*(INDEX([3]Sheet1!$C$4:$Q$23,MATCH(K39,[3]Sheet1!$B$4:$B$23,1)+1,MATCH(D39,[3]Sheet1!$C$3:$Q$3,1))-INDEX([3]Sheet1!$C$4:$Q$23,
MATCH(K39,[3]Sheet1!$B$4:$B$23,1),MATCH(D39,[3]Sheet1!$C$3:$Q$3,1)))
+(D39-INDEX([3]Sheet1!$C$3:$Q$3,1,MATCH(D39,[3]Sheet1!$C$3:$Q$3)))/(INDEX([3]Sheet1!$C$3:$Q$3,1,MATCH(D39,[3]Sheet1!$C$3:$Q$3)+1)-INDEX([3]Sheet1!$C$3:$Q$3,1,MATCH(
D39,[3]Sheet1!$C$3:$Q$3)))*(INDEX([3]Sheet1!$C$4:$Q$23,MATCH(K39,[3]Sheet1!$B$4:$B$23,1),MATCH(D39,[3]Sheet1!$C$3:$Q$3,1)+1)-INDEX([3]Sheet1!$C$4:$Q$23,MATCH(K39,[3]Sheet1!$B$4:$B$23,1),MATCH(D39,[3]Sheet1!$C$3:$Q$3,1))))</f>
        <v>1436.7614259930217</v>
      </c>
      <c r="M39" cm="1">
        <f t="array" ref="M39" xml:space="preserve"> IF(E39*J39=0,0,(INDEX([2]Sheet1!$C$4:$Q$23,MATCH(K39,[2]Sheet1!$B$4:$B$23,1),MATCH(D39,[2]Sheet1!$C$3:$Q$3,1))
+ (K39 - INDEX([2]Sheet1!$B$4:$B$23,MATCH(K39,[2]Sheet1!$B$4:$B$23,1),1))/(INDEX([2]Sheet1!$B$4:$B$23,MATCH(K39,[2]Sheet1!$B$4:$B$23,1)+1,1) - INDEX([2]Sheet1!$B$4:$B$23,MATCH(K39,[2]Sheet1!$B$4:$B$23,1),1))*(INDEX([2]Sheet1!$C$4:$Q$23,MATCH(K39,[2]Sheet1!$B$4:$B$23,1)+1,MATCH(D39,[2]Sheet1!$C$3:$Q$3,1)) - INDEX([2]Sheet1!$C$4:$Q$23,MATCH(K39,[2]Sheet1!$B$4:$B$23,1),MATCH(D39,[2]Sheet1!$C$3:$Q$3,1)))
+ (D39 - INDEX([2]Sheet1!$C$3:$Q$3,1,MATCH(D39,[2]Sheet1!$C$3:$Q$3)))/(INDEX([2]Sheet1!$C$3:$Q$3,1,MATCH(D39,[2]Sheet1!$C$3:$Q$3)+1) - INDEX([2]Sheet1!$C$3:$Q$3,1,MATCH(D39,[2]Sheet1!$C$3:$Q$3)))*(
INDEX([2]Sheet1!$C$4:$Q$23,MATCH(K39,[2]Sheet1!$B$4:$B$23,1),MATCH(D39,[2]Sheet1!$C$3:$Q$3,1)+1) - INDEX([2]Sheet1!$C$4:$Q$23,MATCH(K39,[2]Sheet1!$B$4:$B$23,1),MATCH(D39,[2]Sheet1!$C$3:$Q$3,1)))))</f>
        <v>1.1552235636547956</v>
      </c>
      <c r="N39">
        <f t="shared" si="24"/>
        <v>12</v>
      </c>
      <c r="O39">
        <v>9.1377836612985486E-2</v>
      </c>
      <c r="P39">
        <f>SQRT(2*(M39^2)/(M39-1)*((2/(M39+1))^((M39+1)/(M39-1)))*(1-(O39/D39)^((M39-1)/M39)))+((O39-$C$22)/D39)*(($C$24^2)/($C$23^2))</f>
        <v>1.4433601010409487</v>
      </c>
      <c r="Q39">
        <f t="shared" si="14"/>
        <v>367.98188143504922</v>
      </c>
      <c r="R39">
        <f t="shared" si="25"/>
        <v>188.75104736987609</v>
      </c>
      <c r="T39">
        <f t="shared" si="15"/>
        <v>4.552201965845061</v>
      </c>
      <c r="U39">
        <f t="shared" si="16"/>
        <v>-2.5117944565489089E-4</v>
      </c>
      <c r="V39">
        <f t="shared" si="17"/>
        <v>2.2933052229462638</v>
      </c>
      <c r="W39">
        <f t="shared" si="26"/>
        <v>8.6050705034502328E-5</v>
      </c>
    </row>
    <row r="40" spans="1:23" x14ac:dyDescent="0.55000000000000004">
      <c r="A40">
        <f t="shared" si="1"/>
        <v>0.6</v>
      </c>
      <c r="B40">
        <f t="shared" si="18"/>
        <v>8.8716440350031539E-2</v>
      </c>
      <c r="C40">
        <f t="shared" si="19"/>
        <v>4.6086956521739131</v>
      </c>
      <c r="D40">
        <v>2.2722218851539422</v>
      </c>
      <c r="E40">
        <f t="shared" si="2"/>
        <v>0.15590068161322881</v>
      </c>
      <c r="F40">
        <f t="shared" si="20"/>
        <v>1.3023428873010778E-2</v>
      </c>
      <c r="G40">
        <f t="shared" si="21"/>
        <v>36.2645731313306</v>
      </c>
      <c r="H40">
        <f t="shared" si="22"/>
        <v>150.93605443613441</v>
      </c>
      <c r="I40" s="1">
        <f t="shared" si="4"/>
        <v>1.0954054616519369</v>
      </c>
      <c r="J40">
        <f t="shared" si="23"/>
        <v>2.2962817142054469E-2</v>
      </c>
      <c r="K40">
        <f t="shared" si="6"/>
        <v>6.7892663451867943</v>
      </c>
      <c r="L40" cm="1">
        <f t="array" ref="L40">IF(E40*J40=0,0,$C$21*INDEX([3]Sheet1!$C$4:$Q$23,MATCH(K40,[3]Sheet1!$B$4:$B$23,1),MATCH(D40,[3]Sheet1!$C$3:$Q$3,1))
+(K40-INDEX([3]Sheet1!$B$4:$B$23,MATCH(K40,[3]Sheet1!$B$4:$B$23,1),1))/(INDEX([3]Sheet1!$B$4:$B$23,MATCH(K40,[3]Sheet1!$B$4:$B$23,1)+1,1)-INDEX([3]Sheet1!$B$4:$B$23,
MATCH(K40,[3]Sheet1!$B$4:$B$23,1),1))*(INDEX([3]Sheet1!$C$4:$Q$23,MATCH(K40,[3]Sheet1!$B$4:$B$23,1)+1,MATCH(D40,[3]Sheet1!$C$3:$Q$3,1))-INDEX([3]Sheet1!$C$4:$Q$23,
MATCH(K40,[3]Sheet1!$B$4:$B$23,1),MATCH(D40,[3]Sheet1!$C$3:$Q$3,1)))
+(D40-INDEX([3]Sheet1!$C$3:$Q$3,1,MATCH(D40,[3]Sheet1!$C$3:$Q$3)))/(INDEX([3]Sheet1!$C$3:$Q$3,1,MATCH(D40,[3]Sheet1!$C$3:$Q$3)+1)-INDEX([3]Sheet1!$C$3:$Q$3,1,MATCH(
D40,[3]Sheet1!$C$3:$Q$3)))*(INDEX([3]Sheet1!$C$4:$Q$23,MATCH(K40,[3]Sheet1!$B$4:$B$23,1),MATCH(D40,[3]Sheet1!$C$3:$Q$3,1)+1)-INDEX([3]Sheet1!$C$4:$Q$23,MATCH(K40,[3]Sheet1!$B$4:$B$23,1),MATCH(D40,[3]Sheet1!$C$3:$Q$3,1))))</f>
        <v>1436.7495186524702</v>
      </c>
      <c r="M40" cm="1">
        <f t="array" ref="M40" xml:space="preserve"> IF(E40*J40=0,0,(INDEX([2]Sheet1!$C$4:$Q$23,MATCH(K40,[2]Sheet1!$B$4:$B$23,1),MATCH(D40,[2]Sheet1!$C$3:$Q$3,1))
+ (K40 - INDEX([2]Sheet1!$B$4:$B$23,MATCH(K40,[2]Sheet1!$B$4:$B$23,1),1))/(INDEX([2]Sheet1!$B$4:$B$23,MATCH(K40,[2]Sheet1!$B$4:$B$23,1)+1,1) - INDEX([2]Sheet1!$B$4:$B$23,MATCH(K40,[2]Sheet1!$B$4:$B$23,1),1))*(INDEX([2]Sheet1!$C$4:$Q$23,MATCH(K40,[2]Sheet1!$B$4:$B$23,1)+1,MATCH(D40,[2]Sheet1!$C$3:$Q$3,1)) - INDEX([2]Sheet1!$C$4:$Q$23,MATCH(K40,[2]Sheet1!$B$4:$B$23,1),MATCH(D40,[2]Sheet1!$C$3:$Q$3,1)))
+ (D40 - INDEX([2]Sheet1!$C$3:$Q$3,1,MATCH(D40,[2]Sheet1!$C$3:$Q$3)))/(INDEX([2]Sheet1!$C$3:$Q$3,1,MATCH(D40,[2]Sheet1!$C$3:$Q$3)+1) - INDEX([2]Sheet1!$C$3:$Q$3,1,MATCH(D40,[2]Sheet1!$C$3:$Q$3)))*(
INDEX([2]Sheet1!$C$4:$Q$23,MATCH(K40,[2]Sheet1!$B$4:$B$23,1),MATCH(D40,[2]Sheet1!$C$3:$Q$3,1)+1) - INDEX([2]Sheet1!$C$4:$Q$23,MATCH(K40,[2]Sheet1!$B$4:$B$23,1),MATCH(D40,[2]Sheet1!$C$3:$Q$3,1)))))</f>
        <v>1.1552199028231711</v>
      </c>
      <c r="N40">
        <f t="shared" si="24"/>
        <v>12</v>
      </c>
      <c r="O40">
        <v>9.0538593225834296E-2</v>
      </c>
      <c r="P40">
        <f t="shared" ref="P40:P101" si="27">SQRT(2*(M40^2)/(M40-1)*((2/(M40+1))^((M40+1)/(M40-1)))*(1-(O40/D40)^((M40-1)/M40)))+((O40-$C$22)/D40)*(($C$24^2)/($C$23^2))</f>
        <v>1.4414950139320968</v>
      </c>
      <c r="Q40">
        <f t="shared" si="14"/>
        <v>364.12742406086056</v>
      </c>
      <c r="R40">
        <f t="shared" si="25"/>
        <v>225.35651264467157</v>
      </c>
      <c r="T40">
        <f t="shared" si="15"/>
        <v>4.5521937014856375</v>
      </c>
      <c r="U40">
        <f t="shared" si="16"/>
        <v>-4.3272540356945088E-4</v>
      </c>
      <c r="V40">
        <f t="shared" si="17"/>
        <v>2.2722201591984206</v>
      </c>
      <c r="W40">
        <f t="shared" si="26"/>
        <v>7.5958991677246837E-5</v>
      </c>
    </row>
    <row r="41" spans="1:23" x14ac:dyDescent="0.55000000000000004">
      <c r="A41">
        <f t="shared" si="1"/>
        <v>0.7</v>
      </c>
      <c r="B41">
        <f t="shared" si="18"/>
        <v>0.10437978170357892</v>
      </c>
      <c r="C41">
        <f t="shared" si="19"/>
        <v>4.5434782608695654</v>
      </c>
      <c r="D41">
        <v>2.2510250320370795</v>
      </c>
      <c r="E41">
        <f t="shared" si="2"/>
        <v>0.15442506799924494</v>
      </c>
      <c r="F41">
        <f t="shared" si="20"/>
        <v>1.5329350768696272E-2</v>
      </c>
      <c r="G41">
        <f t="shared" si="21"/>
        <v>36.48391065830166</v>
      </c>
      <c r="H41">
        <f t="shared" si="22"/>
        <v>147.71518841563747</v>
      </c>
      <c r="I41" s="1">
        <f t="shared" si="4"/>
        <v>1.0796884337188093</v>
      </c>
      <c r="J41">
        <f t="shared" si="23"/>
        <v>2.2770235810587423E-2</v>
      </c>
      <c r="K41">
        <f t="shared" si="6"/>
        <v>6.7818826859685952</v>
      </c>
      <c r="L41" cm="1">
        <f t="array" ref="L41">IF(E41*J41=0,0,$C$21*INDEX([3]Sheet1!$C$4:$Q$23,MATCH(K41,[3]Sheet1!$B$4:$B$23,1),MATCH(D41,[3]Sheet1!$C$3:$Q$3,1))
+(K41-INDEX([3]Sheet1!$B$4:$B$23,MATCH(K41,[3]Sheet1!$B$4:$B$23,1),1))/(INDEX([3]Sheet1!$B$4:$B$23,MATCH(K41,[3]Sheet1!$B$4:$B$23,1)+1,1)-INDEX([3]Sheet1!$B$4:$B$23,
MATCH(K41,[3]Sheet1!$B$4:$B$23,1),1))*(INDEX([3]Sheet1!$C$4:$Q$23,MATCH(K41,[3]Sheet1!$B$4:$B$23,1)+1,MATCH(D41,[3]Sheet1!$C$3:$Q$3,1))-INDEX([3]Sheet1!$C$4:$Q$23,
MATCH(K41,[3]Sheet1!$B$4:$B$23,1),MATCH(D41,[3]Sheet1!$C$3:$Q$3,1)))
+(D41-INDEX([3]Sheet1!$C$3:$Q$3,1,MATCH(D41,[3]Sheet1!$C$3:$Q$3)))/(INDEX([3]Sheet1!$C$3:$Q$3,1,MATCH(D41,[3]Sheet1!$C$3:$Q$3)+1)-INDEX([3]Sheet1!$C$3:$Q$3,1,MATCH(
D41,[3]Sheet1!$C$3:$Q$3)))*(INDEX([3]Sheet1!$C$4:$Q$23,MATCH(K41,[3]Sheet1!$B$4:$B$23,1),MATCH(D41,[3]Sheet1!$C$3:$Q$3,1)+1)-INDEX([3]Sheet1!$C$4:$Q$23,MATCH(K41,[3]Sheet1!$B$4:$B$23,1),MATCH(D41,[3]Sheet1!$C$3:$Q$3,1))))</f>
        <v>1436.7466443122876</v>
      </c>
      <c r="M41" cm="1">
        <f t="array" ref="M41" xml:space="preserve"> IF(E41*J41=0,0,(INDEX([2]Sheet1!$C$4:$Q$23,MATCH(K41,[2]Sheet1!$B$4:$B$23,1),MATCH(D41,[2]Sheet1!$C$3:$Q$3,1))
+ (K41 - INDEX([2]Sheet1!$B$4:$B$23,MATCH(K41,[2]Sheet1!$B$4:$B$23,1),1))/(INDEX([2]Sheet1!$B$4:$B$23,MATCH(K41,[2]Sheet1!$B$4:$B$23,1)+1,1) - INDEX([2]Sheet1!$B$4:$B$23,MATCH(K41,[2]Sheet1!$B$4:$B$23,1),1))*(INDEX([2]Sheet1!$C$4:$Q$23,MATCH(K41,[2]Sheet1!$B$4:$B$23,1)+1,MATCH(D41,[2]Sheet1!$C$3:$Q$3,1)) - INDEX([2]Sheet1!$C$4:$Q$23,MATCH(K41,[2]Sheet1!$B$4:$B$23,1),MATCH(D41,[2]Sheet1!$C$3:$Q$3,1)))
+ (D41 - INDEX([2]Sheet1!$C$3:$Q$3,1,MATCH(D41,[2]Sheet1!$C$3:$Q$3)))/(INDEX([2]Sheet1!$C$3:$Q$3,1,MATCH(D41,[2]Sheet1!$C$3:$Q$3)+1) - INDEX([2]Sheet1!$C$3:$Q$3,1,MATCH(D41,[2]Sheet1!$C$3:$Q$3)))*(
INDEX([2]Sheet1!$C$4:$Q$23,MATCH(K41,[2]Sheet1!$B$4:$B$23,1),MATCH(D41,[2]Sheet1!$C$3:$Q$3,1)+1) - INDEX([2]Sheet1!$C$4:$Q$23,MATCH(K41,[2]Sheet1!$B$4:$B$23,1),MATCH(D41,[2]Sheet1!$C$3:$Q$3,1)))))</f>
        <v>1.1552241963835908</v>
      </c>
      <c r="N41">
        <f t="shared" si="24"/>
        <v>12</v>
      </c>
      <c r="O41">
        <v>8.9693114630061022E-2</v>
      </c>
      <c r="P41">
        <f t="shared" si="27"/>
        <v>1.439581943243978</v>
      </c>
      <c r="Q41">
        <f t="shared" si="14"/>
        <v>360.25185102686612</v>
      </c>
      <c r="R41">
        <f t="shared" si="25"/>
        <v>261.57547639905789</v>
      </c>
      <c r="T41">
        <f t="shared" si="15"/>
        <v>4.5521964178053089</v>
      </c>
      <c r="U41">
        <f t="shared" si="16"/>
        <v>-3.7305509744160693E-4</v>
      </c>
      <c r="V41">
        <f t="shared" si="17"/>
        <v>2.2510234829614513</v>
      </c>
      <c r="W41">
        <f t="shared" si="26"/>
        <v>6.8816502357297633E-5</v>
      </c>
    </row>
    <row r="42" spans="1:23" x14ac:dyDescent="0.55000000000000004">
      <c r="A42">
        <f t="shared" si="1"/>
        <v>0.79999999999999993</v>
      </c>
      <c r="B42">
        <f t="shared" si="18"/>
        <v>0.11989606918420261</v>
      </c>
      <c r="C42">
        <f t="shared" si="19"/>
        <v>4.4782608695652177</v>
      </c>
      <c r="D42">
        <v>2.2297129980306596</v>
      </c>
      <c r="E42">
        <f t="shared" si="2"/>
        <v>0.15293913458525896</v>
      </c>
      <c r="F42">
        <f t="shared" si="20"/>
        <v>1.7616003416328366E-2</v>
      </c>
      <c r="G42">
        <f t="shared" si="21"/>
        <v>36.700120851141129</v>
      </c>
      <c r="H42">
        <f t="shared" si="22"/>
        <v>144.5751855303877</v>
      </c>
      <c r="I42" s="1">
        <f t="shared" si="4"/>
        <v>1.064256753247135</v>
      </c>
      <c r="J42">
        <f t="shared" si="23"/>
        <v>2.2577799121953727E-2</v>
      </c>
      <c r="K42">
        <f t="shared" si="6"/>
        <v>6.7738725886947595</v>
      </c>
      <c r="L42" cm="1">
        <f t="array" ref="L42">IF(E42*J42=0,0,$C$21*INDEX([3]Sheet1!$C$4:$Q$23,MATCH(K42,[3]Sheet1!$B$4:$B$23,1),MATCH(D42,[3]Sheet1!$C$3:$Q$3,1))
+(K42-INDEX([3]Sheet1!$B$4:$B$23,MATCH(K42,[3]Sheet1!$B$4:$B$23,1),1))/(INDEX([3]Sheet1!$B$4:$B$23,MATCH(K42,[3]Sheet1!$B$4:$B$23,1)+1,1)-INDEX([3]Sheet1!$B$4:$B$23,
MATCH(K42,[3]Sheet1!$B$4:$B$23,1),1))*(INDEX([3]Sheet1!$C$4:$Q$23,MATCH(K42,[3]Sheet1!$B$4:$B$23,1)+1,MATCH(D42,[3]Sheet1!$C$3:$Q$3,1))-INDEX([3]Sheet1!$C$4:$Q$23,
MATCH(K42,[3]Sheet1!$B$4:$B$23,1),MATCH(D42,[3]Sheet1!$C$3:$Q$3,1)))
+(D42-INDEX([3]Sheet1!$C$3:$Q$3,1,MATCH(D42,[3]Sheet1!$C$3:$Q$3)))/(INDEX([3]Sheet1!$C$3:$Q$3,1,MATCH(D42,[3]Sheet1!$C$3:$Q$3)+1)-INDEX([3]Sheet1!$C$3:$Q$3,1,MATCH(
D42,[3]Sheet1!$C$3:$Q$3)))*(INDEX([3]Sheet1!$C$4:$Q$23,MATCH(K42,[3]Sheet1!$B$4:$B$23,1),MATCH(D42,[3]Sheet1!$C$3:$Q$3,1)+1)-INDEX([3]Sheet1!$C$4:$Q$23,MATCH(K42,[3]Sheet1!$B$4:$B$23,1),MATCH(D42,[3]Sheet1!$C$3:$Q$3,1))))</f>
        <v>1436.7527836232696</v>
      </c>
      <c r="M42" cm="1">
        <f t="array" ref="M42" xml:space="preserve"> IF(E42*J42=0,0,(INDEX([2]Sheet1!$C$4:$Q$23,MATCH(K42,[2]Sheet1!$B$4:$B$23,1),MATCH(D42,[2]Sheet1!$C$3:$Q$3,1))
+ (K42 - INDEX([2]Sheet1!$B$4:$B$23,MATCH(K42,[2]Sheet1!$B$4:$B$23,1),1))/(INDEX([2]Sheet1!$B$4:$B$23,MATCH(K42,[2]Sheet1!$B$4:$B$23,1)+1,1) - INDEX([2]Sheet1!$B$4:$B$23,MATCH(K42,[2]Sheet1!$B$4:$B$23,1),1))*(INDEX([2]Sheet1!$C$4:$Q$23,MATCH(K42,[2]Sheet1!$B$4:$B$23,1)+1,MATCH(D42,[2]Sheet1!$C$3:$Q$3,1)) - INDEX([2]Sheet1!$C$4:$Q$23,MATCH(K42,[2]Sheet1!$B$4:$B$23,1),MATCH(D42,[2]Sheet1!$C$3:$Q$3,1)))
+ (D42 - INDEX([2]Sheet1!$C$3:$Q$3,1,MATCH(D42,[2]Sheet1!$C$3:$Q$3)))/(INDEX([2]Sheet1!$C$3:$Q$3,1,MATCH(D42,[2]Sheet1!$C$3:$Q$3)+1) - INDEX([2]Sheet1!$C$3:$Q$3,1,MATCH(D42,[2]Sheet1!$C$3:$Q$3)))*(
INDEX([2]Sheet1!$C$4:$Q$23,MATCH(K42,[2]Sheet1!$B$4:$B$23,1),MATCH(D42,[2]Sheet1!$C$3:$Q$3,1)+1) - INDEX([2]Sheet1!$C$4:$Q$23,MATCH(K42,[2]Sheet1!$B$4:$B$23,1),MATCH(D42,[2]Sheet1!$C$3:$Q$3,1)))))</f>
        <v>1.1552364285437586</v>
      </c>
      <c r="N42">
        <f t="shared" si="24"/>
        <v>12</v>
      </c>
      <c r="O42">
        <v>8.884124893879107E-2</v>
      </c>
      <c r="P42">
        <f t="shared" si="27"/>
        <v>1.4376189835618527</v>
      </c>
      <c r="Q42">
        <f t="shared" si="14"/>
        <v>356.35451882021516</v>
      </c>
      <c r="R42">
        <f t="shared" si="25"/>
        <v>297.40579489141192</v>
      </c>
      <c r="T42">
        <f t="shared" si="15"/>
        <v>4.552212398768793</v>
      </c>
      <c r="U42">
        <f t="shared" si="16"/>
        <v>-2.1995907557120393E-5</v>
      </c>
      <c r="V42">
        <f t="shared" si="17"/>
        <v>2.2297116187293247</v>
      </c>
      <c r="W42">
        <f t="shared" si="26"/>
        <v>6.1860077479933135E-5</v>
      </c>
    </row>
    <row r="43" spans="1:23" x14ac:dyDescent="0.55000000000000004">
      <c r="A43">
        <f t="shared" ref="A43:A99" si="28">A42+$C$29</f>
        <v>0.89999999999999991</v>
      </c>
      <c r="B43">
        <f t="shared" si="18"/>
        <v>0.1352642793134278</v>
      </c>
      <c r="C43">
        <f t="shared" si="19"/>
        <v>4.4130434782608692</v>
      </c>
      <c r="D43">
        <v>2.2082799748420809</v>
      </c>
      <c r="E43">
        <f t="shared" si="2"/>
        <v>0.15144277708501055</v>
      </c>
      <c r="F43">
        <f t="shared" si="20"/>
        <v>1.9883405162955423E-2</v>
      </c>
      <c r="G43">
        <f t="shared" si="21"/>
        <v>36.913260382299562</v>
      </c>
      <c r="H43">
        <f t="shared" si="22"/>
        <v>141.51219625022961</v>
      </c>
      <c r="I43" s="1">
        <f t="shared" si="4"/>
        <v>1.0490966260741035</v>
      </c>
      <c r="J43">
        <f t="shared" si="23"/>
        <v>2.2385437786834522E-2</v>
      </c>
      <c r="K43">
        <f t="shared" si="6"/>
        <v>6.765236334760365</v>
      </c>
      <c r="L43" cm="1">
        <f t="array" ref="L43">IF(E43*J43=0,0,$C$21*INDEX([3]Sheet1!$C$4:$Q$23,MATCH(K43,[3]Sheet1!$B$4:$B$23,1),MATCH(D43,[3]Sheet1!$C$3:$Q$3,1))
+(K43-INDEX([3]Sheet1!$B$4:$B$23,MATCH(K43,[3]Sheet1!$B$4:$B$23,1),1))/(INDEX([3]Sheet1!$B$4:$B$23,MATCH(K43,[3]Sheet1!$B$4:$B$23,1)+1,1)-INDEX([3]Sheet1!$B$4:$B$23,
MATCH(K43,[3]Sheet1!$B$4:$B$23,1),1))*(INDEX([3]Sheet1!$C$4:$Q$23,MATCH(K43,[3]Sheet1!$B$4:$B$23,1)+1,MATCH(D43,[3]Sheet1!$C$3:$Q$3,1))-INDEX([3]Sheet1!$C$4:$Q$23,
MATCH(K43,[3]Sheet1!$B$4:$B$23,1),MATCH(D43,[3]Sheet1!$C$3:$Q$3,1)))
+(D43-INDEX([3]Sheet1!$C$3:$Q$3,1,MATCH(D43,[3]Sheet1!$C$3:$Q$3)))/(INDEX([3]Sheet1!$C$3:$Q$3,1,MATCH(D43,[3]Sheet1!$C$3:$Q$3)+1)-INDEX([3]Sheet1!$C$3:$Q$3,1,MATCH(
D43,[3]Sheet1!$C$3:$Q$3)))*(INDEX([3]Sheet1!$C$4:$Q$23,MATCH(K43,[3]Sheet1!$B$4:$B$23,1),MATCH(D43,[3]Sheet1!$C$3:$Q$3,1)+1)-INDEX([3]Sheet1!$C$4:$Q$23,MATCH(K43,[3]Sheet1!$B$4:$B$23,1),MATCH(D43,[3]Sheet1!$C$3:$Q$3,1))))</f>
        <v>1436.7679003063217</v>
      </c>
      <c r="M43" cm="1">
        <f t="array" ref="M43" xml:space="preserve"> IF(E43*J43=0,0,(INDEX([2]Sheet1!$C$4:$Q$23,MATCH(K43,[2]Sheet1!$B$4:$B$23,1),MATCH(D43,[2]Sheet1!$C$3:$Q$3,1))
+ (K43 - INDEX([2]Sheet1!$B$4:$B$23,MATCH(K43,[2]Sheet1!$B$4:$B$23,1),1))/(INDEX([2]Sheet1!$B$4:$B$23,MATCH(K43,[2]Sheet1!$B$4:$B$23,1)+1,1) - INDEX([2]Sheet1!$B$4:$B$23,MATCH(K43,[2]Sheet1!$B$4:$B$23,1),1))*(INDEX([2]Sheet1!$C$4:$Q$23,MATCH(K43,[2]Sheet1!$B$4:$B$23,1)+1,MATCH(D43,[2]Sheet1!$C$3:$Q$3,1)) - INDEX([2]Sheet1!$C$4:$Q$23,MATCH(K43,[2]Sheet1!$B$4:$B$23,1),MATCH(D43,[2]Sheet1!$C$3:$Q$3,1)))
+ (D43 - INDEX([2]Sheet1!$C$3:$Q$3,1,MATCH(D43,[2]Sheet1!$C$3:$Q$3)))/(INDEX([2]Sheet1!$C$3:$Q$3,1,MATCH(D43,[2]Sheet1!$C$3:$Q$3)+1) - INDEX([2]Sheet1!$C$3:$Q$3,1,MATCH(D43,[2]Sheet1!$C$3:$Q$3)))*(
INDEX([2]Sheet1!$C$4:$Q$23,MATCH(K43,[2]Sheet1!$B$4:$B$23,1),MATCH(D43,[2]Sheet1!$C$3:$Q$3,1)+1) - INDEX([2]Sheet1!$C$4:$Q$23,MATCH(K43,[2]Sheet1!$B$4:$B$23,1),MATCH(D43,[2]Sheet1!$C$3:$Q$3,1)))))</f>
        <v>1.1552565693675243</v>
      </c>
      <c r="N43">
        <f t="shared" si="24"/>
        <v>12</v>
      </c>
      <c r="O43">
        <v>8.7983560262979918E-2</v>
      </c>
      <c r="P43">
        <f t="shared" si="27"/>
        <v>1.4356039284710962</v>
      </c>
      <c r="Q43">
        <f t="shared" si="14"/>
        <v>352.43438879644407</v>
      </c>
      <c r="R43">
        <f t="shared" si="25"/>
        <v>332.84524027224484</v>
      </c>
      <c r="T43">
        <f t="shared" si="15"/>
        <v>4.5522133463404115</v>
      </c>
      <c r="U43">
        <f t="shared" si="16"/>
        <v>-1.1802837006197764E-6</v>
      </c>
      <c r="V43">
        <f t="shared" si="17"/>
        <v>2.2082819027231926</v>
      </c>
      <c r="W43">
        <f t="shared" si="26"/>
        <v>-8.7302309966103618E-5</v>
      </c>
    </row>
    <row r="44" spans="1:23" x14ac:dyDescent="0.55000000000000004">
      <c r="A44">
        <f t="shared" si="28"/>
        <v>0.99999999999999989</v>
      </c>
      <c r="B44">
        <f t="shared" si="18"/>
        <v>0.15048337489694127</v>
      </c>
      <c r="C44">
        <f t="shared" si="19"/>
        <v>4.3478260869565215</v>
      </c>
      <c r="D44">
        <v>2.18683758554408</v>
      </c>
      <c r="E44">
        <f t="shared" si="2"/>
        <v>0.1499318111846886</v>
      </c>
      <c r="F44">
        <f t="shared" si="20"/>
        <v>2.2131567008394835E-2</v>
      </c>
      <c r="G44">
        <f t="shared" si="21"/>
        <v>37.123383166523254</v>
      </c>
      <c r="H44">
        <f t="shared" si="22"/>
        <v>138.5188285614619</v>
      </c>
      <c r="I44" s="1">
        <f t="shared" si="4"/>
        <v>1.0341761058706571</v>
      </c>
      <c r="J44">
        <f t="shared" si="23"/>
        <v>2.2192679590424876E-2</v>
      </c>
      <c r="K44">
        <f t="shared" si="6"/>
        <v>6.755912938488839</v>
      </c>
      <c r="L44" cm="1">
        <f t="array" ref="L44">IF(E44*J44=0,0,$C$21*INDEX([3]Sheet1!$C$4:$Q$23,MATCH(K44,[3]Sheet1!$B$4:$B$23,1),MATCH(D44,[3]Sheet1!$C$3:$Q$3,1))
+(K44-INDEX([3]Sheet1!$B$4:$B$23,MATCH(K44,[3]Sheet1!$B$4:$B$23,1),1))/(INDEX([3]Sheet1!$B$4:$B$23,MATCH(K44,[3]Sheet1!$B$4:$B$23,1)+1,1)-INDEX([3]Sheet1!$B$4:$B$23,
MATCH(K44,[3]Sheet1!$B$4:$B$23,1),1))*(INDEX([3]Sheet1!$C$4:$Q$23,MATCH(K44,[3]Sheet1!$B$4:$B$23,1)+1,MATCH(D44,[3]Sheet1!$C$3:$Q$3,1))-INDEX([3]Sheet1!$C$4:$Q$23,
MATCH(K44,[3]Sheet1!$B$4:$B$23,1),MATCH(D44,[3]Sheet1!$C$3:$Q$3,1)))
+(D44-INDEX([3]Sheet1!$C$3:$Q$3,1,MATCH(D44,[3]Sheet1!$C$3:$Q$3)))/(INDEX([3]Sheet1!$C$3:$Q$3,1,MATCH(D44,[3]Sheet1!$C$3:$Q$3)+1)-INDEX([3]Sheet1!$C$3:$Q$3,1,MATCH(
D44,[3]Sheet1!$C$3:$Q$3)))*(INDEX([3]Sheet1!$C$4:$Q$23,MATCH(K44,[3]Sheet1!$B$4:$B$23,1),MATCH(D44,[3]Sheet1!$C$3:$Q$3,1)+1)-INDEX([3]Sheet1!$C$4:$Q$23,MATCH(K44,[3]Sheet1!$B$4:$B$23,1),MATCH(D44,[3]Sheet1!$C$3:$Q$3,1))))</f>
        <v>1436.8982024656107</v>
      </c>
      <c r="M44" cm="1">
        <f t="array" ref="M44" xml:space="preserve"> IF(E44*J44=0,0,(INDEX([2]Sheet1!$C$4:$Q$23,MATCH(K44,[2]Sheet1!$B$4:$B$23,1),MATCH(D44,[2]Sheet1!$C$3:$Q$3,1))
+ (K44 - INDEX([2]Sheet1!$B$4:$B$23,MATCH(K44,[2]Sheet1!$B$4:$B$23,1),1))/(INDEX([2]Sheet1!$B$4:$B$23,MATCH(K44,[2]Sheet1!$B$4:$B$23,1)+1,1) - INDEX([2]Sheet1!$B$4:$B$23,MATCH(K44,[2]Sheet1!$B$4:$B$23,1),1))*(INDEX([2]Sheet1!$C$4:$Q$23,MATCH(K44,[2]Sheet1!$B$4:$B$23,1)+1,MATCH(D44,[2]Sheet1!$C$3:$Q$3,1)) - INDEX([2]Sheet1!$C$4:$Q$23,MATCH(K44,[2]Sheet1!$B$4:$B$23,1),MATCH(D44,[2]Sheet1!$C$3:$Q$3,1)))
+ (D44 - INDEX([2]Sheet1!$C$3:$Q$3,1,MATCH(D44,[2]Sheet1!$C$3:$Q$3)))/(INDEX([2]Sheet1!$C$3:$Q$3,1,MATCH(D44,[2]Sheet1!$C$3:$Q$3)+1) - INDEX([2]Sheet1!$C$3:$Q$3,1,MATCH(D44,[2]Sheet1!$C$3:$Q$3)))*(
INDEX([2]Sheet1!$C$4:$Q$23,MATCH(K44,[2]Sheet1!$B$4:$B$23,1),MATCH(D44,[2]Sheet1!$C$3:$Q$3,1)+1) - INDEX([2]Sheet1!$C$4:$Q$23,MATCH(K44,[2]Sheet1!$B$4:$B$23,1),MATCH(D44,[2]Sheet1!$C$3:$Q$3,1)))))</f>
        <v>1.1553561371396679</v>
      </c>
      <c r="N44">
        <f t="shared" si="24"/>
        <v>12</v>
      </c>
      <c r="O44">
        <v>8.7111230750777771E-2</v>
      </c>
      <c r="P44">
        <f t="shared" si="27"/>
        <v>1.4335199911012952</v>
      </c>
      <c r="Q44">
        <f t="shared" si="14"/>
        <v>348.50562259770669</v>
      </c>
      <c r="R44">
        <f t="shared" si="25"/>
        <v>367.89224084195234</v>
      </c>
      <c r="T44">
        <f t="shared" si="15"/>
        <v>4.552212978796895</v>
      </c>
      <c r="U44">
        <f t="shared" si="16"/>
        <v>-9.2542355172258777E-6</v>
      </c>
      <c r="V44">
        <f t="shared" si="17"/>
        <v>2.1868364116424504</v>
      </c>
      <c r="W44">
        <f t="shared" si="26"/>
        <v>5.3680358687603498E-5</v>
      </c>
    </row>
    <row r="45" spans="1:23" x14ac:dyDescent="0.55000000000000004">
      <c r="A45">
        <f t="shared" si="28"/>
        <v>1.0999999999999999</v>
      </c>
      <c r="B45">
        <f t="shared" si="18"/>
        <v>0.16555210431042622</v>
      </c>
      <c r="C45">
        <f t="shared" si="19"/>
        <v>4.2826086956521738</v>
      </c>
      <c r="D45">
        <v>2.1651361356114238</v>
      </c>
      <c r="E45">
        <f t="shared" si="2"/>
        <v>0.1484145415419407</v>
      </c>
      <c r="F45">
        <f t="shared" si="20"/>
        <v>2.4360472877257802E-2</v>
      </c>
      <c r="G45">
        <f t="shared" si="21"/>
        <v>37.330538655119554</v>
      </c>
      <c r="H45">
        <f t="shared" si="22"/>
        <v>135.59949133286057</v>
      </c>
      <c r="I45" s="1">
        <f t="shared" si="4"/>
        <v>1.0195217542930644</v>
      </c>
      <c r="J45">
        <f t="shared" si="23"/>
        <v>2.2000292216802522E-2</v>
      </c>
      <c r="K45">
        <f t="shared" si="6"/>
        <v>6.7460259199916655</v>
      </c>
      <c r="L45" cm="1">
        <f t="array" ref="L45">IF(E45*J45=0,0,$C$21*INDEX([3]Sheet1!$C$4:$Q$23,MATCH(K45,[3]Sheet1!$B$4:$B$23,1),MATCH(D45,[3]Sheet1!$C$3:$Q$3,1))
+(K45-INDEX([3]Sheet1!$B$4:$B$23,MATCH(K45,[3]Sheet1!$B$4:$B$23,1),1))/(INDEX([3]Sheet1!$B$4:$B$23,MATCH(K45,[3]Sheet1!$B$4:$B$23,1)+1,1)-INDEX([3]Sheet1!$B$4:$B$23,
MATCH(K45,[3]Sheet1!$B$4:$B$23,1),1))*(INDEX([3]Sheet1!$C$4:$Q$23,MATCH(K45,[3]Sheet1!$B$4:$B$23,1)+1,MATCH(D45,[3]Sheet1!$C$3:$Q$3,1))-INDEX([3]Sheet1!$C$4:$Q$23,
MATCH(K45,[3]Sheet1!$B$4:$B$23,1),MATCH(D45,[3]Sheet1!$C$3:$Q$3,1)))
+(D45-INDEX([3]Sheet1!$C$3:$Q$3,1,MATCH(D45,[3]Sheet1!$C$3:$Q$3)))/(INDEX([3]Sheet1!$C$3:$Q$3,1,MATCH(D45,[3]Sheet1!$C$3:$Q$3)+1)-INDEX([3]Sheet1!$C$3:$Q$3,1,MATCH(
D45,[3]Sheet1!$C$3:$Q$3)))*(INDEX([3]Sheet1!$C$4:$Q$23,MATCH(K45,[3]Sheet1!$B$4:$B$23,1),MATCH(D45,[3]Sheet1!$C$3:$Q$3,1)+1)-INDEX([3]Sheet1!$C$4:$Q$23,MATCH(K45,[3]Sheet1!$B$4:$B$23,1),MATCH(D45,[3]Sheet1!$C$3:$Q$3,1))))</f>
        <v>1436.911380529604</v>
      </c>
      <c r="M45" cm="1">
        <f t="array" ref="M45" xml:space="preserve"> IF(E45*J45=0,0,(INDEX([2]Sheet1!$C$4:$Q$23,MATCH(K45,[2]Sheet1!$B$4:$B$23,1),MATCH(D45,[2]Sheet1!$C$3:$Q$3,1))
+ (K45 - INDEX([2]Sheet1!$B$4:$B$23,MATCH(K45,[2]Sheet1!$B$4:$B$23,1),1))/(INDEX([2]Sheet1!$B$4:$B$23,MATCH(K45,[2]Sheet1!$B$4:$B$23,1)+1,1) - INDEX([2]Sheet1!$B$4:$B$23,MATCH(K45,[2]Sheet1!$B$4:$B$23,1),1))*(INDEX([2]Sheet1!$C$4:$Q$23,MATCH(K45,[2]Sheet1!$B$4:$B$23,1)+1,MATCH(D45,[2]Sheet1!$C$3:$Q$3,1)) - INDEX([2]Sheet1!$C$4:$Q$23,MATCH(K45,[2]Sheet1!$B$4:$B$23,1),MATCH(D45,[2]Sheet1!$C$3:$Q$3,1)))
+ (D45 - INDEX([2]Sheet1!$C$3:$Q$3,1,MATCH(D45,[2]Sheet1!$C$3:$Q$3)))/(INDEX([2]Sheet1!$C$3:$Q$3,1,MATCH(D45,[2]Sheet1!$C$3:$Q$3)+1) - INDEX([2]Sheet1!$C$3:$Q$3,1,MATCH(D45,[2]Sheet1!$C$3:$Q$3)))*(
INDEX([2]Sheet1!$C$4:$Q$23,MATCH(K45,[2]Sheet1!$B$4:$B$23,1),MATCH(D45,[2]Sheet1!$C$3:$Q$3,1)+1) - INDEX([2]Sheet1!$C$4:$Q$23,MATCH(K45,[2]Sheet1!$B$4:$B$23,1),MATCH(D45,[2]Sheet1!$C$3:$Q$3,1)))))</f>
        <v>1.155378138534167</v>
      </c>
      <c r="N45">
        <f t="shared" si="24"/>
        <v>12</v>
      </c>
      <c r="O45">
        <v>8.6242855956755737E-2</v>
      </c>
      <c r="P45">
        <f t="shared" si="27"/>
        <v>1.4313979599199469</v>
      </c>
      <c r="Q45">
        <f t="shared" si="14"/>
        <v>344.53639725363746</v>
      </c>
      <c r="R45">
        <f t="shared" si="25"/>
        <v>402.54434183451951</v>
      </c>
      <c r="T45">
        <f t="shared" si="15"/>
        <v>4.552211816276464</v>
      </c>
      <c r="U45">
        <f t="shared" si="16"/>
        <v>-3.4791712099779452E-5</v>
      </c>
      <c r="V45">
        <f t="shared" si="17"/>
        <v>2.1651351280128632</v>
      </c>
      <c r="W45">
        <f t="shared" si="26"/>
        <v>4.6537444594142255E-5</v>
      </c>
    </row>
    <row r="46" spans="1:23" x14ac:dyDescent="0.55000000000000004">
      <c r="A46">
        <f t="shared" si="28"/>
        <v>1.2</v>
      </c>
      <c r="B46">
        <f t="shared" si="18"/>
        <v>0.18046942194675769</v>
      </c>
      <c r="C46">
        <f t="shared" si="19"/>
        <v>4.2173913043478262</v>
      </c>
      <c r="D46">
        <v>2.1433050200476993</v>
      </c>
      <c r="E46">
        <f t="shared" si="2"/>
        <v>0.14688619103142986</v>
      </c>
      <c r="F46">
        <f t="shared" si="20"/>
        <v>2.6570121467619175E-2</v>
      </c>
      <c r="G46">
        <f t="shared" si="21"/>
        <v>37.534775857876511</v>
      </c>
      <c r="H46">
        <f t="shared" si="22"/>
        <v>132.74660847574557</v>
      </c>
      <c r="I46" s="1">
        <f t="shared" si="4"/>
        <v>1.0051000567492008</v>
      </c>
      <c r="J46">
        <f t="shared" si="23"/>
        <v>2.1807747998875717E-2</v>
      </c>
      <c r="K46">
        <f t="shared" si="6"/>
        <v>6.7355047866016458</v>
      </c>
      <c r="L46" cm="1">
        <f t="array" ref="L46">IF(E46*J46=0,0,$C$21*INDEX([3]Sheet1!$C$4:$Q$23,MATCH(K46,[3]Sheet1!$B$4:$B$23,1),MATCH(D46,[3]Sheet1!$C$3:$Q$3,1))
+(K46-INDEX([3]Sheet1!$B$4:$B$23,MATCH(K46,[3]Sheet1!$B$4:$B$23,1),1))/(INDEX([3]Sheet1!$B$4:$B$23,MATCH(K46,[3]Sheet1!$B$4:$B$23,1)+1,1)-INDEX([3]Sheet1!$B$4:$B$23,
MATCH(K46,[3]Sheet1!$B$4:$B$23,1),1))*(INDEX([3]Sheet1!$C$4:$Q$23,MATCH(K46,[3]Sheet1!$B$4:$B$23,1)+1,MATCH(D46,[3]Sheet1!$C$3:$Q$3,1))-INDEX([3]Sheet1!$C$4:$Q$23,
MATCH(K46,[3]Sheet1!$B$4:$B$23,1),MATCH(D46,[3]Sheet1!$C$3:$Q$3,1)))
+(D46-INDEX([3]Sheet1!$C$3:$Q$3,1,MATCH(D46,[3]Sheet1!$C$3:$Q$3)))/(INDEX([3]Sheet1!$C$3:$Q$3,1,MATCH(D46,[3]Sheet1!$C$3:$Q$3)+1)-INDEX([3]Sheet1!$C$3:$Q$3,1,MATCH(
D46,[3]Sheet1!$C$3:$Q$3)))*(INDEX([3]Sheet1!$C$4:$Q$23,MATCH(K46,[3]Sheet1!$B$4:$B$23,1),MATCH(D46,[3]Sheet1!$C$3:$Q$3,1)+1)-INDEX([3]Sheet1!$C$4:$Q$23,MATCH(K46,[3]Sheet1!$B$4:$B$23,1),MATCH(D46,[3]Sheet1!$C$3:$Q$3,1))))</f>
        <v>1436.9336079593243</v>
      </c>
      <c r="M46" cm="1">
        <f t="array" ref="M46" xml:space="preserve"> IF(E46*J46=0,0,(INDEX([2]Sheet1!$C$4:$Q$23,MATCH(K46,[2]Sheet1!$B$4:$B$23,1),MATCH(D46,[2]Sheet1!$C$3:$Q$3,1))
+ (K46 - INDEX([2]Sheet1!$B$4:$B$23,MATCH(K46,[2]Sheet1!$B$4:$B$23,1),1))/(INDEX([2]Sheet1!$B$4:$B$23,MATCH(K46,[2]Sheet1!$B$4:$B$23,1)+1,1) - INDEX([2]Sheet1!$B$4:$B$23,MATCH(K46,[2]Sheet1!$B$4:$B$23,1),1))*(INDEX([2]Sheet1!$C$4:$Q$23,MATCH(K46,[2]Sheet1!$B$4:$B$23,1)+1,MATCH(D46,[2]Sheet1!$C$3:$Q$3,1)) - INDEX([2]Sheet1!$C$4:$Q$23,MATCH(K46,[2]Sheet1!$B$4:$B$23,1),MATCH(D46,[2]Sheet1!$C$3:$Q$3,1)))
+ (D46 - INDEX([2]Sheet1!$C$3:$Q$3,1,MATCH(D46,[2]Sheet1!$C$3:$Q$3)))/(INDEX([2]Sheet1!$C$3:$Q$3,1,MATCH(D46,[2]Sheet1!$C$3:$Q$3)+1) - INDEX([2]Sheet1!$C$3:$Q$3,1,MATCH(D46,[2]Sheet1!$C$3:$Q$3)))*(
INDEX([2]Sheet1!$C$4:$Q$23,MATCH(K46,[2]Sheet1!$B$4:$B$23,1),MATCH(D46,[2]Sheet1!$C$3:$Q$3,1)+1) - INDEX([2]Sheet1!$C$4:$Q$23,MATCH(K46,[2]Sheet1!$B$4:$B$23,1),MATCH(D46,[2]Sheet1!$C$3:$Q$3,1)))))</f>
        <v>1.1554078619170969</v>
      </c>
      <c r="N46">
        <f t="shared" si="24"/>
        <v>12</v>
      </c>
      <c r="O46">
        <v>8.5368066143843957E-2</v>
      </c>
      <c r="P46">
        <f t="shared" si="27"/>
        <v>1.4292173191629578</v>
      </c>
      <c r="Q46">
        <f t="shared" si="14"/>
        <v>340.54284293164108</v>
      </c>
      <c r="R46">
        <f t="shared" si="25"/>
        <v>436.79830384378346</v>
      </c>
      <c r="T46">
        <f t="shared" si="15"/>
        <v>4.5522090571380298</v>
      </c>
      <c r="U46">
        <f t="shared" si="16"/>
        <v>-9.5402632363969367E-5</v>
      </c>
      <c r="V46">
        <f t="shared" si="17"/>
        <v>2.1433041664278023</v>
      </c>
      <c r="W46">
        <f t="shared" si="26"/>
        <v>3.9827286782755797E-5</v>
      </c>
    </row>
    <row r="47" spans="1:23" x14ac:dyDescent="0.55000000000000004">
      <c r="A47">
        <f t="shared" si="28"/>
        <v>1.3</v>
      </c>
      <c r="B47">
        <f t="shared" si="18"/>
        <v>0.19523445857542623</v>
      </c>
      <c r="C47">
        <f t="shared" si="19"/>
        <v>4.1521739130434785</v>
      </c>
      <c r="D47">
        <v>2.1213402801999566</v>
      </c>
      <c r="E47">
        <f t="shared" si="2"/>
        <v>0.1453465517603123</v>
      </c>
      <c r="F47">
        <f t="shared" si="20"/>
        <v>2.8760523478403088E-2</v>
      </c>
      <c r="G47">
        <f t="shared" si="21"/>
        <v>37.736143139193068</v>
      </c>
      <c r="H47">
        <f t="shared" si="22"/>
        <v>129.95704580618761</v>
      </c>
      <c r="I47" s="1">
        <f t="shared" si="4"/>
        <v>0.99089921181706297</v>
      </c>
      <c r="J47">
        <f t="shared" si="23"/>
        <v>2.161497259578532E-2</v>
      </c>
      <c r="K47">
        <f t="shared" si="6"/>
        <v>6.7243458725759968</v>
      </c>
      <c r="L47" cm="1">
        <f t="array" ref="L47">IF(E47*J47=0,0,$C$21*INDEX([3]Sheet1!$C$4:$Q$23,MATCH(K47,[3]Sheet1!$B$4:$B$23,1),MATCH(D47,[3]Sheet1!$C$3:$Q$3,1))
+(K47-INDEX([3]Sheet1!$B$4:$B$23,MATCH(K47,[3]Sheet1!$B$4:$B$23,1),1))/(INDEX([3]Sheet1!$B$4:$B$23,MATCH(K47,[3]Sheet1!$B$4:$B$23,1)+1,1)-INDEX([3]Sheet1!$B$4:$B$23,
MATCH(K47,[3]Sheet1!$B$4:$B$23,1),1))*(INDEX([3]Sheet1!$C$4:$Q$23,MATCH(K47,[3]Sheet1!$B$4:$B$23,1)+1,MATCH(D47,[3]Sheet1!$C$3:$Q$3,1))-INDEX([3]Sheet1!$C$4:$Q$23,
MATCH(K47,[3]Sheet1!$B$4:$B$23,1),MATCH(D47,[3]Sheet1!$C$3:$Q$3,1)))
+(D47-INDEX([3]Sheet1!$C$3:$Q$3,1,MATCH(D47,[3]Sheet1!$C$3:$Q$3)))/(INDEX([3]Sheet1!$C$3:$Q$3,1,MATCH(D47,[3]Sheet1!$C$3:$Q$3)+1)-INDEX([3]Sheet1!$C$3:$Q$3,1,MATCH(
D47,[3]Sheet1!$C$3:$Q$3)))*(INDEX([3]Sheet1!$C$4:$Q$23,MATCH(K47,[3]Sheet1!$B$4:$B$23,1),MATCH(D47,[3]Sheet1!$C$3:$Q$3,1)+1)-INDEX([3]Sheet1!$C$4:$Q$23,MATCH(K47,[3]Sheet1!$B$4:$B$23,1),MATCH(D47,[3]Sheet1!$C$3:$Q$3,1))))</f>
        <v>1436.9649162091141</v>
      </c>
      <c r="M47" cm="1">
        <f t="array" ref="M47" xml:space="preserve"> IF(E47*J47=0,0,(INDEX([2]Sheet1!$C$4:$Q$23,MATCH(K47,[2]Sheet1!$B$4:$B$23,1),MATCH(D47,[2]Sheet1!$C$3:$Q$3,1))
+ (K47 - INDEX([2]Sheet1!$B$4:$B$23,MATCH(K47,[2]Sheet1!$B$4:$B$23,1),1))/(INDEX([2]Sheet1!$B$4:$B$23,MATCH(K47,[2]Sheet1!$B$4:$B$23,1)+1,1) - INDEX([2]Sheet1!$B$4:$B$23,MATCH(K47,[2]Sheet1!$B$4:$B$23,1),1))*(INDEX([2]Sheet1!$C$4:$Q$23,MATCH(K47,[2]Sheet1!$B$4:$B$23,1)+1,MATCH(D47,[2]Sheet1!$C$3:$Q$3,1)) - INDEX([2]Sheet1!$C$4:$Q$23,MATCH(K47,[2]Sheet1!$B$4:$B$23,1),MATCH(D47,[2]Sheet1!$C$3:$Q$3,1)))
+ (D47 - INDEX([2]Sheet1!$C$3:$Q$3,1,MATCH(D47,[2]Sheet1!$C$3:$Q$3)))/(INDEX([2]Sheet1!$C$3:$Q$3,1,MATCH(D47,[2]Sheet1!$C$3:$Q$3)+1) - INDEX([2]Sheet1!$C$3:$Q$3,1,MATCH(D47,[2]Sheet1!$C$3:$Q$3)))*(
INDEX([2]Sheet1!$C$4:$Q$23,MATCH(K47,[2]Sheet1!$B$4:$B$23,1),MATCH(D47,[2]Sheet1!$C$3:$Q$3,1)+1) - INDEX([2]Sheet1!$C$4:$Q$23,MATCH(K47,[2]Sheet1!$B$4:$B$23,1),MATCH(D47,[2]Sheet1!$C$3:$Q$3,1)))))</f>
        <v>1.1554453358829966</v>
      </c>
      <c r="N47">
        <f t="shared" si="24"/>
        <v>12</v>
      </c>
      <c r="O47">
        <v>8.4486771347964909E-2</v>
      </c>
      <c r="P47">
        <f t="shared" si="27"/>
        <v>1.4269755318091315</v>
      </c>
      <c r="Q47">
        <f t="shared" si="14"/>
        <v>336.52425436654505</v>
      </c>
      <c r="R47">
        <f t="shared" si="25"/>
        <v>470.65165870869282</v>
      </c>
      <c r="T47">
        <f t="shared" si="15"/>
        <v>4.5522034670030642</v>
      </c>
      <c r="U47">
        <f t="shared" si="16"/>
        <v>-2.182030038383985E-4</v>
      </c>
      <c r="V47">
        <f t="shared" si="17"/>
        <v>2.1213395676726057</v>
      </c>
      <c r="W47">
        <f t="shared" si="26"/>
        <v>3.358855704938993E-5</v>
      </c>
    </row>
    <row r="48" spans="1:23" x14ac:dyDescent="0.55000000000000004">
      <c r="A48">
        <f t="shared" si="28"/>
        <v>1.4000000000000001</v>
      </c>
      <c r="B48">
        <f t="shared" si="18"/>
        <v>0.20984609571501336</v>
      </c>
      <c r="C48">
        <f t="shared" si="19"/>
        <v>4.0869565217391308</v>
      </c>
      <c r="D48">
        <v>2.0992378378744512</v>
      </c>
      <c r="E48">
        <f t="shared" si="2"/>
        <v>0.14379540862953391</v>
      </c>
      <c r="F48">
        <f t="shared" si="20"/>
        <v>3.0931659508136141E-2</v>
      </c>
      <c r="G48">
        <f t="shared" si="21"/>
        <v>37.93468443244732</v>
      </c>
      <c r="H48">
        <f t="shared" si="22"/>
        <v>127.22784954855086</v>
      </c>
      <c r="I48" s="1">
        <f t="shared" si="4"/>
        <v>0.97690799002232875</v>
      </c>
      <c r="J48">
        <f t="shared" si="23"/>
        <v>2.1421892372934369E-2</v>
      </c>
      <c r="K48">
        <f t="shared" si="6"/>
        <v>6.7125446308008332</v>
      </c>
      <c r="L48" cm="1">
        <f t="array" ref="L48">IF(E48*J48=0,0,$C$21*INDEX([3]Sheet1!$C$4:$Q$23,MATCH(K48,[3]Sheet1!$B$4:$B$23,1),MATCH(D48,[3]Sheet1!$C$3:$Q$3,1))
+(K48-INDEX([3]Sheet1!$B$4:$B$23,MATCH(K48,[3]Sheet1!$B$4:$B$23,1),1))/(INDEX([3]Sheet1!$B$4:$B$23,MATCH(K48,[3]Sheet1!$B$4:$B$23,1)+1,1)-INDEX([3]Sheet1!$B$4:$B$23,
MATCH(K48,[3]Sheet1!$B$4:$B$23,1),1))*(INDEX([3]Sheet1!$C$4:$Q$23,MATCH(K48,[3]Sheet1!$B$4:$B$23,1)+1,MATCH(D48,[3]Sheet1!$C$3:$Q$3,1))-INDEX([3]Sheet1!$C$4:$Q$23,
MATCH(K48,[3]Sheet1!$B$4:$B$23,1),MATCH(D48,[3]Sheet1!$C$3:$Q$3,1)))
+(D48-INDEX([3]Sheet1!$C$3:$Q$3,1,MATCH(D48,[3]Sheet1!$C$3:$Q$3)))/(INDEX([3]Sheet1!$C$3:$Q$3,1,MATCH(D48,[3]Sheet1!$C$3:$Q$3)+1)-INDEX([3]Sheet1!$C$3:$Q$3,1,MATCH(
D48,[3]Sheet1!$C$3:$Q$3)))*(INDEX([3]Sheet1!$C$4:$Q$23,MATCH(K48,[3]Sheet1!$B$4:$B$23,1),MATCH(D48,[3]Sheet1!$C$3:$Q$3,1)+1)-INDEX([3]Sheet1!$C$4:$Q$23,MATCH(K48,[3]Sheet1!$B$4:$B$23,1),MATCH(D48,[3]Sheet1!$C$3:$Q$3,1))))</f>
        <v>1437.0053497056908</v>
      </c>
      <c r="M48" cm="1">
        <f t="array" ref="M48" xml:space="preserve"> IF(E48*J48=0,0,(INDEX([2]Sheet1!$C$4:$Q$23,MATCH(K48,[2]Sheet1!$B$4:$B$23,1),MATCH(D48,[2]Sheet1!$C$3:$Q$3,1))
+ (K48 - INDEX([2]Sheet1!$B$4:$B$23,MATCH(K48,[2]Sheet1!$B$4:$B$23,1),1))/(INDEX([2]Sheet1!$B$4:$B$23,MATCH(K48,[2]Sheet1!$B$4:$B$23,1)+1,1) - INDEX([2]Sheet1!$B$4:$B$23,MATCH(K48,[2]Sheet1!$B$4:$B$23,1),1))*(INDEX([2]Sheet1!$C$4:$Q$23,MATCH(K48,[2]Sheet1!$B$4:$B$23,1)+1,MATCH(D48,[2]Sheet1!$C$3:$Q$3,1)) - INDEX([2]Sheet1!$C$4:$Q$23,MATCH(K48,[2]Sheet1!$B$4:$B$23,1),MATCH(D48,[2]Sheet1!$C$3:$Q$3,1)))
+ (D48 - INDEX([2]Sheet1!$C$3:$Q$3,1,MATCH(D48,[2]Sheet1!$C$3:$Q$3)))/(INDEX([2]Sheet1!$C$3:$Q$3,1,MATCH(D48,[2]Sheet1!$C$3:$Q$3)+1) - INDEX([2]Sheet1!$C$3:$Q$3,1,MATCH(D48,[2]Sheet1!$C$3:$Q$3)))*(
INDEX([2]Sheet1!$C$4:$Q$23,MATCH(K48,[2]Sheet1!$B$4:$B$23,1),MATCH(D48,[2]Sheet1!$C$3:$Q$3,1)+1) - INDEX([2]Sheet1!$C$4:$Q$23,MATCH(K48,[2]Sheet1!$B$4:$B$23,1),MATCH(D48,[2]Sheet1!$C$3:$Q$3,1)))))</f>
        <v>1.1554906000628011</v>
      </c>
      <c r="N48">
        <f t="shared" si="24"/>
        <v>12</v>
      </c>
      <c r="O48">
        <v>8.3598889069065985E-2</v>
      </c>
      <c r="P48">
        <f t="shared" si="27"/>
        <v>1.4246699001589396</v>
      </c>
      <c r="Q48">
        <f t="shared" si="14"/>
        <v>332.47990391140405</v>
      </c>
      <c r="R48">
        <f t="shared" si="25"/>
        <v>504.10186662259031</v>
      </c>
      <c r="T48">
        <f t="shared" si="15"/>
        <v>4.5521932209243632</v>
      </c>
      <c r="U48">
        <f t="shared" si="16"/>
        <v>-4.4328205441368382E-4</v>
      </c>
      <c r="V48">
        <f t="shared" si="17"/>
        <v>2.0992373011574288</v>
      </c>
      <c r="W48">
        <f t="shared" si="26"/>
        <v>2.5567239210422583E-5</v>
      </c>
    </row>
    <row r="49" spans="1:23" x14ac:dyDescent="0.55000000000000004">
      <c r="A49">
        <f t="shared" si="28"/>
        <v>1.5000000000000002</v>
      </c>
      <c r="B49">
        <f t="shared" si="18"/>
        <v>0.22430319373450569</v>
      </c>
      <c r="C49">
        <f t="shared" si="19"/>
        <v>4.0217391304347823</v>
      </c>
      <c r="D49">
        <v>2.0769936216641796</v>
      </c>
      <c r="E49">
        <f t="shared" si="2"/>
        <v>0.14223253415180159</v>
      </c>
      <c r="F49">
        <f t="shared" si="20"/>
        <v>3.3083502756572125E-2</v>
      </c>
      <c r="G49">
        <f t="shared" si="21"/>
        <v>38.130441449743223</v>
      </c>
      <c r="H49">
        <f t="shared" si="22"/>
        <v>124.55621428592701</v>
      </c>
      <c r="I49" s="1">
        <f t="shared" si="4"/>
        <v>0.9631155938582493</v>
      </c>
      <c r="J49">
        <f t="shared" si="23"/>
        <v>2.1228433301354002E-2</v>
      </c>
      <c r="K49">
        <f t="shared" si="6"/>
        <v>6.7000956751118155</v>
      </c>
      <c r="L49" cm="1">
        <f t="array" ref="L49">IF(E49*J49=0,0,$C$21*INDEX([3]Sheet1!$C$4:$Q$23,MATCH(K49,[3]Sheet1!$B$4:$B$23,1),MATCH(D49,[3]Sheet1!$C$3:$Q$3,1))
+(K49-INDEX([3]Sheet1!$B$4:$B$23,MATCH(K49,[3]Sheet1!$B$4:$B$23,1),1))/(INDEX([3]Sheet1!$B$4:$B$23,MATCH(K49,[3]Sheet1!$B$4:$B$23,1)+1,1)-INDEX([3]Sheet1!$B$4:$B$23,
MATCH(K49,[3]Sheet1!$B$4:$B$23,1),1))*(INDEX([3]Sheet1!$C$4:$Q$23,MATCH(K49,[3]Sheet1!$B$4:$B$23,1)+1,MATCH(D49,[3]Sheet1!$C$3:$Q$3,1))-INDEX([3]Sheet1!$C$4:$Q$23,
MATCH(K49,[3]Sheet1!$B$4:$B$23,1),MATCH(D49,[3]Sheet1!$C$3:$Q$3,1)))
+(D49-INDEX([3]Sheet1!$C$3:$Q$3,1,MATCH(D49,[3]Sheet1!$C$3:$Q$3)))/(INDEX([3]Sheet1!$C$3:$Q$3,1,MATCH(D49,[3]Sheet1!$C$3:$Q$3)+1)-INDEX([3]Sheet1!$C$3:$Q$3,1,MATCH(
D49,[3]Sheet1!$C$3:$Q$3)))*(INDEX([3]Sheet1!$C$4:$Q$23,MATCH(K49,[3]Sheet1!$B$4:$B$23,1),MATCH(D49,[3]Sheet1!$C$3:$Q$3,1)+1)-INDEX([3]Sheet1!$C$4:$Q$23,MATCH(K49,[3]Sheet1!$B$4:$B$23,1),MATCH(D49,[3]Sheet1!$C$3:$Q$3,1))))</f>
        <v>1437.0549660090728</v>
      </c>
      <c r="M49" cm="1">
        <f t="array" ref="M49" xml:space="preserve"> IF(E49*J49=0,0,(INDEX([2]Sheet1!$C$4:$Q$23,MATCH(K49,[2]Sheet1!$B$4:$B$23,1),MATCH(D49,[2]Sheet1!$C$3:$Q$3,1))
+ (K49 - INDEX([2]Sheet1!$B$4:$B$23,MATCH(K49,[2]Sheet1!$B$4:$B$23,1),1))/(INDEX([2]Sheet1!$B$4:$B$23,MATCH(K49,[2]Sheet1!$B$4:$B$23,1)+1,1) - INDEX([2]Sheet1!$B$4:$B$23,MATCH(K49,[2]Sheet1!$B$4:$B$23,1),1))*(INDEX([2]Sheet1!$C$4:$Q$23,MATCH(K49,[2]Sheet1!$B$4:$B$23,1)+1,MATCH(D49,[2]Sheet1!$C$3:$Q$3,1)) - INDEX([2]Sheet1!$C$4:$Q$23,MATCH(K49,[2]Sheet1!$B$4:$B$23,1),MATCH(D49,[2]Sheet1!$C$3:$Q$3,1)))
+ (D49 - INDEX([2]Sheet1!$C$3:$Q$3,1,MATCH(D49,[2]Sheet1!$C$3:$Q$3)))/(INDEX([2]Sheet1!$C$3:$Q$3,1,MATCH(D49,[2]Sheet1!$C$3:$Q$3)+1) - INDEX([2]Sheet1!$C$3:$Q$3,1,MATCH(D49,[2]Sheet1!$C$3:$Q$3)))*(
INDEX([2]Sheet1!$C$4:$Q$23,MATCH(K49,[2]Sheet1!$B$4:$B$23,1),MATCH(D49,[2]Sheet1!$C$3:$Q$3,1)+1) - INDEX([2]Sheet1!$C$4:$Q$23,MATCH(K49,[2]Sheet1!$B$4:$B$23,1),MATCH(D49,[2]Sheet1!$C$3:$Q$3,1)))))</f>
        <v>1.1555437051968449</v>
      </c>
      <c r="N49">
        <f t="shared" si="24"/>
        <v>12</v>
      </c>
      <c r="O49">
        <v>8.2704353526914604E-2</v>
      </c>
      <c r="P49">
        <f t="shared" si="27"/>
        <v>1.4222975674582066</v>
      </c>
      <c r="Q49">
        <f t="shared" si="14"/>
        <v>328.4090646884535</v>
      </c>
      <c r="R49">
        <f t="shared" si="25"/>
        <v>537.14631505258319</v>
      </c>
      <c r="T49">
        <f t="shared" si="15"/>
        <v>4.5521757029563661</v>
      </c>
      <c r="U49">
        <f t="shared" si="16"/>
        <v>-8.2810513842873862E-4</v>
      </c>
      <c r="V49">
        <f t="shared" si="17"/>
        <v>2.0769931840391487</v>
      </c>
      <c r="W49">
        <f t="shared" si="26"/>
        <v>2.1070123592275384E-5</v>
      </c>
    </row>
    <row r="50" spans="1:23" x14ac:dyDescent="0.55000000000000004">
      <c r="A50">
        <f t="shared" si="28"/>
        <v>1.6000000000000003</v>
      </c>
      <c r="B50">
        <f t="shared" si="18"/>
        <v>0.23860459087357247</v>
      </c>
      <c r="C50">
        <f t="shared" si="19"/>
        <v>3.9565217391304346</v>
      </c>
      <c r="D50">
        <v>2.0546033322476611</v>
      </c>
      <c r="E50">
        <f t="shared" si="2"/>
        <v>0.14065769625926203</v>
      </c>
      <c r="F50">
        <f t="shared" si="20"/>
        <v>3.5216019040286546E-2</v>
      </c>
      <c r="G50">
        <f t="shared" si="21"/>
        <v>38.323453771400771</v>
      </c>
      <c r="H50">
        <f t="shared" si="22"/>
        <v>121.93947918178212</v>
      </c>
      <c r="I50" s="1">
        <f t="shared" si="4"/>
        <v>0.94951165855551478</v>
      </c>
      <c r="J50">
        <f t="shared" si="23"/>
        <v>2.1034521586026977E-2</v>
      </c>
      <c r="K50">
        <f t="shared" si="6"/>
        <v>6.6869928885237648</v>
      </c>
      <c r="L50" cm="1">
        <f t="array" ref="L50">IF(E50*J50=0,0,$C$21*INDEX([3]Sheet1!$C$4:$Q$23,MATCH(K50,[3]Sheet1!$B$4:$B$23,1),MATCH(D50,[3]Sheet1!$C$3:$Q$3,1))
+(K50-INDEX([3]Sheet1!$B$4:$B$23,MATCH(K50,[3]Sheet1!$B$4:$B$23,1),1))/(INDEX([3]Sheet1!$B$4:$B$23,MATCH(K50,[3]Sheet1!$B$4:$B$23,1)+1,1)-INDEX([3]Sheet1!$B$4:$B$23,
MATCH(K50,[3]Sheet1!$B$4:$B$23,1),1))*(INDEX([3]Sheet1!$C$4:$Q$23,MATCH(K50,[3]Sheet1!$B$4:$B$23,1)+1,MATCH(D50,[3]Sheet1!$C$3:$Q$3,1))-INDEX([3]Sheet1!$C$4:$Q$23,
MATCH(K50,[3]Sheet1!$B$4:$B$23,1),MATCH(D50,[3]Sheet1!$C$3:$Q$3,1)))
+(D50-INDEX([3]Sheet1!$C$3:$Q$3,1,MATCH(D50,[3]Sheet1!$C$3:$Q$3)))/(INDEX([3]Sheet1!$C$3:$Q$3,1,MATCH(D50,[3]Sheet1!$C$3:$Q$3)+1)-INDEX([3]Sheet1!$C$3:$Q$3,1,MATCH(
D50,[3]Sheet1!$C$3:$Q$3)))*(INDEX([3]Sheet1!$C$4:$Q$23,MATCH(K50,[3]Sheet1!$B$4:$B$23,1),MATCH(D50,[3]Sheet1!$C$3:$Q$3,1)+1)-INDEX([3]Sheet1!$C$4:$Q$23,MATCH(K50,[3]Sheet1!$B$4:$B$23,1),MATCH(D50,[3]Sheet1!$C$3:$Q$3,1))))</f>
        <v>1437.113832598639</v>
      </c>
      <c r="M50" cm="1">
        <f t="array" ref="M50" xml:space="preserve"> IF(E50*J50=0,0,(INDEX([2]Sheet1!$C$4:$Q$23,MATCH(K50,[2]Sheet1!$B$4:$B$23,1),MATCH(D50,[2]Sheet1!$C$3:$Q$3,1))
+ (K50 - INDEX([2]Sheet1!$B$4:$B$23,MATCH(K50,[2]Sheet1!$B$4:$B$23,1),1))/(INDEX([2]Sheet1!$B$4:$B$23,MATCH(K50,[2]Sheet1!$B$4:$B$23,1)+1,1) - INDEX([2]Sheet1!$B$4:$B$23,MATCH(K50,[2]Sheet1!$B$4:$B$23,1),1))*(INDEX([2]Sheet1!$C$4:$Q$23,MATCH(K50,[2]Sheet1!$B$4:$B$23,1)+1,MATCH(D50,[2]Sheet1!$C$3:$Q$3,1)) - INDEX([2]Sheet1!$C$4:$Q$23,MATCH(K50,[2]Sheet1!$B$4:$B$23,1),MATCH(D50,[2]Sheet1!$C$3:$Q$3,1)))
+ (D50 - INDEX([2]Sheet1!$C$3:$Q$3,1,MATCH(D50,[2]Sheet1!$C$3:$Q$3)))/(INDEX([2]Sheet1!$C$3:$Q$3,1,MATCH(D50,[2]Sheet1!$C$3:$Q$3)+1) - INDEX([2]Sheet1!$C$3:$Q$3,1,MATCH(D50,[2]Sheet1!$C$3:$Q$3)))*(
INDEX([2]Sheet1!$C$4:$Q$23,MATCH(K50,[2]Sheet1!$B$4:$B$23,1),MATCH(D50,[2]Sheet1!$C$3:$Q$3,1)+1) - INDEX([2]Sheet1!$C$4:$Q$23,MATCH(K50,[2]Sheet1!$B$4:$B$23,1),MATCH(D50,[2]Sheet1!$C$3:$Q$3,1)))))</f>
        <v>1.1556047105327247</v>
      </c>
      <c r="N50">
        <f t="shared" si="24"/>
        <v>12</v>
      </c>
      <c r="O50">
        <v>8.1801506940052629E-2</v>
      </c>
      <c r="P50">
        <f t="shared" si="27"/>
        <v>1.4198554816918758</v>
      </c>
      <c r="Q50">
        <f t="shared" si="14"/>
        <v>324.31096795751978</v>
      </c>
      <c r="R50">
        <f t="shared" si="25"/>
        <v>569.78231668488183</v>
      </c>
      <c r="T50">
        <f t="shared" si="15"/>
        <v>4.5522134783796746</v>
      </c>
      <c r="U50">
        <f t="shared" si="16"/>
        <v>1.7202671188298333E-6</v>
      </c>
      <c r="V50">
        <f t="shared" si="17"/>
        <v>2.0546029824810157</v>
      </c>
      <c r="W50">
        <f t="shared" si="26"/>
        <v>1.7023563598747065E-5</v>
      </c>
    </row>
    <row r="51" spans="1:23" x14ac:dyDescent="0.55000000000000004">
      <c r="A51">
        <f t="shared" si="28"/>
        <v>1.7000000000000004</v>
      </c>
      <c r="B51">
        <f t="shared" si="18"/>
        <v>0.25274910239412568</v>
      </c>
      <c r="C51">
        <f t="shared" si="19"/>
        <v>3.8913043478260865</v>
      </c>
      <c r="D51">
        <v>2.0320625980283649</v>
      </c>
      <c r="E51">
        <f t="shared" si="2"/>
        <v>0.13907065202749619</v>
      </c>
      <c r="F51">
        <f t="shared" si="20"/>
        <v>3.7329166784655594E-2</v>
      </c>
      <c r="G51">
        <f t="shared" si="21"/>
        <v>38.513758927833734</v>
      </c>
      <c r="H51">
        <f t="shared" si="22"/>
        <v>119.37511257263684</v>
      </c>
      <c r="I51" s="1">
        <f t="shared" si="4"/>
        <v>0.93608619109752689</v>
      </c>
      <c r="J51">
        <f t="shared" si="23"/>
        <v>2.0840082892357826E-2</v>
      </c>
      <c r="K51">
        <f t="shared" si="6"/>
        <v>6.6732293122737127</v>
      </c>
      <c r="L51" cm="1">
        <f t="array" ref="L51">IF(E51*J51=0,0,$C$21*INDEX([3]Sheet1!$C$4:$Q$23,MATCH(K51,[3]Sheet1!$B$4:$B$23,1),MATCH(D51,[3]Sheet1!$C$3:$Q$3,1))
+(K51-INDEX([3]Sheet1!$B$4:$B$23,MATCH(K51,[3]Sheet1!$B$4:$B$23,1),1))/(INDEX([3]Sheet1!$B$4:$B$23,MATCH(K51,[3]Sheet1!$B$4:$B$23,1)+1,1)-INDEX([3]Sheet1!$B$4:$B$23,
MATCH(K51,[3]Sheet1!$B$4:$B$23,1),1))*(INDEX([3]Sheet1!$C$4:$Q$23,MATCH(K51,[3]Sheet1!$B$4:$B$23,1)+1,MATCH(D51,[3]Sheet1!$C$3:$Q$3,1))-INDEX([3]Sheet1!$C$4:$Q$23,
MATCH(K51,[3]Sheet1!$B$4:$B$23,1),MATCH(D51,[3]Sheet1!$C$3:$Q$3,1)))
+(D51-INDEX([3]Sheet1!$C$3:$Q$3,1,MATCH(D51,[3]Sheet1!$C$3:$Q$3)))/(INDEX([3]Sheet1!$C$3:$Q$3,1,MATCH(D51,[3]Sheet1!$C$3:$Q$3)+1)-INDEX([3]Sheet1!$C$3:$Q$3,1,MATCH(
D51,[3]Sheet1!$C$3:$Q$3)))*(INDEX([3]Sheet1!$C$4:$Q$23,MATCH(K51,[3]Sheet1!$B$4:$B$23,1),MATCH(D51,[3]Sheet1!$C$3:$Q$3,1)+1)-INDEX([3]Sheet1!$C$4:$Q$23,MATCH(K51,[3]Sheet1!$B$4:$B$23,1),MATCH(D51,[3]Sheet1!$C$3:$Q$3,1))))</f>
        <v>1437.1820296157143</v>
      </c>
      <c r="M51" cm="1">
        <f t="array" ref="M51" xml:space="preserve"> IF(E51*J51=0,0,(INDEX([2]Sheet1!$C$4:$Q$23,MATCH(K51,[2]Sheet1!$B$4:$B$23,1),MATCH(D51,[2]Sheet1!$C$3:$Q$3,1))
+ (K51 - INDEX([2]Sheet1!$B$4:$B$23,MATCH(K51,[2]Sheet1!$B$4:$B$23,1),1))/(INDEX([2]Sheet1!$B$4:$B$23,MATCH(K51,[2]Sheet1!$B$4:$B$23,1)+1,1) - INDEX([2]Sheet1!$B$4:$B$23,MATCH(K51,[2]Sheet1!$B$4:$B$23,1),1))*(INDEX([2]Sheet1!$C$4:$Q$23,MATCH(K51,[2]Sheet1!$B$4:$B$23,1)+1,MATCH(D51,[2]Sheet1!$C$3:$Q$3,1)) - INDEX([2]Sheet1!$C$4:$Q$23,MATCH(K51,[2]Sheet1!$B$4:$B$23,1),MATCH(D51,[2]Sheet1!$C$3:$Q$3,1)))
+ (D51 - INDEX([2]Sheet1!$C$3:$Q$3,1,MATCH(D51,[2]Sheet1!$C$3:$Q$3)))/(INDEX([2]Sheet1!$C$3:$Q$3,1,MATCH(D51,[2]Sheet1!$C$3:$Q$3)+1) - INDEX([2]Sheet1!$C$3:$Q$3,1,MATCH(D51,[2]Sheet1!$C$3:$Q$3)))*(
INDEX([2]Sheet1!$C$4:$Q$23,MATCH(K51,[2]Sheet1!$B$4:$B$23,1),MATCH(D51,[2]Sheet1!$C$3:$Q$3,1)+1) - INDEX([2]Sheet1!$C$4:$Q$23,MATCH(K51,[2]Sheet1!$B$4:$B$23,1),MATCH(D51,[2]Sheet1!$C$3:$Q$3,1)))))</f>
        <v>1.1556736860681287</v>
      </c>
      <c r="N51">
        <f t="shared" si="24"/>
        <v>12</v>
      </c>
      <c r="O51">
        <v>8.0892482665903487E-2</v>
      </c>
      <c r="P51">
        <f t="shared" si="27"/>
        <v>1.4173403968488543</v>
      </c>
      <c r="Q51">
        <f t="shared" si="14"/>
        <v>320.18483145542268</v>
      </c>
      <c r="R51">
        <f t="shared" si="25"/>
        <v>602.00710665552901</v>
      </c>
      <c r="T51">
        <f t="shared" si="15"/>
        <v>4.5522135806637696</v>
      </c>
      <c r="U51">
        <f t="shared" si="16"/>
        <v>3.9671761712489006E-6</v>
      </c>
      <c r="V51">
        <f t="shared" si="17"/>
        <v>2.0320623248463172</v>
      </c>
      <c r="W51">
        <f t="shared" si="26"/>
        <v>1.3443586070642393E-5</v>
      </c>
    </row>
    <row r="52" spans="1:23" x14ac:dyDescent="0.55000000000000004">
      <c r="A52">
        <f t="shared" si="28"/>
        <v>1.8000000000000005</v>
      </c>
      <c r="B52">
        <f t="shared" si="18"/>
        <v>0.26673551980846361</v>
      </c>
      <c r="C52">
        <f t="shared" si="19"/>
        <v>3.8260869565217388</v>
      </c>
      <c r="D52">
        <v>2.0093669220886636</v>
      </c>
      <c r="E52">
        <f t="shared" si="2"/>
        <v>0.13747114884701686</v>
      </c>
      <c r="F52">
        <f t="shared" si="20"/>
        <v>3.9422897008574834E-2</v>
      </c>
      <c r="G52">
        <f t="shared" si="21"/>
        <v>38.701392475744662</v>
      </c>
      <c r="H52">
        <f t="shared" si="22"/>
        <v>116.86070400199438</v>
      </c>
      <c r="I52" s="1">
        <f t="shared" si="4"/>
        <v>0.92282954537613937</v>
      </c>
      <c r="J52">
        <f t="shared" si="23"/>
        <v>2.0645042316365856E-2</v>
      </c>
      <c r="K52">
        <f t="shared" si="6"/>
        <v>6.6587971456004205</v>
      </c>
      <c r="L52" cm="1">
        <f t="array" ref="L52">IF(E52*J52=0,0,$C$21*INDEX([3]Sheet1!$C$4:$Q$23,MATCH(K52,[3]Sheet1!$B$4:$B$23,1),MATCH(D52,[3]Sheet1!$C$3:$Q$3,1))
+(K52-INDEX([3]Sheet1!$B$4:$B$23,MATCH(K52,[3]Sheet1!$B$4:$B$23,1),1))/(INDEX([3]Sheet1!$B$4:$B$23,MATCH(K52,[3]Sheet1!$B$4:$B$23,1)+1,1)-INDEX([3]Sheet1!$B$4:$B$23,
MATCH(K52,[3]Sheet1!$B$4:$B$23,1),1))*(INDEX([3]Sheet1!$C$4:$Q$23,MATCH(K52,[3]Sheet1!$B$4:$B$23,1)+1,MATCH(D52,[3]Sheet1!$C$3:$Q$3,1))-INDEX([3]Sheet1!$C$4:$Q$23,
MATCH(K52,[3]Sheet1!$B$4:$B$23,1),MATCH(D52,[3]Sheet1!$C$3:$Q$3,1)))
+(D52-INDEX([3]Sheet1!$C$3:$Q$3,1,MATCH(D52,[3]Sheet1!$C$3:$Q$3)))/(INDEX([3]Sheet1!$C$3:$Q$3,1,MATCH(D52,[3]Sheet1!$C$3:$Q$3)+1)-INDEX([3]Sheet1!$C$3:$Q$3,1,MATCH(
D52,[3]Sheet1!$C$3:$Q$3)))*(INDEX([3]Sheet1!$C$4:$Q$23,MATCH(K52,[3]Sheet1!$B$4:$B$23,1),MATCH(D52,[3]Sheet1!$C$3:$Q$3,1)+1)-INDEX([3]Sheet1!$C$4:$Q$23,MATCH(K52,[3]Sheet1!$B$4:$B$23,1),MATCH(D52,[3]Sheet1!$C$3:$Q$3,1))))</f>
        <v>1437.2596495222097</v>
      </c>
      <c r="M52" cm="1">
        <f t="array" ref="M52" xml:space="preserve"> IF(E52*J52=0,0,(INDEX([2]Sheet1!$C$4:$Q$23,MATCH(K52,[2]Sheet1!$B$4:$B$23,1),MATCH(D52,[2]Sheet1!$C$3:$Q$3,1))
+ (K52 - INDEX([2]Sheet1!$B$4:$B$23,MATCH(K52,[2]Sheet1!$B$4:$B$23,1),1))/(INDEX([2]Sheet1!$B$4:$B$23,MATCH(K52,[2]Sheet1!$B$4:$B$23,1)+1,1) - INDEX([2]Sheet1!$B$4:$B$23,MATCH(K52,[2]Sheet1!$B$4:$B$23,1),1))*(INDEX([2]Sheet1!$C$4:$Q$23,MATCH(K52,[2]Sheet1!$B$4:$B$23,1)+1,MATCH(D52,[2]Sheet1!$C$3:$Q$3,1)) - INDEX([2]Sheet1!$C$4:$Q$23,MATCH(K52,[2]Sheet1!$B$4:$B$23,1),MATCH(D52,[2]Sheet1!$C$3:$Q$3,1)))
+ (D52 - INDEX([2]Sheet1!$C$3:$Q$3,1,MATCH(D52,[2]Sheet1!$C$3:$Q$3)))/(INDEX([2]Sheet1!$C$3:$Q$3,1,MATCH(D52,[2]Sheet1!$C$3:$Q$3)+1) - INDEX([2]Sheet1!$C$3:$Q$3,1,MATCH(D52,[2]Sheet1!$C$3:$Q$3)))*(
INDEX([2]Sheet1!$C$4:$Q$23,MATCH(K52,[2]Sheet1!$B$4:$B$23,1),MATCH(D52,[2]Sheet1!$C$3:$Q$3,1)+1) - INDEX([2]Sheet1!$C$4:$Q$23,MATCH(K52,[2]Sheet1!$B$4:$B$23,1),MATCH(D52,[2]Sheet1!$C$3:$Q$3,1)))))</f>
        <v>1.1557507122885178</v>
      </c>
      <c r="N52">
        <f t="shared" si="24"/>
        <v>12</v>
      </c>
      <c r="O52">
        <v>7.9976210478246171E-2</v>
      </c>
      <c r="P52">
        <f t="shared" si="27"/>
        <v>1.4147488519810931</v>
      </c>
      <c r="Q52">
        <f t="shared" si="14"/>
        <v>316.02984977016968</v>
      </c>
      <c r="R52">
        <f t="shared" si="25"/>
        <v>633.81784071680863</v>
      </c>
      <c r="T52">
        <f t="shared" si="15"/>
        <v>4.5522137907316882</v>
      </c>
      <c r="U52">
        <f t="shared" si="16"/>
        <v>8.581808662169897E-6</v>
      </c>
      <c r="V52">
        <f t="shared" si="17"/>
        <v>2.0093667143602265</v>
      </c>
      <c r="W52">
        <f t="shared" si="26"/>
        <v>1.0338005284634589E-5</v>
      </c>
    </row>
    <row r="53" spans="1:23" x14ac:dyDescent="0.55000000000000004">
      <c r="A53">
        <f t="shared" si="28"/>
        <v>1.9000000000000006</v>
      </c>
      <c r="B53">
        <f t="shared" si="18"/>
        <v>0.28056260985218928</v>
      </c>
      <c r="C53">
        <f t="shared" si="19"/>
        <v>3.7608695652173907</v>
      </c>
      <c r="D53">
        <v>1.9866193296436874</v>
      </c>
      <c r="E53">
        <f t="shared" si="2"/>
        <v>0.13585480239391645</v>
      </c>
      <c r="F53">
        <f t="shared" si="20"/>
        <v>4.1497153269011017E-2</v>
      </c>
      <c r="G53">
        <f t="shared" si="21"/>
        <v>38.886388066086944</v>
      </c>
      <c r="H53">
        <f t="shared" si="22"/>
        <v>114.39048515847188</v>
      </c>
      <c r="I53" s="1">
        <f t="shared" si="4"/>
        <v>0.90971390072343727</v>
      </c>
      <c r="J53">
        <f t="shared" si="23"/>
        <v>2.0448908540680419E-2</v>
      </c>
      <c r="K53">
        <f t="shared" si="6"/>
        <v>6.6436212047039653</v>
      </c>
      <c r="L53" cm="1">
        <f t="array" ref="L53">IF(E53*J53=0,0,$C$21*INDEX([3]Sheet1!$C$4:$Q$23,MATCH(K53,[3]Sheet1!$B$4:$B$23,1),MATCH(D53,[3]Sheet1!$C$3:$Q$3,1))
+(K53-INDEX([3]Sheet1!$B$4:$B$23,MATCH(K53,[3]Sheet1!$B$4:$B$23,1),1))/(INDEX([3]Sheet1!$B$4:$B$23,MATCH(K53,[3]Sheet1!$B$4:$B$23,1)+1,1)-INDEX([3]Sheet1!$B$4:$B$23,
MATCH(K53,[3]Sheet1!$B$4:$B$23,1),1))*(INDEX([3]Sheet1!$C$4:$Q$23,MATCH(K53,[3]Sheet1!$B$4:$B$23,1)+1,MATCH(D53,[3]Sheet1!$C$3:$Q$3,1))-INDEX([3]Sheet1!$C$4:$Q$23,
MATCH(K53,[3]Sheet1!$B$4:$B$23,1),MATCH(D53,[3]Sheet1!$C$3:$Q$3,1)))
+(D53-INDEX([3]Sheet1!$C$3:$Q$3,1,MATCH(D53,[3]Sheet1!$C$3:$Q$3)))/(INDEX([3]Sheet1!$C$3:$Q$3,1,MATCH(D53,[3]Sheet1!$C$3:$Q$3)+1)-INDEX([3]Sheet1!$C$3:$Q$3,1,MATCH(
D53,[3]Sheet1!$C$3:$Q$3)))*(INDEX([3]Sheet1!$C$4:$Q$23,MATCH(K53,[3]Sheet1!$B$4:$B$23,1),MATCH(D53,[3]Sheet1!$C$3:$Q$3,1)+1)-INDEX([3]Sheet1!$C$4:$Q$23,MATCH(K53,[3]Sheet1!$B$4:$B$23,1),MATCH(D53,[3]Sheet1!$C$3:$Q$3,1))))</f>
        <v>1437.4663960322423</v>
      </c>
      <c r="M53" cm="1">
        <f t="array" ref="M53" xml:space="preserve"> IF(E53*J53=0,0,(INDEX([2]Sheet1!$C$4:$Q$23,MATCH(K53,[2]Sheet1!$B$4:$B$23,1),MATCH(D53,[2]Sheet1!$C$3:$Q$3,1))
+ (K53 - INDEX([2]Sheet1!$B$4:$B$23,MATCH(K53,[2]Sheet1!$B$4:$B$23,1),1))/(INDEX([2]Sheet1!$B$4:$B$23,MATCH(K53,[2]Sheet1!$B$4:$B$23,1)+1,1) - INDEX([2]Sheet1!$B$4:$B$23,MATCH(K53,[2]Sheet1!$B$4:$B$23,1),1))*(INDEX([2]Sheet1!$C$4:$Q$23,MATCH(K53,[2]Sheet1!$B$4:$B$23,1)+1,MATCH(D53,[2]Sheet1!$C$3:$Q$3,1)) - INDEX([2]Sheet1!$C$4:$Q$23,MATCH(K53,[2]Sheet1!$B$4:$B$23,1),MATCH(D53,[2]Sheet1!$C$3:$Q$3,1)))
+ (D53 - INDEX([2]Sheet1!$C$3:$Q$3,1,MATCH(D53,[2]Sheet1!$C$3:$Q$3)))/(INDEX([2]Sheet1!$C$3:$Q$3,1,MATCH(D53,[2]Sheet1!$C$3:$Q$3)+1) - INDEX([2]Sheet1!$C$3:$Q$3,1,MATCH(D53,[2]Sheet1!$C$3:$Q$3)))*(
INDEX([2]Sheet1!$C$4:$Q$23,MATCH(K53,[2]Sheet1!$B$4:$B$23,1),MATCH(D53,[2]Sheet1!$C$3:$Q$3,1)+1) - INDEX([2]Sheet1!$C$4:$Q$23,MATCH(K53,[2]Sheet1!$B$4:$B$23,1),MATCH(D53,[2]Sheet1!$C$3:$Q$3,1)))))</f>
        <v>1.1558880548928294</v>
      </c>
      <c r="N53">
        <f t="shared" si="24"/>
        <v>12</v>
      </c>
      <c r="O53">
        <v>7.9048255473162549E-2</v>
      </c>
      <c r="P53">
        <f t="shared" si="27"/>
        <v>1.4120709561182978</v>
      </c>
      <c r="Q53">
        <f t="shared" si="14"/>
        <v>311.86072418597627</v>
      </c>
      <c r="R53">
        <f t="shared" si="25"/>
        <v>665.21236941461598</v>
      </c>
      <c r="T53">
        <f t="shared" si="15"/>
        <v>4.5522142046240024</v>
      </c>
      <c r="U53">
        <f t="shared" si="16"/>
        <v>1.7673920077533281E-5</v>
      </c>
      <c r="V53">
        <f t="shared" si="17"/>
        <v>1.9866191452896467</v>
      </c>
      <c r="W53">
        <f t="shared" si="26"/>
        <v>9.2797877810118196E-6</v>
      </c>
    </row>
    <row r="54" spans="1:23" x14ac:dyDescent="0.55000000000000004">
      <c r="A54">
        <f t="shared" si="28"/>
        <v>2.0000000000000004</v>
      </c>
      <c r="B54">
        <f t="shared" si="18"/>
        <v>0.29422890741423596</v>
      </c>
      <c r="C54">
        <f t="shared" si="19"/>
        <v>3.695652173913043</v>
      </c>
      <c r="D54">
        <v>1.963593346324277</v>
      </c>
      <c r="E54">
        <f t="shared" si="2"/>
        <v>0.13422978002424313</v>
      </c>
      <c r="F54">
        <f t="shared" si="20"/>
        <v>4.355185081186333E-2</v>
      </c>
      <c r="G54">
        <f t="shared" si="21"/>
        <v>39.068775666324647</v>
      </c>
      <c r="H54">
        <f t="shared" si="22"/>
        <v>111.96941108193346</v>
      </c>
      <c r="I54" s="1">
        <f t="shared" si="4"/>
        <v>0.89676818162118688</v>
      </c>
      <c r="J54">
        <f t="shared" si="23"/>
        <v>2.0252455558887973E-2</v>
      </c>
      <c r="K54">
        <f t="shared" si="6"/>
        <v>6.6278274075923189</v>
      </c>
      <c r="L54" cm="1">
        <f t="array" ref="L54">IF(E54*J54=0,0,$C$21*INDEX([3]Sheet1!$C$4:$Q$23,MATCH(K54,[3]Sheet1!$B$4:$B$23,1),MATCH(D54,[3]Sheet1!$C$3:$Q$3,1))
+(K54-INDEX([3]Sheet1!$B$4:$B$23,MATCH(K54,[3]Sheet1!$B$4:$B$23,1),1))/(INDEX([3]Sheet1!$B$4:$B$23,MATCH(K54,[3]Sheet1!$B$4:$B$23,1)+1,1)-INDEX([3]Sheet1!$B$4:$B$23,
MATCH(K54,[3]Sheet1!$B$4:$B$23,1),1))*(INDEX([3]Sheet1!$C$4:$Q$23,MATCH(K54,[3]Sheet1!$B$4:$B$23,1)+1,MATCH(D54,[3]Sheet1!$C$3:$Q$3,1))-INDEX([3]Sheet1!$C$4:$Q$23,
MATCH(K54,[3]Sheet1!$B$4:$B$23,1),MATCH(D54,[3]Sheet1!$C$3:$Q$3,1)))
+(D54-INDEX([3]Sheet1!$C$3:$Q$3,1,MATCH(D54,[3]Sheet1!$C$3:$Q$3)))/(INDEX([3]Sheet1!$C$3:$Q$3,1,MATCH(D54,[3]Sheet1!$C$3:$Q$3)+1)-INDEX([3]Sheet1!$C$3:$Q$3,1,MATCH(
D54,[3]Sheet1!$C$3:$Q$3)))*(INDEX([3]Sheet1!$C$4:$Q$23,MATCH(K54,[3]Sheet1!$B$4:$B$23,1),MATCH(D54,[3]Sheet1!$C$3:$Q$3,1)+1)-INDEX([3]Sheet1!$C$4:$Q$23,MATCH(K54,[3]Sheet1!$B$4:$B$23,1),MATCH(D54,[3]Sheet1!$C$3:$Q$3,1))))</f>
        <v>1437.5579149027928</v>
      </c>
      <c r="M54" cm="1">
        <f t="array" ref="M54" xml:space="preserve"> IF(E54*J54=0,0,(INDEX([2]Sheet1!$C$4:$Q$23,MATCH(K54,[2]Sheet1!$B$4:$B$23,1),MATCH(D54,[2]Sheet1!$C$3:$Q$3,1))
+ (K54 - INDEX([2]Sheet1!$B$4:$B$23,MATCH(K54,[2]Sheet1!$B$4:$B$23,1),1))/(INDEX([2]Sheet1!$B$4:$B$23,MATCH(K54,[2]Sheet1!$B$4:$B$23,1)+1,1) - INDEX([2]Sheet1!$B$4:$B$23,MATCH(K54,[2]Sheet1!$B$4:$B$23,1),1))*(INDEX([2]Sheet1!$C$4:$Q$23,MATCH(K54,[2]Sheet1!$B$4:$B$23,1)+1,MATCH(D54,[2]Sheet1!$C$3:$Q$3,1)) - INDEX([2]Sheet1!$C$4:$Q$23,MATCH(K54,[2]Sheet1!$B$4:$B$23,1),MATCH(D54,[2]Sheet1!$C$3:$Q$3,1)))
+ (D54 - INDEX([2]Sheet1!$C$3:$Q$3,1,MATCH(D54,[2]Sheet1!$C$3:$Q$3)))/(INDEX([2]Sheet1!$C$3:$Q$3,1,MATCH(D54,[2]Sheet1!$C$3:$Q$3)+1) - INDEX([2]Sheet1!$C$3:$Q$3,1,MATCH(D54,[2]Sheet1!$C$3:$Q$3)))*(
INDEX([2]Sheet1!$C$4:$Q$23,MATCH(K54,[2]Sheet1!$B$4:$B$23,1),MATCH(D54,[2]Sheet1!$C$3:$Q$3,1)+1) - INDEX([2]Sheet1!$C$4:$Q$23,MATCH(K54,[2]Sheet1!$B$4:$B$23,1),MATCH(D54,[2]Sheet1!$C$3:$Q$3,1)))))</f>
        <v>1.1559635725876016</v>
      </c>
      <c r="N54">
        <f t="shared" si="24"/>
        <v>12</v>
      </c>
      <c r="O54">
        <v>7.8119772153715364E-2</v>
      </c>
      <c r="P54">
        <f t="shared" si="27"/>
        <v>1.409321131969238</v>
      </c>
      <c r="Q54">
        <f t="shared" si="14"/>
        <v>307.64582207474194</v>
      </c>
      <c r="R54">
        <f t="shared" si="25"/>
        <v>696.18769672765188</v>
      </c>
      <c r="T54">
        <f t="shared" si="15"/>
        <v>4.5522149785406851</v>
      </c>
      <c r="U54">
        <f t="shared" si="16"/>
        <v>3.4674807661744031E-5</v>
      </c>
      <c r="V54">
        <f t="shared" si="17"/>
        <v>1.9635932131841172</v>
      </c>
      <c r="W54">
        <f t="shared" si="26"/>
        <v>6.7804349135043762E-6</v>
      </c>
    </row>
    <row r="55" spans="1:23" x14ac:dyDescent="0.55000000000000004">
      <c r="A55">
        <f t="shared" si="28"/>
        <v>2.1000000000000005</v>
      </c>
      <c r="B55">
        <f t="shared" si="18"/>
        <v>0.30773313653514395</v>
      </c>
      <c r="C55">
        <f t="shared" si="19"/>
        <v>3.6304347826086953</v>
      </c>
      <c r="D55">
        <v>1.9403983916972667</v>
      </c>
      <c r="E55">
        <f t="shared" si="2"/>
        <v>0.13259147058051685</v>
      </c>
      <c r="F55">
        <f t="shared" si="20"/>
        <v>4.5586919016841754E-2</v>
      </c>
      <c r="G55">
        <f t="shared" si="21"/>
        <v>39.248585408936989</v>
      </c>
      <c r="H55">
        <f t="shared" si="22"/>
        <v>109.59170632356536</v>
      </c>
      <c r="I55" s="1">
        <f t="shared" si="4"/>
        <v>0.88396414188643824</v>
      </c>
      <c r="J55">
        <f t="shared" si="23"/>
        <v>2.0055170220592142E-2</v>
      </c>
      <c r="K55">
        <f t="shared" si="6"/>
        <v>6.6113360855135133</v>
      </c>
      <c r="L55" cm="1">
        <f t="array" ref="L55">IF(E55*J55=0,0,$C$21*INDEX([3]Sheet1!$C$4:$Q$23,MATCH(K55,[3]Sheet1!$B$4:$B$23,1),MATCH(D55,[3]Sheet1!$C$3:$Q$3,1))
+(K55-INDEX([3]Sheet1!$B$4:$B$23,MATCH(K55,[3]Sheet1!$B$4:$B$23,1),1))/(INDEX([3]Sheet1!$B$4:$B$23,MATCH(K55,[3]Sheet1!$B$4:$B$23,1)+1,1)-INDEX([3]Sheet1!$B$4:$B$23,
MATCH(K55,[3]Sheet1!$B$4:$B$23,1),1))*(INDEX([3]Sheet1!$C$4:$Q$23,MATCH(K55,[3]Sheet1!$B$4:$B$23,1)+1,MATCH(D55,[3]Sheet1!$C$3:$Q$3,1))-INDEX([3]Sheet1!$C$4:$Q$23,
MATCH(K55,[3]Sheet1!$B$4:$B$23,1),MATCH(D55,[3]Sheet1!$C$3:$Q$3,1)))
+(D55-INDEX([3]Sheet1!$C$3:$Q$3,1,MATCH(D55,[3]Sheet1!$C$3:$Q$3)))/(INDEX([3]Sheet1!$C$3:$Q$3,1,MATCH(D55,[3]Sheet1!$C$3:$Q$3)+1)-INDEX([3]Sheet1!$C$3:$Q$3,1,MATCH(
D55,[3]Sheet1!$C$3:$Q$3)))*(INDEX([3]Sheet1!$C$4:$Q$23,MATCH(K55,[3]Sheet1!$B$4:$B$23,1),MATCH(D55,[3]Sheet1!$C$3:$Q$3,1)+1)-INDEX([3]Sheet1!$C$4:$Q$23,MATCH(K55,[3]Sheet1!$B$4:$B$23,1),MATCH(D55,[3]Sheet1!$C$3:$Q$3,1))))</f>
        <v>1437.6594113736646</v>
      </c>
      <c r="M55" cm="1">
        <f t="array" ref="M55" xml:space="preserve"> IF(E55*J55=0,0,(INDEX([2]Sheet1!$C$4:$Q$23,MATCH(K55,[2]Sheet1!$B$4:$B$23,1),MATCH(D55,[2]Sheet1!$C$3:$Q$3,1))
+ (K55 - INDEX([2]Sheet1!$B$4:$B$23,MATCH(K55,[2]Sheet1!$B$4:$B$23,1),1))/(INDEX([2]Sheet1!$B$4:$B$23,MATCH(K55,[2]Sheet1!$B$4:$B$23,1)+1,1) - INDEX([2]Sheet1!$B$4:$B$23,MATCH(K55,[2]Sheet1!$B$4:$B$23,1),1))*(INDEX([2]Sheet1!$C$4:$Q$23,MATCH(K55,[2]Sheet1!$B$4:$B$23,1)+1,MATCH(D55,[2]Sheet1!$C$3:$Q$3,1)) - INDEX([2]Sheet1!$C$4:$Q$23,MATCH(K55,[2]Sheet1!$B$4:$B$23,1),MATCH(D55,[2]Sheet1!$C$3:$Q$3,1)))
+ (D55 - INDEX([2]Sheet1!$C$3:$Q$3,1,MATCH(D55,[2]Sheet1!$C$3:$Q$3)))/(INDEX([2]Sheet1!$C$3:$Q$3,1,MATCH(D55,[2]Sheet1!$C$3:$Q$3)+1) - INDEX([2]Sheet1!$C$3:$Q$3,1,MATCH(D55,[2]Sheet1!$C$3:$Q$3)))*(
INDEX([2]Sheet1!$C$4:$Q$23,MATCH(K55,[2]Sheet1!$B$4:$B$23,1),MATCH(D55,[2]Sheet1!$C$3:$Q$3,1)+1) - INDEX([2]Sheet1!$C$4:$Q$23,MATCH(K55,[2]Sheet1!$B$4:$B$23,1),MATCH(D55,[2]Sheet1!$C$3:$Q$3,1)))))</f>
        <v>1.1560470892597619</v>
      </c>
      <c r="N55">
        <f t="shared" si="24"/>
        <v>12</v>
      </c>
      <c r="O55">
        <v>7.7183560700761031E-2</v>
      </c>
      <c r="P55">
        <f t="shared" si="27"/>
        <v>1.4064831244625942</v>
      </c>
      <c r="Q55">
        <f t="shared" si="14"/>
        <v>303.39955363006368</v>
      </c>
      <c r="R55">
        <f t="shared" si="25"/>
        <v>726.73996551289224</v>
      </c>
      <c r="T55">
        <f t="shared" si="15"/>
        <v>4.5522163865670162</v>
      </c>
      <c r="U55">
        <f t="shared" si="16"/>
        <v>6.5605394770490297E-5</v>
      </c>
      <c r="V55">
        <f t="shared" si="17"/>
        <v>1.9403983191590466</v>
      </c>
      <c r="W55">
        <f t="shared" si="26"/>
        <v>3.7383159622951333E-6</v>
      </c>
    </row>
    <row r="56" spans="1:23" x14ac:dyDescent="0.55000000000000004">
      <c r="A56">
        <f t="shared" si="28"/>
        <v>2.2000000000000006</v>
      </c>
      <c r="B56">
        <f t="shared" si="18"/>
        <v>0.316</v>
      </c>
      <c r="C56">
        <f t="shared" si="19"/>
        <v>3.5652173913043477</v>
      </c>
      <c r="D56">
        <v>1.9170293920138957</v>
      </c>
      <c r="E56">
        <f t="shared" si="2"/>
        <v>0</v>
      </c>
      <c r="F56">
        <f t="shared" si="20"/>
        <v>4.7602300305815762E-2</v>
      </c>
      <c r="G56">
        <f t="shared" si="21"/>
        <v>39.425847511618137</v>
      </c>
      <c r="H56">
        <f t="shared" si="22"/>
        <v>0</v>
      </c>
      <c r="I56" s="1">
        <f t="shared" si="4"/>
        <v>0</v>
      </c>
      <c r="J56">
        <f t="shared" si="23"/>
        <v>0</v>
      </c>
      <c r="K56">
        <f t="shared" si="6"/>
        <v>0</v>
      </c>
      <c r="L56" cm="1">
        <f t="array" ref="L56">IF(E56*J56=0,0,$C$21*INDEX([3]Sheet1!$C$4:$Q$23,MATCH(K56,[3]Sheet1!$B$4:$B$23,1),MATCH(D56,[3]Sheet1!$C$3:$Q$3,1))
+(K56-INDEX([3]Sheet1!$B$4:$B$23,MATCH(K56,[3]Sheet1!$B$4:$B$23,1),1))/(INDEX([3]Sheet1!$B$4:$B$23,MATCH(K56,[3]Sheet1!$B$4:$B$23,1)+1,1)-INDEX([3]Sheet1!$B$4:$B$23,
MATCH(K56,[3]Sheet1!$B$4:$B$23,1),1))*(INDEX([3]Sheet1!$C$4:$Q$23,MATCH(K56,[3]Sheet1!$B$4:$B$23,1)+1,MATCH(D56,[3]Sheet1!$C$3:$Q$3,1))-INDEX([3]Sheet1!$C$4:$Q$23,
MATCH(K56,[3]Sheet1!$B$4:$B$23,1),MATCH(D56,[3]Sheet1!$C$3:$Q$3,1)))
+(D56-INDEX([3]Sheet1!$C$3:$Q$3,1,MATCH(D56,[3]Sheet1!$C$3:$Q$3)))/(INDEX([3]Sheet1!$C$3:$Q$3,1,MATCH(D56,[3]Sheet1!$C$3:$Q$3)+1)-INDEX([3]Sheet1!$C$3:$Q$3,1,MATCH(
D56,[3]Sheet1!$C$3:$Q$3)))*(INDEX([3]Sheet1!$C$4:$Q$23,MATCH(K56,[3]Sheet1!$B$4:$B$23,1),MATCH(D56,[3]Sheet1!$C$3:$Q$3,1)+1)-INDEX([3]Sheet1!$C$4:$Q$23,MATCH(K56,[3]Sheet1!$B$4:$B$23,1),MATCH(D56,[3]Sheet1!$C$3:$Q$3,1))))</f>
        <v>0</v>
      </c>
      <c r="M56" cm="1">
        <f t="array" ref="M56" xml:space="preserve"> IF(E56*J56=0,0,(INDEX([2]Sheet1!$C$4:$Q$23,MATCH(K56,[2]Sheet1!$B$4:$B$23,1),MATCH(D56,[2]Sheet1!$C$3:$Q$3,1))
+ (K56 - INDEX([2]Sheet1!$B$4:$B$23,MATCH(K56,[2]Sheet1!$B$4:$B$23,1),1))/(INDEX([2]Sheet1!$B$4:$B$23,MATCH(K56,[2]Sheet1!$B$4:$B$23,1)+1,1) - INDEX([2]Sheet1!$B$4:$B$23,MATCH(K56,[2]Sheet1!$B$4:$B$23,1),1))*(INDEX([2]Sheet1!$C$4:$Q$23,MATCH(K56,[2]Sheet1!$B$4:$B$23,1)+1,MATCH(D56,[2]Sheet1!$C$3:$Q$3,1)) - INDEX([2]Sheet1!$C$4:$Q$23,MATCH(K56,[2]Sheet1!$B$4:$B$23,1),MATCH(D56,[2]Sheet1!$C$3:$Q$3,1)))
+ (D56 - INDEX([2]Sheet1!$C$3:$Q$3,1,MATCH(D56,[2]Sheet1!$C$3:$Q$3)))/(INDEX([2]Sheet1!$C$3:$Q$3,1,MATCH(D56,[2]Sheet1!$C$3:$Q$3)+1) - INDEX([2]Sheet1!$C$3:$Q$3,1,MATCH(D56,[2]Sheet1!$C$3:$Q$3)))*(
INDEX([2]Sheet1!$C$4:$Q$23,MATCH(K56,[2]Sheet1!$B$4:$B$23,1),MATCH(D56,[2]Sheet1!$C$3:$Q$3,1)+1) - INDEX([2]Sheet1!$C$4:$Q$23,MATCH(K56,[2]Sheet1!$B$4:$B$23,1),MATCH(D56,[2]Sheet1!$C$3:$Q$3,1)))))</f>
        <v>0</v>
      </c>
      <c r="N56">
        <f t="shared" si="24"/>
        <v>12</v>
      </c>
      <c r="O56">
        <v>7.6239441153213613E-2</v>
      </c>
      <c r="P56" t="e">
        <f t="shared" si="27"/>
        <v>#DIV/0!</v>
      </c>
      <c r="Q56">
        <f t="shared" si="14"/>
        <v>0</v>
      </c>
      <c r="R56">
        <f t="shared" si="25"/>
        <v>741.9099431943954</v>
      </c>
      <c r="T56" t="e">
        <f t="shared" si="15"/>
        <v>#DIV/0!</v>
      </c>
      <c r="U56" t="e">
        <f t="shared" si="16"/>
        <v>#DIV/0!</v>
      </c>
      <c r="V56">
        <f t="shared" si="17"/>
        <v>0</v>
      </c>
      <c r="W56" t="e">
        <f t="shared" si="26"/>
        <v>#DIV/0!</v>
      </c>
    </row>
    <row r="57" spans="1:23" x14ac:dyDescent="0.55000000000000004">
      <c r="A57">
        <f t="shared" si="28"/>
        <v>2.3000000000000007</v>
      </c>
      <c r="B57">
        <f t="shared" si="18"/>
        <v>0.316</v>
      </c>
      <c r="C57">
        <f t="shared" si="19"/>
        <v>3.4999999999999991</v>
      </c>
      <c r="D57">
        <v>1.8934810559359914</v>
      </c>
      <c r="E57">
        <f t="shared" si="2"/>
        <v>0</v>
      </c>
      <c r="F57">
        <f t="shared" si="20"/>
        <v>4.8605058816845369E-2</v>
      </c>
      <c r="G57">
        <f t="shared" si="21"/>
        <v>39.513748498891111</v>
      </c>
      <c r="H57">
        <f t="shared" si="22"/>
        <v>0</v>
      </c>
      <c r="I57" s="1">
        <f t="shared" si="4"/>
        <v>0</v>
      </c>
      <c r="J57">
        <f t="shared" si="23"/>
        <v>0</v>
      </c>
      <c r="K57">
        <f t="shared" si="6"/>
        <v>0</v>
      </c>
      <c r="L57" cm="1">
        <f t="array" ref="L57">IF(E57*J57=0,0,$C$21*INDEX([3]Sheet1!$C$4:$Q$23,MATCH(K57,[3]Sheet1!$B$4:$B$23,1),MATCH(D57,[3]Sheet1!$C$3:$Q$3,1))
+(K57-INDEX([3]Sheet1!$B$4:$B$23,MATCH(K57,[3]Sheet1!$B$4:$B$23,1),1))/(INDEX([3]Sheet1!$B$4:$B$23,MATCH(K57,[3]Sheet1!$B$4:$B$23,1)+1,1)-INDEX([3]Sheet1!$B$4:$B$23,
MATCH(K57,[3]Sheet1!$B$4:$B$23,1),1))*(INDEX([3]Sheet1!$C$4:$Q$23,MATCH(K57,[3]Sheet1!$B$4:$B$23,1)+1,MATCH(D57,[3]Sheet1!$C$3:$Q$3,1))-INDEX([3]Sheet1!$C$4:$Q$23,
MATCH(K57,[3]Sheet1!$B$4:$B$23,1),MATCH(D57,[3]Sheet1!$C$3:$Q$3,1)))
+(D57-INDEX([3]Sheet1!$C$3:$Q$3,1,MATCH(D57,[3]Sheet1!$C$3:$Q$3)))/(INDEX([3]Sheet1!$C$3:$Q$3,1,MATCH(D57,[3]Sheet1!$C$3:$Q$3)+1)-INDEX([3]Sheet1!$C$3:$Q$3,1,MATCH(
D57,[3]Sheet1!$C$3:$Q$3)))*(INDEX([3]Sheet1!$C$4:$Q$23,MATCH(K57,[3]Sheet1!$B$4:$B$23,1),MATCH(D57,[3]Sheet1!$C$3:$Q$3,1)+1)-INDEX([3]Sheet1!$C$4:$Q$23,MATCH(K57,[3]Sheet1!$B$4:$B$23,1),MATCH(D57,[3]Sheet1!$C$3:$Q$3,1))))</f>
        <v>0</v>
      </c>
      <c r="M57" cm="1">
        <f t="array" ref="M57" xml:space="preserve"> IF(E57*J57=0,0,(INDEX([2]Sheet1!$C$4:$Q$23,MATCH(K57,[2]Sheet1!$B$4:$B$23,1),MATCH(D57,[2]Sheet1!$C$3:$Q$3,1))
+ (K57 - INDEX([2]Sheet1!$B$4:$B$23,MATCH(K57,[2]Sheet1!$B$4:$B$23,1),1))/(INDEX([2]Sheet1!$B$4:$B$23,MATCH(K57,[2]Sheet1!$B$4:$B$23,1)+1,1) - INDEX([2]Sheet1!$B$4:$B$23,MATCH(K57,[2]Sheet1!$B$4:$B$23,1),1))*(INDEX([2]Sheet1!$C$4:$Q$23,MATCH(K57,[2]Sheet1!$B$4:$B$23,1)+1,MATCH(D57,[2]Sheet1!$C$3:$Q$3,1)) - INDEX([2]Sheet1!$C$4:$Q$23,MATCH(K57,[2]Sheet1!$B$4:$B$23,1),MATCH(D57,[2]Sheet1!$C$3:$Q$3,1)))
+ (D57 - INDEX([2]Sheet1!$C$3:$Q$3,1,MATCH(D57,[2]Sheet1!$C$3:$Q$3)))/(INDEX([2]Sheet1!$C$3:$Q$3,1,MATCH(D57,[2]Sheet1!$C$3:$Q$3)+1) - INDEX([2]Sheet1!$C$3:$Q$3,1,MATCH(D57,[2]Sheet1!$C$3:$Q$3)))*(
INDEX([2]Sheet1!$C$4:$Q$23,MATCH(K57,[2]Sheet1!$B$4:$B$23,1),MATCH(D57,[2]Sheet1!$C$3:$Q$3,1)+1) - INDEX([2]Sheet1!$C$4:$Q$23,MATCH(K57,[2]Sheet1!$B$4:$B$23,1),MATCH(D57,[2]Sheet1!$C$3:$Q$3,1)))))</f>
        <v>0</v>
      </c>
      <c r="N57">
        <f t="shared" si="24"/>
        <v>12</v>
      </c>
      <c r="O57">
        <v>7.5287218886845045E-2</v>
      </c>
      <c r="P57" t="e">
        <f t="shared" si="27"/>
        <v>#DIV/0!</v>
      </c>
      <c r="Q57">
        <f t="shared" si="14"/>
        <v>0</v>
      </c>
      <c r="R57">
        <f t="shared" si="25"/>
        <v>741.9099431943954</v>
      </c>
      <c r="T57" t="e">
        <f t="shared" si="15"/>
        <v>#DIV/0!</v>
      </c>
      <c r="U57" t="e">
        <f t="shared" si="16"/>
        <v>#DIV/0!</v>
      </c>
      <c r="V57">
        <f t="shared" si="17"/>
        <v>0</v>
      </c>
      <c r="W57" t="e">
        <f t="shared" si="26"/>
        <v>#DIV/0!</v>
      </c>
    </row>
    <row r="58" spans="1:23" x14ac:dyDescent="0.55000000000000004">
      <c r="A58">
        <f t="shared" si="28"/>
        <v>2.4000000000000008</v>
      </c>
      <c r="B58">
        <f t="shared" si="18"/>
        <v>0.316</v>
      </c>
      <c r="C58">
        <f t="shared" si="19"/>
        <v>3.4347826086956514</v>
      </c>
      <c r="D58">
        <v>1.869747922088246</v>
      </c>
      <c r="E58">
        <f t="shared" si="2"/>
        <v>0</v>
      </c>
      <c r="F58">
        <f t="shared" si="20"/>
        <v>4.8605058816845369E-2</v>
      </c>
      <c r="G58">
        <f t="shared" si="21"/>
        <v>39.513748498891111</v>
      </c>
      <c r="H58">
        <f t="shared" si="22"/>
        <v>0</v>
      </c>
      <c r="I58" s="1">
        <f t="shared" si="4"/>
        <v>0</v>
      </c>
      <c r="J58">
        <f t="shared" si="23"/>
        <v>0</v>
      </c>
      <c r="K58">
        <f t="shared" si="6"/>
        <v>0</v>
      </c>
      <c r="L58" cm="1">
        <f t="array" ref="L58">IF(E58*J58=0,0,$C$21*INDEX([3]Sheet1!$C$4:$Q$23,MATCH(K58,[3]Sheet1!$B$4:$B$23,1),MATCH(D58,[3]Sheet1!$C$3:$Q$3,1))
+(K58-INDEX([3]Sheet1!$B$4:$B$23,MATCH(K58,[3]Sheet1!$B$4:$B$23,1),1))/(INDEX([3]Sheet1!$B$4:$B$23,MATCH(K58,[3]Sheet1!$B$4:$B$23,1)+1,1)-INDEX([3]Sheet1!$B$4:$B$23,
MATCH(K58,[3]Sheet1!$B$4:$B$23,1),1))*(INDEX([3]Sheet1!$C$4:$Q$23,MATCH(K58,[3]Sheet1!$B$4:$B$23,1)+1,MATCH(D58,[3]Sheet1!$C$3:$Q$3,1))-INDEX([3]Sheet1!$C$4:$Q$23,
MATCH(K58,[3]Sheet1!$B$4:$B$23,1),MATCH(D58,[3]Sheet1!$C$3:$Q$3,1)))
+(D58-INDEX([3]Sheet1!$C$3:$Q$3,1,MATCH(D58,[3]Sheet1!$C$3:$Q$3)))/(INDEX([3]Sheet1!$C$3:$Q$3,1,MATCH(D58,[3]Sheet1!$C$3:$Q$3)+1)-INDEX([3]Sheet1!$C$3:$Q$3,1,MATCH(
D58,[3]Sheet1!$C$3:$Q$3)))*(INDEX([3]Sheet1!$C$4:$Q$23,MATCH(K58,[3]Sheet1!$B$4:$B$23,1),MATCH(D58,[3]Sheet1!$C$3:$Q$3,1)+1)-INDEX([3]Sheet1!$C$4:$Q$23,MATCH(K58,[3]Sheet1!$B$4:$B$23,1),MATCH(D58,[3]Sheet1!$C$3:$Q$3,1))))</f>
        <v>0</v>
      </c>
      <c r="M58" cm="1">
        <f t="array" ref="M58" xml:space="preserve"> IF(E58*J58=0,0,(INDEX([2]Sheet1!$C$4:$Q$23,MATCH(K58,[2]Sheet1!$B$4:$B$23,1),MATCH(D58,[2]Sheet1!$C$3:$Q$3,1))
+ (K58 - INDEX([2]Sheet1!$B$4:$B$23,MATCH(K58,[2]Sheet1!$B$4:$B$23,1),1))/(INDEX([2]Sheet1!$B$4:$B$23,MATCH(K58,[2]Sheet1!$B$4:$B$23,1)+1,1) - INDEX([2]Sheet1!$B$4:$B$23,MATCH(K58,[2]Sheet1!$B$4:$B$23,1),1))*(INDEX([2]Sheet1!$C$4:$Q$23,MATCH(K58,[2]Sheet1!$B$4:$B$23,1)+1,MATCH(D58,[2]Sheet1!$C$3:$Q$3,1)) - INDEX([2]Sheet1!$C$4:$Q$23,MATCH(K58,[2]Sheet1!$B$4:$B$23,1),MATCH(D58,[2]Sheet1!$C$3:$Q$3,1)))
+ (D58 - INDEX([2]Sheet1!$C$3:$Q$3,1,MATCH(D58,[2]Sheet1!$C$3:$Q$3)))/(INDEX([2]Sheet1!$C$3:$Q$3,1,MATCH(D58,[2]Sheet1!$C$3:$Q$3)+1) - INDEX([2]Sheet1!$C$3:$Q$3,1,MATCH(D58,[2]Sheet1!$C$3:$Q$3)))*(
INDEX([2]Sheet1!$C$4:$Q$23,MATCH(K58,[2]Sheet1!$B$4:$B$23,1),MATCH(D58,[2]Sheet1!$C$3:$Q$3,1)+1) - INDEX([2]Sheet1!$C$4:$Q$23,MATCH(K58,[2]Sheet1!$B$4:$B$23,1),MATCH(D58,[2]Sheet1!$C$3:$Q$3,1)))))</f>
        <v>0</v>
      </c>
      <c r="N58">
        <f t="shared" si="24"/>
        <v>12</v>
      </c>
      <c r="O58">
        <v>7.4326683594331103E-2</v>
      </c>
      <c r="P58" t="e">
        <f t="shared" si="27"/>
        <v>#DIV/0!</v>
      </c>
      <c r="Q58">
        <f t="shared" si="14"/>
        <v>0</v>
      </c>
      <c r="R58">
        <f t="shared" si="25"/>
        <v>741.9099431943954</v>
      </c>
      <c r="T58" t="e">
        <f t="shared" si="15"/>
        <v>#DIV/0!</v>
      </c>
      <c r="U58" t="e">
        <f t="shared" si="16"/>
        <v>#DIV/0!</v>
      </c>
      <c r="V58">
        <f t="shared" si="17"/>
        <v>0</v>
      </c>
      <c r="W58" t="e">
        <f t="shared" si="26"/>
        <v>#DIV/0!</v>
      </c>
    </row>
    <row r="59" spans="1:23" x14ac:dyDescent="0.55000000000000004">
      <c r="A59">
        <f t="shared" si="28"/>
        <v>2.5000000000000009</v>
      </c>
      <c r="B59">
        <f t="shared" si="18"/>
        <v>0.316</v>
      </c>
      <c r="C59">
        <f t="shared" si="19"/>
        <v>3.3695652173913038</v>
      </c>
      <c r="D59">
        <v>1.8458134978821572</v>
      </c>
      <c r="E59">
        <f t="shared" si="2"/>
        <v>0</v>
      </c>
      <c r="F59">
        <f t="shared" si="20"/>
        <v>4.8605058816845369E-2</v>
      </c>
      <c r="G59">
        <f t="shared" si="21"/>
        <v>39.513748498891111</v>
      </c>
      <c r="H59">
        <f t="shared" si="22"/>
        <v>0</v>
      </c>
      <c r="I59" s="1">
        <f t="shared" si="4"/>
        <v>0</v>
      </c>
      <c r="J59">
        <f t="shared" si="23"/>
        <v>0</v>
      </c>
      <c r="K59">
        <f t="shared" si="6"/>
        <v>0</v>
      </c>
      <c r="L59" cm="1">
        <f t="array" ref="L59">IF(E59*J59=0,0,$C$21*INDEX([3]Sheet1!$C$4:$Q$23,MATCH(K59,[3]Sheet1!$B$4:$B$23,1),MATCH(D59,[3]Sheet1!$C$3:$Q$3,1))
+(K59-INDEX([3]Sheet1!$B$4:$B$23,MATCH(K59,[3]Sheet1!$B$4:$B$23,1),1))/(INDEX([3]Sheet1!$B$4:$B$23,MATCH(K59,[3]Sheet1!$B$4:$B$23,1)+1,1)-INDEX([3]Sheet1!$B$4:$B$23,
MATCH(K59,[3]Sheet1!$B$4:$B$23,1),1))*(INDEX([3]Sheet1!$C$4:$Q$23,MATCH(K59,[3]Sheet1!$B$4:$B$23,1)+1,MATCH(D59,[3]Sheet1!$C$3:$Q$3,1))-INDEX([3]Sheet1!$C$4:$Q$23,
MATCH(K59,[3]Sheet1!$B$4:$B$23,1),MATCH(D59,[3]Sheet1!$C$3:$Q$3,1)))
+(D59-INDEX([3]Sheet1!$C$3:$Q$3,1,MATCH(D59,[3]Sheet1!$C$3:$Q$3)))/(INDEX([3]Sheet1!$C$3:$Q$3,1,MATCH(D59,[3]Sheet1!$C$3:$Q$3)+1)-INDEX([3]Sheet1!$C$3:$Q$3,1,MATCH(
D59,[3]Sheet1!$C$3:$Q$3)))*(INDEX([3]Sheet1!$C$4:$Q$23,MATCH(K59,[3]Sheet1!$B$4:$B$23,1),MATCH(D59,[3]Sheet1!$C$3:$Q$3,1)+1)-INDEX([3]Sheet1!$C$4:$Q$23,MATCH(K59,[3]Sheet1!$B$4:$B$23,1),MATCH(D59,[3]Sheet1!$C$3:$Q$3,1))))</f>
        <v>0</v>
      </c>
      <c r="M59" cm="1">
        <f t="array" ref="M59" xml:space="preserve"> IF(E59*J59=0,0,(INDEX([2]Sheet1!$C$4:$Q$23,MATCH(K59,[2]Sheet1!$B$4:$B$23,1),MATCH(D59,[2]Sheet1!$C$3:$Q$3,1))
+ (K59 - INDEX([2]Sheet1!$B$4:$B$23,MATCH(K59,[2]Sheet1!$B$4:$B$23,1),1))/(INDEX([2]Sheet1!$B$4:$B$23,MATCH(K59,[2]Sheet1!$B$4:$B$23,1)+1,1) - INDEX([2]Sheet1!$B$4:$B$23,MATCH(K59,[2]Sheet1!$B$4:$B$23,1),1))*(INDEX([2]Sheet1!$C$4:$Q$23,MATCH(K59,[2]Sheet1!$B$4:$B$23,1)+1,MATCH(D59,[2]Sheet1!$C$3:$Q$3,1)) - INDEX([2]Sheet1!$C$4:$Q$23,MATCH(K59,[2]Sheet1!$B$4:$B$23,1),MATCH(D59,[2]Sheet1!$C$3:$Q$3,1)))
+ (D59 - INDEX([2]Sheet1!$C$3:$Q$3,1,MATCH(D59,[2]Sheet1!$C$3:$Q$3)))/(INDEX([2]Sheet1!$C$3:$Q$3,1,MATCH(D59,[2]Sheet1!$C$3:$Q$3)+1) - INDEX([2]Sheet1!$C$3:$Q$3,1,MATCH(D59,[2]Sheet1!$C$3:$Q$3)))*(
INDEX([2]Sheet1!$C$4:$Q$23,MATCH(K59,[2]Sheet1!$B$4:$B$23,1),MATCH(D59,[2]Sheet1!$C$3:$Q$3,1)+1) - INDEX([2]Sheet1!$C$4:$Q$23,MATCH(K59,[2]Sheet1!$B$4:$B$23,1),MATCH(D59,[2]Sheet1!$C$3:$Q$3,1)))))</f>
        <v>0</v>
      </c>
      <c r="N59">
        <f t="shared" si="24"/>
        <v>12</v>
      </c>
      <c r="O59">
        <v>7.3357372061976206E-2</v>
      </c>
      <c r="P59" t="e">
        <f t="shared" si="27"/>
        <v>#DIV/0!</v>
      </c>
      <c r="Q59">
        <f t="shared" si="14"/>
        <v>0</v>
      </c>
      <c r="R59">
        <f t="shared" si="25"/>
        <v>741.9099431943954</v>
      </c>
      <c r="T59" t="e">
        <f t="shared" si="15"/>
        <v>#DIV/0!</v>
      </c>
      <c r="U59" t="e">
        <f t="shared" si="16"/>
        <v>#DIV/0!</v>
      </c>
      <c r="V59">
        <f t="shared" si="17"/>
        <v>0</v>
      </c>
      <c r="W59" t="e">
        <f t="shared" si="26"/>
        <v>#DIV/0!</v>
      </c>
    </row>
    <row r="60" spans="1:23" x14ac:dyDescent="0.55000000000000004">
      <c r="A60">
        <f t="shared" si="28"/>
        <v>2.600000000000001</v>
      </c>
      <c r="B60">
        <f t="shared" si="18"/>
        <v>0.316</v>
      </c>
      <c r="C60">
        <f t="shared" si="19"/>
        <v>3.3043478260869561</v>
      </c>
      <c r="D60">
        <v>1.8216981765663554</v>
      </c>
      <c r="E60">
        <f t="shared" si="2"/>
        <v>0</v>
      </c>
      <c r="F60">
        <f t="shared" si="20"/>
        <v>4.8605058816845369E-2</v>
      </c>
      <c r="G60">
        <f t="shared" si="21"/>
        <v>39.513748498891111</v>
      </c>
      <c r="H60">
        <f t="shared" si="22"/>
        <v>0</v>
      </c>
      <c r="I60" s="1">
        <f t="shared" si="4"/>
        <v>0</v>
      </c>
      <c r="J60">
        <f t="shared" si="23"/>
        <v>0</v>
      </c>
      <c r="K60">
        <f t="shared" si="6"/>
        <v>0</v>
      </c>
      <c r="L60" cm="1">
        <f t="array" ref="L60">IF(E60*J60=0,0,$C$21*INDEX([3]Sheet1!$C$4:$Q$23,MATCH(K60,[3]Sheet1!$B$4:$B$23,1),MATCH(D60,[3]Sheet1!$C$3:$Q$3,1))
+(K60-INDEX([3]Sheet1!$B$4:$B$23,MATCH(K60,[3]Sheet1!$B$4:$B$23,1),1))/(INDEX([3]Sheet1!$B$4:$B$23,MATCH(K60,[3]Sheet1!$B$4:$B$23,1)+1,1)-INDEX([3]Sheet1!$B$4:$B$23,
MATCH(K60,[3]Sheet1!$B$4:$B$23,1),1))*(INDEX([3]Sheet1!$C$4:$Q$23,MATCH(K60,[3]Sheet1!$B$4:$B$23,1)+1,MATCH(D60,[3]Sheet1!$C$3:$Q$3,1))-INDEX([3]Sheet1!$C$4:$Q$23,
MATCH(K60,[3]Sheet1!$B$4:$B$23,1),MATCH(D60,[3]Sheet1!$C$3:$Q$3,1)))
+(D60-INDEX([3]Sheet1!$C$3:$Q$3,1,MATCH(D60,[3]Sheet1!$C$3:$Q$3)))/(INDEX([3]Sheet1!$C$3:$Q$3,1,MATCH(D60,[3]Sheet1!$C$3:$Q$3)+1)-INDEX([3]Sheet1!$C$3:$Q$3,1,MATCH(
D60,[3]Sheet1!$C$3:$Q$3)))*(INDEX([3]Sheet1!$C$4:$Q$23,MATCH(K60,[3]Sheet1!$B$4:$B$23,1),MATCH(D60,[3]Sheet1!$C$3:$Q$3,1)+1)-INDEX([3]Sheet1!$C$4:$Q$23,MATCH(K60,[3]Sheet1!$B$4:$B$23,1),MATCH(D60,[3]Sheet1!$C$3:$Q$3,1))))</f>
        <v>0</v>
      </c>
      <c r="M60" cm="1">
        <f t="array" ref="M60" xml:space="preserve"> IF(E60*J60=0,0,(INDEX([2]Sheet1!$C$4:$Q$23,MATCH(K60,[2]Sheet1!$B$4:$B$23,1),MATCH(D60,[2]Sheet1!$C$3:$Q$3,1))
+ (K60 - INDEX([2]Sheet1!$B$4:$B$23,MATCH(K60,[2]Sheet1!$B$4:$B$23,1),1))/(INDEX([2]Sheet1!$B$4:$B$23,MATCH(K60,[2]Sheet1!$B$4:$B$23,1)+1,1) - INDEX([2]Sheet1!$B$4:$B$23,MATCH(K60,[2]Sheet1!$B$4:$B$23,1),1))*(INDEX([2]Sheet1!$C$4:$Q$23,MATCH(K60,[2]Sheet1!$B$4:$B$23,1)+1,MATCH(D60,[2]Sheet1!$C$3:$Q$3,1)) - INDEX([2]Sheet1!$C$4:$Q$23,MATCH(K60,[2]Sheet1!$B$4:$B$23,1),MATCH(D60,[2]Sheet1!$C$3:$Q$3,1)))
+ (D60 - INDEX([2]Sheet1!$C$3:$Q$3,1,MATCH(D60,[2]Sheet1!$C$3:$Q$3)))/(INDEX([2]Sheet1!$C$3:$Q$3,1,MATCH(D60,[2]Sheet1!$C$3:$Q$3)+1) - INDEX([2]Sheet1!$C$3:$Q$3,1,MATCH(D60,[2]Sheet1!$C$3:$Q$3)))*(
INDEX([2]Sheet1!$C$4:$Q$23,MATCH(K60,[2]Sheet1!$B$4:$B$23,1),MATCH(D60,[2]Sheet1!$C$3:$Q$3,1)+1) - INDEX([2]Sheet1!$C$4:$Q$23,MATCH(K60,[2]Sheet1!$B$4:$B$23,1),MATCH(D60,[2]Sheet1!$C$3:$Q$3,1)))))</f>
        <v>0</v>
      </c>
      <c r="N60">
        <f t="shared" si="24"/>
        <v>12</v>
      </c>
      <c r="O60">
        <v>7.2380283308464341E-2</v>
      </c>
      <c r="P60" t="e">
        <f t="shared" si="27"/>
        <v>#DIV/0!</v>
      </c>
      <c r="Q60">
        <f t="shared" si="14"/>
        <v>0</v>
      </c>
      <c r="R60">
        <f t="shared" si="25"/>
        <v>741.9099431943954</v>
      </c>
      <c r="T60" t="e">
        <f t="shared" si="15"/>
        <v>#DIV/0!</v>
      </c>
      <c r="U60" t="e">
        <f t="shared" si="16"/>
        <v>#DIV/0!</v>
      </c>
      <c r="V60">
        <f t="shared" si="17"/>
        <v>0</v>
      </c>
      <c r="W60" t="e">
        <f t="shared" si="26"/>
        <v>#DIV/0!</v>
      </c>
    </row>
    <row r="61" spans="1:23" x14ac:dyDescent="0.55000000000000004">
      <c r="A61">
        <f t="shared" si="28"/>
        <v>2.7000000000000011</v>
      </c>
      <c r="B61">
        <f t="shared" si="18"/>
        <v>0.316</v>
      </c>
      <c r="C61">
        <f t="shared" si="19"/>
        <v>3.2391304347826075</v>
      </c>
      <c r="D61">
        <v>1.7967151438377216</v>
      </c>
      <c r="E61">
        <f t="shared" si="2"/>
        <v>0</v>
      </c>
      <c r="F61">
        <f t="shared" si="20"/>
        <v>4.8605058816845369E-2</v>
      </c>
      <c r="G61">
        <f t="shared" si="21"/>
        <v>39.513748498891111</v>
      </c>
      <c r="H61">
        <f t="shared" si="22"/>
        <v>0</v>
      </c>
      <c r="I61" s="1">
        <f t="shared" si="4"/>
        <v>0</v>
      </c>
      <c r="J61">
        <f t="shared" si="23"/>
        <v>0</v>
      </c>
      <c r="K61">
        <f t="shared" si="6"/>
        <v>0</v>
      </c>
      <c r="L61" cm="1">
        <f t="array" ref="L61">IF(E61*J61=0,0,$C$21*INDEX([3]Sheet1!$C$4:$Q$23,MATCH(K61,[3]Sheet1!$B$4:$B$23,1),MATCH(D61,[3]Sheet1!$C$3:$Q$3,1))
+(K61-INDEX([3]Sheet1!$B$4:$B$23,MATCH(K61,[3]Sheet1!$B$4:$B$23,1),1))/(INDEX([3]Sheet1!$B$4:$B$23,MATCH(K61,[3]Sheet1!$B$4:$B$23,1)+1,1)-INDEX([3]Sheet1!$B$4:$B$23,
MATCH(K61,[3]Sheet1!$B$4:$B$23,1),1))*(INDEX([3]Sheet1!$C$4:$Q$23,MATCH(K61,[3]Sheet1!$B$4:$B$23,1)+1,MATCH(D61,[3]Sheet1!$C$3:$Q$3,1))-INDEX([3]Sheet1!$C$4:$Q$23,
MATCH(K61,[3]Sheet1!$B$4:$B$23,1),MATCH(D61,[3]Sheet1!$C$3:$Q$3,1)))
+(D61-INDEX([3]Sheet1!$C$3:$Q$3,1,MATCH(D61,[3]Sheet1!$C$3:$Q$3)))/(INDEX([3]Sheet1!$C$3:$Q$3,1,MATCH(D61,[3]Sheet1!$C$3:$Q$3)+1)-INDEX([3]Sheet1!$C$3:$Q$3,1,MATCH(
D61,[3]Sheet1!$C$3:$Q$3)))*(INDEX([3]Sheet1!$C$4:$Q$23,MATCH(K61,[3]Sheet1!$B$4:$B$23,1),MATCH(D61,[3]Sheet1!$C$3:$Q$3,1)+1)-INDEX([3]Sheet1!$C$4:$Q$23,MATCH(K61,[3]Sheet1!$B$4:$B$23,1),MATCH(D61,[3]Sheet1!$C$3:$Q$3,1))))</f>
        <v>0</v>
      </c>
      <c r="M61" cm="1">
        <f t="array" ref="M61" xml:space="preserve"> IF(E61*J61=0,0,(INDEX([2]Sheet1!$C$4:$Q$23,MATCH(K61,[2]Sheet1!$B$4:$B$23,1),MATCH(D61,[2]Sheet1!$C$3:$Q$3,1))
+ (K61 - INDEX([2]Sheet1!$B$4:$B$23,MATCH(K61,[2]Sheet1!$B$4:$B$23,1),1))/(INDEX([2]Sheet1!$B$4:$B$23,MATCH(K61,[2]Sheet1!$B$4:$B$23,1)+1,1) - INDEX([2]Sheet1!$B$4:$B$23,MATCH(K61,[2]Sheet1!$B$4:$B$23,1),1))*(INDEX([2]Sheet1!$C$4:$Q$23,MATCH(K61,[2]Sheet1!$B$4:$B$23,1)+1,MATCH(D61,[2]Sheet1!$C$3:$Q$3,1)) - INDEX([2]Sheet1!$C$4:$Q$23,MATCH(K61,[2]Sheet1!$B$4:$B$23,1),MATCH(D61,[2]Sheet1!$C$3:$Q$3,1)))
+ (D61 - INDEX([2]Sheet1!$C$3:$Q$3,1,MATCH(D61,[2]Sheet1!$C$3:$Q$3)))/(INDEX([2]Sheet1!$C$3:$Q$3,1,MATCH(D61,[2]Sheet1!$C$3:$Q$3)+1) - INDEX([2]Sheet1!$C$3:$Q$3,1,MATCH(D61,[2]Sheet1!$C$3:$Q$3)))*(
INDEX([2]Sheet1!$C$4:$Q$23,MATCH(K61,[2]Sheet1!$B$4:$B$23,1),MATCH(D61,[2]Sheet1!$C$3:$Q$3,1)+1) - INDEX([2]Sheet1!$C$4:$Q$23,MATCH(K61,[2]Sheet1!$B$4:$B$23,1),MATCH(D61,[2]Sheet1!$C$3:$Q$3,1)))))</f>
        <v>0</v>
      </c>
      <c r="N61">
        <f t="shared" si="24"/>
        <v>12</v>
      </c>
      <c r="O61">
        <v>7.129087226209925E-2</v>
      </c>
      <c r="P61" t="e">
        <f t="shared" si="27"/>
        <v>#DIV/0!</v>
      </c>
      <c r="Q61">
        <f t="shared" si="14"/>
        <v>0</v>
      </c>
      <c r="R61">
        <f t="shared" si="25"/>
        <v>741.9099431943954</v>
      </c>
      <c r="T61" t="e">
        <f t="shared" si="15"/>
        <v>#DIV/0!</v>
      </c>
      <c r="U61" t="e">
        <f t="shared" si="16"/>
        <v>#DIV/0!</v>
      </c>
      <c r="V61">
        <f t="shared" si="17"/>
        <v>0</v>
      </c>
      <c r="W61" t="e">
        <f t="shared" si="26"/>
        <v>#DIV/0!</v>
      </c>
    </row>
    <row r="62" spans="1:23" x14ac:dyDescent="0.55000000000000004">
      <c r="A62">
        <f t="shared" si="28"/>
        <v>2.8000000000000012</v>
      </c>
      <c r="B62">
        <f t="shared" si="18"/>
        <v>0.316</v>
      </c>
      <c r="C62">
        <f t="shared" si="19"/>
        <v>3.1739130434782599</v>
      </c>
      <c r="D62">
        <v>2.4012279367020035</v>
      </c>
      <c r="E62">
        <f t="shared" si="2"/>
        <v>0</v>
      </c>
      <c r="F62">
        <f t="shared" si="20"/>
        <v>4.8605058816845369E-2</v>
      </c>
      <c r="G62">
        <f t="shared" si="21"/>
        <v>39.513748498891111</v>
      </c>
      <c r="H62">
        <f t="shared" si="22"/>
        <v>0</v>
      </c>
      <c r="I62" s="1">
        <f t="shared" si="4"/>
        <v>0</v>
      </c>
      <c r="J62">
        <f t="shared" si="23"/>
        <v>0</v>
      </c>
      <c r="K62">
        <f t="shared" si="6"/>
        <v>0</v>
      </c>
      <c r="L62" cm="1">
        <f t="array" ref="L62">IF(E62*J62=0,0,$C$21*INDEX([3]Sheet1!$C$4:$Q$23,MATCH(K62,[3]Sheet1!$B$4:$B$23,1),MATCH(D62,[3]Sheet1!$C$3:$Q$3,1))
+(K62-INDEX([3]Sheet1!$B$4:$B$23,MATCH(K62,[3]Sheet1!$B$4:$B$23,1),1))/(INDEX([3]Sheet1!$B$4:$B$23,MATCH(K62,[3]Sheet1!$B$4:$B$23,1)+1,1)-INDEX([3]Sheet1!$B$4:$B$23,
MATCH(K62,[3]Sheet1!$B$4:$B$23,1),1))*(INDEX([3]Sheet1!$C$4:$Q$23,MATCH(K62,[3]Sheet1!$B$4:$B$23,1)+1,MATCH(D62,[3]Sheet1!$C$3:$Q$3,1))-INDEX([3]Sheet1!$C$4:$Q$23,
MATCH(K62,[3]Sheet1!$B$4:$B$23,1),MATCH(D62,[3]Sheet1!$C$3:$Q$3,1)))
+(D62-INDEX([3]Sheet1!$C$3:$Q$3,1,MATCH(D62,[3]Sheet1!$C$3:$Q$3)))/(INDEX([3]Sheet1!$C$3:$Q$3,1,MATCH(D62,[3]Sheet1!$C$3:$Q$3)+1)-INDEX([3]Sheet1!$C$3:$Q$3,1,MATCH(
D62,[3]Sheet1!$C$3:$Q$3)))*(INDEX([3]Sheet1!$C$4:$Q$23,MATCH(K62,[3]Sheet1!$B$4:$B$23,1),MATCH(D62,[3]Sheet1!$C$3:$Q$3,1)+1)-INDEX([3]Sheet1!$C$4:$Q$23,MATCH(K62,[3]Sheet1!$B$4:$B$23,1),MATCH(D62,[3]Sheet1!$C$3:$Q$3,1))))</f>
        <v>0</v>
      </c>
      <c r="M62" cm="1">
        <f t="array" ref="M62" xml:space="preserve"> IF(E62*J62=0,0,(INDEX([2]Sheet1!$C$4:$Q$23,MATCH(K62,[2]Sheet1!$B$4:$B$23,1),MATCH(D62,[2]Sheet1!$C$3:$Q$3,1))
+ (K62 - INDEX([2]Sheet1!$B$4:$B$23,MATCH(K62,[2]Sheet1!$B$4:$B$23,1),1))/(INDEX([2]Sheet1!$B$4:$B$23,MATCH(K62,[2]Sheet1!$B$4:$B$23,1)+1,1) - INDEX([2]Sheet1!$B$4:$B$23,MATCH(K62,[2]Sheet1!$B$4:$B$23,1),1))*(INDEX([2]Sheet1!$C$4:$Q$23,MATCH(K62,[2]Sheet1!$B$4:$B$23,1)+1,MATCH(D62,[2]Sheet1!$C$3:$Q$3,1)) - INDEX([2]Sheet1!$C$4:$Q$23,MATCH(K62,[2]Sheet1!$B$4:$B$23,1),MATCH(D62,[2]Sheet1!$C$3:$Q$3,1)))
+ (D62 - INDEX([2]Sheet1!$C$3:$Q$3,1,MATCH(D62,[2]Sheet1!$C$3:$Q$3)))/(INDEX([2]Sheet1!$C$3:$Q$3,1,MATCH(D62,[2]Sheet1!$C$3:$Q$3)+1) - INDEX([2]Sheet1!$C$3:$Q$3,1,MATCH(D62,[2]Sheet1!$C$3:$Q$3)))*(
INDEX([2]Sheet1!$C$4:$Q$23,MATCH(K62,[2]Sheet1!$B$4:$B$23,1),MATCH(D62,[2]Sheet1!$C$3:$Q$3,1)+1) - INDEX([2]Sheet1!$C$4:$Q$23,MATCH(K62,[2]Sheet1!$B$4:$B$23,1),MATCH(D62,[2]Sheet1!$C$3:$Q$3,1)))))</f>
        <v>0</v>
      </c>
      <c r="N62">
        <f t="shared" si="24"/>
        <v>12</v>
      </c>
      <c r="O62">
        <v>9.4705743608464718E-2</v>
      </c>
      <c r="P62" t="e">
        <f t="shared" si="27"/>
        <v>#DIV/0!</v>
      </c>
      <c r="Q62">
        <f t="shared" si="14"/>
        <v>0</v>
      </c>
      <c r="R62">
        <f t="shared" si="25"/>
        <v>741.9099431943954</v>
      </c>
      <c r="T62" t="e">
        <f t="shared" si="15"/>
        <v>#DIV/0!</v>
      </c>
      <c r="U62" t="e">
        <f t="shared" si="16"/>
        <v>#DIV/0!</v>
      </c>
      <c r="V62">
        <f t="shared" si="17"/>
        <v>0</v>
      </c>
      <c r="W62" t="e">
        <f t="shared" si="26"/>
        <v>#DIV/0!</v>
      </c>
    </row>
    <row r="63" spans="1:23" x14ac:dyDescent="0.55000000000000004">
      <c r="A63">
        <f t="shared" si="28"/>
        <v>2.9000000000000012</v>
      </c>
      <c r="B63">
        <f t="shared" si="18"/>
        <v>0.316</v>
      </c>
      <c r="C63">
        <f t="shared" si="19"/>
        <v>3.1086956521739122</v>
      </c>
      <c r="D63">
        <v>2.3963714624616848</v>
      </c>
      <c r="E63">
        <f t="shared" si="2"/>
        <v>0</v>
      </c>
      <c r="F63">
        <f t="shared" si="20"/>
        <v>4.8605058816845369E-2</v>
      </c>
      <c r="G63">
        <f t="shared" si="21"/>
        <v>39.513748498891111</v>
      </c>
      <c r="H63">
        <f t="shared" si="22"/>
        <v>0</v>
      </c>
      <c r="I63" s="1">
        <f t="shared" si="4"/>
        <v>0</v>
      </c>
      <c r="J63">
        <f t="shared" si="23"/>
        <v>0</v>
      </c>
      <c r="K63">
        <f t="shared" si="6"/>
        <v>0</v>
      </c>
      <c r="L63" cm="1">
        <f t="array" ref="L63">IF(E63*J63=0,0,$C$21*INDEX([3]Sheet1!$C$4:$Q$23,MATCH(K63,[3]Sheet1!$B$4:$B$23,1),MATCH(D63,[3]Sheet1!$C$3:$Q$3,1))
+(K63-INDEX([3]Sheet1!$B$4:$B$23,MATCH(K63,[3]Sheet1!$B$4:$B$23,1),1))/(INDEX([3]Sheet1!$B$4:$B$23,MATCH(K63,[3]Sheet1!$B$4:$B$23,1)+1,1)-INDEX([3]Sheet1!$B$4:$B$23,
MATCH(K63,[3]Sheet1!$B$4:$B$23,1),1))*(INDEX([3]Sheet1!$C$4:$Q$23,MATCH(K63,[3]Sheet1!$B$4:$B$23,1)+1,MATCH(D63,[3]Sheet1!$C$3:$Q$3,1))-INDEX([3]Sheet1!$C$4:$Q$23,
MATCH(K63,[3]Sheet1!$B$4:$B$23,1),MATCH(D63,[3]Sheet1!$C$3:$Q$3,1)))
+(D63-INDEX([3]Sheet1!$C$3:$Q$3,1,MATCH(D63,[3]Sheet1!$C$3:$Q$3)))/(INDEX([3]Sheet1!$C$3:$Q$3,1,MATCH(D63,[3]Sheet1!$C$3:$Q$3)+1)-INDEX([3]Sheet1!$C$3:$Q$3,1,MATCH(
D63,[3]Sheet1!$C$3:$Q$3)))*(INDEX([3]Sheet1!$C$4:$Q$23,MATCH(K63,[3]Sheet1!$B$4:$B$23,1),MATCH(D63,[3]Sheet1!$C$3:$Q$3,1)+1)-INDEX([3]Sheet1!$C$4:$Q$23,MATCH(K63,[3]Sheet1!$B$4:$B$23,1),MATCH(D63,[3]Sheet1!$C$3:$Q$3,1))))</f>
        <v>0</v>
      </c>
      <c r="M63" cm="1">
        <f t="array" ref="M63" xml:space="preserve"> IF(E63*J63=0,0,(INDEX([2]Sheet1!$C$4:$Q$23,MATCH(K63,[2]Sheet1!$B$4:$B$23,1),MATCH(D63,[2]Sheet1!$C$3:$Q$3,1))
+ (K63 - INDEX([2]Sheet1!$B$4:$B$23,MATCH(K63,[2]Sheet1!$B$4:$B$23,1),1))/(INDEX([2]Sheet1!$B$4:$B$23,MATCH(K63,[2]Sheet1!$B$4:$B$23,1)+1,1) - INDEX([2]Sheet1!$B$4:$B$23,MATCH(K63,[2]Sheet1!$B$4:$B$23,1),1))*(INDEX([2]Sheet1!$C$4:$Q$23,MATCH(K63,[2]Sheet1!$B$4:$B$23,1)+1,MATCH(D63,[2]Sheet1!$C$3:$Q$3,1)) - INDEX([2]Sheet1!$C$4:$Q$23,MATCH(K63,[2]Sheet1!$B$4:$B$23,1),MATCH(D63,[2]Sheet1!$C$3:$Q$3,1)))
+ (D63 - INDEX([2]Sheet1!$C$3:$Q$3,1,MATCH(D63,[2]Sheet1!$C$3:$Q$3)))/(INDEX([2]Sheet1!$C$3:$Q$3,1,MATCH(D63,[2]Sheet1!$C$3:$Q$3)+1) - INDEX([2]Sheet1!$C$3:$Q$3,1,MATCH(D63,[2]Sheet1!$C$3:$Q$3)))*(
INDEX([2]Sheet1!$C$4:$Q$23,MATCH(K63,[2]Sheet1!$B$4:$B$23,1),MATCH(D63,[2]Sheet1!$C$3:$Q$3,1)+1) - INDEX([2]Sheet1!$C$4:$Q$23,MATCH(K63,[2]Sheet1!$B$4:$B$23,1),MATCH(D63,[2]Sheet1!$C$3:$Q$3,1)))))</f>
        <v>0</v>
      </c>
      <c r="N63">
        <f t="shared" si="24"/>
        <v>12</v>
      </c>
      <c r="O63">
        <v>9.4611288462205775E-2</v>
      </c>
      <c r="P63" t="e">
        <f t="shared" si="27"/>
        <v>#DIV/0!</v>
      </c>
      <c r="Q63">
        <f t="shared" si="14"/>
        <v>0</v>
      </c>
      <c r="R63">
        <f t="shared" si="25"/>
        <v>741.9099431943954</v>
      </c>
      <c r="T63" t="e">
        <f t="shared" si="15"/>
        <v>#DIV/0!</v>
      </c>
      <c r="U63" t="e">
        <f t="shared" si="16"/>
        <v>#DIV/0!</v>
      </c>
      <c r="V63">
        <f t="shared" si="17"/>
        <v>0</v>
      </c>
      <c r="W63" t="e">
        <f t="shared" si="26"/>
        <v>#DIV/0!</v>
      </c>
    </row>
    <row r="64" spans="1:23" x14ac:dyDescent="0.55000000000000004">
      <c r="A64">
        <f t="shared" si="28"/>
        <v>3.0000000000000013</v>
      </c>
      <c r="B64">
        <f t="shared" si="18"/>
        <v>0.316</v>
      </c>
      <c r="C64">
        <f t="shared" si="19"/>
        <v>3.0434782608695645</v>
      </c>
      <c r="D64">
        <v>2.3910503239539893</v>
      </c>
      <c r="E64">
        <f t="shared" si="2"/>
        <v>0</v>
      </c>
      <c r="F64">
        <f t="shared" si="20"/>
        <v>4.8605058816845369E-2</v>
      </c>
      <c r="G64">
        <f t="shared" si="21"/>
        <v>39.513748498891111</v>
      </c>
      <c r="H64">
        <f t="shared" si="22"/>
        <v>0</v>
      </c>
      <c r="I64" s="1">
        <f t="shared" si="4"/>
        <v>0</v>
      </c>
      <c r="J64">
        <f t="shared" si="23"/>
        <v>0</v>
      </c>
      <c r="K64">
        <f t="shared" si="6"/>
        <v>0</v>
      </c>
      <c r="L64" cm="1">
        <f t="array" ref="L64">IF(E64*J64=0,0,$C$21*INDEX([3]Sheet1!$C$4:$Q$23,MATCH(K64,[3]Sheet1!$B$4:$B$23,1),MATCH(D64,[3]Sheet1!$C$3:$Q$3,1))
+(K64-INDEX([3]Sheet1!$B$4:$B$23,MATCH(K64,[3]Sheet1!$B$4:$B$23,1),1))/(INDEX([3]Sheet1!$B$4:$B$23,MATCH(K64,[3]Sheet1!$B$4:$B$23,1)+1,1)-INDEX([3]Sheet1!$B$4:$B$23,
MATCH(K64,[3]Sheet1!$B$4:$B$23,1),1))*(INDEX([3]Sheet1!$C$4:$Q$23,MATCH(K64,[3]Sheet1!$B$4:$B$23,1)+1,MATCH(D64,[3]Sheet1!$C$3:$Q$3,1))-INDEX([3]Sheet1!$C$4:$Q$23,
MATCH(K64,[3]Sheet1!$B$4:$B$23,1),MATCH(D64,[3]Sheet1!$C$3:$Q$3,1)))
+(D64-INDEX([3]Sheet1!$C$3:$Q$3,1,MATCH(D64,[3]Sheet1!$C$3:$Q$3)))/(INDEX([3]Sheet1!$C$3:$Q$3,1,MATCH(D64,[3]Sheet1!$C$3:$Q$3)+1)-INDEX([3]Sheet1!$C$3:$Q$3,1,MATCH(
D64,[3]Sheet1!$C$3:$Q$3)))*(INDEX([3]Sheet1!$C$4:$Q$23,MATCH(K64,[3]Sheet1!$B$4:$B$23,1),MATCH(D64,[3]Sheet1!$C$3:$Q$3,1)+1)-INDEX([3]Sheet1!$C$4:$Q$23,MATCH(K64,[3]Sheet1!$B$4:$B$23,1),MATCH(D64,[3]Sheet1!$C$3:$Q$3,1))))</f>
        <v>0</v>
      </c>
      <c r="M64" cm="1">
        <f t="array" ref="M64" xml:space="preserve"> IF(E64*J64=0,0,(INDEX([2]Sheet1!$C$4:$Q$23,MATCH(K64,[2]Sheet1!$B$4:$B$23,1),MATCH(D64,[2]Sheet1!$C$3:$Q$3,1))
+ (K64 - INDEX([2]Sheet1!$B$4:$B$23,MATCH(K64,[2]Sheet1!$B$4:$B$23,1),1))/(INDEX([2]Sheet1!$B$4:$B$23,MATCH(K64,[2]Sheet1!$B$4:$B$23,1)+1,1) - INDEX([2]Sheet1!$B$4:$B$23,MATCH(K64,[2]Sheet1!$B$4:$B$23,1),1))*(INDEX([2]Sheet1!$C$4:$Q$23,MATCH(K64,[2]Sheet1!$B$4:$B$23,1)+1,MATCH(D64,[2]Sheet1!$C$3:$Q$3,1)) - INDEX([2]Sheet1!$C$4:$Q$23,MATCH(K64,[2]Sheet1!$B$4:$B$23,1),MATCH(D64,[2]Sheet1!$C$3:$Q$3,1)))
+ (D64 - INDEX([2]Sheet1!$C$3:$Q$3,1,MATCH(D64,[2]Sheet1!$C$3:$Q$3)))/(INDEX([2]Sheet1!$C$3:$Q$3,1,MATCH(D64,[2]Sheet1!$C$3:$Q$3)+1) - INDEX([2]Sheet1!$C$3:$Q$3,1,MATCH(D64,[2]Sheet1!$C$3:$Q$3)))*(
INDEX([2]Sheet1!$C$4:$Q$23,MATCH(K64,[2]Sheet1!$B$4:$B$23,1),MATCH(D64,[2]Sheet1!$C$3:$Q$3,1)+1) - INDEX([2]Sheet1!$C$4:$Q$23,MATCH(K64,[2]Sheet1!$B$4:$B$23,1),MATCH(D64,[2]Sheet1!$C$3:$Q$3,1)))))</f>
        <v>0</v>
      </c>
      <c r="N64">
        <f t="shared" si="24"/>
        <v>12</v>
      </c>
      <c r="O64">
        <v>9.4450139374326308E-2</v>
      </c>
      <c r="P64" t="e">
        <f t="shared" si="27"/>
        <v>#DIV/0!</v>
      </c>
      <c r="Q64">
        <f t="shared" si="14"/>
        <v>0</v>
      </c>
      <c r="R64">
        <f t="shared" si="25"/>
        <v>741.9099431943954</v>
      </c>
      <c r="T64" t="e">
        <f t="shared" si="15"/>
        <v>#DIV/0!</v>
      </c>
      <c r="U64" t="e">
        <f t="shared" si="16"/>
        <v>#DIV/0!</v>
      </c>
      <c r="V64">
        <f t="shared" si="17"/>
        <v>0</v>
      </c>
      <c r="W64" t="e">
        <f t="shared" si="26"/>
        <v>#DIV/0!</v>
      </c>
    </row>
    <row r="65" spans="1:23" x14ac:dyDescent="0.55000000000000004">
      <c r="A65">
        <f t="shared" si="28"/>
        <v>3.1000000000000014</v>
      </c>
      <c r="B65">
        <f t="shared" si="18"/>
        <v>0.316</v>
      </c>
      <c r="C65">
        <f t="shared" si="19"/>
        <v>2.9782608695652164</v>
      </c>
      <c r="D65">
        <v>2.3857528904949006</v>
      </c>
      <c r="E65">
        <f t="shared" si="2"/>
        <v>0</v>
      </c>
      <c r="F65">
        <f t="shared" si="20"/>
        <v>4.8605058816845369E-2</v>
      </c>
      <c r="G65">
        <f t="shared" si="21"/>
        <v>39.513748498891111</v>
      </c>
      <c r="H65">
        <f t="shared" si="22"/>
        <v>0</v>
      </c>
      <c r="I65" s="1">
        <f t="shared" si="4"/>
        <v>0</v>
      </c>
      <c r="J65">
        <f t="shared" si="23"/>
        <v>0</v>
      </c>
      <c r="K65">
        <f t="shared" si="6"/>
        <v>0</v>
      </c>
      <c r="L65" cm="1">
        <f t="array" ref="L65">IF(E65*J65=0,0,$C$21*INDEX([3]Sheet1!$C$4:$Q$23,MATCH(K65,[3]Sheet1!$B$4:$B$23,1),MATCH(D65,[3]Sheet1!$C$3:$Q$3,1))
+(K65-INDEX([3]Sheet1!$B$4:$B$23,MATCH(K65,[3]Sheet1!$B$4:$B$23,1),1))/(INDEX([3]Sheet1!$B$4:$B$23,MATCH(K65,[3]Sheet1!$B$4:$B$23,1)+1,1)-INDEX([3]Sheet1!$B$4:$B$23,
MATCH(K65,[3]Sheet1!$B$4:$B$23,1),1))*(INDEX([3]Sheet1!$C$4:$Q$23,MATCH(K65,[3]Sheet1!$B$4:$B$23,1)+1,MATCH(D65,[3]Sheet1!$C$3:$Q$3,1))-INDEX([3]Sheet1!$C$4:$Q$23,
MATCH(K65,[3]Sheet1!$B$4:$B$23,1),MATCH(D65,[3]Sheet1!$C$3:$Q$3,1)))
+(D65-INDEX([3]Sheet1!$C$3:$Q$3,1,MATCH(D65,[3]Sheet1!$C$3:$Q$3)))/(INDEX([3]Sheet1!$C$3:$Q$3,1,MATCH(D65,[3]Sheet1!$C$3:$Q$3)+1)-INDEX([3]Sheet1!$C$3:$Q$3,1,MATCH(
D65,[3]Sheet1!$C$3:$Q$3)))*(INDEX([3]Sheet1!$C$4:$Q$23,MATCH(K65,[3]Sheet1!$B$4:$B$23,1),MATCH(D65,[3]Sheet1!$C$3:$Q$3,1)+1)-INDEX([3]Sheet1!$C$4:$Q$23,MATCH(K65,[3]Sheet1!$B$4:$B$23,1),MATCH(D65,[3]Sheet1!$C$3:$Q$3,1))))</f>
        <v>0</v>
      </c>
      <c r="M65" cm="1">
        <f t="array" ref="M65" xml:space="preserve"> IF(E65*J65=0,0,(INDEX([2]Sheet1!$C$4:$Q$23,MATCH(K65,[2]Sheet1!$B$4:$B$23,1),MATCH(D65,[2]Sheet1!$C$3:$Q$3,1))
+ (K65 - INDEX([2]Sheet1!$B$4:$B$23,MATCH(K65,[2]Sheet1!$B$4:$B$23,1),1))/(INDEX([2]Sheet1!$B$4:$B$23,MATCH(K65,[2]Sheet1!$B$4:$B$23,1)+1,1) - INDEX([2]Sheet1!$B$4:$B$23,MATCH(K65,[2]Sheet1!$B$4:$B$23,1),1))*(INDEX([2]Sheet1!$C$4:$Q$23,MATCH(K65,[2]Sheet1!$B$4:$B$23,1)+1,MATCH(D65,[2]Sheet1!$C$3:$Q$3,1)) - INDEX([2]Sheet1!$C$4:$Q$23,MATCH(K65,[2]Sheet1!$B$4:$B$23,1),MATCH(D65,[2]Sheet1!$C$3:$Q$3,1)))
+ (D65 - INDEX([2]Sheet1!$C$3:$Q$3,1,MATCH(D65,[2]Sheet1!$C$3:$Q$3)))/(INDEX([2]Sheet1!$C$3:$Q$3,1,MATCH(D65,[2]Sheet1!$C$3:$Q$3)+1) - INDEX([2]Sheet1!$C$3:$Q$3,1,MATCH(D65,[2]Sheet1!$C$3:$Q$3)))*(
INDEX([2]Sheet1!$C$4:$Q$23,MATCH(K65,[2]Sheet1!$B$4:$B$23,1),MATCH(D65,[2]Sheet1!$C$3:$Q$3,1)+1) - INDEX([2]Sheet1!$C$4:$Q$23,MATCH(K65,[2]Sheet1!$B$4:$B$23,1),MATCH(D65,[2]Sheet1!$C$3:$Q$3,1)))))</f>
        <v>0</v>
      </c>
      <c r="N65">
        <f t="shared" si="24"/>
        <v>12</v>
      </c>
      <c r="O65">
        <v>9.4288574358758925E-2</v>
      </c>
      <c r="P65" t="e">
        <f t="shared" si="27"/>
        <v>#DIV/0!</v>
      </c>
      <c r="Q65">
        <f t="shared" si="14"/>
        <v>0</v>
      </c>
      <c r="R65">
        <f t="shared" si="25"/>
        <v>741.9099431943954</v>
      </c>
      <c r="T65" t="e">
        <f t="shared" si="15"/>
        <v>#DIV/0!</v>
      </c>
      <c r="U65" t="e">
        <f t="shared" si="16"/>
        <v>#DIV/0!</v>
      </c>
      <c r="V65">
        <f t="shared" si="17"/>
        <v>0</v>
      </c>
      <c r="W65" t="e">
        <f t="shared" si="26"/>
        <v>#DIV/0!</v>
      </c>
    </row>
    <row r="66" spans="1:23" x14ac:dyDescent="0.55000000000000004">
      <c r="A66">
        <f t="shared" si="28"/>
        <v>3.2000000000000015</v>
      </c>
      <c r="B66">
        <f t="shared" si="18"/>
        <v>0.316</v>
      </c>
      <c r="C66">
        <f t="shared" si="19"/>
        <v>2.9130434782608683</v>
      </c>
      <c r="D66">
        <v>2.3804777786351927</v>
      </c>
      <c r="E66">
        <f t="shared" si="2"/>
        <v>0</v>
      </c>
      <c r="F66">
        <f t="shared" si="20"/>
        <v>4.8605058816845369E-2</v>
      </c>
      <c r="G66">
        <f t="shared" si="21"/>
        <v>39.513748498891111</v>
      </c>
      <c r="H66">
        <f t="shared" si="22"/>
        <v>0</v>
      </c>
      <c r="I66" s="1">
        <f t="shared" si="4"/>
        <v>0</v>
      </c>
      <c r="J66">
        <f t="shared" si="23"/>
        <v>0</v>
      </c>
      <c r="K66">
        <f t="shared" si="6"/>
        <v>0</v>
      </c>
      <c r="L66" cm="1">
        <f t="array" ref="L66">IF(E66*J66=0,0,$C$21*INDEX([3]Sheet1!$C$4:$Q$23,MATCH(K66,[3]Sheet1!$B$4:$B$23,1),MATCH(D66,[3]Sheet1!$C$3:$Q$3,1))
+(K66-INDEX([3]Sheet1!$B$4:$B$23,MATCH(K66,[3]Sheet1!$B$4:$B$23,1),1))/(INDEX([3]Sheet1!$B$4:$B$23,MATCH(K66,[3]Sheet1!$B$4:$B$23,1)+1,1)-INDEX([3]Sheet1!$B$4:$B$23,
MATCH(K66,[3]Sheet1!$B$4:$B$23,1),1))*(INDEX([3]Sheet1!$C$4:$Q$23,MATCH(K66,[3]Sheet1!$B$4:$B$23,1)+1,MATCH(D66,[3]Sheet1!$C$3:$Q$3,1))-INDEX([3]Sheet1!$C$4:$Q$23,
MATCH(K66,[3]Sheet1!$B$4:$B$23,1),MATCH(D66,[3]Sheet1!$C$3:$Q$3,1)))
+(D66-INDEX([3]Sheet1!$C$3:$Q$3,1,MATCH(D66,[3]Sheet1!$C$3:$Q$3)))/(INDEX([3]Sheet1!$C$3:$Q$3,1,MATCH(D66,[3]Sheet1!$C$3:$Q$3)+1)-INDEX([3]Sheet1!$C$3:$Q$3,1,MATCH(
D66,[3]Sheet1!$C$3:$Q$3)))*(INDEX([3]Sheet1!$C$4:$Q$23,MATCH(K66,[3]Sheet1!$B$4:$B$23,1),MATCH(D66,[3]Sheet1!$C$3:$Q$3,1)+1)-INDEX([3]Sheet1!$C$4:$Q$23,MATCH(K66,[3]Sheet1!$B$4:$B$23,1),MATCH(D66,[3]Sheet1!$C$3:$Q$3,1))))</f>
        <v>0</v>
      </c>
      <c r="M66" cm="1">
        <f t="array" ref="M66" xml:space="preserve"> IF(E66*J66=0,0,(INDEX([2]Sheet1!$C$4:$Q$23,MATCH(K66,[2]Sheet1!$B$4:$B$23,1),MATCH(D66,[2]Sheet1!$C$3:$Q$3,1))
+ (K66 - INDEX([2]Sheet1!$B$4:$B$23,MATCH(K66,[2]Sheet1!$B$4:$B$23,1),1))/(INDEX([2]Sheet1!$B$4:$B$23,MATCH(K66,[2]Sheet1!$B$4:$B$23,1)+1,1) - INDEX([2]Sheet1!$B$4:$B$23,MATCH(K66,[2]Sheet1!$B$4:$B$23,1),1))*(INDEX([2]Sheet1!$C$4:$Q$23,MATCH(K66,[2]Sheet1!$B$4:$B$23,1)+1,MATCH(D66,[2]Sheet1!$C$3:$Q$3,1)) - INDEX([2]Sheet1!$C$4:$Q$23,MATCH(K66,[2]Sheet1!$B$4:$B$23,1),MATCH(D66,[2]Sheet1!$C$3:$Q$3,1)))
+ (D66 - INDEX([2]Sheet1!$C$3:$Q$3,1,MATCH(D66,[2]Sheet1!$C$3:$Q$3)))/(INDEX([2]Sheet1!$C$3:$Q$3,1,MATCH(D66,[2]Sheet1!$C$3:$Q$3)+1) - INDEX([2]Sheet1!$C$3:$Q$3,1,MATCH(D66,[2]Sheet1!$C$3:$Q$3)))*(
INDEX([2]Sheet1!$C$4:$Q$23,MATCH(K66,[2]Sheet1!$B$4:$B$23,1),MATCH(D66,[2]Sheet1!$C$3:$Q$3,1)+1) - INDEX([2]Sheet1!$C$4:$Q$23,MATCH(K66,[2]Sheet1!$B$4:$B$23,1),MATCH(D66,[2]Sheet1!$C$3:$Q$3,1)))))</f>
        <v>0</v>
      </c>
      <c r="N66">
        <f t="shared" si="24"/>
        <v>12</v>
      </c>
      <c r="O66">
        <v>9.4126591106590538E-2</v>
      </c>
      <c r="P66" t="e">
        <f t="shared" si="27"/>
        <v>#DIV/0!</v>
      </c>
      <c r="Q66">
        <f t="shared" si="14"/>
        <v>0</v>
      </c>
      <c r="R66">
        <f t="shared" si="25"/>
        <v>741.9099431943954</v>
      </c>
      <c r="T66" t="e">
        <f t="shared" si="15"/>
        <v>#DIV/0!</v>
      </c>
      <c r="U66" t="e">
        <f t="shared" si="16"/>
        <v>#DIV/0!</v>
      </c>
      <c r="V66">
        <f t="shared" si="17"/>
        <v>0</v>
      </c>
      <c r="W66" t="e">
        <f t="shared" si="26"/>
        <v>#DIV/0!</v>
      </c>
    </row>
    <row r="67" spans="1:23" x14ac:dyDescent="0.55000000000000004">
      <c r="A67">
        <f t="shared" si="28"/>
        <v>3.3000000000000016</v>
      </c>
      <c r="B67">
        <f t="shared" si="18"/>
        <v>0.316</v>
      </c>
      <c r="C67">
        <f t="shared" si="19"/>
        <v>2.8478260869565202</v>
      </c>
      <c r="D67">
        <v>2.3752236754177329</v>
      </c>
      <c r="E67">
        <f t="shared" si="2"/>
        <v>0</v>
      </c>
      <c r="F67">
        <f t="shared" si="20"/>
        <v>4.8605058816845369E-2</v>
      </c>
      <c r="G67">
        <f t="shared" si="21"/>
        <v>39.513748498891111</v>
      </c>
      <c r="H67">
        <f t="shared" si="22"/>
        <v>0</v>
      </c>
      <c r="I67" s="1">
        <f t="shared" si="4"/>
        <v>0</v>
      </c>
      <c r="J67">
        <f t="shared" si="23"/>
        <v>0</v>
      </c>
      <c r="K67">
        <f t="shared" si="6"/>
        <v>0</v>
      </c>
      <c r="L67" cm="1">
        <f t="array" ref="L67">IF(E67*J67=0,0,$C$21*INDEX([3]Sheet1!$C$4:$Q$23,MATCH(K67,[3]Sheet1!$B$4:$B$23,1),MATCH(D67,[3]Sheet1!$C$3:$Q$3,1))
+(K67-INDEX([3]Sheet1!$B$4:$B$23,MATCH(K67,[3]Sheet1!$B$4:$B$23,1),1))/(INDEX([3]Sheet1!$B$4:$B$23,MATCH(K67,[3]Sheet1!$B$4:$B$23,1)+1,1)-INDEX([3]Sheet1!$B$4:$B$23,
MATCH(K67,[3]Sheet1!$B$4:$B$23,1),1))*(INDEX([3]Sheet1!$C$4:$Q$23,MATCH(K67,[3]Sheet1!$B$4:$B$23,1)+1,MATCH(D67,[3]Sheet1!$C$3:$Q$3,1))-INDEX([3]Sheet1!$C$4:$Q$23,
MATCH(K67,[3]Sheet1!$B$4:$B$23,1),MATCH(D67,[3]Sheet1!$C$3:$Q$3,1)))
+(D67-INDEX([3]Sheet1!$C$3:$Q$3,1,MATCH(D67,[3]Sheet1!$C$3:$Q$3)))/(INDEX([3]Sheet1!$C$3:$Q$3,1,MATCH(D67,[3]Sheet1!$C$3:$Q$3)+1)-INDEX([3]Sheet1!$C$3:$Q$3,1,MATCH(
D67,[3]Sheet1!$C$3:$Q$3)))*(INDEX([3]Sheet1!$C$4:$Q$23,MATCH(K67,[3]Sheet1!$B$4:$B$23,1),MATCH(D67,[3]Sheet1!$C$3:$Q$3,1)+1)-INDEX([3]Sheet1!$C$4:$Q$23,MATCH(K67,[3]Sheet1!$B$4:$B$23,1),MATCH(D67,[3]Sheet1!$C$3:$Q$3,1))))</f>
        <v>0</v>
      </c>
      <c r="M67" cm="1">
        <f t="array" ref="M67" xml:space="preserve"> IF(E67*J67=0,0,(INDEX([2]Sheet1!$C$4:$Q$23,MATCH(K67,[2]Sheet1!$B$4:$B$23,1),MATCH(D67,[2]Sheet1!$C$3:$Q$3,1))
+ (K67 - INDEX([2]Sheet1!$B$4:$B$23,MATCH(K67,[2]Sheet1!$B$4:$B$23,1),1))/(INDEX([2]Sheet1!$B$4:$B$23,MATCH(K67,[2]Sheet1!$B$4:$B$23,1)+1,1) - INDEX([2]Sheet1!$B$4:$B$23,MATCH(K67,[2]Sheet1!$B$4:$B$23,1),1))*(INDEX([2]Sheet1!$C$4:$Q$23,MATCH(K67,[2]Sheet1!$B$4:$B$23,1)+1,MATCH(D67,[2]Sheet1!$C$3:$Q$3,1)) - INDEX([2]Sheet1!$C$4:$Q$23,MATCH(K67,[2]Sheet1!$B$4:$B$23,1),MATCH(D67,[2]Sheet1!$C$3:$Q$3,1)))
+ (D67 - INDEX([2]Sheet1!$C$3:$Q$3,1,MATCH(D67,[2]Sheet1!$C$3:$Q$3)))/(INDEX([2]Sheet1!$C$3:$Q$3,1,MATCH(D67,[2]Sheet1!$C$3:$Q$3)+1) - INDEX([2]Sheet1!$C$3:$Q$3,1,MATCH(D67,[2]Sheet1!$C$3:$Q$3)))*(
INDEX([2]Sheet1!$C$4:$Q$23,MATCH(K67,[2]Sheet1!$B$4:$B$23,1),MATCH(D67,[2]Sheet1!$C$3:$Q$3,1)+1) - INDEX([2]Sheet1!$C$4:$Q$23,MATCH(K67,[2]Sheet1!$B$4:$B$23,1),MATCH(D67,[2]Sheet1!$C$3:$Q$3,1)))))</f>
        <v>0</v>
      </c>
      <c r="N67">
        <f t="shared" si="24"/>
        <v>12</v>
      </c>
      <c r="O67">
        <v>9.3964185488723762E-2</v>
      </c>
      <c r="P67" t="e">
        <f t="shared" si="27"/>
        <v>#DIV/0!</v>
      </c>
      <c r="Q67">
        <f t="shared" si="14"/>
        <v>0</v>
      </c>
      <c r="R67">
        <f t="shared" si="25"/>
        <v>741.9099431943954</v>
      </c>
      <c r="T67" t="e">
        <f t="shared" si="15"/>
        <v>#DIV/0!</v>
      </c>
      <c r="U67" t="e">
        <f t="shared" si="16"/>
        <v>#DIV/0!</v>
      </c>
      <c r="V67">
        <f t="shared" si="17"/>
        <v>0</v>
      </c>
      <c r="W67" t="e">
        <f t="shared" si="26"/>
        <v>#DIV/0!</v>
      </c>
    </row>
    <row r="68" spans="1:23" x14ac:dyDescent="0.55000000000000004">
      <c r="A68">
        <f t="shared" si="28"/>
        <v>3.4000000000000017</v>
      </c>
      <c r="B68">
        <f t="shared" si="18"/>
        <v>0.316</v>
      </c>
      <c r="C68">
        <f t="shared" si="19"/>
        <v>2.7826086956521729</v>
      </c>
      <c r="D68">
        <v>2.3699899501376587</v>
      </c>
      <c r="E68">
        <f t="shared" si="2"/>
        <v>0</v>
      </c>
      <c r="F68">
        <f t="shared" si="20"/>
        <v>4.8605058816845369E-2</v>
      </c>
      <c r="G68">
        <f t="shared" si="21"/>
        <v>39.513748498891111</v>
      </c>
      <c r="H68">
        <f t="shared" si="22"/>
        <v>0</v>
      </c>
      <c r="I68" s="1">
        <f t="shared" si="4"/>
        <v>0</v>
      </c>
      <c r="J68">
        <f t="shared" si="23"/>
        <v>0</v>
      </c>
      <c r="K68">
        <f t="shared" si="6"/>
        <v>0</v>
      </c>
      <c r="L68" cm="1">
        <f t="array" ref="L68">IF(E68*J68=0,0,$C$21*INDEX([3]Sheet1!$C$4:$Q$23,MATCH(K68,[3]Sheet1!$B$4:$B$23,1),MATCH(D68,[3]Sheet1!$C$3:$Q$3,1))
+(K68-INDEX([3]Sheet1!$B$4:$B$23,MATCH(K68,[3]Sheet1!$B$4:$B$23,1),1))/(INDEX([3]Sheet1!$B$4:$B$23,MATCH(K68,[3]Sheet1!$B$4:$B$23,1)+1,1)-INDEX([3]Sheet1!$B$4:$B$23,
MATCH(K68,[3]Sheet1!$B$4:$B$23,1),1))*(INDEX([3]Sheet1!$C$4:$Q$23,MATCH(K68,[3]Sheet1!$B$4:$B$23,1)+1,MATCH(D68,[3]Sheet1!$C$3:$Q$3,1))-INDEX([3]Sheet1!$C$4:$Q$23,
MATCH(K68,[3]Sheet1!$B$4:$B$23,1),MATCH(D68,[3]Sheet1!$C$3:$Q$3,1)))
+(D68-INDEX([3]Sheet1!$C$3:$Q$3,1,MATCH(D68,[3]Sheet1!$C$3:$Q$3)))/(INDEX([3]Sheet1!$C$3:$Q$3,1,MATCH(D68,[3]Sheet1!$C$3:$Q$3)+1)-INDEX([3]Sheet1!$C$3:$Q$3,1,MATCH(
D68,[3]Sheet1!$C$3:$Q$3)))*(INDEX([3]Sheet1!$C$4:$Q$23,MATCH(K68,[3]Sheet1!$B$4:$B$23,1),MATCH(D68,[3]Sheet1!$C$3:$Q$3,1)+1)-INDEX([3]Sheet1!$C$4:$Q$23,MATCH(K68,[3]Sheet1!$B$4:$B$23,1),MATCH(D68,[3]Sheet1!$C$3:$Q$3,1))))</f>
        <v>0</v>
      </c>
      <c r="M68" cm="1">
        <f t="array" ref="M68" xml:space="preserve"> IF(E68*J68=0,0,(INDEX([2]Sheet1!$C$4:$Q$23,MATCH(K68,[2]Sheet1!$B$4:$B$23,1),MATCH(D68,[2]Sheet1!$C$3:$Q$3,1))
+ (K68 - INDEX([2]Sheet1!$B$4:$B$23,MATCH(K68,[2]Sheet1!$B$4:$B$23,1),1))/(INDEX([2]Sheet1!$B$4:$B$23,MATCH(K68,[2]Sheet1!$B$4:$B$23,1)+1,1) - INDEX([2]Sheet1!$B$4:$B$23,MATCH(K68,[2]Sheet1!$B$4:$B$23,1),1))*(INDEX([2]Sheet1!$C$4:$Q$23,MATCH(K68,[2]Sheet1!$B$4:$B$23,1)+1,MATCH(D68,[2]Sheet1!$C$3:$Q$3,1)) - INDEX([2]Sheet1!$C$4:$Q$23,MATCH(K68,[2]Sheet1!$B$4:$B$23,1),MATCH(D68,[2]Sheet1!$C$3:$Q$3,1)))
+ (D68 - INDEX([2]Sheet1!$C$3:$Q$3,1,MATCH(D68,[2]Sheet1!$C$3:$Q$3)))/(INDEX([2]Sheet1!$C$3:$Q$3,1,MATCH(D68,[2]Sheet1!$C$3:$Q$3)+1) - INDEX([2]Sheet1!$C$3:$Q$3,1,MATCH(D68,[2]Sheet1!$C$3:$Q$3)))*(
INDEX([2]Sheet1!$C$4:$Q$23,MATCH(K68,[2]Sheet1!$B$4:$B$23,1),MATCH(D68,[2]Sheet1!$C$3:$Q$3,1)+1) - INDEX([2]Sheet1!$C$4:$Q$23,MATCH(K68,[2]Sheet1!$B$4:$B$23,1),MATCH(D68,[2]Sheet1!$C$3:$Q$3,1)))))</f>
        <v>0</v>
      </c>
      <c r="N68">
        <f t="shared" si="24"/>
        <v>12</v>
      </c>
      <c r="O68">
        <v>9.3801376449414511E-2</v>
      </c>
      <c r="P68" t="e">
        <f t="shared" si="27"/>
        <v>#DIV/0!</v>
      </c>
      <c r="Q68">
        <f t="shared" si="14"/>
        <v>0</v>
      </c>
      <c r="R68">
        <f t="shared" si="25"/>
        <v>741.9099431943954</v>
      </c>
      <c r="T68" t="e">
        <f t="shared" si="15"/>
        <v>#DIV/0!</v>
      </c>
      <c r="U68" t="e">
        <f t="shared" si="16"/>
        <v>#DIV/0!</v>
      </c>
      <c r="V68">
        <f t="shared" si="17"/>
        <v>0</v>
      </c>
      <c r="W68" t="e">
        <f t="shared" si="26"/>
        <v>#DIV/0!</v>
      </c>
    </row>
    <row r="69" spans="1:23" x14ac:dyDescent="0.55000000000000004">
      <c r="A69">
        <f t="shared" si="28"/>
        <v>3.5000000000000018</v>
      </c>
      <c r="B69">
        <f t="shared" si="18"/>
        <v>0.316</v>
      </c>
      <c r="C69">
        <f t="shared" si="19"/>
        <v>2.7173913043478248</v>
      </c>
      <c r="D69">
        <v>2.3647753275160448</v>
      </c>
      <c r="E69">
        <f t="shared" si="2"/>
        <v>0</v>
      </c>
      <c r="F69">
        <f t="shared" si="20"/>
        <v>4.8605058816845369E-2</v>
      </c>
      <c r="G69">
        <f t="shared" si="21"/>
        <v>39.513748498891111</v>
      </c>
      <c r="H69">
        <f t="shared" si="22"/>
        <v>0</v>
      </c>
      <c r="I69" s="1">
        <f t="shared" si="4"/>
        <v>0</v>
      </c>
      <c r="J69">
        <f t="shared" si="23"/>
        <v>0</v>
      </c>
      <c r="K69">
        <f t="shared" si="6"/>
        <v>0</v>
      </c>
      <c r="L69" cm="1">
        <f t="array" ref="L69">IF(E69*J69=0,0,$C$21*INDEX([3]Sheet1!$C$4:$Q$23,MATCH(K69,[3]Sheet1!$B$4:$B$23,1),MATCH(D69,[3]Sheet1!$C$3:$Q$3,1))
+(K69-INDEX([3]Sheet1!$B$4:$B$23,MATCH(K69,[3]Sheet1!$B$4:$B$23,1),1))/(INDEX([3]Sheet1!$B$4:$B$23,MATCH(K69,[3]Sheet1!$B$4:$B$23,1)+1,1)-INDEX([3]Sheet1!$B$4:$B$23,
MATCH(K69,[3]Sheet1!$B$4:$B$23,1),1))*(INDEX([3]Sheet1!$C$4:$Q$23,MATCH(K69,[3]Sheet1!$B$4:$B$23,1)+1,MATCH(D69,[3]Sheet1!$C$3:$Q$3,1))-INDEX([3]Sheet1!$C$4:$Q$23,
MATCH(K69,[3]Sheet1!$B$4:$B$23,1),MATCH(D69,[3]Sheet1!$C$3:$Q$3,1)))
+(D69-INDEX([3]Sheet1!$C$3:$Q$3,1,MATCH(D69,[3]Sheet1!$C$3:$Q$3)))/(INDEX([3]Sheet1!$C$3:$Q$3,1,MATCH(D69,[3]Sheet1!$C$3:$Q$3)+1)-INDEX([3]Sheet1!$C$3:$Q$3,1,MATCH(
D69,[3]Sheet1!$C$3:$Q$3)))*(INDEX([3]Sheet1!$C$4:$Q$23,MATCH(K69,[3]Sheet1!$B$4:$B$23,1),MATCH(D69,[3]Sheet1!$C$3:$Q$3,1)+1)-INDEX([3]Sheet1!$C$4:$Q$23,MATCH(K69,[3]Sheet1!$B$4:$B$23,1),MATCH(D69,[3]Sheet1!$C$3:$Q$3,1))))</f>
        <v>0</v>
      </c>
      <c r="M69" cm="1">
        <f t="array" ref="M69" xml:space="preserve"> IF(E69*J69=0,0,(INDEX([2]Sheet1!$C$4:$Q$23,MATCH(K69,[2]Sheet1!$B$4:$B$23,1),MATCH(D69,[2]Sheet1!$C$3:$Q$3,1))
+ (K69 - INDEX([2]Sheet1!$B$4:$B$23,MATCH(K69,[2]Sheet1!$B$4:$B$23,1),1))/(INDEX([2]Sheet1!$B$4:$B$23,MATCH(K69,[2]Sheet1!$B$4:$B$23,1)+1,1) - INDEX([2]Sheet1!$B$4:$B$23,MATCH(K69,[2]Sheet1!$B$4:$B$23,1),1))*(INDEX([2]Sheet1!$C$4:$Q$23,MATCH(K69,[2]Sheet1!$B$4:$B$23,1)+1,MATCH(D69,[2]Sheet1!$C$3:$Q$3,1)) - INDEX([2]Sheet1!$C$4:$Q$23,MATCH(K69,[2]Sheet1!$B$4:$B$23,1),MATCH(D69,[2]Sheet1!$C$3:$Q$3,1)))
+ (D69 - INDEX([2]Sheet1!$C$3:$Q$3,1,MATCH(D69,[2]Sheet1!$C$3:$Q$3)))/(INDEX([2]Sheet1!$C$3:$Q$3,1,MATCH(D69,[2]Sheet1!$C$3:$Q$3)+1) - INDEX([2]Sheet1!$C$3:$Q$3,1,MATCH(D69,[2]Sheet1!$C$3:$Q$3)))*(
INDEX([2]Sheet1!$C$4:$Q$23,MATCH(K69,[2]Sheet1!$B$4:$B$23,1),MATCH(D69,[2]Sheet1!$C$3:$Q$3,1)+1) - INDEX([2]Sheet1!$C$4:$Q$23,MATCH(K69,[2]Sheet1!$B$4:$B$23,1),MATCH(D69,[2]Sheet1!$C$3:$Q$3,1)))))</f>
        <v>0</v>
      </c>
      <c r="N69">
        <f t="shared" si="24"/>
        <v>12</v>
      </c>
      <c r="O69">
        <v>9.3638156316477011E-2</v>
      </c>
      <c r="P69" t="e">
        <f t="shared" si="27"/>
        <v>#DIV/0!</v>
      </c>
      <c r="Q69">
        <f t="shared" si="14"/>
        <v>0</v>
      </c>
      <c r="R69">
        <f t="shared" si="25"/>
        <v>741.9099431943954</v>
      </c>
      <c r="T69" t="e">
        <f t="shared" si="15"/>
        <v>#DIV/0!</v>
      </c>
      <c r="U69" t="e">
        <f t="shared" si="16"/>
        <v>#DIV/0!</v>
      </c>
      <c r="V69">
        <f t="shared" si="17"/>
        <v>0</v>
      </c>
      <c r="W69" t="e">
        <f t="shared" si="26"/>
        <v>#DIV/0!</v>
      </c>
    </row>
    <row r="70" spans="1:23" x14ac:dyDescent="0.55000000000000004">
      <c r="A70">
        <f t="shared" si="28"/>
        <v>3.6000000000000019</v>
      </c>
      <c r="B70">
        <f t="shared" si="18"/>
        <v>0.316</v>
      </c>
      <c r="C70">
        <f t="shared" si="19"/>
        <v>2.6521739130434767</v>
      </c>
      <c r="D70">
        <v>2.359578830124855</v>
      </c>
      <c r="E70">
        <f t="shared" si="2"/>
        <v>0</v>
      </c>
      <c r="F70">
        <f t="shared" si="20"/>
        <v>4.8605058816845369E-2</v>
      </c>
      <c r="G70">
        <f t="shared" si="21"/>
        <v>39.513748498891111</v>
      </c>
      <c r="H70">
        <f t="shared" si="22"/>
        <v>0</v>
      </c>
      <c r="I70" s="1">
        <f t="shared" si="4"/>
        <v>0</v>
      </c>
      <c r="J70">
        <f t="shared" si="23"/>
        <v>0</v>
      </c>
      <c r="K70">
        <f t="shared" si="6"/>
        <v>0</v>
      </c>
      <c r="L70" cm="1">
        <f t="array" ref="L70">IF(E70*J70=0,0,$C$21*INDEX([3]Sheet1!$C$4:$Q$23,MATCH(K70,[3]Sheet1!$B$4:$B$23,1),MATCH(D70,[3]Sheet1!$C$3:$Q$3,1))
+(K70-INDEX([3]Sheet1!$B$4:$B$23,MATCH(K70,[3]Sheet1!$B$4:$B$23,1),1))/(INDEX([3]Sheet1!$B$4:$B$23,MATCH(K70,[3]Sheet1!$B$4:$B$23,1)+1,1)-INDEX([3]Sheet1!$B$4:$B$23,
MATCH(K70,[3]Sheet1!$B$4:$B$23,1),1))*(INDEX([3]Sheet1!$C$4:$Q$23,MATCH(K70,[3]Sheet1!$B$4:$B$23,1)+1,MATCH(D70,[3]Sheet1!$C$3:$Q$3,1))-INDEX([3]Sheet1!$C$4:$Q$23,
MATCH(K70,[3]Sheet1!$B$4:$B$23,1),MATCH(D70,[3]Sheet1!$C$3:$Q$3,1)))
+(D70-INDEX([3]Sheet1!$C$3:$Q$3,1,MATCH(D70,[3]Sheet1!$C$3:$Q$3)))/(INDEX([3]Sheet1!$C$3:$Q$3,1,MATCH(D70,[3]Sheet1!$C$3:$Q$3)+1)-INDEX([3]Sheet1!$C$3:$Q$3,1,MATCH(
D70,[3]Sheet1!$C$3:$Q$3)))*(INDEX([3]Sheet1!$C$4:$Q$23,MATCH(K70,[3]Sheet1!$B$4:$B$23,1),MATCH(D70,[3]Sheet1!$C$3:$Q$3,1)+1)-INDEX([3]Sheet1!$C$4:$Q$23,MATCH(K70,[3]Sheet1!$B$4:$B$23,1),MATCH(D70,[3]Sheet1!$C$3:$Q$3,1))))</f>
        <v>0</v>
      </c>
      <c r="M70" cm="1">
        <f t="array" ref="M70" xml:space="preserve"> IF(E70*J70=0,0,(INDEX([2]Sheet1!$C$4:$Q$23,MATCH(K70,[2]Sheet1!$B$4:$B$23,1),MATCH(D70,[2]Sheet1!$C$3:$Q$3,1))
+ (K70 - INDEX([2]Sheet1!$B$4:$B$23,MATCH(K70,[2]Sheet1!$B$4:$B$23,1),1))/(INDEX([2]Sheet1!$B$4:$B$23,MATCH(K70,[2]Sheet1!$B$4:$B$23,1)+1,1) - INDEX([2]Sheet1!$B$4:$B$23,MATCH(K70,[2]Sheet1!$B$4:$B$23,1),1))*(INDEX([2]Sheet1!$C$4:$Q$23,MATCH(K70,[2]Sheet1!$B$4:$B$23,1)+1,MATCH(D70,[2]Sheet1!$C$3:$Q$3,1)) - INDEX([2]Sheet1!$C$4:$Q$23,MATCH(K70,[2]Sheet1!$B$4:$B$23,1),MATCH(D70,[2]Sheet1!$C$3:$Q$3,1)))
+ (D70 - INDEX([2]Sheet1!$C$3:$Q$3,1,MATCH(D70,[2]Sheet1!$C$3:$Q$3)))/(INDEX([2]Sheet1!$C$3:$Q$3,1,MATCH(D70,[2]Sheet1!$C$3:$Q$3)+1) - INDEX([2]Sheet1!$C$3:$Q$3,1,MATCH(D70,[2]Sheet1!$C$3:$Q$3)))*(
INDEX([2]Sheet1!$C$4:$Q$23,MATCH(K70,[2]Sheet1!$B$4:$B$23,1),MATCH(D70,[2]Sheet1!$C$3:$Q$3,1)+1) - INDEX([2]Sheet1!$C$4:$Q$23,MATCH(K70,[2]Sheet1!$B$4:$B$23,1),MATCH(D70,[2]Sheet1!$C$3:$Q$3,1)))))</f>
        <v>0</v>
      </c>
      <c r="N70">
        <f t="shared" si="24"/>
        <v>12</v>
      </c>
      <c r="O70">
        <v>9.3474526410366243E-2</v>
      </c>
      <c r="P70" t="e">
        <f t="shared" si="27"/>
        <v>#DIV/0!</v>
      </c>
      <c r="Q70">
        <f t="shared" si="14"/>
        <v>0</v>
      </c>
      <c r="R70">
        <f t="shared" si="25"/>
        <v>741.9099431943954</v>
      </c>
      <c r="T70" t="e">
        <f t="shared" si="15"/>
        <v>#DIV/0!</v>
      </c>
      <c r="U70" t="e">
        <f t="shared" si="16"/>
        <v>#DIV/0!</v>
      </c>
      <c r="V70">
        <f t="shared" si="17"/>
        <v>0</v>
      </c>
      <c r="W70" t="e">
        <f t="shared" si="26"/>
        <v>#DIV/0!</v>
      </c>
    </row>
    <row r="71" spans="1:23" x14ac:dyDescent="0.55000000000000004">
      <c r="A71">
        <f t="shared" si="28"/>
        <v>3.700000000000002</v>
      </c>
      <c r="B71">
        <f t="shared" si="18"/>
        <v>0.316</v>
      </c>
      <c r="C71">
        <f t="shared" si="19"/>
        <v>2.586956521739129</v>
      </c>
      <c r="D71">
        <v>2.3543995354092786</v>
      </c>
      <c r="E71">
        <f t="shared" si="2"/>
        <v>0</v>
      </c>
      <c r="F71">
        <f t="shared" si="20"/>
        <v>4.8605058816845369E-2</v>
      </c>
      <c r="G71">
        <f t="shared" si="21"/>
        <v>39.513748498891111</v>
      </c>
      <c r="H71">
        <f t="shared" si="22"/>
        <v>0</v>
      </c>
      <c r="I71" s="1">
        <f t="shared" si="4"/>
        <v>0</v>
      </c>
      <c r="J71">
        <f t="shared" si="23"/>
        <v>0</v>
      </c>
      <c r="K71">
        <f t="shared" si="6"/>
        <v>0</v>
      </c>
      <c r="L71" cm="1">
        <f t="array" ref="L71">IF(E71*J71=0,0,$C$21*INDEX([3]Sheet1!$C$4:$Q$23,MATCH(K71,[3]Sheet1!$B$4:$B$23,1),MATCH(D71,[3]Sheet1!$C$3:$Q$3,1))
+(K71-INDEX([3]Sheet1!$B$4:$B$23,MATCH(K71,[3]Sheet1!$B$4:$B$23,1),1))/(INDEX([3]Sheet1!$B$4:$B$23,MATCH(K71,[3]Sheet1!$B$4:$B$23,1)+1,1)-INDEX([3]Sheet1!$B$4:$B$23,
MATCH(K71,[3]Sheet1!$B$4:$B$23,1),1))*(INDEX([3]Sheet1!$C$4:$Q$23,MATCH(K71,[3]Sheet1!$B$4:$B$23,1)+1,MATCH(D71,[3]Sheet1!$C$3:$Q$3,1))-INDEX([3]Sheet1!$C$4:$Q$23,
MATCH(K71,[3]Sheet1!$B$4:$B$23,1),MATCH(D71,[3]Sheet1!$C$3:$Q$3,1)))
+(D71-INDEX([3]Sheet1!$C$3:$Q$3,1,MATCH(D71,[3]Sheet1!$C$3:$Q$3)))/(INDEX([3]Sheet1!$C$3:$Q$3,1,MATCH(D71,[3]Sheet1!$C$3:$Q$3)+1)-INDEX([3]Sheet1!$C$3:$Q$3,1,MATCH(
D71,[3]Sheet1!$C$3:$Q$3)))*(INDEX([3]Sheet1!$C$4:$Q$23,MATCH(K71,[3]Sheet1!$B$4:$B$23,1),MATCH(D71,[3]Sheet1!$C$3:$Q$3,1)+1)-INDEX([3]Sheet1!$C$4:$Q$23,MATCH(K71,[3]Sheet1!$B$4:$B$23,1),MATCH(D71,[3]Sheet1!$C$3:$Q$3,1))))</f>
        <v>0</v>
      </c>
      <c r="M71" cm="1">
        <f t="array" ref="M71" xml:space="preserve"> IF(E71*J71=0,0,(INDEX([2]Sheet1!$C$4:$Q$23,MATCH(K71,[2]Sheet1!$B$4:$B$23,1),MATCH(D71,[2]Sheet1!$C$3:$Q$3,1))
+ (K71 - INDEX([2]Sheet1!$B$4:$B$23,MATCH(K71,[2]Sheet1!$B$4:$B$23,1),1))/(INDEX([2]Sheet1!$B$4:$B$23,MATCH(K71,[2]Sheet1!$B$4:$B$23,1)+1,1) - INDEX([2]Sheet1!$B$4:$B$23,MATCH(K71,[2]Sheet1!$B$4:$B$23,1),1))*(INDEX([2]Sheet1!$C$4:$Q$23,MATCH(K71,[2]Sheet1!$B$4:$B$23,1)+1,MATCH(D71,[2]Sheet1!$C$3:$Q$3,1)) - INDEX([2]Sheet1!$C$4:$Q$23,MATCH(K71,[2]Sheet1!$B$4:$B$23,1),MATCH(D71,[2]Sheet1!$C$3:$Q$3,1)))
+ (D71 - INDEX([2]Sheet1!$C$3:$Q$3,1,MATCH(D71,[2]Sheet1!$C$3:$Q$3)))/(INDEX([2]Sheet1!$C$3:$Q$3,1,MATCH(D71,[2]Sheet1!$C$3:$Q$3)+1) - INDEX([2]Sheet1!$C$3:$Q$3,1,MATCH(D71,[2]Sheet1!$C$3:$Q$3)))*(
INDEX([2]Sheet1!$C$4:$Q$23,MATCH(K71,[2]Sheet1!$B$4:$B$23,1),MATCH(D71,[2]Sheet1!$C$3:$Q$3,1)+1) - INDEX([2]Sheet1!$C$4:$Q$23,MATCH(K71,[2]Sheet1!$B$4:$B$23,1),MATCH(D71,[2]Sheet1!$C$3:$Q$3,1)))))</f>
        <v>0</v>
      </c>
      <c r="N71">
        <f t="shared" si="24"/>
        <v>12</v>
      </c>
      <c r="O71">
        <v>9.3310488075392356E-2</v>
      </c>
      <c r="P71" t="e">
        <f t="shared" si="27"/>
        <v>#DIV/0!</v>
      </c>
      <c r="Q71">
        <f t="shared" si="14"/>
        <v>0</v>
      </c>
      <c r="R71">
        <f t="shared" si="25"/>
        <v>741.9099431943954</v>
      </c>
      <c r="T71" t="e">
        <f t="shared" si="15"/>
        <v>#DIV/0!</v>
      </c>
      <c r="U71" t="e">
        <f t="shared" si="16"/>
        <v>#DIV/0!</v>
      </c>
      <c r="V71">
        <f t="shared" si="17"/>
        <v>0</v>
      </c>
      <c r="W71" t="e">
        <f t="shared" si="26"/>
        <v>#DIV/0!</v>
      </c>
    </row>
    <row r="72" spans="1:23" x14ac:dyDescent="0.55000000000000004">
      <c r="A72">
        <f t="shared" si="28"/>
        <v>3.800000000000002</v>
      </c>
      <c r="B72">
        <f t="shared" si="18"/>
        <v>0.316</v>
      </c>
      <c r="C72">
        <f t="shared" si="19"/>
        <v>2.5217391304347814</v>
      </c>
      <c r="D72">
        <v>2.3492365715304628</v>
      </c>
      <c r="E72">
        <f t="shared" si="2"/>
        <v>0</v>
      </c>
      <c r="F72">
        <f t="shared" si="20"/>
        <v>4.8605058816845369E-2</v>
      </c>
      <c r="G72">
        <f t="shared" si="21"/>
        <v>39.513748498891111</v>
      </c>
      <c r="H72">
        <f t="shared" si="22"/>
        <v>0</v>
      </c>
      <c r="I72" s="1">
        <f t="shared" si="4"/>
        <v>0</v>
      </c>
      <c r="J72">
        <f t="shared" si="23"/>
        <v>0</v>
      </c>
      <c r="K72">
        <f t="shared" si="6"/>
        <v>0</v>
      </c>
      <c r="L72" cm="1">
        <f t="array" ref="L72">IF(E72*J72=0,0,$C$21*INDEX([3]Sheet1!$C$4:$Q$23,MATCH(K72,[3]Sheet1!$B$4:$B$23,1),MATCH(D72,[3]Sheet1!$C$3:$Q$3,1))
+(K72-INDEX([3]Sheet1!$B$4:$B$23,MATCH(K72,[3]Sheet1!$B$4:$B$23,1),1))/(INDEX([3]Sheet1!$B$4:$B$23,MATCH(K72,[3]Sheet1!$B$4:$B$23,1)+1,1)-INDEX([3]Sheet1!$B$4:$B$23,
MATCH(K72,[3]Sheet1!$B$4:$B$23,1),1))*(INDEX([3]Sheet1!$C$4:$Q$23,MATCH(K72,[3]Sheet1!$B$4:$B$23,1)+1,MATCH(D72,[3]Sheet1!$C$3:$Q$3,1))-INDEX([3]Sheet1!$C$4:$Q$23,
MATCH(K72,[3]Sheet1!$B$4:$B$23,1),MATCH(D72,[3]Sheet1!$C$3:$Q$3,1)))
+(D72-INDEX([3]Sheet1!$C$3:$Q$3,1,MATCH(D72,[3]Sheet1!$C$3:$Q$3)))/(INDEX([3]Sheet1!$C$3:$Q$3,1,MATCH(D72,[3]Sheet1!$C$3:$Q$3)+1)-INDEX([3]Sheet1!$C$3:$Q$3,1,MATCH(
D72,[3]Sheet1!$C$3:$Q$3)))*(INDEX([3]Sheet1!$C$4:$Q$23,MATCH(K72,[3]Sheet1!$B$4:$B$23,1),MATCH(D72,[3]Sheet1!$C$3:$Q$3,1)+1)-INDEX([3]Sheet1!$C$4:$Q$23,MATCH(K72,[3]Sheet1!$B$4:$B$23,1),MATCH(D72,[3]Sheet1!$C$3:$Q$3,1))))</f>
        <v>0</v>
      </c>
      <c r="M72" cm="1">
        <f t="array" ref="M72" xml:space="preserve"> IF(E72*J72=0,0,(INDEX([2]Sheet1!$C$4:$Q$23,MATCH(K72,[2]Sheet1!$B$4:$B$23,1),MATCH(D72,[2]Sheet1!$C$3:$Q$3,1))
+ (K72 - INDEX([2]Sheet1!$B$4:$B$23,MATCH(K72,[2]Sheet1!$B$4:$B$23,1),1))/(INDEX([2]Sheet1!$B$4:$B$23,MATCH(K72,[2]Sheet1!$B$4:$B$23,1)+1,1) - INDEX([2]Sheet1!$B$4:$B$23,MATCH(K72,[2]Sheet1!$B$4:$B$23,1),1))*(INDEX([2]Sheet1!$C$4:$Q$23,MATCH(K72,[2]Sheet1!$B$4:$B$23,1)+1,MATCH(D72,[2]Sheet1!$C$3:$Q$3,1)) - INDEX([2]Sheet1!$C$4:$Q$23,MATCH(K72,[2]Sheet1!$B$4:$B$23,1),MATCH(D72,[2]Sheet1!$C$3:$Q$3,1)))
+ (D72 - INDEX([2]Sheet1!$C$3:$Q$3,1,MATCH(D72,[2]Sheet1!$C$3:$Q$3)))/(INDEX([2]Sheet1!$C$3:$Q$3,1,MATCH(D72,[2]Sheet1!$C$3:$Q$3)+1) - INDEX([2]Sheet1!$C$3:$Q$3,1,MATCH(D72,[2]Sheet1!$C$3:$Q$3)))*(
INDEX([2]Sheet1!$C$4:$Q$23,MATCH(K72,[2]Sheet1!$B$4:$B$23,1),MATCH(D72,[2]Sheet1!$C$3:$Q$3,1)+1) - INDEX([2]Sheet1!$C$4:$Q$23,MATCH(K72,[2]Sheet1!$B$4:$B$23,1),MATCH(D72,[2]Sheet1!$C$3:$Q$3,1)))))</f>
        <v>0</v>
      </c>
      <c r="N72">
        <f t="shared" si="24"/>
        <v>12</v>
      </c>
      <c r="O72">
        <v>9.314604267097068E-2</v>
      </c>
      <c r="P72" t="e">
        <f t="shared" si="27"/>
        <v>#DIV/0!</v>
      </c>
      <c r="Q72">
        <f t="shared" si="14"/>
        <v>0</v>
      </c>
      <c r="R72">
        <f t="shared" si="25"/>
        <v>741.9099431943954</v>
      </c>
      <c r="T72" t="e">
        <f t="shared" si="15"/>
        <v>#DIV/0!</v>
      </c>
      <c r="U72" t="e">
        <f t="shared" si="16"/>
        <v>#DIV/0!</v>
      </c>
      <c r="V72">
        <f t="shared" si="17"/>
        <v>0</v>
      </c>
      <c r="W72" t="e">
        <f t="shared" si="26"/>
        <v>#DIV/0!</v>
      </c>
    </row>
    <row r="73" spans="1:23" x14ac:dyDescent="0.55000000000000004">
      <c r="A73">
        <f t="shared" si="28"/>
        <v>3.9000000000000021</v>
      </c>
      <c r="B73">
        <f t="shared" si="18"/>
        <v>0.316</v>
      </c>
      <c r="C73">
        <f t="shared" si="19"/>
        <v>2.4565217391304333</v>
      </c>
      <c r="D73">
        <v>2.3440891135813775</v>
      </c>
      <c r="E73">
        <f t="shared" si="2"/>
        <v>0</v>
      </c>
      <c r="F73">
        <f t="shared" si="20"/>
        <v>4.8605058816845369E-2</v>
      </c>
      <c r="G73">
        <f t="shared" si="21"/>
        <v>39.513748498891111</v>
      </c>
      <c r="H73">
        <f t="shared" si="22"/>
        <v>0</v>
      </c>
      <c r="I73" s="1">
        <f t="shared" si="4"/>
        <v>0</v>
      </c>
      <c r="J73">
        <f t="shared" si="23"/>
        <v>0</v>
      </c>
      <c r="K73">
        <f t="shared" si="6"/>
        <v>0</v>
      </c>
      <c r="L73" cm="1">
        <f t="array" ref="L73">IF(E73*J73=0,0,$C$21*INDEX([3]Sheet1!$C$4:$Q$23,MATCH(K73,[3]Sheet1!$B$4:$B$23,1),MATCH(D73,[3]Sheet1!$C$3:$Q$3,1))
+(K73-INDEX([3]Sheet1!$B$4:$B$23,MATCH(K73,[3]Sheet1!$B$4:$B$23,1),1))/(INDEX([3]Sheet1!$B$4:$B$23,MATCH(K73,[3]Sheet1!$B$4:$B$23,1)+1,1)-INDEX([3]Sheet1!$B$4:$B$23,
MATCH(K73,[3]Sheet1!$B$4:$B$23,1),1))*(INDEX([3]Sheet1!$C$4:$Q$23,MATCH(K73,[3]Sheet1!$B$4:$B$23,1)+1,MATCH(D73,[3]Sheet1!$C$3:$Q$3,1))-INDEX([3]Sheet1!$C$4:$Q$23,
MATCH(K73,[3]Sheet1!$B$4:$B$23,1),MATCH(D73,[3]Sheet1!$C$3:$Q$3,1)))
+(D73-INDEX([3]Sheet1!$C$3:$Q$3,1,MATCH(D73,[3]Sheet1!$C$3:$Q$3)))/(INDEX([3]Sheet1!$C$3:$Q$3,1,MATCH(D73,[3]Sheet1!$C$3:$Q$3)+1)-INDEX([3]Sheet1!$C$3:$Q$3,1,MATCH(
D73,[3]Sheet1!$C$3:$Q$3)))*(INDEX([3]Sheet1!$C$4:$Q$23,MATCH(K73,[3]Sheet1!$B$4:$B$23,1),MATCH(D73,[3]Sheet1!$C$3:$Q$3,1)+1)-INDEX([3]Sheet1!$C$4:$Q$23,MATCH(K73,[3]Sheet1!$B$4:$B$23,1),MATCH(D73,[3]Sheet1!$C$3:$Q$3,1))))</f>
        <v>0</v>
      </c>
      <c r="M73" cm="1">
        <f t="array" ref="M73" xml:space="preserve"> IF(E73*J73=0,0,(INDEX([2]Sheet1!$C$4:$Q$23,MATCH(K73,[2]Sheet1!$B$4:$B$23,1),MATCH(D73,[2]Sheet1!$C$3:$Q$3,1))
+ (K73 - INDEX([2]Sheet1!$B$4:$B$23,MATCH(K73,[2]Sheet1!$B$4:$B$23,1),1))/(INDEX([2]Sheet1!$B$4:$B$23,MATCH(K73,[2]Sheet1!$B$4:$B$23,1)+1,1) - INDEX([2]Sheet1!$B$4:$B$23,MATCH(K73,[2]Sheet1!$B$4:$B$23,1),1))*(INDEX([2]Sheet1!$C$4:$Q$23,MATCH(K73,[2]Sheet1!$B$4:$B$23,1)+1,MATCH(D73,[2]Sheet1!$C$3:$Q$3,1)) - INDEX([2]Sheet1!$C$4:$Q$23,MATCH(K73,[2]Sheet1!$B$4:$B$23,1),MATCH(D73,[2]Sheet1!$C$3:$Q$3,1)))
+ (D73 - INDEX([2]Sheet1!$C$3:$Q$3,1,MATCH(D73,[2]Sheet1!$C$3:$Q$3)))/(INDEX([2]Sheet1!$C$3:$Q$3,1,MATCH(D73,[2]Sheet1!$C$3:$Q$3)+1) - INDEX([2]Sheet1!$C$3:$Q$3,1,MATCH(D73,[2]Sheet1!$C$3:$Q$3)))*(
INDEX([2]Sheet1!$C$4:$Q$23,MATCH(K73,[2]Sheet1!$B$4:$B$23,1),MATCH(D73,[2]Sheet1!$C$3:$Q$3,1)+1) - INDEX([2]Sheet1!$C$4:$Q$23,MATCH(K73,[2]Sheet1!$B$4:$B$23,1),MATCH(D73,[2]Sheet1!$C$3:$Q$3,1)))))</f>
        <v>0</v>
      </c>
      <c r="N73">
        <f t="shared" si="24"/>
        <v>12</v>
      </c>
      <c r="O73">
        <v>9.298119156443059E-2</v>
      </c>
      <c r="P73" t="e">
        <f t="shared" si="27"/>
        <v>#DIV/0!</v>
      </c>
      <c r="Q73">
        <f t="shared" si="14"/>
        <v>0</v>
      </c>
      <c r="R73">
        <f t="shared" si="25"/>
        <v>741.9099431943954</v>
      </c>
      <c r="T73" t="e">
        <f t="shared" si="15"/>
        <v>#DIV/0!</v>
      </c>
      <c r="U73" t="e">
        <f t="shared" si="16"/>
        <v>#DIV/0!</v>
      </c>
      <c r="V73">
        <f t="shared" si="17"/>
        <v>0</v>
      </c>
      <c r="W73" t="e">
        <f t="shared" si="26"/>
        <v>#DIV/0!</v>
      </c>
    </row>
    <row r="74" spans="1:23" x14ac:dyDescent="0.55000000000000004">
      <c r="A74">
        <f t="shared" si="28"/>
        <v>4.0000000000000018</v>
      </c>
      <c r="B74">
        <f t="shared" si="18"/>
        <v>0.316</v>
      </c>
      <c r="C74">
        <f t="shared" si="19"/>
        <v>2.3913043478260856</v>
      </c>
      <c r="D74">
        <v>2.3389563801480646</v>
      </c>
      <c r="E74">
        <f t="shared" si="2"/>
        <v>0</v>
      </c>
      <c r="F74">
        <f t="shared" si="20"/>
        <v>4.8605058816845369E-2</v>
      </c>
      <c r="G74">
        <f t="shared" si="21"/>
        <v>39.513748498891111</v>
      </c>
      <c r="H74">
        <f t="shared" si="22"/>
        <v>0</v>
      </c>
      <c r="I74" s="1">
        <f t="shared" si="4"/>
        <v>0</v>
      </c>
      <c r="J74" s="1">
        <f>($C$12*10^-3)*PI()*(G74*10^-3)*$C$11*(I74*10^-3)*$C$15</f>
        <v>0</v>
      </c>
      <c r="K74">
        <f t="shared" si="6"/>
        <v>0</v>
      </c>
      <c r="L74" cm="1">
        <f t="array" ref="L74">IF(E74*J74=0,0,$C$21*INDEX([3]Sheet1!$C$4:$Q$23,MATCH(K74,[3]Sheet1!$B$4:$B$23,1),MATCH(D74,[3]Sheet1!$C$3:$Q$3,1))
+(K74-INDEX([3]Sheet1!$B$4:$B$23,MATCH(K74,[3]Sheet1!$B$4:$B$23,1),1))/(INDEX([3]Sheet1!$B$4:$B$23,MATCH(K74,[3]Sheet1!$B$4:$B$23,1)+1,1)-INDEX([3]Sheet1!$B$4:$B$23,
MATCH(K74,[3]Sheet1!$B$4:$B$23,1),1))*(INDEX([3]Sheet1!$C$4:$Q$23,MATCH(K74,[3]Sheet1!$B$4:$B$23,1)+1,MATCH(D74,[3]Sheet1!$C$3:$Q$3,1))-INDEX([3]Sheet1!$C$4:$Q$23,
MATCH(K74,[3]Sheet1!$B$4:$B$23,1),MATCH(D74,[3]Sheet1!$C$3:$Q$3,1)))
+(D74-INDEX([3]Sheet1!$C$3:$Q$3,1,MATCH(D74,[3]Sheet1!$C$3:$Q$3)))/(INDEX([3]Sheet1!$C$3:$Q$3,1,MATCH(D74,[3]Sheet1!$C$3:$Q$3)+1)-INDEX([3]Sheet1!$C$3:$Q$3,1,MATCH(
D74,[3]Sheet1!$C$3:$Q$3)))*(INDEX([3]Sheet1!$C$4:$Q$23,MATCH(K74,[3]Sheet1!$B$4:$B$23,1),MATCH(D74,[3]Sheet1!$C$3:$Q$3,1)+1)-INDEX([3]Sheet1!$C$4:$Q$23,MATCH(K74,[3]Sheet1!$B$4:$B$23,1),MATCH(D74,[3]Sheet1!$C$3:$Q$3,1))))</f>
        <v>0</v>
      </c>
      <c r="M74" cm="1">
        <f t="array" ref="M74" xml:space="preserve"> IF(E74*J74=0,0,(INDEX([2]Sheet1!$C$4:$Q$23,MATCH(K74,[2]Sheet1!$B$4:$B$23,1),MATCH(D74,[2]Sheet1!$C$3:$Q$3,1))
+ (K74 - INDEX([2]Sheet1!$B$4:$B$23,MATCH(K74,[2]Sheet1!$B$4:$B$23,1),1))/(INDEX([2]Sheet1!$B$4:$B$23,MATCH(K74,[2]Sheet1!$B$4:$B$23,1)+1,1) - INDEX([2]Sheet1!$B$4:$B$23,MATCH(K74,[2]Sheet1!$B$4:$B$23,1),1))*(INDEX([2]Sheet1!$C$4:$Q$23,MATCH(K74,[2]Sheet1!$B$4:$B$23,1)+1,MATCH(D74,[2]Sheet1!$C$3:$Q$3,1)) - INDEX([2]Sheet1!$C$4:$Q$23,MATCH(K74,[2]Sheet1!$B$4:$B$23,1),MATCH(D74,[2]Sheet1!$C$3:$Q$3,1)))
+ (D74 - INDEX([2]Sheet1!$C$3:$Q$3,1,MATCH(D74,[2]Sheet1!$C$3:$Q$3)))/(INDEX([2]Sheet1!$C$3:$Q$3,1,MATCH(D74,[2]Sheet1!$C$3:$Q$3)+1) - INDEX([2]Sheet1!$C$3:$Q$3,1,MATCH(D74,[2]Sheet1!$C$3:$Q$3)))*(
INDEX([2]Sheet1!$C$4:$Q$23,MATCH(K74,[2]Sheet1!$B$4:$B$23,1),MATCH(D74,[2]Sheet1!$C$3:$Q$3,1)+1) - INDEX([2]Sheet1!$C$4:$Q$23,MATCH(K74,[2]Sheet1!$B$4:$B$23,1),MATCH(D74,[2]Sheet1!$C$3:$Q$3,1)))))</f>
        <v>0</v>
      </c>
      <c r="N74">
        <f t="shared" si="24"/>
        <v>12</v>
      </c>
      <c r="O74">
        <v>9.2815936125000179E-2</v>
      </c>
      <c r="P74" t="e">
        <f t="shared" si="27"/>
        <v>#DIV/0!</v>
      </c>
      <c r="Q74">
        <f t="shared" si="14"/>
        <v>0</v>
      </c>
      <c r="R74">
        <f t="shared" si="25"/>
        <v>741.9099431943954</v>
      </c>
      <c r="T74" t="e">
        <f t="shared" si="15"/>
        <v>#DIV/0!</v>
      </c>
      <c r="U74" t="e">
        <f t="shared" si="16"/>
        <v>#DIV/0!</v>
      </c>
      <c r="V74">
        <f t="shared" si="17"/>
        <v>0</v>
      </c>
      <c r="W74" t="e">
        <f t="shared" si="26"/>
        <v>#DIV/0!</v>
      </c>
    </row>
    <row r="75" spans="1:23" x14ac:dyDescent="0.55000000000000004">
      <c r="A75">
        <f t="shared" si="28"/>
        <v>4.1000000000000014</v>
      </c>
      <c r="B75">
        <f t="shared" si="18"/>
        <v>0.316</v>
      </c>
      <c r="C75">
        <f t="shared" si="19"/>
        <v>2.3260869565217379</v>
      </c>
      <c r="D75">
        <v>2.3338376301791057</v>
      </c>
      <c r="E75">
        <f t="shared" si="2"/>
        <v>0</v>
      </c>
      <c r="F75">
        <f t="shared" si="20"/>
        <v>4.8605058816845369E-2</v>
      </c>
      <c r="G75">
        <f t="shared" si="21"/>
        <v>39.513748498891111</v>
      </c>
      <c r="H75">
        <f t="shared" si="22"/>
        <v>0</v>
      </c>
      <c r="I75" s="1">
        <f t="shared" si="4"/>
        <v>0</v>
      </c>
      <c r="J75">
        <f t="shared" si="23"/>
        <v>0</v>
      </c>
      <c r="K75">
        <f t="shared" si="6"/>
        <v>0</v>
      </c>
      <c r="L75" cm="1">
        <f t="array" ref="L75">IF(E75*J75=0,0,$C$21*INDEX([3]Sheet1!$C$4:$Q$23,MATCH(K75,[3]Sheet1!$B$4:$B$23,1),MATCH(D75,[3]Sheet1!$C$3:$Q$3,1))
+(K75-INDEX([3]Sheet1!$B$4:$B$23,MATCH(K75,[3]Sheet1!$B$4:$B$23,1),1))/(INDEX([3]Sheet1!$B$4:$B$23,MATCH(K75,[3]Sheet1!$B$4:$B$23,1)+1,1)-INDEX([3]Sheet1!$B$4:$B$23,
MATCH(K75,[3]Sheet1!$B$4:$B$23,1),1))*(INDEX([3]Sheet1!$C$4:$Q$23,MATCH(K75,[3]Sheet1!$B$4:$B$23,1)+1,MATCH(D75,[3]Sheet1!$C$3:$Q$3,1))-INDEX([3]Sheet1!$C$4:$Q$23,
MATCH(K75,[3]Sheet1!$B$4:$B$23,1),MATCH(D75,[3]Sheet1!$C$3:$Q$3,1)))
+(D75-INDEX([3]Sheet1!$C$3:$Q$3,1,MATCH(D75,[3]Sheet1!$C$3:$Q$3)))/(INDEX([3]Sheet1!$C$3:$Q$3,1,MATCH(D75,[3]Sheet1!$C$3:$Q$3)+1)-INDEX([3]Sheet1!$C$3:$Q$3,1,MATCH(
D75,[3]Sheet1!$C$3:$Q$3)))*(INDEX([3]Sheet1!$C$4:$Q$23,MATCH(K75,[3]Sheet1!$B$4:$B$23,1),MATCH(D75,[3]Sheet1!$C$3:$Q$3,1)+1)-INDEX([3]Sheet1!$C$4:$Q$23,MATCH(K75,[3]Sheet1!$B$4:$B$23,1),MATCH(D75,[3]Sheet1!$C$3:$Q$3,1))))</f>
        <v>0</v>
      </c>
      <c r="M75" cm="1">
        <f t="array" ref="M75" xml:space="preserve"> IF(E75*J75=0,0,(INDEX([2]Sheet1!$C$4:$Q$23,MATCH(K75,[2]Sheet1!$B$4:$B$23,1),MATCH(D75,[2]Sheet1!$C$3:$Q$3,1))
+ (K75 - INDEX([2]Sheet1!$B$4:$B$23,MATCH(K75,[2]Sheet1!$B$4:$B$23,1),1))/(INDEX([2]Sheet1!$B$4:$B$23,MATCH(K75,[2]Sheet1!$B$4:$B$23,1)+1,1) - INDEX([2]Sheet1!$B$4:$B$23,MATCH(K75,[2]Sheet1!$B$4:$B$23,1),1))*(INDEX([2]Sheet1!$C$4:$Q$23,MATCH(K75,[2]Sheet1!$B$4:$B$23,1)+1,MATCH(D75,[2]Sheet1!$C$3:$Q$3,1)) - INDEX([2]Sheet1!$C$4:$Q$23,MATCH(K75,[2]Sheet1!$B$4:$B$23,1),MATCH(D75,[2]Sheet1!$C$3:$Q$3,1)))
+ (D75 - INDEX([2]Sheet1!$C$3:$Q$3,1,MATCH(D75,[2]Sheet1!$C$3:$Q$3)))/(INDEX([2]Sheet1!$C$3:$Q$3,1,MATCH(D75,[2]Sheet1!$C$3:$Q$3)+1) - INDEX([2]Sheet1!$C$3:$Q$3,1,MATCH(D75,[2]Sheet1!$C$3:$Q$3)))*(
INDEX([2]Sheet1!$C$4:$Q$23,MATCH(K75,[2]Sheet1!$B$4:$B$23,1),MATCH(D75,[2]Sheet1!$C$3:$Q$3,1)+1) - INDEX([2]Sheet1!$C$4:$Q$23,MATCH(K75,[2]Sheet1!$B$4:$B$23,1),MATCH(D75,[2]Sheet1!$C$3:$Q$3,1)))))</f>
        <v>0</v>
      </c>
      <c r="N75">
        <f t="shared" si="24"/>
        <v>12</v>
      </c>
      <c r="O75">
        <v>9.2650277718807933E-2</v>
      </c>
      <c r="P75" t="e">
        <f t="shared" si="27"/>
        <v>#DIV/0!</v>
      </c>
      <c r="Q75">
        <f t="shared" si="14"/>
        <v>0</v>
      </c>
      <c r="R75">
        <f t="shared" si="25"/>
        <v>741.9099431943954</v>
      </c>
      <c r="T75" t="e">
        <f t="shared" si="15"/>
        <v>#DIV/0!</v>
      </c>
      <c r="U75" t="e">
        <f t="shared" si="16"/>
        <v>#DIV/0!</v>
      </c>
      <c r="V75">
        <f t="shared" si="17"/>
        <v>0</v>
      </c>
      <c r="W75" t="e">
        <f t="shared" si="26"/>
        <v>#DIV/0!</v>
      </c>
    </row>
    <row r="76" spans="1:23" x14ac:dyDescent="0.55000000000000004">
      <c r="A76">
        <f t="shared" si="28"/>
        <v>4.2000000000000011</v>
      </c>
      <c r="B76">
        <f t="shared" si="18"/>
        <v>0.316</v>
      </c>
      <c r="C76">
        <f t="shared" si="19"/>
        <v>2.2608695652173902</v>
      </c>
      <c r="D76">
        <v>2.3287321601307278</v>
      </c>
      <c r="E76">
        <f t="shared" si="2"/>
        <v>0</v>
      </c>
      <c r="F76">
        <f t="shared" si="20"/>
        <v>4.8605058816845369E-2</v>
      </c>
      <c r="G76">
        <f t="shared" si="21"/>
        <v>39.513748498891111</v>
      </c>
      <c r="H76">
        <f t="shared" si="22"/>
        <v>0</v>
      </c>
      <c r="I76" s="1">
        <f t="shared" si="4"/>
        <v>0</v>
      </c>
      <c r="J76">
        <f t="shared" si="23"/>
        <v>0</v>
      </c>
      <c r="K76">
        <f t="shared" si="6"/>
        <v>0</v>
      </c>
      <c r="L76" cm="1">
        <f t="array" ref="L76">IF(E76*J76=0,0,$C$21*INDEX([3]Sheet1!$C$4:$Q$23,MATCH(K76,[3]Sheet1!$B$4:$B$23,1),MATCH(D76,[3]Sheet1!$C$3:$Q$3,1))
+(K76-INDEX([3]Sheet1!$B$4:$B$23,MATCH(K76,[3]Sheet1!$B$4:$B$23,1),1))/(INDEX([3]Sheet1!$B$4:$B$23,MATCH(K76,[3]Sheet1!$B$4:$B$23,1)+1,1)-INDEX([3]Sheet1!$B$4:$B$23,
MATCH(K76,[3]Sheet1!$B$4:$B$23,1),1))*(INDEX([3]Sheet1!$C$4:$Q$23,MATCH(K76,[3]Sheet1!$B$4:$B$23,1)+1,MATCH(D76,[3]Sheet1!$C$3:$Q$3,1))-INDEX([3]Sheet1!$C$4:$Q$23,
MATCH(K76,[3]Sheet1!$B$4:$B$23,1),MATCH(D76,[3]Sheet1!$C$3:$Q$3,1)))
+(D76-INDEX([3]Sheet1!$C$3:$Q$3,1,MATCH(D76,[3]Sheet1!$C$3:$Q$3)))/(INDEX([3]Sheet1!$C$3:$Q$3,1,MATCH(D76,[3]Sheet1!$C$3:$Q$3)+1)-INDEX([3]Sheet1!$C$3:$Q$3,1,MATCH(
D76,[3]Sheet1!$C$3:$Q$3)))*(INDEX([3]Sheet1!$C$4:$Q$23,MATCH(K76,[3]Sheet1!$B$4:$B$23,1),MATCH(D76,[3]Sheet1!$C$3:$Q$3,1)+1)-INDEX([3]Sheet1!$C$4:$Q$23,MATCH(K76,[3]Sheet1!$B$4:$B$23,1),MATCH(D76,[3]Sheet1!$C$3:$Q$3,1))))</f>
        <v>0</v>
      </c>
      <c r="M76" cm="1">
        <f t="array" ref="M76" xml:space="preserve"> IF(E76*J76=0,0,(INDEX([2]Sheet1!$C$4:$Q$23,MATCH(K76,[2]Sheet1!$B$4:$B$23,1),MATCH(D76,[2]Sheet1!$C$3:$Q$3,1))
+ (K76 - INDEX([2]Sheet1!$B$4:$B$23,MATCH(K76,[2]Sheet1!$B$4:$B$23,1),1))/(INDEX([2]Sheet1!$B$4:$B$23,MATCH(K76,[2]Sheet1!$B$4:$B$23,1)+1,1) - INDEX([2]Sheet1!$B$4:$B$23,MATCH(K76,[2]Sheet1!$B$4:$B$23,1),1))*(INDEX([2]Sheet1!$C$4:$Q$23,MATCH(K76,[2]Sheet1!$B$4:$B$23,1)+1,MATCH(D76,[2]Sheet1!$C$3:$Q$3,1)) - INDEX([2]Sheet1!$C$4:$Q$23,MATCH(K76,[2]Sheet1!$B$4:$B$23,1),MATCH(D76,[2]Sheet1!$C$3:$Q$3,1)))
+ (D76 - INDEX([2]Sheet1!$C$3:$Q$3,1,MATCH(D76,[2]Sheet1!$C$3:$Q$3)))/(INDEX([2]Sheet1!$C$3:$Q$3,1,MATCH(D76,[2]Sheet1!$C$3:$Q$3)+1) - INDEX([2]Sheet1!$C$3:$Q$3,1,MATCH(D76,[2]Sheet1!$C$3:$Q$3)))*(
INDEX([2]Sheet1!$C$4:$Q$23,MATCH(K76,[2]Sheet1!$B$4:$B$23,1),MATCH(D76,[2]Sheet1!$C$3:$Q$3,1)+1) - INDEX([2]Sheet1!$C$4:$Q$23,MATCH(K76,[2]Sheet1!$B$4:$B$23,1),MATCH(D76,[2]Sheet1!$C$3:$Q$3,1)))))</f>
        <v>0</v>
      </c>
      <c r="N76">
        <f t="shared" si="24"/>
        <v>12</v>
      </c>
      <c r="O76">
        <v>9.2484217704758898E-2</v>
      </c>
      <c r="P76" t="e">
        <f t="shared" si="27"/>
        <v>#DIV/0!</v>
      </c>
      <c r="Q76">
        <f t="shared" si="14"/>
        <v>0</v>
      </c>
      <c r="R76">
        <f t="shared" si="25"/>
        <v>741.9099431943954</v>
      </c>
      <c r="T76" t="e">
        <f t="shared" si="15"/>
        <v>#DIV/0!</v>
      </c>
      <c r="U76" t="e">
        <f t="shared" si="16"/>
        <v>#DIV/0!</v>
      </c>
      <c r="V76">
        <f t="shared" si="17"/>
        <v>0</v>
      </c>
      <c r="W76" t="e">
        <f t="shared" si="26"/>
        <v>#DIV/0!</v>
      </c>
    </row>
    <row r="77" spans="1:23" x14ac:dyDescent="0.55000000000000004">
      <c r="A77">
        <f t="shared" si="28"/>
        <v>4.3000000000000007</v>
      </c>
      <c r="B77">
        <f t="shared" si="18"/>
        <v>0.316</v>
      </c>
      <c r="C77">
        <f t="shared" si="19"/>
        <v>2.195652173913043</v>
      </c>
      <c r="D77">
        <v>2.323639301358901</v>
      </c>
      <c r="E77">
        <f t="shared" si="2"/>
        <v>0</v>
      </c>
      <c r="F77">
        <f t="shared" si="20"/>
        <v>4.8605058816845369E-2</v>
      </c>
      <c r="G77">
        <f t="shared" si="21"/>
        <v>39.513748498891111</v>
      </c>
      <c r="H77">
        <f t="shared" si="22"/>
        <v>0</v>
      </c>
      <c r="I77" s="1">
        <f t="shared" si="4"/>
        <v>0</v>
      </c>
      <c r="J77">
        <f t="shared" si="23"/>
        <v>0</v>
      </c>
      <c r="K77">
        <f t="shared" si="6"/>
        <v>0</v>
      </c>
      <c r="L77" cm="1">
        <f t="array" ref="L77">IF(E77*J77=0,0,$C$21*INDEX([3]Sheet1!$C$4:$Q$23,MATCH(K77,[3]Sheet1!$B$4:$B$23,1),MATCH(D77,[3]Sheet1!$C$3:$Q$3,1))
+(K77-INDEX([3]Sheet1!$B$4:$B$23,MATCH(K77,[3]Sheet1!$B$4:$B$23,1),1))/(INDEX([3]Sheet1!$B$4:$B$23,MATCH(K77,[3]Sheet1!$B$4:$B$23,1)+1,1)-INDEX([3]Sheet1!$B$4:$B$23,
MATCH(K77,[3]Sheet1!$B$4:$B$23,1),1))*(INDEX([3]Sheet1!$C$4:$Q$23,MATCH(K77,[3]Sheet1!$B$4:$B$23,1)+1,MATCH(D77,[3]Sheet1!$C$3:$Q$3,1))-INDEX([3]Sheet1!$C$4:$Q$23,
MATCH(K77,[3]Sheet1!$B$4:$B$23,1),MATCH(D77,[3]Sheet1!$C$3:$Q$3,1)))
+(D77-INDEX([3]Sheet1!$C$3:$Q$3,1,MATCH(D77,[3]Sheet1!$C$3:$Q$3)))/(INDEX([3]Sheet1!$C$3:$Q$3,1,MATCH(D77,[3]Sheet1!$C$3:$Q$3)+1)-INDEX([3]Sheet1!$C$3:$Q$3,1,MATCH(
D77,[3]Sheet1!$C$3:$Q$3)))*(INDEX([3]Sheet1!$C$4:$Q$23,MATCH(K77,[3]Sheet1!$B$4:$B$23,1),MATCH(D77,[3]Sheet1!$C$3:$Q$3,1)+1)-INDEX([3]Sheet1!$C$4:$Q$23,MATCH(K77,[3]Sheet1!$B$4:$B$23,1),MATCH(D77,[3]Sheet1!$C$3:$Q$3,1))))</f>
        <v>0</v>
      </c>
      <c r="M77" cm="1">
        <f t="array" ref="M77" xml:space="preserve"> IF(E77*J77=0,0,(INDEX([2]Sheet1!$C$4:$Q$23,MATCH(K77,[2]Sheet1!$B$4:$B$23,1),MATCH(D77,[2]Sheet1!$C$3:$Q$3,1))
+ (K77 - INDEX([2]Sheet1!$B$4:$B$23,MATCH(K77,[2]Sheet1!$B$4:$B$23,1),1))/(INDEX([2]Sheet1!$B$4:$B$23,MATCH(K77,[2]Sheet1!$B$4:$B$23,1)+1,1) - INDEX([2]Sheet1!$B$4:$B$23,MATCH(K77,[2]Sheet1!$B$4:$B$23,1),1))*(INDEX([2]Sheet1!$C$4:$Q$23,MATCH(K77,[2]Sheet1!$B$4:$B$23,1)+1,MATCH(D77,[2]Sheet1!$C$3:$Q$3,1)) - INDEX([2]Sheet1!$C$4:$Q$23,MATCH(K77,[2]Sheet1!$B$4:$B$23,1),MATCH(D77,[2]Sheet1!$C$3:$Q$3,1)))
+ (D77 - INDEX([2]Sheet1!$C$3:$Q$3,1,MATCH(D77,[2]Sheet1!$C$3:$Q$3)))/(INDEX([2]Sheet1!$C$3:$Q$3,1,MATCH(D77,[2]Sheet1!$C$3:$Q$3)+1) - INDEX([2]Sheet1!$C$3:$Q$3,1,MATCH(D77,[2]Sheet1!$C$3:$Q$3)))*(
INDEX([2]Sheet1!$C$4:$Q$23,MATCH(K77,[2]Sheet1!$B$4:$B$23,1),MATCH(D77,[2]Sheet1!$C$3:$Q$3,1)+1) - INDEX([2]Sheet1!$C$4:$Q$23,MATCH(K77,[2]Sheet1!$B$4:$B$23,1),MATCH(D77,[2]Sheet1!$C$3:$Q$3,1)))))</f>
        <v>0</v>
      </c>
      <c r="N77">
        <f t="shared" si="24"/>
        <v>12</v>
      </c>
      <c r="O77">
        <v>9.2317757431172334E-2</v>
      </c>
      <c r="P77" t="e">
        <f t="shared" si="27"/>
        <v>#DIV/0!</v>
      </c>
      <c r="Q77">
        <f t="shared" si="14"/>
        <v>0</v>
      </c>
      <c r="R77">
        <f t="shared" si="25"/>
        <v>741.9099431943954</v>
      </c>
      <c r="T77" t="e">
        <f t="shared" si="15"/>
        <v>#DIV/0!</v>
      </c>
      <c r="U77" t="e">
        <f t="shared" si="16"/>
        <v>#DIV/0!</v>
      </c>
      <c r="V77">
        <f t="shared" si="17"/>
        <v>0</v>
      </c>
      <c r="W77" t="e">
        <f t="shared" si="26"/>
        <v>#DIV/0!</v>
      </c>
    </row>
    <row r="78" spans="1:23" x14ac:dyDescent="0.55000000000000004">
      <c r="A78">
        <f t="shared" si="28"/>
        <v>4.4000000000000004</v>
      </c>
      <c r="B78">
        <f t="shared" si="18"/>
        <v>0.316</v>
      </c>
      <c r="C78">
        <f t="shared" si="19"/>
        <v>2.1304347826086953</v>
      </c>
      <c r="D78">
        <v>2.3185584177331906</v>
      </c>
      <c r="E78">
        <f t="shared" si="2"/>
        <v>0</v>
      </c>
      <c r="F78">
        <f t="shared" si="20"/>
        <v>4.8605058816845369E-2</v>
      </c>
      <c r="G78">
        <f t="shared" si="21"/>
        <v>39.513748498891111</v>
      </c>
      <c r="H78">
        <f t="shared" si="22"/>
        <v>0</v>
      </c>
      <c r="I78" s="1">
        <f t="shared" si="4"/>
        <v>0</v>
      </c>
      <c r="J78">
        <f t="shared" si="23"/>
        <v>0</v>
      </c>
      <c r="K78">
        <f t="shared" si="6"/>
        <v>0</v>
      </c>
      <c r="L78" cm="1">
        <f t="array" ref="L78">IF(E78*J78=0,0,$C$21*INDEX([3]Sheet1!$C$4:$Q$23,MATCH(K78,[3]Sheet1!$B$4:$B$23,1),MATCH(D78,[3]Sheet1!$C$3:$Q$3,1))
+(K78-INDEX([3]Sheet1!$B$4:$B$23,MATCH(K78,[3]Sheet1!$B$4:$B$23,1),1))/(INDEX([3]Sheet1!$B$4:$B$23,MATCH(K78,[3]Sheet1!$B$4:$B$23,1)+1,1)-INDEX([3]Sheet1!$B$4:$B$23,
MATCH(K78,[3]Sheet1!$B$4:$B$23,1),1))*(INDEX([3]Sheet1!$C$4:$Q$23,MATCH(K78,[3]Sheet1!$B$4:$B$23,1)+1,MATCH(D78,[3]Sheet1!$C$3:$Q$3,1))-INDEX([3]Sheet1!$C$4:$Q$23,
MATCH(K78,[3]Sheet1!$B$4:$B$23,1),MATCH(D78,[3]Sheet1!$C$3:$Q$3,1)))
+(D78-INDEX([3]Sheet1!$C$3:$Q$3,1,MATCH(D78,[3]Sheet1!$C$3:$Q$3)))/(INDEX([3]Sheet1!$C$3:$Q$3,1,MATCH(D78,[3]Sheet1!$C$3:$Q$3)+1)-INDEX([3]Sheet1!$C$3:$Q$3,1,MATCH(
D78,[3]Sheet1!$C$3:$Q$3)))*(INDEX([3]Sheet1!$C$4:$Q$23,MATCH(K78,[3]Sheet1!$B$4:$B$23,1),MATCH(D78,[3]Sheet1!$C$3:$Q$3,1)+1)-INDEX([3]Sheet1!$C$4:$Q$23,MATCH(K78,[3]Sheet1!$B$4:$B$23,1),MATCH(D78,[3]Sheet1!$C$3:$Q$3,1))))</f>
        <v>0</v>
      </c>
      <c r="M78" cm="1">
        <f t="array" ref="M78" xml:space="preserve"> IF(E78*J78=0,0,(INDEX([2]Sheet1!$C$4:$Q$23,MATCH(K78,[2]Sheet1!$B$4:$B$23,1),MATCH(D78,[2]Sheet1!$C$3:$Q$3,1))
+ (K78 - INDEX([2]Sheet1!$B$4:$B$23,MATCH(K78,[2]Sheet1!$B$4:$B$23,1),1))/(INDEX([2]Sheet1!$B$4:$B$23,MATCH(K78,[2]Sheet1!$B$4:$B$23,1)+1,1) - INDEX([2]Sheet1!$B$4:$B$23,MATCH(K78,[2]Sheet1!$B$4:$B$23,1),1))*(INDEX([2]Sheet1!$C$4:$Q$23,MATCH(K78,[2]Sheet1!$B$4:$B$23,1)+1,MATCH(D78,[2]Sheet1!$C$3:$Q$3,1)) - INDEX([2]Sheet1!$C$4:$Q$23,MATCH(K78,[2]Sheet1!$B$4:$B$23,1),MATCH(D78,[2]Sheet1!$C$3:$Q$3,1)))
+ (D78 - INDEX([2]Sheet1!$C$3:$Q$3,1,MATCH(D78,[2]Sheet1!$C$3:$Q$3)))/(INDEX([2]Sheet1!$C$3:$Q$3,1,MATCH(D78,[2]Sheet1!$C$3:$Q$3)+1) - INDEX([2]Sheet1!$C$3:$Q$3,1,MATCH(D78,[2]Sheet1!$C$3:$Q$3)))*(
INDEX([2]Sheet1!$C$4:$Q$23,MATCH(K78,[2]Sheet1!$B$4:$B$23,1),MATCH(D78,[2]Sheet1!$C$3:$Q$3,1)+1) - INDEX([2]Sheet1!$C$4:$Q$23,MATCH(K78,[2]Sheet1!$B$4:$B$23,1),MATCH(D78,[2]Sheet1!$C$3:$Q$3,1)))))</f>
        <v>0</v>
      </c>
      <c r="N78">
        <f t="shared" si="24"/>
        <v>12</v>
      </c>
      <c r="O78">
        <v>9.215089823307962E-2</v>
      </c>
      <c r="P78" t="e">
        <f t="shared" si="27"/>
        <v>#DIV/0!</v>
      </c>
      <c r="Q78">
        <f t="shared" si="14"/>
        <v>0</v>
      </c>
      <c r="R78">
        <f t="shared" si="25"/>
        <v>741.9099431943954</v>
      </c>
      <c r="T78" t="e">
        <f t="shared" si="15"/>
        <v>#DIV/0!</v>
      </c>
      <c r="U78" t="e">
        <f t="shared" si="16"/>
        <v>#DIV/0!</v>
      </c>
      <c r="V78">
        <f t="shared" si="17"/>
        <v>0</v>
      </c>
      <c r="W78" t="e">
        <f t="shared" si="26"/>
        <v>#DIV/0!</v>
      </c>
    </row>
    <row r="79" spans="1:23" x14ac:dyDescent="0.55000000000000004">
      <c r="A79">
        <f t="shared" si="28"/>
        <v>4.5</v>
      </c>
      <c r="B79">
        <f t="shared" si="18"/>
        <v>0.316</v>
      </c>
      <c r="C79">
        <f t="shared" si="19"/>
        <v>2.0652173913043477</v>
      </c>
      <c r="D79">
        <v>2.3134889034501098</v>
      </c>
      <c r="E79">
        <f t="shared" si="2"/>
        <v>0</v>
      </c>
      <c r="F79">
        <f t="shared" si="20"/>
        <v>4.8605058816845369E-2</v>
      </c>
      <c r="G79">
        <f t="shared" si="21"/>
        <v>39.513748498891111</v>
      </c>
      <c r="H79">
        <f t="shared" si="22"/>
        <v>0</v>
      </c>
      <c r="I79" s="1">
        <f t="shared" si="4"/>
        <v>0</v>
      </c>
      <c r="J79">
        <f t="shared" si="23"/>
        <v>0</v>
      </c>
      <c r="K79">
        <f t="shared" si="6"/>
        <v>0</v>
      </c>
      <c r="L79" cm="1">
        <f t="array" ref="L79">IF(E79*J79=0,0,$C$21*INDEX([3]Sheet1!$C$4:$Q$23,MATCH(K79,[3]Sheet1!$B$4:$B$23,1),MATCH(D79,[3]Sheet1!$C$3:$Q$3,1))
+(K79-INDEX([3]Sheet1!$B$4:$B$23,MATCH(K79,[3]Sheet1!$B$4:$B$23,1),1))/(INDEX([3]Sheet1!$B$4:$B$23,MATCH(K79,[3]Sheet1!$B$4:$B$23,1)+1,1)-INDEX([3]Sheet1!$B$4:$B$23,
MATCH(K79,[3]Sheet1!$B$4:$B$23,1),1))*(INDEX([3]Sheet1!$C$4:$Q$23,MATCH(K79,[3]Sheet1!$B$4:$B$23,1)+1,MATCH(D79,[3]Sheet1!$C$3:$Q$3,1))-INDEX([3]Sheet1!$C$4:$Q$23,
MATCH(K79,[3]Sheet1!$B$4:$B$23,1),MATCH(D79,[3]Sheet1!$C$3:$Q$3,1)))
+(D79-INDEX([3]Sheet1!$C$3:$Q$3,1,MATCH(D79,[3]Sheet1!$C$3:$Q$3)))/(INDEX([3]Sheet1!$C$3:$Q$3,1,MATCH(D79,[3]Sheet1!$C$3:$Q$3)+1)-INDEX([3]Sheet1!$C$3:$Q$3,1,MATCH(
D79,[3]Sheet1!$C$3:$Q$3)))*(INDEX([3]Sheet1!$C$4:$Q$23,MATCH(K79,[3]Sheet1!$B$4:$B$23,1),MATCH(D79,[3]Sheet1!$C$3:$Q$3,1)+1)-INDEX([3]Sheet1!$C$4:$Q$23,MATCH(K79,[3]Sheet1!$B$4:$B$23,1),MATCH(D79,[3]Sheet1!$C$3:$Q$3,1))))</f>
        <v>0</v>
      </c>
      <c r="M79" cm="1">
        <f t="array" ref="M79" xml:space="preserve"> IF(E79*J79=0,0,(INDEX([2]Sheet1!$C$4:$Q$23,MATCH(K79,[2]Sheet1!$B$4:$B$23,1),MATCH(D79,[2]Sheet1!$C$3:$Q$3,1))
+ (K79 - INDEX([2]Sheet1!$B$4:$B$23,MATCH(K79,[2]Sheet1!$B$4:$B$23,1),1))/(INDEX([2]Sheet1!$B$4:$B$23,MATCH(K79,[2]Sheet1!$B$4:$B$23,1)+1,1) - INDEX([2]Sheet1!$B$4:$B$23,MATCH(K79,[2]Sheet1!$B$4:$B$23,1),1))*(INDEX([2]Sheet1!$C$4:$Q$23,MATCH(K79,[2]Sheet1!$B$4:$B$23,1)+1,MATCH(D79,[2]Sheet1!$C$3:$Q$3,1)) - INDEX([2]Sheet1!$C$4:$Q$23,MATCH(K79,[2]Sheet1!$B$4:$B$23,1),MATCH(D79,[2]Sheet1!$C$3:$Q$3,1)))
+ (D79 - INDEX([2]Sheet1!$C$3:$Q$3,1,MATCH(D79,[2]Sheet1!$C$3:$Q$3)))/(INDEX([2]Sheet1!$C$3:$Q$3,1,MATCH(D79,[2]Sheet1!$C$3:$Q$3)+1) - INDEX([2]Sheet1!$C$3:$Q$3,1,MATCH(D79,[2]Sheet1!$C$3:$Q$3)))*(
INDEX([2]Sheet1!$C$4:$Q$23,MATCH(K79,[2]Sheet1!$B$4:$B$23,1),MATCH(D79,[2]Sheet1!$C$3:$Q$3,1)+1) - INDEX([2]Sheet1!$C$4:$Q$23,MATCH(K79,[2]Sheet1!$B$4:$B$23,1),MATCH(D79,[2]Sheet1!$C$3:$Q$3,1)))))</f>
        <v>0</v>
      </c>
      <c r="N79">
        <f t="shared" si="24"/>
        <v>12</v>
      </c>
      <c r="O79">
        <v>9.1983641430093493E-2</v>
      </c>
      <c r="P79" t="e">
        <f t="shared" si="27"/>
        <v>#DIV/0!</v>
      </c>
      <c r="Q79">
        <f t="shared" si="14"/>
        <v>0</v>
      </c>
      <c r="R79">
        <f t="shared" si="25"/>
        <v>741.9099431943954</v>
      </c>
      <c r="T79" t="e">
        <f t="shared" si="15"/>
        <v>#DIV/0!</v>
      </c>
      <c r="U79" t="e">
        <f t="shared" si="16"/>
        <v>#DIV/0!</v>
      </c>
      <c r="V79">
        <f t="shared" si="17"/>
        <v>0</v>
      </c>
      <c r="W79" t="e">
        <f t="shared" si="26"/>
        <v>#DIV/0!</v>
      </c>
    </row>
    <row r="80" spans="1:23" x14ac:dyDescent="0.55000000000000004">
      <c r="A80">
        <f t="shared" si="28"/>
        <v>4.5999999999999996</v>
      </c>
      <c r="B80">
        <f t="shared" si="18"/>
        <v>0.316</v>
      </c>
      <c r="C80">
        <f t="shared" si="19"/>
        <v>2</v>
      </c>
      <c r="D80">
        <v>2.3084301810262442</v>
      </c>
      <c r="E80">
        <f t="shared" si="2"/>
        <v>0</v>
      </c>
      <c r="F80">
        <f t="shared" si="20"/>
        <v>4.8605058816845369E-2</v>
      </c>
      <c r="G80">
        <f t="shared" si="21"/>
        <v>39.513748498891111</v>
      </c>
      <c r="H80">
        <f t="shared" si="22"/>
        <v>0</v>
      </c>
      <c r="I80" s="1">
        <f t="shared" si="4"/>
        <v>0</v>
      </c>
      <c r="J80">
        <f t="shared" si="23"/>
        <v>0</v>
      </c>
      <c r="K80">
        <f t="shared" si="6"/>
        <v>0</v>
      </c>
      <c r="L80" cm="1">
        <f t="array" ref="L80">IF(E80*J80=0,0,$C$21*INDEX([3]Sheet1!$C$4:$Q$23,MATCH(K80,[3]Sheet1!$B$4:$B$23,1),MATCH(D80,[3]Sheet1!$C$3:$Q$3,1))
+(K80-INDEX([3]Sheet1!$B$4:$B$23,MATCH(K80,[3]Sheet1!$B$4:$B$23,1),1))/(INDEX([3]Sheet1!$B$4:$B$23,MATCH(K80,[3]Sheet1!$B$4:$B$23,1)+1,1)-INDEX([3]Sheet1!$B$4:$B$23,
MATCH(K80,[3]Sheet1!$B$4:$B$23,1),1))*(INDEX([3]Sheet1!$C$4:$Q$23,MATCH(K80,[3]Sheet1!$B$4:$B$23,1)+1,MATCH(D80,[3]Sheet1!$C$3:$Q$3,1))-INDEX([3]Sheet1!$C$4:$Q$23,
MATCH(K80,[3]Sheet1!$B$4:$B$23,1),MATCH(D80,[3]Sheet1!$C$3:$Q$3,1)))
+(D80-INDEX([3]Sheet1!$C$3:$Q$3,1,MATCH(D80,[3]Sheet1!$C$3:$Q$3)))/(INDEX([3]Sheet1!$C$3:$Q$3,1,MATCH(D80,[3]Sheet1!$C$3:$Q$3)+1)-INDEX([3]Sheet1!$C$3:$Q$3,1,MATCH(
D80,[3]Sheet1!$C$3:$Q$3)))*(INDEX([3]Sheet1!$C$4:$Q$23,MATCH(K80,[3]Sheet1!$B$4:$B$23,1),MATCH(D80,[3]Sheet1!$C$3:$Q$3,1)+1)-INDEX([3]Sheet1!$C$4:$Q$23,MATCH(K80,[3]Sheet1!$B$4:$B$23,1),MATCH(D80,[3]Sheet1!$C$3:$Q$3,1))))</f>
        <v>0</v>
      </c>
      <c r="M80" cm="1">
        <f t="array" ref="M80" xml:space="preserve"> IF(E80*J80=0,0,(INDEX([2]Sheet1!$C$4:$Q$23,MATCH(K80,[2]Sheet1!$B$4:$B$23,1),MATCH(D80,[2]Sheet1!$C$3:$Q$3,1))
+ (K80 - INDEX([2]Sheet1!$B$4:$B$23,MATCH(K80,[2]Sheet1!$B$4:$B$23,1),1))/(INDEX([2]Sheet1!$B$4:$B$23,MATCH(K80,[2]Sheet1!$B$4:$B$23,1)+1,1) - INDEX([2]Sheet1!$B$4:$B$23,MATCH(K80,[2]Sheet1!$B$4:$B$23,1),1))*(INDEX([2]Sheet1!$C$4:$Q$23,MATCH(K80,[2]Sheet1!$B$4:$B$23,1)+1,MATCH(D80,[2]Sheet1!$C$3:$Q$3,1)) - INDEX([2]Sheet1!$C$4:$Q$23,MATCH(K80,[2]Sheet1!$B$4:$B$23,1),MATCH(D80,[2]Sheet1!$C$3:$Q$3,1)))
+ (D80 - INDEX([2]Sheet1!$C$3:$Q$3,1,MATCH(D80,[2]Sheet1!$C$3:$Q$3)))/(INDEX([2]Sheet1!$C$3:$Q$3,1,MATCH(D80,[2]Sheet1!$C$3:$Q$3)+1) - INDEX([2]Sheet1!$C$3:$Q$3,1,MATCH(D80,[2]Sheet1!$C$3:$Q$3)))*(
INDEX([2]Sheet1!$C$4:$Q$23,MATCH(K80,[2]Sheet1!$B$4:$B$23,1),MATCH(D80,[2]Sheet1!$C$3:$Q$3,1)+1) - INDEX([2]Sheet1!$C$4:$Q$23,MATCH(K80,[2]Sheet1!$B$4:$B$23,1),MATCH(D80,[2]Sheet1!$C$3:$Q$3,1)))))</f>
        <v>0</v>
      </c>
      <c r="N80">
        <f t="shared" si="24"/>
        <v>12</v>
      </c>
      <c r="O80">
        <v>9.181598832478044E-2</v>
      </c>
      <c r="P80" t="e">
        <f t="shared" si="27"/>
        <v>#DIV/0!</v>
      </c>
      <c r="Q80">
        <f t="shared" si="14"/>
        <v>0</v>
      </c>
      <c r="R80">
        <f t="shared" si="25"/>
        <v>741.9099431943954</v>
      </c>
      <c r="T80" t="e">
        <f t="shared" si="15"/>
        <v>#DIV/0!</v>
      </c>
      <c r="U80" t="e">
        <f t="shared" si="16"/>
        <v>#DIV/0!</v>
      </c>
      <c r="V80">
        <f t="shared" si="17"/>
        <v>0</v>
      </c>
      <c r="W80" t="e">
        <f t="shared" si="26"/>
        <v>#DIV/0!</v>
      </c>
    </row>
    <row r="81" spans="1:23" x14ac:dyDescent="0.55000000000000004">
      <c r="A81">
        <f t="shared" si="28"/>
        <v>4.6999999999999993</v>
      </c>
      <c r="B81">
        <f t="shared" si="18"/>
        <v>0.316</v>
      </c>
      <c r="C81">
        <f t="shared" si="19"/>
        <v>1.9347826086956523</v>
      </c>
      <c r="D81">
        <v>2.3033816994536971</v>
      </c>
      <c r="E81">
        <f t="shared" si="2"/>
        <v>0</v>
      </c>
      <c r="F81">
        <f t="shared" si="20"/>
        <v>4.8605058816845369E-2</v>
      </c>
      <c r="G81">
        <f t="shared" si="21"/>
        <v>39.513748498891111</v>
      </c>
      <c r="H81">
        <f t="shared" si="22"/>
        <v>0</v>
      </c>
      <c r="I81" s="1">
        <f t="shared" si="4"/>
        <v>0</v>
      </c>
      <c r="J81">
        <f t="shared" si="23"/>
        <v>0</v>
      </c>
      <c r="K81">
        <f t="shared" si="6"/>
        <v>0</v>
      </c>
      <c r="L81" cm="1">
        <f t="array" ref="L81">IF(E81*J81=0,0,$C$21*INDEX([3]Sheet1!$C$4:$Q$23,MATCH(K81,[3]Sheet1!$B$4:$B$23,1),MATCH(D81,[3]Sheet1!$C$3:$Q$3,1))
+(K81-INDEX([3]Sheet1!$B$4:$B$23,MATCH(K81,[3]Sheet1!$B$4:$B$23,1),1))/(INDEX([3]Sheet1!$B$4:$B$23,MATCH(K81,[3]Sheet1!$B$4:$B$23,1)+1,1)-INDEX([3]Sheet1!$B$4:$B$23,
MATCH(K81,[3]Sheet1!$B$4:$B$23,1),1))*(INDEX([3]Sheet1!$C$4:$Q$23,MATCH(K81,[3]Sheet1!$B$4:$B$23,1)+1,MATCH(D81,[3]Sheet1!$C$3:$Q$3,1))-INDEX([3]Sheet1!$C$4:$Q$23,
MATCH(K81,[3]Sheet1!$B$4:$B$23,1),MATCH(D81,[3]Sheet1!$C$3:$Q$3,1)))
+(D81-INDEX([3]Sheet1!$C$3:$Q$3,1,MATCH(D81,[3]Sheet1!$C$3:$Q$3)))/(INDEX([3]Sheet1!$C$3:$Q$3,1,MATCH(D81,[3]Sheet1!$C$3:$Q$3)+1)-INDEX([3]Sheet1!$C$3:$Q$3,1,MATCH(
D81,[3]Sheet1!$C$3:$Q$3)))*(INDEX([3]Sheet1!$C$4:$Q$23,MATCH(K81,[3]Sheet1!$B$4:$B$23,1),MATCH(D81,[3]Sheet1!$C$3:$Q$3,1)+1)-INDEX([3]Sheet1!$C$4:$Q$23,MATCH(K81,[3]Sheet1!$B$4:$B$23,1),MATCH(D81,[3]Sheet1!$C$3:$Q$3,1))))</f>
        <v>0</v>
      </c>
      <c r="M81" cm="1">
        <f t="array" ref="M81" xml:space="preserve"> IF(E81*J81=0,0,(INDEX([2]Sheet1!$C$4:$Q$23,MATCH(K81,[2]Sheet1!$B$4:$B$23,1),MATCH(D81,[2]Sheet1!$C$3:$Q$3,1))
+ (K81 - INDEX([2]Sheet1!$B$4:$B$23,MATCH(K81,[2]Sheet1!$B$4:$B$23,1),1))/(INDEX([2]Sheet1!$B$4:$B$23,MATCH(K81,[2]Sheet1!$B$4:$B$23,1)+1,1) - INDEX([2]Sheet1!$B$4:$B$23,MATCH(K81,[2]Sheet1!$B$4:$B$23,1),1))*(INDEX([2]Sheet1!$C$4:$Q$23,MATCH(K81,[2]Sheet1!$B$4:$B$23,1)+1,MATCH(D81,[2]Sheet1!$C$3:$Q$3,1)) - INDEX([2]Sheet1!$C$4:$Q$23,MATCH(K81,[2]Sheet1!$B$4:$B$23,1),MATCH(D81,[2]Sheet1!$C$3:$Q$3,1)))
+ (D81 - INDEX([2]Sheet1!$C$3:$Q$3,1,MATCH(D81,[2]Sheet1!$C$3:$Q$3)))/(INDEX([2]Sheet1!$C$3:$Q$3,1,MATCH(D81,[2]Sheet1!$C$3:$Q$3)+1) - INDEX([2]Sheet1!$C$3:$Q$3,1,MATCH(D81,[2]Sheet1!$C$3:$Q$3)))*(
INDEX([2]Sheet1!$C$4:$Q$23,MATCH(K81,[2]Sheet1!$B$4:$B$23,1),MATCH(D81,[2]Sheet1!$C$3:$Q$3,1)+1) - INDEX([2]Sheet1!$C$4:$Q$23,MATCH(K81,[2]Sheet1!$B$4:$B$23,1),MATCH(D81,[2]Sheet1!$C$3:$Q$3,1)))))</f>
        <v>0</v>
      </c>
      <c r="N81">
        <f t="shared" si="24"/>
        <v>12</v>
      </c>
      <c r="O81">
        <v>9.1647940201468478E-2</v>
      </c>
      <c r="P81" t="e">
        <f t="shared" si="27"/>
        <v>#DIV/0!</v>
      </c>
      <c r="Q81">
        <f t="shared" si="14"/>
        <v>0</v>
      </c>
      <c r="R81">
        <f t="shared" si="25"/>
        <v>741.9099431943954</v>
      </c>
      <c r="T81" t="e">
        <f t="shared" si="15"/>
        <v>#DIV/0!</v>
      </c>
      <c r="U81" t="e">
        <f t="shared" si="16"/>
        <v>#DIV/0!</v>
      </c>
      <c r="V81">
        <f t="shared" si="17"/>
        <v>0</v>
      </c>
      <c r="W81" t="e">
        <f t="shared" si="26"/>
        <v>#DIV/0!</v>
      </c>
    </row>
    <row r="82" spans="1:23" x14ac:dyDescent="0.55000000000000004">
      <c r="A82">
        <f t="shared" si="28"/>
        <v>4.7999999999999989</v>
      </c>
      <c r="B82">
        <f t="shared" si="18"/>
        <v>0.316</v>
      </c>
      <c r="C82">
        <f t="shared" si="19"/>
        <v>1.8695652173913047</v>
      </c>
      <c r="D82">
        <v>2.2983429325023086</v>
      </c>
      <c r="E82">
        <f t="shared" si="2"/>
        <v>0</v>
      </c>
      <c r="F82">
        <f t="shared" si="20"/>
        <v>4.8605058816845369E-2</v>
      </c>
      <c r="G82">
        <f t="shared" si="21"/>
        <v>39.513748498891111</v>
      </c>
      <c r="H82">
        <f t="shared" si="22"/>
        <v>0</v>
      </c>
      <c r="I82" s="1">
        <f t="shared" si="4"/>
        <v>0</v>
      </c>
      <c r="J82">
        <f t="shared" si="23"/>
        <v>0</v>
      </c>
      <c r="K82">
        <f t="shared" si="6"/>
        <v>0</v>
      </c>
      <c r="L82" cm="1">
        <f t="array" ref="L82">IF(E82*J82=0,0,$C$21*INDEX([3]Sheet1!$C$4:$Q$23,MATCH(K82,[3]Sheet1!$B$4:$B$23,1),MATCH(D82,[3]Sheet1!$C$3:$Q$3,1))
+(K82-INDEX([3]Sheet1!$B$4:$B$23,MATCH(K82,[3]Sheet1!$B$4:$B$23,1),1))/(INDEX([3]Sheet1!$B$4:$B$23,MATCH(K82,[3]Sheet1!$B$4:$B$23,1)+1,1)-INDEX([3]Sheet1!$B$4:$B$23,
MATCH(K82,[3]Sheet1!$B$4:$B$23,1),1))*(INDEX([3]Sheet1!$C$4:$Q$23,MATCH(K82,[3]Sheet1!$B$4:$B$23,1)+1,MATCH(D82,[3]Sheet1!$C$3:$Q$3,1))-INDEX([3]Sheet1!$C$4:$Q$23,
MATCH(K82,[3]Sheet1!$B$4:$B$23,1),MATCH(D82,[3]Sheet1!$C$3:$Q$3,1)))
+(D82-INDEX([3]Sheet1!$C$3:$Q$3,1,MATCH(D82,[3]Sheet1!$C$3:$Q$3)))/(INDEX([3]Sheet1!$C$3:$Q$3,1,MATCH(D82,[3]Sheet1!$C$3:$Q$3)+1)-INDEX([3]Sheet1!$C$3:$Q$3,1,MATCH(
D82,[3]Sheet1!$C$3:$Q$3)))*(INDEX([3]Sheet1!$C$4:$Q$23,MATCH(K82,[3]Sheet1!$B$4:$B$23,1),MATCH(D82,[3]Sheet1!$C$3:$Q$3,1)+1)-INDEX([3]Sheet1!$C$4:$Q$23,MATCH(K82,[3]Sheet1!$B$4:$B$23,1),MATCH(D82,[3]Sheet1!$C$3:$Q$3,1))))</f>
        <v>0</v>
      </c>
      <c r="M82" cm="1">
        <f t="array" ref="M82" xml:space="preserve"> IF(E82*J82=0,0,(INDEX([2]Sheet1!$C$4:$Q$23,MATCH(K82,[2]Sheet1!$B$4:$B$23,1),MATCH(D82,[2]Sheet1!$C$3:$Q$3,1))
+ (K82 - INDEX([2]Sheet1!$B$4:$B$23,MATCH(K82,[2]Sheet1!$B$4:$B$23,1),1))/(INDEX([2]Sheet1!$B$4:$B$23,MATCH(K82,[2]Sheet1!$B$4:$B$23,1)+1,1) - INDEX([2]Sheet1!$B$4:$B$23,MATCH(K82,[2]Sheet1!$B$4:$B$23,1),1))*(INDEX([2]Sheet1!$C$4:$Q$23,MATCH(K82,[2]Sheet1!$B$4:$B$23,1)+1,MATCH(D82,[2]Sheet1!$C$3:$Q$3,1)) - INDEX([2]Sheet1!$C$4:$Q$23,MATCH(K82,[2]Sheet1!$B$4:$B$23,1),MATCH(D82,[2]Sheet1!$C$3:$Q$3,1)))
+ (D82 - INDEX([2]Sheet1!$C$3:$Q$3,1,MATCH(D82,[2]Sheet1!$C$3:$Q$3)))/(INDEX([2]Sheet1!$C$3:$Q$3,1,MATCH(D82,[2]Sheet1!$C$3:$Q$3)+1) - INDEX([2]Sheet1!$C$3:$Q$3,1,MATCH(D82,[2]Sheet1!$C$3:$Q$3)))*(
INDEX([2]Sheet1!$C$4:$Q$23,MATCH(K82,[2]Sheet1!$B$4:$B$23,1),MATCH(D82,[2]Sheet1!$C$3:$Q$3,1)+1) - INDEX([2]Sheet1!$C$4:$Q$23,MATCH(K82,[2]Sheet1!$B$4:$B$23,1),MATCH(D82,[2]Sheet1!$C$3:$Q$3,1)))))</f>
        <v>0</v>
      </c>
      <c r="N82">
        <f t="shared" si="24"/>
        <v>12</v>
      </c>
      <c r="O82">
        <v>9.1479498325437503E-2</v>
      </c>
      <c r="P82" t="e">
        <f t="shared" si="27"/>
        <v>#DIV/0!</v>
      </c>
      <c r="Q82">
        <f t="shared" si="14"/>
        <v>0</v>
      </c>
      <c r="R82">
        <f t="shared" si="25"/>
        <v>741.9099431943954</v>
      </c>
      <c r="T82" t="e">
        <f t="shared" si="15"/>
        <v>#DIV/0!</v>
      </c>
      <c r="U82" t="e">
        <f t="shared" si="16"/>
        <v>#DIV/0!</v>
      </c>
      <c r="V82">
        <f t="shared" si="17"/>
        <v>0</v>
      </c>
      <c r="W82" t="e">
        <f t="shared" si="26"/>
        <v>#DIV/0!</v>
      </c>
    </row>
    <row r="83" spans="1:23" x14ac:dyDescent="0.55000000000000004">
      <c r="A83">
        <f t="shared" si="28"/>
        <v>4.8999999999999986</v>
      </c>
      <c r="B83">
        <f t="shared" si="18"/>
        <v>0.316</v>
      </c>
      <c r="C83">
        <f t="shared" si="19"/>
        <v>1.804347826086957</v>
      </c>
      <c r="D83">
        <v>2.2933133771548579</v>
      </c>
      <c r="E83">
        <f t="shared" si="2"/>
        <v>0</v>
      </c>
      <c r="F83">
        <f t="shared" si="20"/>
        <v>4.8605058816845369E-2</v>
      </c>
      <c r="G83">
        <f t="shared" si="21"/>
        <v>39.513748498891111</v>
      </c>
      <c r="H83">
        <f t="shared" si="22"/>
        <v>0</v>
      </c>
      <c r="I83" s="1">
        <f t="shared" si="4"/>
        <v>0</v>
      </c>
      <c r="J83">
        <f t="shared" si="23"/>
        <v>0</v>
      </c>
      <c r="K83">
        <f t="shared" si="6"/>
        <v>0</v>
      </c>
      <c r="L83" cm="1">
        <f t="array" ref="L83">IF(E83*J83=0,0,$C$21*INDEX([3]Sheet1!$C$4:$Q$23,MATCH(K83,[3]Sheet1!$B$4:$B$23,1),MATCH(D83,[3]Sheet1!$C$3:$Q$3,1))
+(K83-INDEX([3]Sheet1!$B$4:$B$23,MATCH(K83,[3]Sheet1!$B$4:$B$23,1),1))/(INDEX([3]Sheet1!$B$4:$B$23,MATCH(K83,[3]Sheet1!$B$4:$B$23,1)+1,1)-INDEX([3]Sheet1!$B$4:$B$23,
MATCH(K83,[3]Sheet1!$B$4:$B$23,1),1))*(INDEX([3]Sheet1!$C$4:$Q$23,MATCH(K83,[3]Sheet1!$B$4:$B$23,1)+1,MATCH(D83,[3]Sheet1!$C$3:$Q$3,1))-INDEX([3]Sheet1!$C$4:$Q$23,
MATCH(K83,[3]Sheet1!$B$4:$B$23,1),MATCH(D83,[3]Sheet1!$C$3:$Q$3,1)))
+(D83-INDEX([3]Sheet1!$C$3:$Q$3,1,MATCH(D83,[3]Sheet1!$C$3:$Q$3)))/(INDEX([3]Sheet1!$C$3:$Q$3,1,MATCH(D83,[3]Sheet1!$C$3:$Q$3)+1)-INDEX([3]Sheet1!$C$3:$Q$3,1,MATCH(
D83,[3]Sheet1!$C$3:$Q$3)))*(INDEX([3]Sheet1!$C$4:$Q$23,MATCH(K83,[3]Sheet1!$B$4:$B$23,1),MATCH(D83,[3]Sheet1!$C$3:$Q$3,1)+1)-INDEX([3]Sheet1!$C$4:$Q$23,MATCH(K83,[3]Sheet1!$B$4:$B$23,1),MATCH(D83,[3]Sheet1!$C$3:$Q$3,1))))</f>
        <v>0</v>
      </c>
      <c r="M83" cm="1">
        <f t="array" ref="M83" xml:space="preserve"> IF(E83*J83=0,0,(INDEX([2]Sheet1!$C$4:$Q$23,MATCH(K83,[2]Sheet1!$B$4:$B$23,1),MATCH(D83,[2]Sheet1!$C$3:$Q$3,1))
+ (K83 - INDEX([2]Sheet1!$B$4:$B$23,MATCH(K83,[2]Sheet1!$B$4:$B$23,1),1))/(INDEX([2]Sheet1!$B$4:$B$23,MATCH(K83,[2]Sheet1!$B$4:$B$23,1)+1,1) - INDEX([2]Sheet1!$B$4:$B$23,MATCH(K83,[2]Sheet1!$B$4:$B$23,1),1))*(INDEX([2]Sheet1!$C$4:$Q$23,MATCH(K83,[2]Sheet1!$B$4:$B$23,1)+1,MATCH(D83,[2]Sheet1!$C$3:$Q$3,1)) - INDEX([2]Sheet1!$C$4:$Q$23,MATCH(K83,[2]Sheet1!$B$4:$B$23,1),MATCH(D83,[2]Sheet1!$C$3:$Q$3,1)))
+ (D83 - INDEX([2]Sheet1!$C$3:$Q$3,1,MATCH(D83,[2]Sheet1!$C$3:$Q$3)))/(INDEX([2]Sheet1!$C$3:$Q$3,1,MATCH(D83,[2]Sheet1!$C$3:$Q$3)+1) - INDEX([2]Sheet1!$C$3:$Q$3,1,MATCH(D83,[2]Sheet1!$C$3:$Q$3)))*(
INDEX([2]Sheet1!$C$4:$Q$23,MATCH(K83,[2]Sheet1!$B$4:$B$23,1),MATCH(D83,[2]Sheet1!$C$3:$Q$3,1)+1) - INDEX([2]Sheet1!$C$4:$Q$23,MATCH(K83,[2]Sheet1!$B$4:$B$23,1),MATCH(D83,[2]Sheet1!$C$3:$Q$3,1)))))</f>
        <v>0</v>
      </c>
      <c r="N83">
        <f t="shared" si="24"/>
        <v>12</v>
      </c>
      <c r="O83">
        <v>9.1310663942448675E-2</v>
      </c>
      <c r="P83" t="e">
        <f t="shared" si="27"/>
        <v>#DIV/0!</v>
      </c>
      <c r="Q83">
        <f t="shared" si="14"/>
        <v>0</v>
      </c>
      <c r="R83">
        <f t="shared" si="25"/>
        <v>741.9099431943954</v>
      </c>
      <c r="T83" t="e">
        <f t="shared" si="15"/>
        <v>#DIV/0!</v>
      </c>
      <c r="U83" t="e">
        <f t="shared" si="16"/>
        <v>#DIV/0!</v>
      </c>
      <c r="V83">
        <f t="shared" si="17"/>
        <v>0</v>
      </c>
      <c r="W83" t="e">
        <f t="shared" si="26"/>
        <v>#DIV/0!</v>
      </c>
    </row>
    <row r="84" spans="1:23" x14ac:dyDescent="0.55000000000000004">
      <c r="A84">
        <f t="shared" si="28"/>
        <v>4.9999999999999982</v>
      </c>
      <c r="B84">
        <f t="shared" si="18"/>
        <v>0.316</v>
      </c>
      <c r="C84">
        <f t="shared" si="19"/>
        <v>1.7391304347826098</v>
      </c>
      <c r="D84">
        <v>2.2882925151737412</v>
      </c>
      <c r="E84">
        <f t="shared" si="2"/>
        <v>0</v>
      </c>
      <c r="F84">
        <f t="shared" si="20"/>
        <v>4.8605058816845369E-2</v>
      </c>
      <c r="G84">
        <f t="shared" si="21"/>
        <v>39.513748498891111</v>
      </c>
      <c r="H84">
        <f t="shared" si="22"/>
        <v>0</v>
      </c>
      <c r="I84" s="1">
        <f t="shared" si="4"/>
        <v>0</v>
      </c>
      <c r="J84">
        <f t="shared" si="23"/>
        <v>0</v>
      </c>
      <c r="K84">
        <f t="shared" si="6"/>
        <v>0</v>
      </c>
      <c r="L84" cm="1">
        <f t="array" ref="L84">IF(E84*J84=0,0,$C$21*INDEX([3]Sheet1!$C$4:$Q$23,MATCH(K84,[3]Sheet1!$B$4:$B$23,1),MATCH(D84,[3]Sheet1!$C$3:$Q$3,1))
+(K84-INDEX([3]Sheet1!$B$4:$B$23,MATCH(K84,[3]Sheet1!$B$4:$B$23,1),1))/(INDEX([3]Sheet1!$B$4:$B$23,MATCH(K84,[3]Sheet1!$B$4:$B$23,1)+1,1)-INDEX([3]Sheet1!$B$4:$B$23,
MATCH(K84,[3]Sheet1!$B$4:$B$23,1),1))*(INDEX([3]Sheet1!$C$4:$Q$23,MATCH(K84,[3]Sheet1!$B$4:$B$23,1)+1,MATCH(D84,[3]Sheet1!$C$3:$Q$3,1))-INDEX([3]Sheet1!$C$4:$Q$23,
MATCH(K84,[3]Sheet1!$B$4:$B$23,1),MATCH(D84,[3]Sheet1!$C$3:$Q$3,1)))
+(D84-INDEX([3]Sheet1!$C$3:$Q$3,1,MATCH(D84,[3]Sheet1!$C$3:$Q$3)))/(INDEX([3]Sheet1!$C$3:$Q$3,1,MATCH(D84,[3]Sheet1!$C$3:$Q$3)+1)-INDEX([3]Sheet1!$C$3:$Q$3,1,MATCH(
D84,[3]Sheet1!$C$3:$Q$3)))*(INDEX([3]Sheet1!$C$4:$Q$23,MATCH(K84,[3]Sheet1!$B$4:$B$23,1),MATCH(D84,[3]Sheet1!$C$3:$Q$3,1)+1)-INDEX([3]Sheet1!$C$4:$Q$23,MATCH(K84,[3]Sheet1!$B$4:$B$23,1),MATCH(D84,[3]Sheet1!$C$3:$Q$3,1))))</f>
        <v>0</v>
      </c>
      <c r="M84" cm="1">
        <f t="array" ref="M84" xml:space="preserve"> IF(E84*J84=0,0,(INDEX([2]Sheet1!$C$4:$Q$23,MATCH(K84,[2]Sheet1!$B$4:$B$23,1),MATCH(D84,[2]Sheet1!$C$3:$Q$3,1))
+ (K84 - INDEX([2]Sheet1!$B$4:$B$23,MATCH(K84,[2]Sheet1!$B$4:$B$23,1),1))/(INDEX([2]Sheet1!$B$4:$B$23,MATCH(K84,[2]Sheet1!$B$4:$B$23,1)+1,1) - INDEX([2]Sheet1!$B$4:$B$23,MATCH(K84,[2]Sheet1!$B$4:$B$23,1),1))*(INDEX([2]Sheet1!$C$4:$Q$23,MATCH(K84,[2]Sheet1!$B$4:$B$23,1)+1,MATCH(D84,[2]Sheet1!$C$3:$Q$3,1)) - INDEX([2]Sheet1!$C$4:$Q$23,MATCH(K84,[2]Sheet1!$B$4:$B$23,1),MATCH(D84,[2]Sheet1!$C$3:$Q$3,1)))
+ (D84 - INDEX([2]Sheet1!$C$3:$Q$3,1,MATCH(D84,[2]Sheet1!$C$3:$Q$3)))/(INDEX([2]Sheet1!$C$3:$Q$3,1,MATCH(D84,[2]Sheet1!$C$3:$Q$3)+1) - INDEX([2]Sheet1!$C$3:$Q$3,1,MATCH(D84,[2]Sheet1!$C$3:$Q$3)))*(
INDEX([2]Sheet1!$C$4:$Q$23,MATCH(K84,[2]Sheet1!$B$4:$B$23,1),MATCH(D84,[2]Sheet1!$C$3:$Q$3,1)+1) - INDEX([2]Sheet1!$C$4:$Q$23,MATCH(K84,[2]Sheet1!$B$4:$B$23,1),MATCH(D84,[2]Sheet1!$C$3:$Q$3,1)))))</f>
        <v>0</v>
      </c>
      <c r="N84">
        <f t="shared" si="24"/>
        <v>12</v>
      </c>
      <c r="O84">
        <v>9.1141436879557183E-2</v>
      </c>
      <c r="P84" t="e">
        <f t="shared" si="27"/>
        <v>#DIV/0!</v>
      </c>
      <c r="Q84">
        <f t="shared" si="14"/>
        <v>0</v>
      </c>
      <c r="R84">
        <f t="shared" si="25"/>
        <v>741.9099431943954</v>
      </c>
      <c r="T84" t="e">
        <f t="shared" si="15"/>
        <v>#DIV/0!</v>
      </c>
      <c r="U84" t="e">
        <f t="shared" si="16"/>
        <v>#DIV/0!</v>
      </c>
      <c r="V84">
        <f t="shared" si="17"/>
        <v>0</v>
      </c>
      <c r="W84" t="e">
        <f t="shared" si="26"/>
        <v>#DIV/0!</v>
      </c>
    </row>
    <row r="85" spans="1:23" x14ac:dyDescent="0.55000000000000004">
      <c r="A85">
        <f t="shared" si="28"/>
        <v>5.0999999999999979</v>
      </c>
      <c r="B85">
        <f t="shared" si="18"/>
        <v>0.316</v>
      </c>
      <c r="C85">
        <f t="shared" si="19"/>
        <v>1.6739130434782621</v>
      </c>
      <c r="D85">
        <v>2.2832799618788324</v>
      </c>
      <c r="E85">
        <f t="shared" si="2"/>
        <v>0</v>
      </c>
      <c r="F85">
        <f t="shared" si="20"/>
        <v>4.8605058816845369E-2</v>
      </c>
      <c r="G85">
        <f t="shared" si="21"/>
        <v>39.513748498891111</v>
      </c>
      <c r="H85">
        <f t="shared" si="22"/>
        <v>0</v>
      </c>
      <c r="I85" s="1">
        <f t="shared" si="4"/>
        <v>0</v>
      </c>
      <c r="J85">
        <f t="shared" si="23"/>
        <v>0</v>
      </c>
      <c r="K85">
        <f t="shared" si="6"/>
        <v>0</v>
      </c>
      <c r="L85" cm="1">
        <f t="array" ref="L85">IF(E85*J85=0,0,$C$21*INDEX([3]Sheet1!$C$4:$Q$23,MATCH(K85,[3]Sheet1!$B$4:$B$23,1),MATCH(D85,[3]Sheet1!$C$3:$Q$3,1))
+(K85-INDEX([3]Sheet1!$B$4:$B$23,MATCH(K85,[3]Sheet1!$B$4:$B$23,1),1))/(INDEX([3]Sheet1!$B$4:$B$23,MATCH(K85,[3]Sheet1!$B$4:$B$23,1)+1,1)-INDEX([3]Sheet1!$B$4:$B$23,
MATCH(K85,[3]Sheet1!$B$4:$B$23,1),1))*(INDEX([3]Sheet1!$C$4:$Q$23,MATCH(K85,[3]Sheet1!$B$4:$B$23,1)+1,MATCH(D85,[3]Sheet1!$C$3:$Q$3,1))-INDEX([3]Sheet1!$C$4:$Q$23,
MATCH(K85,[3]Sheet1!$B$4:$B$23,1),MATCH(D85,[3]Sheet1!$C$3:$Q$3,1)))
+(D85-INDEX([3]Sheet1!$C$3:$Q$3,1,MATCH(D85,[3]Sheet1!$C$3:$Q$3)))/(INDEX([3]Sheet1!$C$3:$Q$3,1,MATCH(D85,[3]Sheet1!$C$3:$Q$3)+1)-INDEX([3]Sheet1!$C$3:$Q$3,1,MATCH(
D85,[3]Sheet1!$C$3:$Q$3)))*(INDEX([3]Sheet1!$C$4:$Q$23,MATCH(K85,[3]Sheet1!$B$4:$B$23,1),MATCH(D85,[3]Sheet1!$C$3:$Q$3,1)+1)-INDEX([3]Sheet1!$C$4:$Q$23,MATCH(K85,[3]Sheet1!$B$4:$B$23,1),MATCH(D85,[3]Sheet1!$C$3:$Q$3,1))))</f>
        <v>0</v>
      </c>
      <c r="M85" cm="1">
        <f t="array" ref="M85" xml:space="preserve"> IF(E85*J85=0,0,(INDEX([2]Sheet1!$C$4:$Q$23,MATCH(K85,[2]Sheet1!$B$4:$B$23,1),MATCH(D85,[2]Sheet1!$C$3:$Q$3,1))
+ (K85 - INDEX([2]Sheet1!$B$4:$B$23,MATCH(K85,[2]Sheet1!$B$4:$B$23,1),1))/(INDEX([2]Sheet1!$B$4:$B$23,MATCH(K85,[2]Sheet1!$B$4:$B$23,1)+1,1) - INDEX([2]Sheet1!$B$4:$B$23,MATCH(K85,[2]Sheet1!$B$4:$B$23,1),1))*(INDEX([2]Sheet1!$C$4:$Q$23,MATCH(K85,[2]Sheet1!$B$4:$B$23,1)+1,MATCH(D85,[2]Sheet1!$C$3:$Q$3,1)) - INDEX([2]Sheet1!$C$4:$Q$23,MATCH(K85,[2]Sheet1!$B$4:$B$23,1),MATCH(D85,[2]Sheet1!$C$3:$Q$3,1)))
+ (D85 - INDEX([2]Sheet1!$C$3:$Q$3,1,MATCH(D85,[2]Sheet1!$C$3:$Q$3)))/(INDEX([2]Sheet1!$C$3:$Q$3,1,MATCH(D85,[2]Sheet1!$C$3:$Q$3)+1) - INDEX([2]Sheet1!$C$3:$Q$3,1,MATCH(D85,[2]Sheet1!$C$3:$Q$3)))*(
INDEX([2]Sheet1!$C$4:$Q$23,MATCH(K85,[2]Sheet1!$B$4:$B$23,1),MATCH(D85,[2]Sheet1!$C$3:$Q$3,1)+1) - INDEX([2]Sheet1!$C$4:$Q$23,MATCH(K85,[2]Sheet1!$B$4:$B$23,1),MATCH(D85,[2]Sheet1!$C$3:$Q$3,1)))))</f>
        <v>0</v>
      </c>
      <c r="N85">
        <f t="shared" si="24"/>
        <v>12</v>
      </c>
      <c r="O85">
        <v>9.0971821222523605E-2</v>
      </c>
      <c r="P85" t="e">
        <f t="shared" si="27"/>
        <v>#DIV/0!</v>
      </c>
      <c r="Q85">
        <f t="shared" si="14"/>
        <v>0</v>
      </c>
      <c r="R85">
        <f t="shared" si="25"/>
        <v>741.9099431943954</v>
      </c>
      <c r="T85" t="e">
        <f t="shared" si="15"/>
        <v>#DIV/0!</v>
      </c>
      <c r="U85" t="e">
        <f t="shared" si="16"/>
        <v>#DIV/0!</v>
      </c>
      <c r="V85">
        <f t="shared" si="17"/>
        <v>0</v>
      </c>
      <c r="W85" t="e">
        <f t="shared" si="26"/>
        <v>#DIV/0!</v>
      </c>
    </row>
    <row r="86" spans="1:23" x14ac:dyDescent="0.55000000000000004">
      <c r="A86">
        <f t="shared" si="28"/>
        <v>5.1999999999999975</v>
      </c>
      <c r="B86">
        <f t="shared" si="18"/>
        <v>0.316</v>
      </c>
      <c r="C86">
        <f t="shared" si="19"/>
        <v>1.6086956521739144</v>
      </c>
      <c r="D86">
        <v>2.2782752364176959</v>
      </c>
      <c r="E86">
        <f t="shared" si="2"/>
        <v>0</v>
      </c>
      <c r="F86">
        <f t="shared" si="20"/>
        <v>4.8605058816845369E-2</v>
      </c>
      <c r="G86">
        <f t="shared" si="21"/>
        <v>39.513748498891111</v>
      </c>
      <c r="H86">
        <f t="shared" si="22"/>
        <v>0</v>
      </c>
      <c r="I86" s="1">
        <f t="shared" si="4"/>
        <v>0</v>
      </c>
      <c r="J86">
        <f t="shared" si="23"/>
        <v>0</v>
      </c>
      <c r="K86">
        <f t="shared" si="6"/>
        <v>0</v>
      </c>
      <c r="L86" cm="1">
        <f t="array" ref="L86">IF(E86*J86=0,0,$C$21*INDEX([3]Sheet1!$C$4:$Q$23,MATCH(K86,[3]Sheet1!$B$4:$B$23,1),MATCH(D86,[3]Sheet1!$C$3:$Q$3,1))
+(K86-INDEX([3]Sheet1!$B$4:$B$23,MATCH(K86,[3]Sheet1!$B$4:$B$23,1),1))/(INDEX([3]Sheet1!$B$4:$B$23,MATCH(K86,[3]Sheet1!$B$4:$B$23,1)+1,1)-INDEX([3]Sheet1!$B$4:$B$23,
MATCH(K86,[3]Sheet1!$B$4:$B$23,1),1))*(INDEX([3]Sheet1!$C$4:$Q$23,MATCH(K86,[3]Sheet1!$B$4:$B$23,1)+1,MATCH(D86,[3]Sheet1!$C$3:$Q$3,1))-INDEX([3]Sheet1!$C$4:$Q$23,
MATCH(K86,[3]Sheet1!$B$4:$B$23,1),MATCH(D86,[3]Sheet1!$C$3:$Q$3,1)))
+(D86-INDEX([3]Sheet1!$C$3:$Q$3,1,MATCH(D86,[3]Sheet1!$C$3:$Q$3)))/(INDEX([3]Sheet1!$C$3:$Q$3,1,MATCH(D86,[3]Sheet1!$C$3:$Q$3)+1)-INDEX([3]Sheet1!$C$3:$Q$3,1,MATCH(
D86,[3]Sheet1!$C$3:$Q$3)))*(INDEX([3]Sheet1!$C$4:$Q$23,MATCH(K86,[3]Sheet1!$B$4:$B$23,1),MATCH(D86,[3]Sheet1!$C$3:$Q$3,1)+1)-INDEX([3]Sheet1!$C$4:$Q$23,MATCH(K86,[3]Sheet1!$B$4:$B$23,1),MATCH(D86,[3]Sheet1!$C$3:$Q$3,1))))</f>
        <v>0</v>
      </c>
      <c r="M86" cm="1">
        <f t="array" ref="M86" xml:space="preserve"> IF(E86*J86=0,0,(INDEX([2]Sheet1!$C$4:$Q$23,MATCH(K86,[2]Sheet1!$B$4:$B$23,1),MATCH(D86,[2]Sheet1!$C$3:$Q$3,1))
+ (K86 - INDEX([2]Sheet1!$B$4:$B$23,MATCH(K86,[2]Sheet1!$B$4:$B$23,1),1))/(INDEX([2]Sheet1!$B$4:$B$23,MATCH(K86,[2]Sheet1!$B$4:$B$23,1)+1,1) - INDEX([2]Sheet1!$B$4:$B$23,MATCH(K86,[2]Sheet1!$B$4:$B$23,1),1))*(INDEX([2]Sheet1!$C$4:$Q$23,MATCH(K86,[2]Sheet1!$B$4:$B$23,1)+1,MATCH(D86,[2]Sheet1!$C$3:$Q$3,1)) - INDEX([2]Sheet1!$C$4:$Q$23,MATCH(K86,[2]Sheet1!$B$4:$B$23,1),MATCH(D86,[2]Sheet1!$C$3:$Q$3,1)))
+ (D86 - INDEX([2]Sheet1!$C$3:$Q$3,1,MATCH(D86,[2]Sheet1!$C$3:$Q$3)))/(INDEX([2]Sheet1!$C$3:$Q$3,1,MATCH(D86,[2]Sheet1!$C$3:$Q$3)+1) - INDEX([2]Sheet1!$C$3:$Q$3,1,MATCH(D86,[2]Sheet1!$C$3:$Q$3)))*(
INDEX([2]Sheet1!$C$4:$Q$23,MATCH(K86,[2]Sheet1!$B$4:$B$23,1),MATCH(D86,[2]Sheet1!$C$3:$Q$3,1)+1) - INDEX([2]Sheet1!$C$4:$Q$23,MATCH(K86,[2]Sheet1!$B$4:$B$23,1),MATCH(D86,[2]Sheet1!$C$3:$Q$3,1)))))</f>
        <v>0</v>
      </c>
      <c r="N86">
        <f t="shared" si="24"/>
        <v>12</v>
      </c>
      <c r="O86">
        <v>9.0801816674848185E-2</v>
      </c>
      <c r="P86" t="e">
        <f t="shared" si="27"/>
        <v>#DIV/0!</v>
      </c>
      <c r="Q86">
        <f t="shared" si="14"/>
        <v>0</v>
      </c>
      <c r="R86">
        <f t="shared" si="25"/>
        <v>741.9099431943954</v>
      </c>
      <c r="T86" t="e">
        <f t="shared" si="15"/>
        <v>#DIV/0!</v>
      </c>
      <c r="U86" t="e">
        <f t="shared" si="16"/>
        <v>#DIV/0!</v>
      </c>
      <c r="V86">
        <f t="shared" si="17"/>
        <v>0</v>
      </c>
      <c r="W86" t="e">
        <f t="shared" si="26"/>
        <v>#DIV/0!</v>
      </c>
    </row>
    <row r="87" spans="1:23" x14ac:dyDescent="0.55000000000000004">
      <c r="A87">
        <f t="shared" si="28"/>
        <v>5.2999999999999972</v>
      </c>
      <c r="B87">
        <f t="shared" si="18"/>
        <v>0.316</v>
      </c>
      <c r="C87">
        <f t="shared" si="19"/>
        <v>1.5434782608695667</v>
      </c>
      <c r="D87">
        <v>2.2732779152364269</v>
      </c>
      <c r="E87">
        <f t="shared" si="2"/>
        <v>0</v>
      </c>
      <c r="F87">
        <f t="shared" si="20"/>
        <v>4.8605058816845369E-2</v>
      </c>
      <c r="G87">
        <f t="shared" si="21"/>
        <v>39.513748498891111</v>
      </c>
      <c r="H87">
        <f t="shared" si="22"/>
        <v>0</v>
      </c>
      <c r="I87" s="1">
        <f t="shared" si="4"/>
        <v>0</v>
      </c>
      <c r="J87">
        <f t="shared" si="23"/>
        <v>0</v>
      </c>
      <c r="K87">
        <f t="shared" si="6"/>
        <v>0</v>
      </c>
      <c r="L87" cm="1">
        <f t="array" ref="L87">IF(E87*J87=0,0,$C$21*INDEX([3]Sheet1!$C$4:$Q$23,MATCH(K87,[3]Sheet1!$B$4:$B$23,1),MATCH(D87,[3]Sheet1!$C$3:$Q$3,1))
+(K87-INDEX([3]Sheet1!$B$4:$B$23,MATCH(K87,[3]Sheet1!$B$4:$B$23,1),1))/(INDEX([3]Sheet1!$B$4:$B$23,MATCH(K87,[3]Sheet1!$B$4:$B$23,1)+1,1)-INDEX([3]Sheet1!$B$4:$B$23,
MATCH(K87,[3]Sheet1!$B$4:$B$23,1),1))*(INDEX([3]Sheet1!$C$4:$Q$23,MATCH(K87,[3]Sheet1!$B$4:$B$23,1)+1,MATCH(D87,[3]Sheet1!$C$3:$Q$3,1))-INDEX([3]Sheet1!$C$4:$Q$23,
MATCH(K87,[3]Sheet1!$B$4:$B$23,1),MATCH(D87,[3]Sheet1!$C$3:$Q$3,1)))
+(D87-INDEX([3]Sheet1!$C$3:$Q$3,1,MATCH(D87,[3]Sheet1!$C$3:$Q$3)))/(INDEX([3]Sheet1!$C$3:$Q$3,1,MATCH(D87,[3]Sheet1!$C$3:$Q$3)+1)-INDEX([3]Sheet1!$C$3:$Q$3,1,MATCH(
D87,[3]Sheet1!$C$3:$Q$3)))*(INDEX([3]Sheet1!$C$4:$Q$23,MATCH(K87,[3]Sheet1!$B$4:$B$23,1),MATCH(D87,[3]Sheet1!$C$3:$Q$3,1)+1)-INDEX([3]Sheet1!$C$4:$Q$23,MATCH(K87,[3]Sheet1!$B$4:$B$23,1),MATCH(D87,[3]Sheet1!$C$3:$Q$3,1))))</f>
        <v>0</v>
      </c>
      <c r="M87" cm="1">
        <f t="array" ref="M87" xml:space="preserve"> IF(E87*J87=0,0,(INDEX([2]Sheet1!$C$4:$Q$23,MATCH(K87,[2]Sheet1!$B$4:$B$23,1),MATCH(D87,[2]Sheet1!$C$3:$Q$3,1))
+ (K87 - INDEX([2]Sheet1!$B$4:$B$23,MATCH(K87,[2]Sheet1!$B$4:$B$23,1),1))/(INDEX([2]Sheet1!$B$4:$B$23,MATCH(K87,[2]Sheet1!$B$4:$B$23,1)+1,1) - INDEX([2]Sheet1!$B$4:$B$23,MATCH(K87,[2]Sheet1!$B$4:$B$23,1),1))*(INDEX([2]Sheet1!$C$4:$Q$23,MATCH(K87,[2]Sheet1!$B$4:$B$23,1)+1,MATCH(D87,[2]Sheet1!$C$3:$Q$3,1)) - INDEX([2]Sheet1!$C$4:$Q$23,MATCH(K87,[2]Sheet1!$B$4:$B$23,1),MATCH(D87,[2]Sheet1!$C$3:$Q$3,1)))
+ (D87 - INDEX([2]Sheet1!$C$3:$Q$3,1,MATCH(D87,[2]Sheet1!$C$3:$Q$3)))/(INDEX([2]Sheet1!$C$3:$Q$3,1,MATCH(D87,[2]Sheet1!$C$3:$Q$3)+1) - INDEX([2]Sheet1!$C$3:$Q$3,1,MATCH(D87,[2]Sheet1!$C$3:$Q$3)))*(
INDEX([2]Sheet1!$C$4:$Q$23,MATCH(K87,[2]Sheet1!$B$4:$B$23,1),MATCH(D87,[2]Sheet1!$C$3:$Q$3,1)+1) - INDEX([2]Sheet1!$C$4:$Q$23,MATCH(K87,[2]Sheet1!$B$4:$B$23,1),MATCH(D87,[2]Sheet1!$C$3:$Q$3,1)))))</f>
        <v>0</v>
      </c>
      <c r="N87">
        <f t="shared" si="24"/>
        <v>12</v>
      </c>
      <c r="O87">
        <v>9.0631424405033856E-2</v>
      </c>
      <c r="P87" t="e">
        <f t="shared" si="27"/>
        <v>#DIV/0!</v>
      </c>
      <c r="Q87">
        <f t="shared" si="14"/>
        <v>0</v>
      </c>
      <c r="R87">
        <f t="shared" si="25"/>
        <v>741.9099431943954</v>
      </c>
      <c r="T87" t="e">
        <f t="shared" si="15"/>
        <v>#DIV/0!</v>
      </c>
      <c r="U87" t="e">
        <f t="shared" si="16"/>
        <v>#DIV/0!</v>
      </c>
      <c r="V87">
        <f t="shared" si="17"/>
        <v>0</v>
      </c>
      <c r="W87" t="e">
        <f t="shared" si="26"/>
        <v>#DIV/0!</v>
      </c>
    </row>
    <row r="88" spans="1:23" x14ac:dyDescent="0.55000000000000004">
      <c r="A88">
        <f t="shared" si="28"/>
        <v>5.3999999999999968</v>
      </c>
      <c r="B88">
        <f t="shared" si="18"/>
        <v>0.316</v>
      </c>
      <c r="C88">
        <f t="shared" si="19"/>
        <v>1.4782608695652195</v>
      </c>
      <c r="D88">
        <v>2.268287591773996</v>
      </c>
      <c r="E88">
        <f t="shared" si="2"/>
        <v>0</v>
      </c>
      <c r="F88">
        <f t="shared" si="20"/>
        <v>4.8605058816845369E-2</v>
      </c>
      <c r="G88">
        <f t="shared" si="21"/>
        <v>39.513748498891111</v>
      </c>
      <c r="H88">
        <f t="shared" si="22"/>
        <v>0</v>
      </c>
      <c r="I88" s="1">
        <f t="shared" si="4"/>
        <v>0</v>
      </c>
      <c r="J88">
        <f t="shared" si="23"/>
        <v>0</v>
      </c>
      <c r="K88">
        <f t="shared" si="6"/>
        <v>0</v>
      </c>
      <c r="L88" cm="1">
        <f t="array" ref="L88">IF(E88*J88=0,0,$C$21*INDEX([3]Sheet1!$C$4:$Q$23,MATCH(K88,[3]Sheet1!$B$4:$B$23,1),MATCH(D88,[3]Sheet1!$C$3:$Q$3,1))
+(K88-INDEX([3]Sheet1!$B$4:$B$23,MATCH(K88,[3]Sheet1!$B$4:$B$23,1),1))/(INDEX([3]Sheet1!$B$4:$B$23,MATCH(K88,[3]Sheet1!$B$4:$B$23,1)+1,1)-INDEX([3]Sheet1!$B$4:$B$23,
MATCH(K88,[3]Sheet1!$B$4:$B$23,1),1))*(INDEX([3]Sheet1!$C$4:$Q$23,MATCH(K88,[3]Sheet1!$B$4:$B$23,1)+1,MATCH(D88,[3]Sheet1!$C$3:$Q$3,1))-INDEX([3]Sheet1!$C$4:$Q$23,
MATCH(K88,[3]Sheet1!$B$4:$B$23,1),MATCH(D88,[3]Sheet1!$C$3:$Q$3,1)))
+(D88-INDEX([3]Sheet1!$C$3:$Q$3,1,MATCH(D88,[3]Sheet1!$C$3:$Q$3)))/(INDEX([3]Sheet1!$C$3:$Q$3,1,MATCH(D88,[3]Sheet1!$C$3:$Q$3)+1)-INDEX([3]Sheet1!$C$3:$Q$3,1,MATCH(
D88,[3]Sheet1!$C$3:$Q$3)))*(INDEX([3]Sheet1!$C$4:$Q$23,MATCH(K88,[3]Sheet1!$B$4:$B$23,1),MATCH(D88,[3]Sheet1!$C$3:$Q$3,1)+1)-INDEX([3]Sheet1!$C$4:$Q$23,MATCH(K88,[3]Sheet1!$B$4:$B$23,1),MATCH(D88,[3]Sheet1!$C$3:$Q$3,1))))</f>
        <v>0</v>
      </c>
      <c r="M88" cm="1">
        <f t="array" ref="M88" xml:space="preserve"> IF(E88*J88=0,0,(INDEX([2]Sheet1!$C$4:$Q$23,MATCH(K88,[2]Sheet1!$B$4:$B$23,1),MATCH(D88,[2]Sheet1!$C$3:$Q$3,1))
+ (K88 - INDEX([2]Sheet1!$B$4:$B$23,MATCH(K88,[2]Sheet1!$B$4:$B$23,1),1))/(INDEX([2]Sheet1!$B$4:$B$23,MATCH(K88,[2]Sheet1!$B$4:$B$23,1)+1,1) - INDEX([2]Sheet1!$B$4:$B$23,MATCH(K88,[2]Sheet1!$B$4:$B$23,1),1))*(INDEX([2]Sheet1!$C$4:$Q$23,MATCH(K88,[2]Sheet1!$B$4:$B$23,1)+1,MATCH(D88,[2]Sheet1!$C$3:$Q$3,1)) - INDEX([2]Sheet1!$C$4:$Q$23,MATCH(K88,[2]Sheet1!$B$4:$B$23,1),MATCH(D88,[2]Sheet1!$C$3:$Q$3,1)))
+ (D88 - INDEX([2]Sheet1!$C$3:$Q$3,1,MATCH(D88,[2]Sheet1!$C$3:$Q$3)))/(INDEX([2]Sheet1!$C$3:$Q$3,1,MATCH(D88,[2]Sheet1!$C$3:$Q$3)+1) - INDEX([2]Sheet1!$C$3:$Q$3,1,MATCH(D88,[2]Sheet1!$C$3:$Q$3)))*(
INDEX([2]Sheet1!$C$4:$Q$23,MATCH(K88,[2]Sheet1!$B$4:$B$23,1),MATCH(D88,[2]Sheet1!$C$3:$Q$3,1)+1) - INDEX([2]Sheet1!$C$4:$Q$23,MATCH(K88,[2]Sheet1!$B$4:$B$23,1),MATCH(D88,[2]Sheet1!$C$3:$Q$3,1)))))</f>
        <v>0</v>
      </c>
      <c r="N88">
        <f t="shared" si="24"/>
        <v>12</v>
      </c>
      <c r="O88">
        <v>9.0460645563558123E-2</v>
      </c>
      <c r="P88" t="e">
        <f t="shared" si="27"/>
        <v>#DIV/0!</v>
      </c>
      <c r="Q88">
        <f t="shared" si="14"/>
        <v>0</v>
      </c>
      <c r="R88">
        <f t="shared" si="25"/>
        <v>741.9099431943954</v>
      </c>
      <c r="T88" t="e">
        <f t="shared" si="15"/>
        <v>#DIV/0!</v>
      </c>
      <c r="U88" t="e">
        <f t="shared" si="16"/>
        <v>#DIV/0!</v>
      </c>
      <c r="V88">
        <f t="shared" si="17"/>
        <v>0</v>
      </c>
      <c r="W88" t="e">
        <f t="shared" si="26"/>
        <v>#DIV/0!</v>
      </c>
    </row>
    <row r="89" spans="1:23" x14ac:dyDescent="0.55000000000000004">
      <c r="A89">
        <f t="shared" si="28"/>
        <v>5.4999999999999964</v>
      </c>
      <c r="B89">
        <f t="shared" si="18"/>
        <v>0.316</v>
      </c>
      <c r="C89">
        <f t="shared" si="19"/>
        <v>1.4130434782608714</v>
      </c>
      <c r="D89">
        <v>2.2633038754790924</v>
      </c>
      <c r="E89">
        <f t="shared" si="2"/>
        <v>0</v>
      </c>
      <c r="F89">
        <f t="shared" si="20"/>
        <v>4.8605058816845369E-2</v>
      </c>
      <c r="G89">
        <f t="shared" si="21"/>
        <v>39.513748498891111</v>
      </c>
      <c r="H89">
        <f t="shared" si="22"/>
        <v>0</v>
      </c>
      <c r="I89" s="1">
        <f t="shared" si="4"/>
        <v>0</v>
      </c>
      <c r="J89">
        <f t="shared" si="23"/>
        <v>0</v>
      </c>
      <c r="K89">
        <f t="shared" si="6"/>
        <v>0</v>
      </c>
      <c r="L89" cm="1">
        <f t="array" ref="L89">IF(E89*J89=0,0,$C$21*INDEX([3]Sheet1!$C$4:$Q$23,MATCH(K89,[3]Sheet1!$B$4:$B$23,1),MATCH(D89,[3]Sheet1!$C$3:$Q$3,1))
+(K89-INDEX([3]Sheet1!$B$4:$B$23,MATCH(K89,[3]Sheet1!$B$4:$B$23,1),1))/(INDEX([3]Sheet1!$B$4:$B$23,MATCH(K89,[3]Sheet1!$B$4:$B$23,1)+1,1)-INDEX([3]Sheet1!$B$4:$B$23,
MATCH(K89,[3]Sheet1!$B$4:$B$23,1),1))*(INDEX([3]Sheet1!$C$4:$Q$23,MATCH(K89,[3]Sheet1!$B$4:$B$23,1)+1,MATCH(D89,[3]Sheet1!$C$3:$Q$3,1))-INDEX([3]Sheet1!$C$4:$Q$23,
MATCH(K89,[3]Sheet1!$B$4:$B$23,1),MATCH(D89,[3]Sheet1!$C$3:$Q$3,1)))
+(D89-INDEX([3]Sheet1!$C$3:$Q$3,1,MATCH(D89,[3]Sheet1!$C$3:$Q$3)))/(INDEX([3]Sheet1!$C$3:$Q$3,1,MATCH(D89,[3]Sheet1!$C$3:$Q$3)+1)-INDEX([3]Sheet1!$C$3:$Q$3,1,MATCH(
D89,[3]Sheet1!$C$3:$Q$3)))*(INDEX([3]Sheet1!$C$4:$Q$23,MATCH(K89,[3]Sheet1!$B$4:$B$23,1),MATCH(D89,[3]Sheet1!$C$3:$Q$3,1)+1)-INDEX([3]Sheet1!$C$4:$Q$23,MATCH(K89,[3]Sheet1!$B$4:$B$23,1),MATCH(D89,[3]Sheet1!$C$3:$Q$3,1))))</f>
        <v>0</v>
      </c>
      <c r="M89" cm="1">
        <f t="array" ref="M89" xml:space="preserve"> IF(E89*J89=0,0,(INDEX([2]Sheet1!$C$4:$Q$23,MATCH(K89,[2]Sheet1!$B$4:$B$23,1),MATCH(D89,[2]Sheet1!$C$3:$Q$3,1))
+ (K89 - INDEX([2]Sheet1!$B$4:$B$23,MATCH(K89,[2]Sheet1!$B$4:$B$23,1),1))/(INDEX([2]Sheet1!$B$4:$B$23,MATCH(K89,[2]Sheet1!$B$4:$B$23,1)+1,1) - INDEX([2]Sheet1!$B$4:$B$23,MATCH(K89,[2]Sheet1!$B$4:$B$23,1),1))*(INDEX([2]Sheet1!$C$4:$Q$23,MATCH(K89,[2]Sheet1!$B$4:$B$23,1)+1,MATCH(D89,[2]Sheet1!$C$3:$Q$3,1)) - INDEX([2]Sheet1!$C$4:$Q$23,MATCH(K89,[2]Sheet1!$B$4:$B$23,1),MATCH(D89,[2]Sheet1!$C$3:$Q$3,1)))
+ (D89 - INDEX([2]Sheet1!$C$3:$Q$3,1,MATCH(D89,[2]Sheet1!$C$3:$Q$3)))/(INDEX([2]Sheet1!$C$3:$Q$3,1,MATCH(D89,[2]Sheet1!$C$3:$Q$3)+1) - INDEX([2]Sheet1!$C$3:$Q$3,1,MATCH(D89,[2]Sheet1!$C$3:$Q$3)))*(
INDEX([2]Sheet1!$C$4:$Q$23,MATCH(K89,[2]Sheet1!$B$4:$B$23,1),MATCH(D89,[2]Sheet1!$C$3:$Q$3,1)+1) - INDEX([2]Sheet1!$C$4:$Q$23,MATCH(K89,[2]Sheet1!$B$4:$B$23,1),MATCH(D89,[2]Sheet1!$C$3:$Q$3,1)))))</f>
        <v>0</v>
      </c>
      <c r="N89">
        <f t="shared" si="24"/>
        <v>12</v>
      </c>
      <c r="O89">
        <v>9.0289481283724729E-2</v>
      </c>
      <c r="P89" t="e">
        <f t="shared" si="27"/>
        <v>#DIV/0!</v>
      </c>
      <c r="Q89">
        <f t="shared" si="14"/>
        <v>0</v>
      </c>
      <c r="R89">
        <f t="shared" si="25"/>
        <v>741.9099431943954</v>
      </c>
      <c r="T89" t="e">
        <f t="shared" si="15"/>
        <v>#DIV/0!</v>
      </c>
      <c r="U89" t="e">
        <f t="shared" si="16"/>
        <v>#DIV/0!</v>
      </c>
      <c r="V89">
        <f t="shared" si="17"/>
        <v>0</v>
      </c>
      <c r="W89" t="e">
        <f t="shared" si="26"/>
        <v>#DIV/0!</v>
      </c>
    </row>
    <row r="90" spans="1:23" x14ac:dyDescent="0.55000000000000004">
      <c r="A90">
        <f t="shared" si="28"/>
        <v>5.5999999999999961</v>
      </c>
      <c r="B90">
        <f t="shared" si="18"/>
        <v>0.316</v>
      </c>
      <c r="C90">
        <f t="shared" si="19"/>
        <v>1.3478260869565237</v>
      </c>
      <c r="D90">
        <v>2.2583263908945796</v>
      </c>
      <c r="E90">
        <f t="shared" si="2"/>
        <v>0</v>
      </c>
      <c r="F90">
        <f t="shared" si="20"/>
        <v>4.8605058816845369E-2</v>
      </c>
      <c r="G90">
        <f t="shared" si="21"/>
        <v>39.513748498891111</v>
      </c>
      <c r="H90">
        <f t="shared" si="22"/>
        <v>0</v>
      </c>
      <c r="I90" s="1">
        <f t="shared" si="4"/>
        <v>0</v>
      </c>
      <c r="J90">
        <f t="shared" si="23"/>
        <v>0</v>
      </c>
      <c r="K90">
        <f t="shared" si="6"/>
        <v>0</v>
      </c>
      <c r="L90" cm="1">
        <f t="array" ref="L90">IF(E90*J90=0,0,$C$21*INDEX([3]Sheet1!$C$4:$Q$23,MATCH(K90,[3]Sheet1!$B$4:$B$23,1),MATCH(D90,[3]Sheet1!$C$3:$Q$3,1))
+(K90-INDEX([3]Sheet1!$B$4:$B$23,MATCH(K90,[3]Sheet1!$B$4:$B$23,1),1))/(INDEX([3]Sheet1!$B$4:$B$23,MATCH(K90,[3]Sheet1!$B$4:$B$23,1)+1,1)-INDEX([3]Sheet1!$B$4:$B$23,
MATCH(K90,[3]Sheet1!$B$4:$B$23,1),1))*(INDEX([3]Sheet1!$C$4:$Q$23,MATCH(K90,[3]Sheet1!$B$4:$B$23,1)+1,MATCH(D90,[3]Sheet1!$C$3:$Q$3,1))-INDEX([3]Sheet1!$C$4:$Q$23,
MATCH(K90,[3]Sheet1!$B$4:$B$23,1),MATCH(D90,[3]Sheet1!$C$3:$Q$3,1)))
+(D90-INDEX([3]Sheet1!$C$3:$Q$3,1,MATCH(D90,[3]Sheet1!$C$3:$Q$3)))/(INDEX([3]Sheet1!$C$3:$Q$3,1,MATCH(D90,[3]Sheet1!$C$3:$Q$3)+1)-INDEX([3]Sheet1!$C$3:$Q$3,1,MATCH(
D90,[3]Sheet1!$C$3:$Q$3)))*(INDEX([3]Sheet1!$C$4:$Q$23,MATCH(K90,[3]Sheet1!$B$4:$B$23,1),MATCH(D90,[3]Sheet1!$C$3:$Q$3,1)+1)-INDEX([3]Sheet1!$C$4:$Q$23,MATCH(K90,[3]Sheet1!$B$4:$B$23,1),MATCH(D90,[3]Sheet1!$C$3:$Q$3,1))))</f>
        <v>0</v>
      </c>
      <c r="M90" cm="1">
        <f t="array" ref="M90" xml:space="preserve"> IF(E90*J90=0,0,(INDEX([2]Sheet1!$C$4:$Q$23,MATCH(K90,[2]Sheet1!$B$4:$B$23,1),MATCH(D90,[2]Sheet1!$C$3:$Q$3,1))
+ (K90 - INDEX([2]Sheet1!$B$4:$B$23,MATCH(K90,[2]Sheet1!$B$4:$B$23,1),1))/(INDEX([2]Sheet1!$B$4:$B$23,MATCH(K90,[2]Sheet1!$B$4:$B$23,1)+1,1) - INDEX([2]Sheet1!$B$4:$B$23,MATCH(K90,[2]Sheet1!$B$4:$B$23,1),1))*(INDEX([2]Sheet1!$C$4:$Q$23,MATCH(K90,[2]Sheet1!$B$4:$B$23,1)+1,MATCH(D90,[2]Sheet1!$C$3:$Q$3,1)) - INDEX([2]Sheet1!$C$4:$Q$23,MATCH(K90,[2]Sheet1!$B$4:$B$23,1),MATCH(D90,[2]Sheet1!$C$3:$Q$3,1)))
+ (D90 - INDEX([2]Sheet1!$C$3:$Q$3,1,MATCH(D90,[2]Sheet1!$C$3:$Q$3)))/(INDEX([2]Sheet1!$C$3:$Q$3,1,MATCH(D90,[2]Sheet1!$C$3:$Q$3)+1) - INDEX([2]Sheet1!$C$3:$Q$3,1,MATCH(D90,[2]Sheet1!$C$3:$Q$3)))*(
INDEX([2]Sheet1!$C$4:$Q$23,MATCH(K90,[2]Sheet1!$B$4:$B$23,1),MATCH(D90,[2]Sheet1!$C$3:$Q$3,1)+1) - INDEX([2]Sheet1!$C$4:$Q$23,MATCH(K90,[2]Sheet1!$B$4:$B$23,1),MATCH(D90,[2]Sheet1!$C$3:$Q$3,1)))))</f>
        <v>0</v>
      </c>
      <c r="N90">
        <f t="shared" si="24"/>
        <v>12</v>
      </c>
      <c r="O90">
        <v>9.0117932682696536E-2</v>
      </c>
      <c r="P90" t="e">
        <f t="shared" si="27"/>
        <v>#DIV/0!</v>
      </c>
      <c r="Q90">
        <f t="shared" si="14"/>
        <v>0</v>
      </c>
      <c r="R90">
        <f t="shared" si="25"/>
        <v>741.9099431943954</v>
      </c>
      <c r="T90" t="e">
        <f t="shared" si="15"/>
        <v>#DIV/0!</v>
      </c>
      <c r="U90" t="e">
        <f t="shared" si="16"/>
        <v>#DIV/0!</v>
      </c>
      <c r="V90">
        <f t="shared" si="17"/>
        <v>0</v>
      </c>
      <c r="W90" t="e">
        <f t="shared" si="26"/>
        <v>#DIV/0!</v>
      </c>
    </row>
    <row r="91" spans="1:23" x14ac:dyDescent="0.55000000000000004">
      <c r="A91">
        <f t="shared" si="28"/>
        <v>5.6999999999999957</v>
      </c>
      <c r="B91">
        <f t="shared" si="18"/>
        <v>0.316</v>
      </c>
      <c r="C91">
        <f t="shared" si="19"/>
        <v>1.2826086956521765</v>
      </c>
      <c r="D91">
        <v>2.2533547768055548</v>
      </c>
      <c r="E91">
        <f t="shared" si="2"/>
        <v>0</v>
      </c>
      <c r="F91">
        <f t="shared" si="20"/>
        <v>4.8605058816845369E-2</v>
      </c>
      <c r="G91">
        <f t="shared" si="21"/>
        <v>39.513748498891111</v>
      </c>
      <c r="H91">
        <f t="shared" si="22"/>
        <v>0</v>
      </c>
      <c r="I91" s="1">
        <f t="shared" si="4"/>
        <v>0</v>
      </c>
      <c r="J91">
        <f t="shared" si="23"/>
        <v>0</v>
      </c>
      <c r="K91">
        <f t="shared" si="6"/>
        <v>0</v>
      </c>
      <c r="L91" cm="1">
        <f t="array" ref="L91">IF(E91*J91=0,0,$C$21*INDEX([3]Sheet1!$C$4:$Q$23,MATCH(K91,[3]Sheet1!$B$4:$B$23,1),MATCH(D91,[3]Sheet1!$C$3:$Q$3,1))
+(K91-INDEX([3]Sheet1!$B$4:$B$23,MATCH(K91,[3]Sheet1!$B$4:$B$23,1),1))/(INDEX([3]Sheet1!$B$4:$B$23,MATCH(K91,[3]Sheet1!$B$4:$B$23,1)+1,1)-INDEX([3]Sheet1!$B$4:$B$23,
MATCH(K91,[3]Sheet1!$B$4:$B$23,1),1))*(INDEX([3]Sheet1!$C$4:$Q$23,MATCH(K91,[3]Sheet1!$B$4:$B$23,1)+1,MATCH(D91,[3]Sheet1!$C$3:$Q$3,1))-INDEX([3]Sheet1!$C$4:$Q$23,
MATCH(K91,[3]Sheet1!$B$4:$B$23,1),MATCH(D91,[3]Sheet1!$C$3:$Q$3,1)))
+(D91-INDEX([3]Sheet1!$C$3:$Q$3,1,MATCH(D91,[3]Sheet1!$C$3:$Q$3)))/(INDEX([3]Sheet1!$C$3:$Q$3,1,MATCH(D91,[3]Sheet1!$C$3:$Q$3)+1)-INDEX([3]Sheet1!$C$3:$Q$3,1,MATCH(
D91,[3]Sheet1!$C$3:$Q$3)))*(INDEX([3]Sheet1!$C$4:$Q$23,MATCH(K91,[3]Sheet1!$B$4:$B$23,1),MATCH(D91,[3]Sheet1!$C$3:$Q$3,1)+1)-INDEX([3]Sheet1!$C$4:$Q$23,MATCH(K91,[3]Sheet1!$B$4:$B$23,1),MATCH(D91,[3]Sheet1!$C$3:$Q$3,1))))</f>
        <v>0</v>
      </c>
      <c r="M91" cm="1">
        <f t="array" ref="M91" xml:space="preserve"> IF(E91*J91=0,0,(INDEX([2]Sheet1!$C$4:$Q$23,MATCH(K91,[2]Sheet1!$B$4:$B$23,1),MATCH(D91,[2]Sheet1!$C$3:$Q$3,1))
+ (K91 - INDEX([2]Sheet1!$B$4:$B$23,MATCH(K91,[2]Sheet1!$B$4:$B$23,1),1))/(INDEX([2]Sheet1!$B$4:$B$23,MATCH(K91,[2]Sheet1!$B$4:$B$23,1)+1,1) - INDEX([2]Sheet1!$B$4:$B$23,MATCH(K91,[2]Sheet1!$B$4:$B$23,1),1))*(INDEX([2]Sheet1!$C$4:$Q$23,MATCH(K91,[2]Sheet1!$B$4:$B$23,1)+1,MATCH(D91,[2]Sheet1!$C$3:$Q$3,1)) - INDEX([2]Sheet1!$C$4:$Q$23,MATCH(K91,[2]Sheet1!$B$4:$B$23,1),MATCH(D91,[2]Sheet1!$C$3:$Q$3,1)))
+ (D91 - INDEX([2]Sheet1!$C$3:$Q$3,1,MATCH(D91,[2]Sheet1!$C$3:$Q$3)))/(INDEX([2]Sheet1!$C$3:$Q$3,1,MATCH(D91,[2]Sheet1!$C$3:$Q$3)+1) - INDEX([2]Sheet1!$C$3:$Q$3,1,MATCH(D91,[2]Sheet1!$C$3:$Q$3)))*(
INDEX([2]Sheet1!$C$4:$Q$23,MATCH(K91,[2]Sheet1!$B$4:$B$23,1),MATCH(D91,[2]Sheet1!$C$3:$Q$3,1)+1) - INDEX([2]Sheet1!$C$4:$Q$23,MATCH(K91,[2]Sheet1!$B$4:$B$23,1),MATCH(D91,[2]Sheet1!$C$3:$Q$3,1)))))</f>
        <v>0</v>
      </c>
      <c r="N91">
        <f t="shared" si="24"/>
        <v>12</v>
      </c>
      <c r="O91">
        <v>8.9946000862665174E-2</v>
      </c>
      <c r="P91" t="e">
        <f t="shared" si="27"/>
        <v>#DIV/0!</v>
      </c>
      <c r="Q91">
        <f t="shared" si="14"/>
        <v>0</v>
      </c>
      <c r="R91">
        <f t="shared" si="25"/>
        <v>741.9099431943954</v>
      </c>
      <c r="T91" t="e">
        <f t="shared" si="15"/>
        <v>#DIV/0!</v>
      </c>
      <c r="U91" t="e">
        <f t="shared" si="16"/>
        <v>#DIV/0!</v>
      </c>
      <c r="V91">
        <f t="shared" si="17"/>
        <v>0</v>
      </c>
      <c r="W91" t="e">
        <f t="shared" si="26"/>
        <v>#DIV/0!</v>
      </c>
    </row>
    <row r="92" spans="1:23" x14ac:dyDescent="0.55000000000000004">
      <c r="A92">
        <f t="shared" si="28"/>
        <v>5.7999999999999954</v>
      </c>
      <c r="B92">
        <f t="shared" si="18"/>
        <v>0.316</v>
      </c>
      <c r="C92">
        <f t="shared" si="19"/>
        <v>1.2173913043478293</v>
      </c>
      <c r="D92">
        <v>2.2483886854457831</v>
      </c>
      <c r="E92">
        <f t="shared" si="2"/>
        <v>0</v>
      </c>
      <c r="F92">
        <f t="shared" si="20"/>
        <v>4.8605058816845369E-2</v>
      </c>
      <c r="G92">
        <f t="shared" si="21"/>
        <v>39.513748498891111</v>
      </c>
      <c r="H92">
        <f t="shared" si="22"/>
        <v>0</v>
      </c>
      <c r="I92" s="1">
        <f t="shared" si="4"/>
        <v>0</v>
      </c>
      <c r="J92">
        <f t="shared" si="23"/>
        <v>0</v>
      </c>
      <c r="K92">
        <f t="shared" si="6"/>
        <v>0</v>
      </c>
      <c r="L92" cm="1">
        <f t="array" ref="L92">IF(E92*J92=0,0,$C$21*INDEX([3]Sheet1!$C$4:$Q$23,MATCH(K92,[3]Sheet1!$B$4:$B$23,1),MATCH(D92,[3]Sheet1!$C$3:$Q$3,1))
+(K92-INDEX([3]Sheet1!$B$4:$B$23,MATCH(K92,[3]Sheet1!$B$4:$B$23,1),1))/(INDEX([3]Sheet1!$B$4:$B$23,MATCH(K92,[3]Sheet1!$B$4:$B$23,1)+1,1)-INDEX([3]Sheet1!$B$4:$B$23,
MATCH(K92,[3]Sheet1!$B$4:$B$23,1),1))*(INDEX([3]Sheet1!$C$4:$Q$23,MATCH(K92,[3]Sheet1!$B$4:$B$23,1)+1,MATCH(D92,[3]Sheet1!$C$3:$Q$3,1))-INDEX([3]Sheet1!$C$4:$Q$23,
MATCH(K92,[3]Sheet1!$B$4:$B$23,1),MATCH(D92,[3]Sheet1!$C$3:$Q$3,1)))
+(D92-INDEX([3]Sheet1!$C$3:$Q$3,1,MATCH(D92,[3]Sheet1!$C$3:$Q$3)))/(INDEX([3]Sheet1!$C$3:$Q$3,1,MATCH(D92,[3]Sheet1!$C$3:$Q$3)+1)-INDEX([3]Sheet1!$C$3:$Q$3,1,MATCH(
D92,[3]Sheet1!$C$3:$Q$3)))*(INDEX([3]Sheet1!$C$4:$Q$23,MATCH(K92,[3]Sheet1!$B$4:$B$23,1),MATCH(D92,[3]Sheet1!$C$3:$Q$3,1)+1)-INDEX([3]Sheet1!$C$4:$Q$23,MATCH(K92,[3]Sheet1!$B$4:$B$23,1),MATCH(D92,[3]Sheet1!$C$3:$Q$3,1))))</f>
        <v>0</v>
      </c>
      <c r="M92" cm="1">
        <f t="array" ref="M92" xml:space="preserve"> IF(E92*J92=0,0,(INDEX([2]Sheet1!$C$4:$Q$23,MATCH(K92,[2]Sheet1!$B$4:$B$23,1),MATCH(D92,[2]Sheet1!$C$3:$Q$3,1))
+ (K92 - INDEX([2]Sheet1!$B$4:$B$23,MATCH(K92,[2]Sheet1!$B$4:$B$23,1),1))/(INDEX([2]Sheet1!$B$4:$B$23,MATCH(K92,[2]Sheet1!$B$4:$B$23,1)+1,1) - INDEX([2]Sheet1!$B$4:$B$23,MATCH(K92,[2]Sheet1!$B$4:$B$23,1),1))*(INDEX([2]Sheet1!$C$4:$Q$23,MATCH(K92,[2]Sheet1!$B$4:$B$23,1)+1,MATCH(D92,[2]Sheet1!$C$3:$Q$3,1)) - INDEX([2]Sheet1!$C$4:$Q$23,MATCH(K92,[2]Sheet1!$B$4:$B$23,1),MATCH(D92,[2]Sheet1!$C$3:$Q$3,1)))
+ (D92 - INDEX([2]Sheet1!$C$3:$Q$3,1,MATCH(D92,[2]Sheet1!$C$3:$Q$3)))/(INDEX([2]Sheet1!$C$3:$Q$3,1,MATCH(D92,[2]Sheet1!$C$3:$Q$3)+1) - INDEX([2]Sheet1!$C$3:$Q$3,1,MATCH(D92,[2]Sheet1!$C$3:$Q$3)))*(
INDEX([2]Sheet1!$C$4:$Q$23,MATCH(K92,[2]Sheet1!$B$4:$B$23,1),MATCH(D92,[2]Sheet1!$C$3:$Q$3,1)+1) - INDEX([2]Sheet1!$C$4:$Q$23,MATCH(K92,[2]Sheet1!$B$4:$B$23,1),MATCH(D92,[2]Sheet1!$C$3:$Q$3,1)))))</f>
        <v>0</v>
      </c>
      <c r="N92">
        <f t="shared" si="24"/>
        <v>12</v>
      </c>
      <c r="O92">
        <v>8.9773415416241467E-2</v>
      </c>
      <c r="P92" t="e">
        <f t="shared" si="27"/>
        <v>#DIV/0!</v>
      </c>
      <c r="Q92">
        <f t="shared" si="14"/>
        <v>0</v>
      </c>
      <c r="R92">
        <f t="shared" si="25"/>
        <v>741.9099431943954</v>
      </c>
      <c r="T92" t="e">
        <f t="shared" si="15"/>
        <v>#DIV/0!</v>
      </c>
      <c r="U92" t="e">
        <f t="shared" si="16"/>
        <v>#DIV/0!</v>
      </c>
      <c r="V92">
        <f t="shared" si="17"/>
        <v>0</v>
      </c>
      <c r="W92" t="e">
        <f t="shared" si="26"/>
        <v>#DIV/0!</v>
      </c>
    </row>
    <row r="93" spans="1:23" x14ac:dyDescent="0.55000000000000004">
      <c r="A93">
        <f t="shared" si="28"/>
        <v>5.899999999999995</v>
      </c>
      <c r="B93">
        <f t="shared" si="18"/>
        <v>0.316</v>
      </c>
      <c r="C93">
        <f t="shared" si="19"/>
        <v>1.1521739130434812</v>
      </c>
      <c r="D93">
        <v>2.2434277817577239</v>
      </c>
      <c r="E93">
        <f t="shared" si="2"/>
        <v>0</v>
      </c>
      <c r="F93">
        <f t="shared" si="20"/>
        <v>4.8605058816845369E-2</v>
      </c>
      <c r="G93">
        <f t="shared" si="21"/>
        <v>39.513748498891111</v>
      </c>
      <c r="H93">
        <f t="shared" si="22"/>
        <v>0</v>
      </c>
      <c r="I93" s="1">
        <f t="shared" si="4"/>
        <v>0</v>
      </c>
      <c r="J93">
        <f t="shared" si="23"/>
        <v>0</v>
      </c>
      <c r="K93">
        <f t="shared" si="6"/>
        <v>0</v>
      </c>
      <c r="L93" cm="1">
        <f t="array" ref="L93">IF(E93*J93=0,0,$C$21*INDEX([3]Sheet1!$C$4:$Q$23,MATCH(K93,[3]Sheet1!$B$4:$B$23,1),MATCH(D93,[3]Sheet1!$C$3:$Q$3,1))
+(K93-INDEX([3]Sheet1!$B$4:$B$23,MATCH(K93,[3]Sheet1!$B$4:$B$23,1),1))/(INDEX([3]Sheet1!$B$4:$B$23,MATCH(K93,[3]Sheet1!$B$4:$B$23,1)+1,1)-INDEX([3]Sheet1!$B$4:$B$23,
MATCH(K93,[3]Sheet1!$B$4:$B$23,1),1))*(INDEX([3]Sheet1!$C$4:$Q$23,MATCH(K93,[3]Sheet1!$B$4:$B$23,1)+1,MATCH(D93,[3]Sheet1!$C$3:$Q$3,1))-INDEX([3]Sheet1!$C$4:$Q$23,
MATCH(K93,[3]Sheet1!$B$4:$B$23,1),MATCH(D93,[3]Sheet1!$C$3:$Q$3,1)))
+(D93-INDEX([3]Sheet1!$C$3:$Q$3,1,MATCH(D93,[3]Sheet1!$C$3:$Q$3)))/(INDEX([3]Sheet1!$C$3:$Q$3,1,MATCH(D93,[3]Sheet1!$C$3:$Q$3)+1)-INDEX([3]Sheet1!$C$3:$Q$3,1,MATCH(
D93,[3]Sheet1!$C$3:$Q$3)))*(INDEX([3]Sheet1!$C$4:$Q$23,MATCH(K93,[3]Sheet1!$B$4:$B$23,1),MATCH(D93,[3]Sheet1!$C$3:$Q$3,1)+1)-INDEX([3]Sheet1!$C$4:$Q$23,MATCH(K93,[3]Sheet1!$B$4:$B$23,1),MATCH(D93,[3]Sheet1!$C$3:$Q$3,1))))</f>
        <v>0</v>
      </c>
      <c r="M93" cm="1">
        <f t="array" ref="M93" xml:space="preserve"> IF(E93*J93=0,0,(INDEX([2]Sheet1!$C$4:$Q$23,MATCH(K93,[2]Sheet1!$B$4:$B$23,1),MATCH(D93,[2]Sheet1!$C$3:$Q$3,1))
+ (K93 - INDEX([2]Sheet1!$B$4:$B$23,MATCH(K93,[2]Sheet1!$B$4:$B$23,1),1))/(INDEX([2]Sheet1!$B$4:$B$23,MATCH(K93,[2]Sheet1!$B$4:$B$23,1)+1,1) - INDEX([2]Sheet1!$B$4:$B$23,MATCH(K93,[2]Sheet1!$B$4:$B$23,1),1))*(INDEX([2]Sheet1!$C$4:$Q$23,MATCH(K93,[2]Sheet1!$B$4:$B$23,1)+1,MATCH(D93,[2]Sheet1!$C$3:$Q$3,1)) - INDEX([2]Sheet1!$C$4:$Q$23,MATCH(K93,[2]Sheet1!$B$4:$B$23,1),MATCH(D93,[2]Sheet1!$C$3:$Q$3,1)))
+ (D93 - INDEX([2]Sheet1!$C$3:$Q$3,1,MATCH(D93,[2]Sheet1!$C$3:$Q$3)))/(INDEX([2]Sheet1!$C$3:$Q$3,1,MATCH(D93,[2]Sheet1!$C$3:$Q$3)+1) - INDEX([2]Sheet1!$C$3:$Q$3,1,MATCH(D93,[2]Sheet1!$C$3:$Q$3)))*(
INDEX([2]Sheet1!$C$4:$Q$23,MATCH(K93,[2]Sheet1!$B$4:$B$23,1),MATCH(D93,[2]Sheet1!$C$3:$Q$3,1)+1) - INDEX([2]Sheet1!$C$4:$Q$23,MATCH(K93,[2]Sheet1!$B$4:$B$23,1),MATCH(D93,[2]Sheet1!$C$3:$Q$3,1)))))</f>
        <v>0</v>
      </c>
      <c r="N93">
        <f t="shared" si="24"/>
        <v>12</v>
      </c>
      <c r="O93">
        <v>8.9600423004150637E-2</v>
      </c>
      <c r="P93" t="e">
        <f t="shared" si="27"/>
        <v>#DIV/0!</v>
      </c>
      <c r="Q93">
        <f t="shared" si="14"/>
        <v>0</v>
      </c>
      <c r="R93">
        <f t="shared" si="25"/>
        <v>741.9099431943954</v>
      </c>
      <c r="T93" t="e">
        <f t="shared" si="15"/>
        <v>#DIV/0!</v>
      </c>
      <c r="U93" t="e">
        <f t="shared" si="16"/>
        <v>#DIV/0!</v>
      </c>
      <c r="V93">
        <f t="shared" si="17"/>
        <v>0</v>
      </c>
      <c r="W93" t="e">
        <f t="shared" si="26"/>
        <v>#DIV/0!</v>
      </c>
    </row>
    <row r="94" spans="1:23" x14ac:dyDescent="0.55000000000000004">
      <c r="A94">
        <f t="shared" si="28"/>
        <v>5.9999999999999947</v>
      </c>
      <c r="B94">
        <f t="shared" si="18"/>
        <v>0.316</v>
      </c>
      <c r="C94">
        <f t="shared" si="19"/>
        <v>1.086956521739133</v>
      </c>
      <c r="D94">
        <v>2.2384717427018859</v>
      </c>
      <c r="E94">
        <f t="shared" si="2"/>
        <v>0</v>
      </c>
      <c r="F94">
        <f t="shared" si="20"/>
        <v>4.8605058816845369E-2</v>
      </c>
      <c r="G94">
        <f t="shared" si="21"/>
        <v>39.513748498891111</v>
      </c>
      <c r="H94">
        <f t="shared" si="22"/>
        <v>0</v>
      </c>
      <c r="I94" s="1">
        <f t="shared" si="4"/>
        <v>0</v>
      </c>
      <c r="J94">
        <f t="shared" si="23"/>
        <v>0</v>
      </c>
      <c r="K94">
        <f t="shared" si="6"/>
        <v>0</v>
      </c>
      <c r="L94" cm="1">
        <f t="array" ref="L94">IF(E94*J94=0,0,$C$21*INDEX([3]Sheet1!$C$4:$Q$23,MATCH(K94,[3]Sheet1!$B$4:$B$23,1),MATCH(D94,[3]Sheet1!$C$3:$Q$3,1))
+(K94-INDEX([3]Sheet1!$B$4:$B$23,MATCH(K94,[3]Sheet1!$B$4:$B$23,1),1))/(INDEX([3]Sheet1!$B$4:$B$23,MATCH(K94,[3]Sheet1!$B$4:$B$23,1)+1,1)-INDEX([3]Sheet1!$B$4:$B$23,
MATCH(K94,[3]Sheet1!$B$4:$B$23,1),1))*(INDEX([3]Sheet1!$C$4:$Q$23,MATCH(K94,[3]Sheet1!$B$4:$B$23,1)+1,MATCH(D94,[3]Sheet1!$C$3:$Q$3,1))-INDEX([3]Sheet1!$C$4:$Q$23,
MATCH(K94,[3]Sheet1!$B$4:$B$23,1),MATCH(D94,[3]Sheet1!$C$3:$Q$3,1)))
+(D94-INDEX([3]Sheet1!$C$3:$Q$3,1,MATCH(D94,[3]Sheet1!$C$3:$Q$3)))/(INDEX([3]Sheet1!$C$3:$Q$3,1,MATCH(D94,[3]Sheet1!$C$3:$Q$3)+1)-INDEX([3]Sheet1!$C$3:$Q$3,1,MATCH(
D94,[3]Sheet1!$C$3:$Q$3)))*(INDEX([3]Sheet1!$C$4:$Q$23,MATCH(K94,[3]Sheet1!$B$4:$B$23,1),MATCH(D94,[3]Sheet1!$C$3:$Q$3,1)+1)-INDEX([3]Sheet1!$C$4:$Q$23,MATCH(K94,[3]Sheet1!$B$4:$B$23,1),MATCH(D94,[3]Sheet1!$C$3:$Q$3,1))))</f>
        <v>0</v>
      </c>
      <c r="M94" cm="1">
        <f t="array" ref="M94" xml:space="preserve"> IF(E94*J94=0,0,(INDEX([2]Sheet1!$C$4:$Q$23,MATCH(K94,[2]Sheet1!$B$4:$B$23,1),MATCH(D94,[2]Sheet1!$C$3:$Q$3,1))
+ (K94 - INDEX([2]Sheet1!$B$4:$B$23,MATCH(K94,[2]Sheet1!$B$4:$B$23,1),1))/(INDEX([2]Sheet1!$B$4:$B$23,MATCH(K94,[2]Sheet1!$B$4:$B$23,1)+1,1) - INDEX([2]Sheet1!$B$4:$B$23,MATCH(K94,[2]Sheet1!$B$4:$B$23,1),1))*(INDEX([2]Sheet1!$C$4:$Q$23,MATCH(K94,[2]Sheet1!$B$4:$B$23,1)+1,MATCH(D94,[2]Sheet1!$C$3:$Q$3,1)) - INDEX([2]Sheet1!$C$4:$Q$23,MATCH(K94,[2]Sheet1!$B$4:$B$23,1),MATCH(D94,[2]Sheet1!$C$3:$Q$3,1)))
+ (D94 - INDEX([2]Sheet1!$C$3:$Q$3,1,MATCH(D94,[2]Sheet1!$C$3:$Q$3)))/(INDEX([2]Sheet1!$C$3:$Q$3,1,MATCH(D94,[2]Sheet1!$C$3:$Q$3)+1) - INDEX([2]Sheet1!$C$3:$Q$3,1,MATCH(D94,[2]Sheet1!$C$3:$Q$3)))*(
INDEX([2]Sheet1!$C$4:$Q$23,MATCH(K94,[2]Sheet1!$B$4:$B$23,1),MATCH(D94,[2]Sheet1!$C$3:$Q$3,1)+1) - INDEX([2]Sheet1!$C$4:$Q$23,MATCH(K94,[2]Sheet1!$B$4:$B$23,1),MATCH(D94,[2]Sheet1!$C$3:$Q$3,1)))))</f>
        <v>0</v>
      </c>
      <c r="N94">
        <f t="shared" si="24"/>
        <v>12</v>
      </c>
      <c r="O94">
        <v>8.9427091268895226E-2</v>
      </c>
      <c r="P94" t="e">
        <f t="shared" si="27"/>
        <v>#DIV/0!</v>
      </c>
      <c r="Q94">
        <f t="shared" si="14"/>
        <v>0</v>
      </c>
      <c r="R94">
        <f t="shared" si="25"/>
        <v>741.9099431943954</v>
      </c>
      <c r="T94" t="e">
        <f t="shared" si="15"/>
        <v>#DIV/0!</v>
      </c>
      <c r="U94" t="e">
        <f t="shared" si="16"/>
        <v>#DIV/0!</v>
      </c>
      <c r="V94">
        <f t="shared" si="17"/>
        <v>0</v>
      </c>
      <c r="W94" t="e">
        <f t="shared" si="26"/>
        <v>#DIV/0!</v>
      </c>
    </row>
    <row r="95" spans="1:23" x14ac:dyDescent="0.55000000000000004">
      <c r="A95">
        <f t="shared" si="28"/>
        <v>6.0999999999999943</v>
      </c>
      <c r="B95">
        <f t="shared" si="18"/>
        <v>0.316</v>
      </c>
      <c r="C95">
        <f t="shared" si="19"/>
        <v>1.0217391304347858</v>
      </c>
      <c r="D95">
        <v>2.2335202566115586</v>
      </c>
      <c r="E95">
        <f t="shared" si="2"/>
        <v>0</v>
      </c>
      <c r="F95">
        <f t="shared" si="20"/>
        <v>4.8605058816845369E-2</v>
      </c>
      <c r="G95">
        <f t="shared" si="21"/>
        <v>39.513748498891111</v>
      </c>
      <c r="H95">
        <f t="shared" si="22"/>
        <v>0</v>
      </c>
      <c r="I95" s="1">
        <f t="shared" si="4"/>
        <v>0</v>
      </c>
      <c r="J95">
        <f t="shared" si="23"/>
        <v>0</v>
      </c>
      <c r="K95">
        <f t="shared" si="6"/>
        <v>0</v>
      </c>
      <c r="L95" cm="1">
        <f t="array" ref="L95">IF(E95*J95=0,0,$C$21*INDEX([3]Sheet1!$C$4:$Q$23,MATCH(K95,[3]Sheet1!$B$4:$B$23,1),MATCH(D95,[3]Sheet1!$C$3:$Q$3,1))
+(K95-INDEX([3]Sheet1!$B$4:$B$23,MATCH(K95,[3]Sheet1!$B$4:$B$23,1),1))/(INDEX([3]Sheet1!$B$4:$B$23,MATCH(K95,[3]Sheet1!$B$4:$B$23,1)+1,1)-INDEX([3]Sheet1!$B$4:$B$23,
MATCH(K95,[3]Sheet1!$B$4:$B$23,1),1))*(INDEX([3]Sheet1!$C$4:$Q$23,MATCH(K95,[3]Sheet1!$B$4:$B$23,1)+1,MATCH(D95,[3]Sheet1!$C$3:$Q$3,1))-INDEX([3]Sheet1!$C$4:$Q$23,
MATCH(K95,[3]Sheet1!$B$4:$B$23,1),MATCH(D95,[3]Sheet1!$C$3:$Q$3,1)))
+(D95-INDEX([3]Sheet1!$C$3:$Q$3,1,MATCH(D95,[3]Sheet1!$C$3:$Q$3)))/(INDEX([3]Sheet1!$C$3:$Q$3,1,MATCH(D95,[3]Sheet1!$C$3:$Q$3)+1)-INDEX([3]Sheet1!$C$3:$Q$3,1,MATCH(
D95,[3]Sheet1!$C$3:$Q$3)))*(INDEX([3]Sheet1!$C$4:$Q$23,MATCH(K95,[3]Sheet1!$B$4:$B$23,1),MATCH(D95,[3]Sheet1!$C$3:$Q$3,1)+1)-INDEX([3]Sheet1!$C$4:$Q$23,MATCH(K95,[3]Sheet1!$B$4:$B$23,1),MATCH(D95,[3]Sheet1!$C$3:$Q$3,1))))</f>
        <v>0</v>
      </c>
      <c r="M95" cm="1">
        <f t="array" ref="M95" xml:space="preserve"> IF(E95*J95=0,0,(INDEX([2]Sheet1!$C$4:$Q$23,MATCH(K95,[2]Sheet1!$B$4:$B$23,1),MATCH(D95,[2]Sheet1!$C$3:$Q$3,1))
+ (K95 - INDEX([2]Sheet1!$B$4:$B$23,MATCH(K95,[2]Sheet1!$B$4:$B$23,1),1))/(INDEX([2]Sheet1!$B$4:$B$23,MATCH(K95,[2]Sheet1!$B$4:$B$23,1)+1,1) - INDEX([2]Sheet1!$B$4:$B$23,MATCH(K95,[2]Sheet1!$B$4:$B$23,1),1))*(INDEX([2]Sheet1!$C$4:$Q$23,MATCH(K95,[2]Sheet1!$B$4:$B$23,1)+1,MATCH(D95,[2]Sheet1!$C$3:$Q$3,1)) - INDEX([2]Sheet1!$C$4:$Q$23,MATCH(K95,[2]Sheet1!$B$4:$B$23,1),MATCH(D95,[2]Sheet1!$C$3:$Q$3,1)))
+ (D95 - INDEX([2]Sheet1!$C$3:$Q$3,1,MATCH(D95,[2]Sheet1!$C$3:$Q$3)))/(INDEX([2]Sheet1!$C$3:$Q$3,1,MATCH(D95,[2]Sheet1!$C$3:$Q$3)+1) - INDEX([2]Sheet1!$C$3:$Q$3,1,MATCH(D95,[2]Sheet1!$C$3:$Q$3)))*(
INDEX([2]Sheet1!$C$4:$Q$23,MATCH(K95,[2]Sheet1!$B$4:$B$23,1),MATCH(D95,[2]Sheet1!$C$3:$Q$3,1)+1) - INDEX([2]Sheet1!$C$4:$Q$23,MATCH(K95,[2]Sheet1!$B$4:$B$23,1),MATCH(D95,[2]Sheet1!$C$3:$Q$3,1)))))</f>
        <v>0</v>
      </c>
      <c r="N95">
        <f t="shared" si="24"/>
        <v>12</v>
      </c>
      <c r="O95">
        <v>8.9253424826662361E-2</v>
      </c>
      <c r="P95" t="e">
        <f t="shared" si="27"/>
        <v>#DIV/0!</v>
      </c>
      <c r="Q95">
        <f t="shared" si="14"/>
        <v>0</v>
      </c>
      <c r="R95">
        <f t="shared" si="25"/>
        <v>741.9099431943954</v>
      </c>
      <c r="T95" t="e">
        <f t="shared" si="15"/>
        <v>#DIV/0!</v>
      </c>
      <c r="U95" t="e">
        <f t="shared" si="16"/>
        <v>#DIV/0!</v>
      </c>
      <c r="V95">
        <f t="shared" si="17"/>
        <v>0</v>
      </c>
      <c r="W95" t="e">
        <f t="shared" si="26"/>
        <v>#DIV/0!</v>
      </c>
    </row>
    <row r="96" spans="1:23" x14ac:dyDescent="0.55000000000000004">
      <c r="A96">
        <f t="shared" si="28"/>
        <v>6.199999999999994</v>
      </c>
      <c r="B96">
        <f t="shared" si="18"/>
        <v>0.316</v>
      </c>
      <c r="C96">
        <f t="shared" si="19"/>
        <v>0.95652173913043903</v>
      </c>
      <c r="D96">
        <v>2.2285730225894076</v>
      </c>
      <c r="E96">
        <f t="shared" si="2"/>
        <v>0</v>
      </c>
      <c r="F96">
        <f t="shared" si="20"/>
        <v>4.8605058816845369E-2</v>
      </c>
      <c r="G96">
        <f t="shared" si="21"/>
        <v>39.513748498891111</v>
      </c>
      <c r="H96">
        <f t="shared" si="22"/>
        <v>0</v>
      </c>
      <c r="I96" s="1">
        <f t="shared" si="4"/>
        <v>0</v>
      </c>
      <c r="J96">
        <f t="shared" si="23"/>
        <v>0</v>
      </c>
      <c r="K96">
        <f t="shared" si="6"/>
        <v>0</v>
      </c>
      <c r="L96" cm="1">
        <f t="array" ref="L96">IF(E96*J96=0,0,$C$21*INDEX([3]Sheet1!$C$4:$Q$23,MATCH(K96,[3]Sheet1!$B$4:$B$23,1),MATCH(D96,[3]Sheet1!$C$3:$Q$3,1))
+(K96-INDEX([3]Sheet1!$B$4:$B$23,MATCH(K96,[3]Sheet1!$B$4:$B$23,1),1))/(INDEX([3]Sheet1!$B$4:$B$23,MATCH(K96,[3]Sheet1!$B$4:$B$23,1)+1,1)-INDEX([3]Sheet1!$B$4:$B$23,
MATCH(K96,[3]Sheet1!$B$4:$B$23,1),1))*(INDEX([3]Sheet1!$C$4:$Q$23,MATCH(K96,[3]Sheet1!$B$4:$B$23,1)+1,MATCH(D96,[3]Sheet1!$C$3:$Q$3,1))-INDEX([3]Sheet1!$C$4:$Q$23,
MATCH(K96,[3]Sheet1!$B$4:$B$23,1),MATCH(D96,[3]Sheet1!$C$3:$Q$3,1)))
+(D96-INDEX([3]Sheet1!$C$3:$Q$3,1,MATCH(D96,[3]Sheet1!$C$3:$Q$3)))/(INDEX([3]Sheet1!$C$3:$Q$3,1,MATCH(D96,[3]Sheet1!$C$3:$Q$3)+1)-INDEX([3]Sheet1!$C$3:$Q$3,1,MATCH(
D96,[3]Sheet1!$C$3:$Q$3)))*(INDEX([3]Sheet1!$C$4:$Q$23,MATCH(K96,[3]Sheet1!$B$4:$B$23,1),MATCH(D96,[3]Sheet1!$C$3:$Q$3,1)+1)-INDEX([3]Sheet1!$C$4:$Q$23,MATCH(K96,[3]Sheet1!$B$4:$B$23,1),MATCH(D96,[3]Sheet1!$C$3:$Q$3,1))))</f>
        <v>0</v>
      </c>
      <c r="M96" cm="1">
        <f t="array" ref="M96" xml:space="preserve"> IF(E96*J96=0,0,(INDEX([2]Sheet1!$C$4:$Q$23,MATCH(K96,[2]Sheet1!$B$4:$B$23,1),MATCH(D96,[2]Sheet1!$C$3:$Q$3,1))
+ (K96 - INDEX([2]Sheet1!$B$4:$B$23,MATCH(K96,[2]Sheet1!$B$4:$B$23,1),1))/(INDEX([2]Sheet1!$B$4:$B$23,MATCH(K96,[2]Sheet1!$B$4:$B$23,1)+1,1) - INDEX([2]Sheet1!$B$4:$B$23,MATCH(K96,[2]Sheet1!$B$4:$B$23,1),1))*(INDEX([2]Sheet1!$C$4:$Q$23,MATCH(K96,[2]Sheet1!$B$4:$B$23,1)+1,MATCH(D96,[2]Sheet1!$C$3:$Q$3,1)) - INDEX([2]Sheet1!$C$4:$Q$23,MATCH(K96,[2]Sheet1!$B$4:$B$23,1),MATCH(D96,[2]Sheet1!$C$3:$Q$3,1)))
+ (D96 - INDEX([2]Sheet1!$C$3:$Q$3,1,MATCH(D96,[2]Sheet1!$C$3:$Q$3)))/(INDEX([2]Sheet1!$C$3:$Q$3,1,MATCH(D96,[2]Sheet1!$C$3:$Q$3)+1) - INDEX([2]Sheet1!$C$3:$Q$3,1,MATCH(D96,[2]Sheet1!$C$3:$Q$3)))*(
INDEX([2]Sheet1!$C$4:$Q$23,MATCH(K96,[2]Sheet1!$B$4:$B$23,1),MATCH(D96,[2]Sheet1!$C$3:$Q$3,1)+1) - INDEX([2]Sheet1!$C$4:$Q$23,MATCH(K96,[2]Sheet1!$B$4:$B$23,1),MATCH(D96,[2]Sheet1!$C$3:$Q$3,1)))))</f>
        <v>0</v>
      </c>
      <c r="N96">
        <f t="shared" si="24"/>
        <v>12</v>
      </c>
      <c r="O96">
        <v>8.9079428361063182E-2</v>
      </c>
      <c r="P96" t="e">
        <f t="shared" si="27"/>
        <v>#DIV/0!</v>
      </c>
      <c r="Q96">
        <f t="shared" si="14"/>
        <v>0</v>
      </c>
      <c r="R96">
        <f t="shared" si="25"/>
        <v>741.9099431943954</v>
      </c>
      <c r="T96" t="e">
        <f t="shared" si="15"/>
        <v>#DIV/0!</v>
      </c>
      <c r="U96" t="e">
        <f t="shared" si="16"/>
        <v>#DIV/0!</v>
      </c>
      <c r="V96">
        <f t="shared" si="17"/>
        <v>0</v>
      </c>
      <c r="W96" t="e">
        <f t="shared" si="26"/>
        <v>#DIV/0!</v>
      </c>
    </row>
    <row r="97" spans="1:23" x14ac:dyDescent="0.55000000000000004">
      <c r="A97">
        <f t="shared" si="28"/>
        <v>6.2999999999999936</v>
      </c>
      <c r="B97">
        <f t="shared" si="18"/>
        <v>0.316</v>
      </c>
      <c r="C97">
        <f t="shared" si="19"/>
        <v>0.89130434782609047</v>
      </c>
      <c r="D97">
        <v>2.223629749942674</v>
      </c>
      <c r="E97">
        <f t="shared" si="2"/>
        <v>0</v>
      </c>
      <c r="F97">
        <f t="shared" si="20"/>
        <v>4.8605058816845369E-2</v>
      </c>
      <c r="G97">
        <f t="shared" si="21"/>
        <v>39.513748498891111</v>
      </c>
      <c r="H97">
        <f t="shared" si="22"/>
        <v>0</v>
      </c>
      <c r="I97" s="1">
        <f t="shared" si="4"/>
        <v>0</v>
      </c>
      <c r="J97">
        <f t="shared" si="23"/>
        <v>0</v>
      </c>
      <c r="K97">
        <f t="shared" si="6"/>
        <v>0</v>
      </c>
      <c r="L97" cm="1">
        <f t="array" ref="L97">IF(E97*J97=0,0,$C$21*INDEX([3]Sheet1!$C$4:$Q$23,MATCH(K97,[3]Sheet1!$B$4:$B$23,1),MATCH(D97,[3]Sheet1!$C$3:$Q$3,1))
+(K97-INDEX([3]Sheet1!$B$4:$B$23,MATCH(K97,[3]Sheet1!$B$4:$B$23,1),1))/(INDEX([3]Sheet1!$B$4:$B$23,MATCH(K97,[3]Sheet1!$B$4:$B$23,1)+1,1)-INDEX([3]Sheet1!$B$4:$B$23,
MATCH(K97,[3]Sheet1!$B$4:$B$23,1),1))*(INDEX([3]Sheet1!$C$4:$Q$23,MATCH(K97,[3]Sheet1!$B$4:$B$23,1)+1,MATCH(D97,[3]Sheet1!$C$3:$Q$3,1))-INDEX([3]Sheet1!$C$4:$Q$23,
MATCH(K97,[3]Sheet1!$B$4:$B$23,1),MATCH(D97,[3]Sheet1!$C$3:$Q$3,1)))
+(D97-INDEX([3]Sheet1!$C$3:$Q$3,1,MATCH(D97,[3]Sheet1!$C$3:$Q$3)))/(INDEX([3]Sheet1!$C$3:$Q$3,1,MATCH(D97,[3]Sheet1!$C$3:$Q$3)+1)-INDEX([3]Sheet1!$C$3:$Q$3,1,MATCH(
D97,[3]Sheet1!$C$3:$Q$3)))*(INDEX([3]Sheet1!$C$4:$Q$23,MATCH(K97,[3]Sheet1!$B$4:$B$23,1),MATCH(D97,[3]Sheet1!$C$3:$Q$3,1)+1)-INDEX([3]Sheet1!$C$4:$Q$23,MATCH(K97,[3]Sheet1!$B$4:$B$23,1),MATCH(D97,[3]Sheet1!$C$3:$Q$3,1))))</f>
        <v>0</v>
      </c>
      <c r="M97" cm="1">
        <f t="array" ref="M97" xml:space="preserve"> IF(E97*J97=0,0,(INDEX([2]Sheet1!$C$4:$Q$23,MATCH(K97,[2]Sheet1!$B$4:$B$23,1),MATCH(D97,[2]Sheet1!$C$3:$Q$3,1))
+ (K97 - INDEX([2]Sheet1!$B$4:$B$23,MATCH(K97,[2]Sheet1!$B$4:$B$23,1),1))/(INDEX([2]Sheet1!$B$4:$B$23,MATCH(K97,[2]Sheet1!$B$4:$B$23,1)+1,1) - INDEX([2]Sheet1!$B$4:$B$23,MATCH(K97,[2]Sheet1!$B$4:$B$23,1),1))*(INDEX([2]Sheet1!$C$4:$Q$23,MATCH(K97,[2]Sheet1!$B$4:$B$23,1)+1,MATCH(D97,[2]Sheet1!$C$3:$Q$3,1)) - INDEX([2]Sheet1!$C$4:$Q$23,MATCH(K97,[2]Sheet1!$B$4:$B$23,1),MATCH(D97,[2]Sheet1!$C$3:$Q$3,1)))
+ (D97 - INDEX([2]Sheet1!$C$3:$Q$3,1,MATCH(D97,[2]Sheet1!$C$3:$Q$3)))/(INDEX([2]Sheet1!$C$3:$Q$3,1,MATCH(D97,[2]Sheet1!$C$3:$Q$3)+1) - INDEX([2]Sheet1!$C$3:$Q$3,1,MATCH(D97,[2]Sheet1!$C$3:$Q$3)))*(
INDEX([2]Sheet1!$C$4:$Q$23,MATCH(K97,[2]Sheet1!$B$4:$B$23,1),MATCH(D97,[2]Sheet1!$C$3:$Q$3,1)+1) - INDEX([2]Sheet1!$C$4:$Q$23,MATCH(K97,[2]Sheet1!$B$4:$B$23,1),MATCH(D97,[2]Sheet1!$C$3:$Q$3,1)))))</f>
        <v>0</v>
      </c>
      <c r="N97">
        <f t="shared" si="24"/>
        <v>12</v>
      </c>
      <c r="O97">
        <v>8.8905106625663505E-2</v>
      </c>
      <c r="P97" t="e">
        <f t="shared" si="27"/>
        <v>#DIV/0!</v>
      </c>
      <c r="Q97">
        <f t="shared" si="14"/>
        <v>0</v>
      </c>
      <c r="R97">
        <f t="shared" si="25"/>
        <v>741.9099431943954</v>
      </c>
      <c r="T97" t="e">
        <f t="shared" si="15"/>
        <v>#DIV/0!</v>
      </c>
      <c r="U97" t="e">
        <f t="shared" si="16"/>
        <v>#DIV/0!</v>
      </c>
      <c r="V97">
        <f t="shared" si="17"/>
        <v>0</v>
      </c>
      <c r="W97" t="e">
        <f t="shared" si="26"/>
        <v>#DIV/0!</v>
      </c>
    </row>
    <row r="98" spans="1:23" x14ac:dyDescent="0.55000000000000004">
      <c r="A98">
        <f t="shared" si="28"/>
        <v>6.3999999999999932</v>
      </c>
      <c r="B98">
        <f t="shared" si="18"/>
        <v>0.316</v>
      </c>
      <c r="C98">
        <f t="shared" si="19"/>
        <v>0.8260869565217428</v>
      </c>
      <c r="D98">
        <v>2.218690157654057</v>
      </c>
      <c r="E98">
        <f t="shared" si="2"/>
        <v>0</v>
      </c>
      <c r="F98">
        <f t="shared" si="20"/>
        <v>4.8605058816845369E-2</v>
      </c>
      <c r="G98">
        <f t="shared" si="21"/>
        <v>39.513748498891111</v>
      </c>
      <c r="H98">
        <f t="shared" si="22"/>
        <v>0</v>
      </c>
      <c r="I98" s="1">
        <f t="shared" si="4"/>
        <v>0</v>
      </c>
      <c r="J98">
        <f t="shared" si="23"/>
        <v>0</v>
      </c>
      <c r="K98">
        <f t="shared" si="6"/>
        <v>0</v>
      </c>
      <c r="L98" cm="1">
        <f t="array" ref="L98">IF(E98*J98=0,0,$C$21*INDEX([3]Sheet1!$C$4:$Q$23,MATCH(K98,[3]Sheet1!$B$4:$B$23,1),MATCH(D98,[3]Sheet1!$C$3:$Q$3,1))
+(K98-INDEX([3]Sheet1!$B$4:$B$23,MATCH(K98,[3]Sheet1!$B$4:$B$23,1),1))/(INDEX([3]Sheet1!$B$4:$B$23,MATCH(K98,[3]Sheet1!$B$4:$B$23,1)+1,1)-INDEX([3]Sheet1!$B$4:$B$23,
MATCH(K98,[3]Sheet1!$B$4:$B$23,1),1))*(INDEX([3]Sheet1!$C$4:$Q$23,MATCH(K98,[3]Sheet1!$B$4:$B$23,1)+1,MATCH(D98,[3]Sheet1!$C$3:$Q$3,1))-INDEX([3]Sheet1!$C$4:$Q$23,
MATCH(K98,[3]Sheet1!$B$4:$B$23,1),MATCH(D98,[3]Sheet1!$C$3:$Q$3,1)))
+(D98-INDEX([3]Sheet1!$C$3:$Q$3,1,MATCH(D98,[3]Sheet1!$C$3:$Q$3)))/(INDEX([3]Sheet1!$C$3:$Q$3,1,MATCH(D98,[3]Sheet1!$C$3:$Q$3)+1)-INDEX([3]Sheet1!$C$3:$Q$3,1,MATCH(
D98,[3]Sheet1!$C$3:$Q$3)))*(INDEX([3]Sheet1!$C$4:$Q$23,MATCH(K98,[3]Sheet1!$B$4:$B$23,1),MATCH(D98,[3]Sheet1!$C$3:$Q$3,1)+1)-INDEX([3]Sheet1!$C$4:$Q$23,MATCH(K98,[3]Sheet1!$B$4:$B$23,1),MATCH(D98,[3]Sheet1!$C$3:$Q$3,1))))</f>
        <v>0</v>
      </c>
      <c r="M98" cm="1">
        <f t="array" ref="M98" xml:space="preserve"> IF(E98*J98=0,0,(INDEX([2]Sheet1!$C$4:$Q$23,MATCH(K98,[2]Sheet1!$B$4:$B$23,1),MATCH(D98,[2]Sheet1!$C$3:$Q$3,1))
+ (K98 - INDEX([2]Sheet1!$B$4:$B$23,MATCH(K98,[2]Sheet1!$B$4:$B$23,1),1))/(INDEX([2]Sheet1!$B$4:$B$23,MATCH(K98,[2]Sheet1!$B$4:$B$23,1)+1,1) - INDEX([2]Sheet1!$B$4:$B$23,MATCH(K98,[2]Sheet1!$B$4:$B$23,1),1))*(INDEX([2]Sheet1!$C$4:$Q$23,MATCH(K98,[2]Sheet1!$B$4:$B$23,1)+1,MATCH(D98,[2]Sheet1!$C$3:$Q$3,1)) - INDEX([2]Sheet1!$C$4:$Q$23,MATCH(K98,[2]Sheet1!$B$4:$B$23,1),MATCH(D98,[2]Sheet1!$C$3:$Q$3,1)))
+ (D98 - INDEX([2]Sheet1!$C$3:$Q$3,1,MATCH(D98,[2]Sheet1!$C$3:$Q$3)))/(INDEX([2]Sheet1!$C$3:$Q$3,1,MATCH(D98,[2]Sheet1!$C$3:$Q$3)+1) - INDEX([2]Sheet1!$C$3:$Q$3,1,MATCH(D98,[2]Sheet1!$C$3:$Q$3)))*(
INDEX([2]Sheet1!$C$4:$Q$23,MATCH(K98,[2]Sheet1!$B$4:$B$23,1),MATCH(D98,[2]Sheet1!$C$3:$Q$3,1)+1) - INDEX([2]Sheet1!$C$4:$Q$23,MATCH(K98,[2]Sheet1!$B$4:$B$23,1),MATCH(D98,[2]Sheet1!$C$3:$Q$3,1)))))</f>
        <v>0</v>
      </c>
      <c r="N98">
        <f t="shared" si="24"/>
        <v>12</v>
      </c>
      <c r="O98">
        <v>8.8730464446601501E-2</v>
      </c>
      <c r="P98" t="e">
        <f t="shared" si="27"/>
        <v>#DIV/0!</v>
      </c>
      <c r="Q98">
        <f t="shared" si="14"/>
        <v>0</v>
      </c>
      <c r="R98">
        <f t="shared" si="25"/>
        <v>741.9099431943954</v>
      </c>
      <c r="T98" t="e">
        <f t="shared" si="15"/>
        <v>#DIV/0!</v>
      </c>
      <c r="U98" t="e">
        <f t="shared" si="16"/>
        <v>#DIV/0!</v>
      </c>
      <c r="V98">
        <f t="shared" si="17"/>
        <v>0</v>
      </c>
      <c r="W98" t="e">
        <f t="shared" si="26"/>
        <v>#DIV/0!</v>
      </c>
    </row>
    <row r="99" spans="1:23" x14ac:dyDescent="0.55000000000000004">
      <c r="A99">
        <f t="shared" si="28"/>
        <v>6.4999999999999929</v>
      </c>
      <c r="B99">
        <f t="shared" si="18"/>
        <v>0.316</v>
      </c>
      <c r="C99">
        <f t="shared" si="19"/>
        <v>0.76086956521739602</v>
      </c>
      <c r="D99">
        <v>2.2137539738855683</v>
      </c>
      <c r="E99">
        <f t="shared" ref="E99:E162" si="29">IF(B99&lt;($C$5*$C$6*10^-6),$C$9*(PI()/4*($C$8*0.001)^2)*SQRT(2*$C$6*IF(C99&gt;D99,(C99-D99),0)*10^6),0)</f>
        <v>0</v>
      </c>
      <c r="F99">
        <f t="shared" si="20"/>
        <v>4.8605058816845369E-2</v>
      </c>
      <c r="G99">
        <f t="shared" si="21"/>
        <v>39.513748498891111</v>
      </c>
      <c r="H99">
        <f t="shared" si="22"/>
        <v>0</v>
      </c>
      <c r="I99" s="1">
        <f t="shared" ref="I99:I162" si="30">IF(G99=$C$14,0,$C$16*(H99)^$C$17)</f>
        <v>0</v>
      </c>
      <c r="J99">
        <f t="shared" si="23"/>
        <v>0</v>
      </c>
      <c r="K99">
        <f t="shared" ref="K99:K162" si="31">IF(E99*J99=0,0,E99/J99)</f>
        <v>0</v>
      </c>
      <c r="L99" cm="1">
        <f t="array" ref="L99">IF(E99*J99=0,0,$C$21*INDEX([3]Sheet1!$C$4:$Q$23,MATCH(K99,[3]Sheet1!$B$4:$B$23,1),MATCH(D99,[3]Sheet1!$C$3:$Q$3,1))
+(K99-INDEX([3]Sheet1!$B$4:$B$23,MATCH(K99,[3]Sheet1!$B$4:$B$23,1),1))/(INDEX([3]Sheet1!$B$4:$B$23,MATCH(K99,[3]Sheet1!$B$4:$B$23,1)+1,1)-INDEX([3]Sheet1!$B$4:$B$23,
MATCH(K99,[3]Sheet1!$B$4:$B$23,1),1))*(INDEX([3]Sheet1!$C$4:$Q$23,MATCH(K99,[3]Sheet1!$B$4:$B$23,1)+1,MATCH(D99,[3]Sheet1!$C$3:$Q$3,1))-INDEX([3]Sheet1!$C$4:$Q$23,
MATCH(K99,[3]Sheet1!$B$4:$B$23,1),MATCH(D99,[3]Sheet1!$C$3:$Q$3,1)))
+(D99-INDEX([3]Sheet1!$C$3:$Q$3,1,MATCH(D99,[3]Sheet1!$C$3:$Q$3)))/(INDEX([3]Sheet1!$C$3:$Q$3,1,MATCH(D99,[3]Sheet1!$C$3:$Q$3)+1)-INDEX([3]Sheet1!$C$3:$Q$3,1,MATCH(
D99,[3]Sheet1!$C$3:$Q$3)))*(INDEX([3]Sheet1!$C$4:$Q$23,MATCH(K99,[3]Sheet1!$B$4:$B$23,1),MATCH(D99,[3]Sheet1!$C$3:$Q$3,1)+1)-INDEX([3]Sheet1!$C$4:$Q$23,MATCH(K99,[3]Sheet1!$B$4:$B$23,1),MATCH(D99,[3]Sheet1!$C$3:$Q$3,1))))</f>
        <v>0</v>
      </c>
      <c r="M99" cm="1">
        <f t="array" ref="M99" xml:space="preserve"> IF(E99*J99=0,0,(INDEX([2]Sheet1!$C$4:$Q$23,MATCH(K99,[2]Sheet1!$B$4:$B$23,1),MATCH(D99,[2]Sheet1!$C$3:$Q$3,1))
+ (K99 - INDEX([2]Sheet1!$B$4:$B$23,MATCH(K99,[2]Sheet1!$B$4:$B$23,1),1))/(INDEX([2]Sheet1!$B$4:$B$23,MATCH(K99,[2]Sheet1!$B$4:$B$23,1)+1,1) - INDEX([2]Sheet1!$B$4:$B$23,MATCH(K99,[2]Sheet1!$B$4:$B$23,1),1))*(INDEX([2]Sheet1!$C$4:$Q$23,MATCH(K99,[2]Sheet1!$B$4:$B$23,1)+1,MATCH(D99,[2]Sheet1!$C$3:$Q$3,1)) - INDEX([2]Sheet1!$C$4:$Q$23,MATCH(K99,[2]Sheet1!$B$4:$B$23,1),MATCH(D99,[2]Sheet1!$C$3:$Q$3,1)))
+ (D99 - INDEX([2]Sheet1!$C$3:$Q$3,1,MATCH(D99,[2]Sheet1!$C$3:$Q$3)))/(INDEX([2]Sheet1!$C$3:$Q$3,1,MATCH(D99,[2]Sheet1!$C$3:$Q$3)+1) - INDEX([2]Sheet1!$C$3:$Q$3,1,MATCH(D99,[2]Sheet1!$C$3:$Q$3)))*(
INDEX([2]Sheet1!$C$4:$Q$23,MATCH(K99,[2]Sheet1!$B$4:$B$23,1),MATCH(D99,[2]Sheet1!$C$3:$Q$3,1)+1) - INDEX([2]Sheet1!$C$4:$Q$23,MATCH(K99,[2]Sheet1!$B$4:$B$23,1),MATCH(D99,[2]Sheet1!$C$3:$Q$3,1)))))</f>
        <v>0</v>
      </c>
      <c r="N99">
        <f t="shared" si="24"/>
        <v>12</v>
      </c>
      <c r="O99">
        <v>8.855550672528216E-2</v>
      </c>
      <c r="P99" t="e">
        <f t="shared" si="27"/>
        <v>#DIV/0!</v>
      </c>
      <c r="Q99">
        <f t="shared" ref="Q99:Q162" si="32">IF(E99*J99=0,0,((1+COS(RADIANS($C$25)))/2)*P99*D99*(PI()*($C$23^2)/4))</f>
        <v>0</v>
      </c>
      <c r="R99">
        <f t="shared" si="25"/>
        <v>741.9099431943954</v>
      </c>
      <c r="T99" t="e">
        <f t="shared" si="15"/>
        <v>#DIV/0!</v>
      </c>
      <c r="U99" t="e">
        <f t="shared" si="16"/>
        <v>#DIV/0!</v>
      </c>
      <c r="V99">
        <f t="shared" si="17"/>
        <v>0</v>
      </c>
      <c r="W99" t="e">
        <f t="shared" ref="W99:W162" si="33">(D99-V99)/V99*100</f>
        <v>#DIV/0!</v>
      </c>
    </row>
    <row r="100" spans="1:23" x14ac:dyDescent="0.55000000000000004">
      <c r="A100">
        <f t="shared" ref="A100:A163" si="34">A99+$C$29</f>
        <v>6.5999999999999925</v>
      </c>
      <c r="B100">
        <f t="shared" si="18"/>
        <v>0.316</v>
      </c>
      <c r="C100">
        <f t="shared" si="19"/>
        <v>0.69565217391304834</v>
      </c>
      <c r="D100">
        <v>2.2088194977624043</v>
      </c>
      <c r="E100">
        <f t="shared" si="29"/>
        <v>0</v>
      </c>
      <c r="F100">
        <f t="shared" si="20"/>
        <v>4.8605058816845369E-2</v>
      </c>
      <c r="G100">
        <f t="shared" si="21"/>
        <v>39.513748498891111</v>
      </c>
      <c r="H100">
        <f t="shared" si="22"/>
        <v>0</v>
      </c>
      <c r="I100" s="1">
        <f t="shared" si="30"/>
        <v>0</v>
      </c>
      <c r="J100">
        <f t="shared" si="23"/>
        <v>0</v>
      </c>
      <c r="K100">
        <f t="shared" si="31"/>
        <v>0</v>
      </c>
      <c r="L100" cm="1">
        <f t="array" ref="L100">IF(E100*J100=0,0,$C$21*INDEX([3]Sheet1!$C$4:$Q$23,MATCH(K100,[3]Sheet1!$B$4:$B$23,1),MATCH(D100,[3]Sheet1!$C$3:$Q$3,1))
+(K100-INDEX([3]Sheet1!$B$4:$B$23,MATCH(K100,[3]Sheet1!$B$4:$B$23,1),1))/(INDEX([3]Sheet1!$B$4:$B$23,MATCH(K100,[3]Sheet1!$B$4:$B$23,1)+1,1)-INDEX([3]Sheet1!$B$4:$B$23,
MATCH(K100,[3]Sheet1!$B$4:$B$23,1),1))*(INDEX([3]Sheet1!$C$4:$Q$23,MATCH(K100,[3]Sheet1!$B$4:$B$23,1)+1,MATCH(D100,[3]Sheet1!$C$3:$Q$3,1))-INDEX([3]Sheet1!$C$4:$Q$23,
MATCH(K100,[3]Sheet1!$B$4:$B$23,1),MATCH(D100,[3]Sheet1!$C$3:$Q$3,1)))
+(D100-INDEX([3]Sheet1!$C$3:$Q$3,1,MATCH(D100,[3]Sheet1!$C$3:$Q$3)))/(INDEX([3]Sheet1!$C$3:$Q$3,1,MATCH(D100,[3]Sheet1!$C$3:$Q$3)+1)-INDEX([3]Sheet1!$C$3:$Q$3,1,MATCH(
D100,[3]Sheet1!$C$3:$Q$3)))*(INDEX([3]Sheet1!$C$4:$Q$23,MATCH(K100,[3]Sheet1!$B$4:$B$23,1),MATCH(D100,[3]Sheet1!$C$3:$Q$3,1)+1)-INDEX([3]Sheet1!$C$4:$Q$23,MATCH(K100,[3]Sheet1!$B$4:$B$23,1),MATCH(D100,[3]Sheet1!$C$3:$Q$3,1))))</f>
        <v>0</v>
      </c>
      <c r="M100" cm="1">
        <f t="array" ref="M100" xml:space="preserve"> IF(E100*J100=0,0,(INDEX([2]Sheet1!$C$4:$Q$23,MATCH(K100,[2]Sheet1!$B$4:$B$23,1),MATCH(D100,[2]Sheet1!$C$3:$Q$3,1))
+ (K100 - INDEX([2]Sheet1!$B$4:$B$23,MATCH(K100,[2]Sheet1!$B$4:$B$23,1),1))/(INDEX([2]Sheet1!$B$4:$B$23,MATCH(K100,[2]Sheet1!$B$4:$B$23,1)+1,1) - INDEX([2]Sheet1!$B$4:$B$23,MATCH(K100,[2]Sheet1!$B$4:$B$23,1),1))*(INDEX([2]Sheet1!$C$4:$Q$23,MATCH(K100,[2]Sheet1!$B$4:$B$23,1)+1,MATCH(D100,[2]Sheet1!$C$3:$Q$3,1)) - INDEX([2]Sheet1!$C$4:$Q$23,MATCH(K100,[2]Sheet1!$B$4:$B$23,1),MATCH(D100,[2]Sheet1!$C$3:$Q$3,1)))
+ (D100 - INDEX([2]Sheet1!$C$3:$Q$3,1,MATCH(D100,[2]Sheet1!$C$3:$Q$3)))/(INDEX([2]Sheet1!$C$3:$Q$3,1,MATCH(D100,[2]Sheet1!$C$3:$Q$3)+1) - INDEX([2]Sheet1!$C$3:$Q$3,1,MATCH(D100,[2]Sheet1!$C$3:$Q$3)))*(
INDEX([2]Sheet1!$C$4:$Q$23,MATCH(K100,[2]Sheet1!$B$4:$B$23,1),MATCH(D100,[2]Sheet1!$C$3:$Q$3,1)+1) - INDEX([2]Sheet1!$C$4:$Q$23,MATCH(K100,[2]Sheet1!$B$4:$B$23,1),MATCH(D100,[2]Sheet1!$C$3:$Q$3,1)))))</f>
        <v>0</v>
      </c>
      <c r="N100">
        <f t="shared" si="24"/>
        <v>12</v>
      </c>
      <c r="O100">
        <v>8.8380183915249627E-2</v>
      </c>
      <c r="P100" t="e">
        <f t="shared" si="27"/>
        <v>#DIV/0!</v>
      </c>
      <c r="Q100">
        <f t="shared" si="32"/>
        <v>0</v>
      </c>
      <c r="R100">
        <f t="shared" si="25"/>
        <v>741.9099431943954</v>
      </c>
      <c r="T100" t="e">
        <f t="shared" si="15"/>
        <v>#DIV/0!</v>
      </c>
      <c r="U100" t="e">
        <f t="shared" si="16"/>
        <v>#DIV/0!</v>
      </c>
      <c r="V100">
        <f t="shared" si="17"/>
        <v>0</v>
      </c>
      <c r="W100" t="e">
        <f t="shared" si="33"/>
        <v>#DIV/0!</v>
      </c>
    </row>
    <row r="101" spans="1:23" x14ac:dyDescent="0.55000000000000004">
      <c r="A101">
        <f t="shared" si="34"/>
        <v>6.6999999999999922</v>
      </c>
      <c r="B101">
        <f t="shared" si="18"/>
        <v>0.316</v>
      </c>
      <c r="C101">
        <f t="shared" si="19"/>
        <v>0.63043478260870067</v>
      </c>
      <c r="D101">
        <v>2.2038894343146249</v>
      </c>
      <c r="E101">
        <f t="shared" si="29"/>
        <v>0</v>
      </c>
      <c r="F101">
        <f t="shared" si="20"/>
        <v>4.8605058816845369E-2</v>
      </c>
      <c r="G101">
        <f t="shared" si="21"/>
        <v>39.513748498891111</v>
      </c>
      <c r="H101">
        <f t="shared" si="22"/>
        <v>0</v>
      </c>
      <c r="I101" s="1">
        <f t="shared" si="30"/>
        <v>0</v>
      </c>
      <c r="J101">
        <f t="shared" si="23"/>
        <v>0</v>
      </c>
      <c r="K101">
        <f t="shared" si="31"/>
        <v>0</v>
      </c>
      <c r="L101" cm="1">
        <f t="array" ref="L101">IF(E101*J101=0,0,$C$21*INDEX([3]Sheet1!$C$4:$Q$23,MATCH(K101,[3]Sheet1!$B$4:$B$23,1),MATCH(D101,[3]Sheet1!$C$3:$Q$3,1))
+(K101-INDEX([3]Sheet1!$B$4:$B$23,MATCH(K101,[3]Sheet1!$B$4:$B$23,1),1))/(INDEX([3]Sheet1!$B$4:$B$23,MATCH(K101,[3]Sheet1!$B$4:$B$23,1)+1,1)-INDEX([3]Sheet1!$B$4:$B$23,
MATCH(K101,[3]Sheet1!$B$4:$B$23,1),1))*(INDEX([3]Sheet1!$C$4:$Q$23,MATCH(K101,[3]Sheet1!$B$4:$B$23,1)+1,MATCH(D101,[3]Sheet1!$C$3:$Q$3,1))-INDEX([3]Sheet1!$C$4:$Q$23,
MATCH(K101,[3]Sheet1!$B$4:$B$23,1),MATCH(D101,[3]Sheet1!$C$3:$Q$3,1)))
+(D101-INDEX([3]Sheet1!$C$3:$Q$3,1,MATCH(D101,[3]Sheet1!$C$3:$Q$3)))/(INDEX([3]Sheet1!$C$3:$Q$3,1,MATCH(D101,[3]Sheet1!$C$3:$Q$3)+1)-INDEX([3]Sheet1!$C$3:$Q$3,1,MATCH(
D101,[3]Sheet1!$C$3:$Q$3)))*(INDEX([3]Sheet1!$C$4:$Q$23,MATCH(K101,[3]Sheet1!$B$4:$B$23,1),MATCH(D101,[3]Sheet1!$C$3:$Q$3,1)+1)-INDEX([3]Sheet1!$C$4:$Q$23,MATCH(K101,[3]Sheet1!$B$4:$B$23,1),MATCH(D101,[3]Sheet1!$C$3:$Q$3,1))))</f>
        <v>0</v>
      </c>
      <c r="M101" cm="1">
        <f t="array" ref="M101" xml:space="preserve"> IF(E101*J101=0,0,(INDEX([2]Sheet1!$C$4:$Q$23,MATCH(K101,[2]Sheet1!$B$4:$B$23,1),MATCH(D101,[2]Sheet1!$C$3:$Q$3,1))
+ (K101 - INDEX([2]Sheet1!$B$4:$B$23,MATCH(K101,[2]Sheet1!$B$4:$B$23,1),1))/(INDEX([2]Sheet1!$B$4:$B$23,MATCH(K101,[2]Sheet1!$B$4:$B$23,1)+1,1) - INDEX([2]Sheet1!$B$4:$B$23,MATCH(K101,[2]Sheet1!$B$4:$B$23,1),1))*(INDEX([2]Sheet1!$C$4:$Q$23,MATCH(K101,[2]Sheet1!$B$4:$B$23,1)+1,MATCH(D101,[2]Sheet1!$C$3:$Q$3,1)) - INDEX([2]Sheet1!$C$4:$Q$23,MATCH(K101,[2]Sheet1!$B$4:$B$23,1),MATCH(D101,[2]Sheet1!$C$3:$Q$3,1)))
+ (D101 - INDEX([2]Sheet1!$C$3:$Q$3,1,MATCH(D101,[2]Sheet1!$C$3:$Q$3)))/(INDEX([2]Sheet1!$C$3:$Q$3,1,MATCH(D101,[2]Sheet1!$C$3:$Q$3)+1) - INDEX([2]Sheet1!$C$3:$Q$3,1,MATCH(D101,[2]Sheet1!$C$3:$Q$3)))*(
INDEX([2]Sheet1!$C$4:$Q$23,MATCH(K101,[2]Sheet1!$B$4:$B$23,1),MATCH(D101,[2]Sheet1!$C$3:$Q$3,1)+1) - INDEX([2]Sheet1!$C$4:$Q$23,MATCH(K101,[2]Sheet1!$B$4:$B$23,1),MATCH(D101,[2]Sheet1!$C$3:$Q$3,1)))))</f>
        <v>0</v>
      </c>
      <c r="N101">
        <f t="shared" si="24"/>
        <v>12</v>
      </c>
      <c r="O101">
        <v>8.8204613344728636E-2</v>
      </c>
      <c r="P101" t="e">
        <f t="shared" si="27"/>
        <v>#DIV/0!</v>
      </c>
      <c r="Q101">
        <f t="shared" si="32"/>
        <v>0</v>
      </c>
      <c r="R101">
        <f t="shared" si="25"/>
        <v>741.9099431943954</v>
      </c>
      <c r="T101" t="e">
        <f t="shared" ref="T101:T164" si="35">((2/(M101+1))^(1/(M101-1)))*((D101/O101)^(1/M101))/SQRT(((M101+1)/(M101-1))*(1-(O101/D101)^((M101-1)/M101)))</f>
        <v>#DIV/0!</v>
      </c>
      <c r="U101" t="e">
        <f t="shared" ref="U101:U164" si="36">(T101-(($C$24^2)/(N101^2)))/(($C$24^2)/(N101^2))*100</f>
        <v>#DIV/0!</v>
      </c>
      <c r="V101">
        <f t="shared" ref="V101:V164" si="37">4*L101*(E101+J101)/(PI()*N101^2)</f>
        <v>0</v>
      </c>
      <c r="W101" t="e">
        <f t="shared" si="33"/>
        <v>#DIV/0!</v>
      </c>
    </row>
    <row r="102" spans="1:23" x14ac:dyDescent="0.55000000000000004">
      <c r="A102">
        <f t="shared" si="34"/>
        <v>6.7999999999999918</v>
      </c>
      <c r="B102">
        <f t="shared" ref="B102:B165" si="38">IF(B101+(E101+E100)*(A101-A100)/2&lt;$C$5*$C$6*10^-6,B101+(E101+E100)*(A101-A100)/2,$C$5*$C$6*10^-6)</f>
        <v>0.316</v>
      </c>
      <c r="C102">
        <f t="shared" ref="C102:C165" si="39">($C$3-$C$2)*A102/$C$4+$C$2</f>
        <v>0.56521739130435211</v>
      </c>
      <c r="D102">
        <v>2.199050973064633</v>
      </c>
      <c r="E102">
        <f t="shared" si="29"/>
        <v>0</v>
      </c>
      <c r="F102">
        <f t="shared" ref="F102:F165" si="40">F101+(J101+J100)*(A102-A101)/2</f>
        <v>4.8605058816845369E-2</v>
      </c>
      <c r="G102">
        <f t="shared" ref="G102:G165" si="41">IF(SQRT(4*F102/($C$15*PI()*$C$11*$C$12*0.001)+($C$13*0.001)^2)*1000&lt;$C$14,SQRT(4*F102/($C$15*PI()*$C$11*$C$12*0.001)+($C$13*0.001)^2)*1000,$C$14)</f>
        <v>39.513748498891111</v>
      </c>
      <c r="H102">
        <f t="shared" ref="H102:H165" si="42">4*E102/($C$15*PI()*(G102*0.001)^2)</f>
        <v>0</v>
      </c>
      <c r="I102" s="1">
        <f t="shared" si="30"/>
        <v>0</v>
      </c>
      <c r="J102">
        <f t="shared" ref="J102:J165" si="43">($C$12*10^-3)*PI()*(G102*10^-3)*$C$11*(I102*10^-3)*$C$15</f>
        <v>0</v>
      </c>
      <c r="K102">
        <f t="shared" si="31"/>
        <v>0</v>
      </c>
      <c r="L102" cm="1">
        <f t="array" ref="L102">IF(E102*J102=0,0,$C$21*INDEX([3]Sheet1!$C$4:$Q$23,MATCH(K102,[3]Sheet1!$B$4:$B$23,1),MATCH(D102,[3]Sheet1!$C$3:$Q$3,1))
+(K102-INDEX([3]Sheet1!$B$4:$B$23,MATCH(K102,[3]Sheet1!$B$4:$B$23,1),1))/(INDEX([3]Sheet1!$B$4:$B$23,MATCH(K102,[3]Sheet1!$B$4:$B$23,1)+1,1)-INDEX([3]Sheet1!$B$4:$B$23,
MATCH(K102,[3]Sheet1!$B$4:$B$23,1),1))*(INDEX([3]Sheet1!$C$4:$Q$23,MATCH(K102,[3]Sheet1!$B$4:$B$23,1)+1,MATCH(D102,[3]Sheet1!$C$3:$Q$3,1))-INDEX([3]Sheet1!$C$4:$Q$23,
MATCH(K102,[3]Sheet1!$B$4:$B$23,1),MATCH(D102,[3]Sheet1!$C$3:$Q$3,1)))
+(D102-INDEX([3]Sheet1!$C$3:$Q$3,1,MATCH(D102,[3]Sheet1!$C$3:$Q$3)))/(INDEX([3]Sheet1!$C$3:$Q$3,1,MATCH(D102,[3]Sheet1!$C$3:$Q$3)+1)-INDEX([3]Sheet1!$C$3:$Q$3,1,MATCH(
D102,[3]Sheet1!$C$3:$Q$3)))*(INDEX([3]Sheet1!$C$4:$Q$23,MATCH(K102,[3]Sheet1!$B$4:$B$23,1),MATCH(D102,[3]Sheet1!$C$3:$Q$3,1)+1)-INDEX([3]Sheet1!$C$4:$Q$23,MATCH(K102,[3]Sheet1!$B$4:$B$23,1),MATCH(D102,[3]Sheet1!$C$3:$Q$3,1))))</f>
        <v>0</v>
      </c>
      <c r="M102" cm="1">
        <f t="array" ref="M102" xml:space="preserve"> IF(E102*J102=0,0,(INDEX([2]Sheet1!$C$4:$Q$23,MATCH(K102,[2]Sheet1!$B$4:$B$23,1),MATCH(D102,[2]Sheet1!$C$3:$Q$3,1))
+ (K102 - INDEX([2]Sheet1!$B$4:$B$23,MATCH(K102,[2]Sheet1!$B$4:$B$23,1),1))/(INDEX([2]Sheet1!$B$4:$B$23,MATCH(K102,[2]Sheet1!$B$4:$B$23,1)+1,1) - INDEX([2]Sheet1!$B$4:$B$23,MATCH(K102,[2]Sheet1!$B$4:$B$23,1),1))*(INDEX([2]Sheet1!$C$4:$Q$23,MATCH(K102,[2]Sheet1!$B$4:$B$23,1)+1,MATCH(D102,[2]Sheet1!$C$3:$Q$3,1)) - INDEX([2]Sheet1!$C$4:$Q$23,MATCH(K102,[2]Sheet1!$B$4:$B$23,1),MATCH(D102,[2]Sheet1!$C$3:$Q$3,1)))
+ (D102 - INDEX([2]Sheet1!$C$3:$Q$3,1,MATCH(D102,[2]Sheet1!$C$3:$Q$3)))/(INDEX([2]Sheet1!$C$3:$Q$3,1,MATCH(D102,[2]Sheet1!$C$3:$Q$3)+1) - INDEX([2]Sheet1!$C$3:$Q$3,1,MATCH(D102,[2]Sheet1!$C$3:$Q$3)))*(
INDEX([2]Sheet1!$C$4:$Q$23,MATCH(K102,[2]Sheet1!$B$4:$B$23,1),MATCH(D102,[2]Sheet1!$C$3:$Q$3,1)+1) - INDEX([2]Sheet1!$C$4:$Q$23,MATCH(K102,[2]Sheet1!$B$4:$B$23,1),MATCH(D102,[2]Sheet1!$C$3:$Q$3,1)))))</f>
        <v>0</v>
      </c>
      <c r="N102">
        <f t="shared" ref="N102:N165" si="44">C$23+$C$26*(A103-A102)</f>
        <v>12</v>
      </c>
      <c r="O102">
        <v>8.8008619515028821E-2</v>
      </c>
      <c r="P102" t="e">
        <f t="shared" ref="P102:P165" si="45">SQRT(2*(M102^2)/(M102-1)*((2/(M102+1))^((M102+1)/(M102-1)))*(1-(O102/D102)^((M102-1)/M102)))+((O102-$C$22)/D102)*(($C$24^2)/($C$23^2))</f>
        <v>#DIV/0!</v>
      </c>
      <c r="Q102">
        <f t="shared" si="32"/>
        <v>0</v>
      </c>
      <c r="R102">
        <f t="shared" ref="R102:R165" si="46">R101+(Q102+Q101)*(A102-A101)/2</f>
        <v>741.9099431943954</v>
      </c>
      <c r="T102" t="e">
        <f t="shared" si="35"/>
        <v>#DIV/0!</v>
      </c>
      <c r="U102" t="e">
        <f t="shared" si="36"/>
        <v>#DIV/0!</v>
      </c>
      <c r="V102">
        <f t="shared" si="37"/>
        <v>0</v>
      </c>
      <c r="W102" t="e">
        <f t="shared" si="33"/>
        <v>#DIV/0!</v>
      </c>
    </row>
    <row r="103" spans="1:23" x14ac:dyDescent="0.55000000000000004">
      <c r="A103">
        <f t="shared" si="34"/>
        <v>6.8999999999999915</v>
      </c>
      <c r="B103">
        <f t="shared" si="38"/>
        <v>0.316</v>
      </c>
      <c r="C103">
        <f t="shared" si="39"/>
        <v>0.50000000000000533</v>
      </c>
      <c r="D103">
        <v>2.194118943992188</v>
      </c>
      <c r="E103">
        <f t="shared" si="29"/>
        <v>0</v>
      </c>
      <c r="F103">
        <f t="shared" si="40"/>
        <v>4.8605058816845369E-2</v>
      </c>
      <c r="G103">
        <f t="shared" si="41"/>
        <v>39.513748498891111</v>
      </c>
      <c r="H103">
        <f t="shared" si="42"/>
        <v>0</v>
      </c>
      <c r="I103" s="1">
        <f t="shared" si="30"/>
        <v>0</v>
      </c>
      <c r="J103">
        <f t="shared" si="43"/>
        <v>0</v>
      </c>
      <c r="K103">
        <f t="shared" si="31"/>
        <v>0</v>
      </c>
      <c r="L103" cm="1">
        <f t="array" ref="L103">IF(E103*J103=0,0,$C$21*INDEX([3]Sheet1!$C$4:$Q$23,MATCH(K103,[3]Sheet1!$B$4:$B$23,1),MATCH(D103,[3]Sheet1!$C$3:$Q$3,1))
+(K103-INDEX([3]Sheet1!$B$4:$B$23,MATCH(K103,[3]Sheet1!$B$4:$B$23,1),1))/(INDEX([3]Sheet1!$B$4:$B$23,MATCH(K103,[3]Sheet1!$B$4:$B$23,1)+1,1)-INDEX([3]Sheet1!$B$4:$B$23,
MATCH(K103,[3]Sheet1!$B$4:$B$23,1),1))*(INDEX([3]Sheet1!$C$4:$Q$23,MATCH(K103,[3]Sheet1!$B$4:$B$23,1)+1,MATCH(D103,[3]Sheet1!$C$3:$Q$3,1))-INDEX([3]Sheet1!$C$4:$Q$23,
MATCH(K103,[3]Sheet1!$B$4:$B$23,1),MATCH(D103,[3]Sheet1!$C$3:$Q$3,1)))
+(D103-INDEX([3]Sheet1!$C$3:$Q$3,1,MATCH(D103,[3]Sheet1!$C$3:$Q$3)))/(INDEX([3]Sheet1!$C$3:$Q$3,1,MATCH(D103,[3]Sheet1!$C$3:$Q$3)+1)-INDEX([3]Sheet1!$C$3:$Q$3,1,MATCH(
D103,[3]Sheet1!$C$3:$Q$3)))*(INDEX([3]Sheet1!$C$4:$Q$23,MATCH(K103,[3]Sheet1!$B$4:$B$23,1),MATCH(D103,[3]Sheet1!$C$3:$Q$3,1)+1)-INDEX([3]Sheet1!$C$4:$Q$23,MATCH(K103,[3]Sheet1!$B$4:$B$23,1),MATCH(D103,[3]Sheet1!$C$3:$Q$3,1))))</f>
        <v>0</v>
      </c>
      <c r="M103" cm="1">
        <f t="array" ref="M103" xml:space="preserve"> IF(E103*J103=0,0,(INDEX([2]Sheet1!$C$4:$Q$23,MATCH(K103,[2]Sheet1!$B$4:$B$23,1),MATCH(D103,[2]Sheet1!$C$3:$Q$3,1))
+ (K103 - INDEX([2]Sheet1!$B$4:$B$23,MATCH(K103,[2]Sheet1!$B$4:$B$23,1),1))/(INDEX([2]Sheet1!$B$4:$B$23,MATCH(K103,[2]Sheet1!$B$4:$B$23,1)+1,1) - INDEX([2]Sheet1!$B$4:$B$23,MATCH(K103,[2]Sheet1!$B$4:$B$23,1),1))*(INDEX([2]Sheet1!$C$4:$Q$23,MATCH(K103,[2]Sheet1!$B$4:$B$23,1)+1,MATCH(D103,[2]Sheet1!$C$3:$Q$3,1)) - INDEX([2]Sheet1!$C$4:$Q$23,MATCH(K103,[2]Sheet1!$B$4:$B$23,1),MATCH(D103,[2]Sheet1!$C$3:$Q$3,1)))
+ (D103 - INDEX([2]Sheet1!$C$3:$Q$3,1,MATCH(D103,[2]Sheet1!$C$3:$Q$3)))/(INDEX([2]Sheet1!$C$3:$Q$3,1,MATCH(D103,[2]Sheet1!$C$3:$Q$3)+1) - INDEX([2]Sheet1!$C$3:$Q$3,1,MATCH(D103,[2]Sheet1!$C$3:$Q$3)))*(
INDEX([2]Sheet1!$C$4:$Q$23,MATCH(K103,[2]Sheet1!$B$4:$B$23,1),MATCH(D103,[2]Sheet1!$C$3:$Q$3,1)+1) - INDEX([2]Sheet1!$C$4:$Q$23,MATCH(K103,[2]Sheet1!$B$4:$B$23,1),MATCH(D103,[2]Sheet1!$C$3:$Q$3,1)))))</f>
        <v>0</v>
      </c>
      <c r="N103">
        <f t="shared" si="44"/>
        <v>12</v>
      </c>
      <c r="O103">
        <v>8.7830722876540673E-2</v>
      </c>
      <c r="P103" t="e">
        <f t="shared" si="45"/>
        <v>#DIV/0!</v>
      </c>
      <c r="Q103">
        <f t="shared" si="32"/>
        <v>0</v>
      </c>
      <c r="R103">
        <f t="shared" si="46"/>
        <v>741.9099431943954</v>
      </c>
      <c r="T103" t="e">
        <f t="shared" si="35"/>
        <v>#DIV/0!</v>
      </c>
      <c r="U103" t="e">
        <f t="shared" si="36"/>
        <v>#DIV/0!</v>
      </c>
      <c r="V103">
        <f t="shared" si="37"/>
        <v>0</v>
      </c>
      <c r="W103" t="e">
        <f t="shared" si="33"/>
        <v>#DIV/0!</v>
      </c>
    </row>
    <row r="104" spans="1:23" x14ac:dyDescent="0.55000000000000004">
      <c r="A104">
        <f t="shared" si="34"/>
        <v>6.9999999999999911</v>
      </c>
      <c r="B104">
        <f t="shared" si="38"/>
        <v>0.316</v>
      </c>
      <c r="C104">
        <f t="shared" si="39"/>
        <v>0.43478260869565766</v>
      </c>
      <c r="D104">
        <v>2.1891891612749221</v>
      </c>
      <c r="E104">
        <f t="shared" si="29"/>
        <v>0</v>
      </c>
      <c r="F104">
        <f t="shared" si="40"/>
        <v>4.8605058816845369E-2</v>
      </c>
      <c r="G104">
        <f t="shared" si="41"/>
        <v>39.513748498891111</v>
      </c>
      <c r="H104">
        <f t="shared" si="42"/>
        <v>0</v>
      </c>
      <c r="I104" s="1">
        <f t="shared" si="30"/>
        <v>0</v>
      </c>
      <c r="J104">
        <f t="shared" si="43"/>
        <v>0</v>
      </c>
      <c r="K104">
        <f t="shared" si="31"/>
        <v>0</v>
      </c>
      <c r="L104" cm="1">
        <f t="array" ref="L104">IF(E104*J104=0,0,$C$21*INDEX([3]Sheet1!$C$4:$Q$23,MATCH(K104,[3]Sheet1!$B$4:$B$23,1),MATCH(D104,[3]Sheet1!$C$3:$Q$3,1))
+(K104-INDEX([3]Sheet1!$B$4:$B$23,MATCH(K104,[3]Sheet1!$B$4:$B$23,1),1))/(INDEX([3]Sheet1!$B$4:$B$23,MATCH(K104,[3]Sheet1!$B$4:$B$23,1)+1,1)-INDEX([3]Sheet1!$B$4:$B$23,
MATCH(K104,[3]Sheet1!$B$4:$B$23,1),1))*(INDEX([3]Sheet1!$C$4:$Q$23,MATCH(K104,[3]Sheet1!$B$4:$B$23,1)+1,MATCH(D104,[3]Sheet1!$C$3:$Q$3,1))-INDEX([3]Sheet1!$C$4:$Q$23,
MATCH(K104,[3]Sheet1!$B$4:$B$23,1),MATCH(D104,[3]Sheet1!$C$3:$Q$3,1)))
+(D104-INDEX([3]Sheet1!$C$3:$Q$3,1,MATCH(D104,[3]Sheet1!$C$3:$Q$3)))/(INDEX([3]Sheet1!$C$3:$Q$3,1,MATCH(D104,[3]Sheet1!$C$3:$Q$3)+1)-INDEX([3]Sheet1!$C$3:$Q$3,1,MATCH(
D104,[3]Sheet1!$C$3:$Q$3)))*(INDEX([3]Sheet1!$C$4:$Q$23,MATCH(K104,[3]Sheet1!$B$4:$B$23,1),MATCH(D104,[3]Sheet1!$C$3:$Q$3,1)+1)-INDEX([3]Sheet1!$C$4:$Q$23,MATCH(K104,[3]Sheet1!$B$4:$B$23,1),MATCH(D104,[3]Sheet1!$C$3:$Q$3,1))))</f>
        <v>0</v>
      </c>
      <c r="M104" cm="1">
        <f t="array" ref="M104" xml:space="preserve"> IF(E104*J104=0,0,(INDEX([2]Sheet1!$C$4:$Q$23,MATCH(K104,[2]Sheet1!$B$4:$B$23,1),MATCH(D104,[2]Sheet1!$C$3:$Q$3,1))
+ (K104 - INDEX([2]Sheet1!$B$4:$B$23,MATCH(K104,[2]Sheet1!$B$4:$B$23,1),1))/(INDEX([2]Sheet1!$B$4:$B$23,MATCH(K104,[2]Sheet1!$B$4:$B$23,1)+1,1) - INDEX([2]Sheet1!$B$4:$B$23,MATCH(K104,[2]Sheet1!$B$4:$B$23,1),1))*(INDEX([2]Sheet1!$C$4:$Q$23,MATCH(K104,[2]Sheet1!$B$4:$B$23,1)+1,MATCH(D104,[2]Sheet1!$C$3:$Q$3,1)) - INDEX([2]Sheet1!$C$4:$Q$23,MATCH(K104,[2]Sheet1!$B$4:$B$23,1),MATCH(D104,[2]Sheet1!$C$3:$Q$3,1)))
+ (D104 - INDEX([2]Sheet1!$C$3:$Q$3,1,MATCH(D104,[2]Sheet1!$C$3:$Q$3)))/(INDEX([2]Sheet1!$C$3:$Q$3,1,MATCH(D104,[2]Sheet1!$C$3:$Q$3)+1) - INDEX([2]Sheet1!$C$3:$Q$3,1,MATCH(D104,[2]Sheet1!$C$3:$Q$3)))*(
INDEX([2]Sheet1!$C$4:$Q$23,MATCH(K104,[2]Sheet1!$B$4:$B$23,1),MATCH(D104,[2]Sheet1!$C$3:$Q$3,1)+1) - INDEX([2]Sheet1!$C$4:$Q$23,MATCH(K104,[2]Sheet1!$B$4:$B$23,1),MATCH(D104,[2]Sheet1!$C$3:$Q$3,1)))))</f>
        <v>0</v>
      </c>
      <c r="N104">
        <f t="shared" si="44"/>
        <v>12</v>
      </c>
      <c r="O104">
        <v>8.7653588307489316E-2</v>
      </c>
      <c r="P104" t="e">
        <f t="shared" si="45"/>
        <v>#DIV/0!</v>
      </c>
      <c r="Q104">
        <f t="shared" si="32"/>
        <v>0</v>
      </c>
      <c r="R104">
        <f t="shared" si="46"/>
        <v>741.9099431943954</v>
      </c>
      <c r="T104" t="e">
        <f t="shared" si="35"/>
        <v>#DIV/0!</v>
      </c>
      <c r="U104" t="e">
        <f t="shared" si="36"/>
        <v>#DIV/0!</v>
      </c>
      <c r="V104">
        <f t="shared" si="37"/>
        <v>0</v>
      </c>
      <c r="W104" t="e">
        <f t="shared" si="33"/>
        <v>#DIV/0!</v>
      </c>
    </row>
    <row r="105" spans="1:23" x14ac:dyDescent="0.55000000000000004">
      <c r="A105">
        <f t="shared" si="34"/>
        <v>7.0999999999999908</v>
      </c>
      <c r="B105">
        <f t="shared" si="38"/>
        <v>0.316</v>
      </c>
      <c r="C105">
        <f t="shared" si="39"/>
        <v>0.36956521739130999</v>
      </c>
      <c r="D105">
        <v>2.1842613947540239</v>
      </c>
      <c r="E105">
        <f t="shared" si="29"/>
        <v>0</v>
      </c>
      <c r="F105">
        <f t="shared" si="40"/>
        <v>4.8605058816845369E-2</v>
      </c>
      <c r="G105">
        <f t="shared" si="41"/>
        <v>39.513748498891111</v>
      </c>
      <c r="H105">
        <f t="shared" si="42"/>
        <v>0</v>
      </c>
      <c r="I105" s="1">
        <f t="shared" si="30"/>
        <v>0</v>
      </c>
      <c r="J105">
        <f t="shared" si="43"/>
        <v>0</v>
      </c>
      <c r="K105">
        <f t="shared" si="31"/>
        <v>0</v>
      </c>
      <c r="L105" cm="1">
        <f t="array" ref="L105">IF(E105*J105=0,0,$C$21*INDEX([3]Sheet1!$C$4:$Q$23,MATCH(K105,[3]Sheet1!$B$4:$B$23,1),MATCH(D105,[3]Sheet1!$C$3:$Q$3,1))
+(K105-INDEX([3]Sheet1!$B$4:$B$23,MATCH(K105,[3]Sheet1!$B$4:$B$23,1),1))/(INDEX([3]Sheet1!$B$4:$B$23,MATCH(K105,[3]Sheet1!$B$4:$B$23,1)+1,1)-INDEX([3]Sheet1!$B$4:$B$23,
MATCH(K105,[3]Sheet1!$B$4:$B$23,1),1))*(INDEX([3]Sheet1!$C$4:$Q$23,MATCH(K105,[3]Sheet1!$B$4:$B$23,1)+1,MATCH(D105,[3]Sheet1!$C$3:$Q$3,1))-INDEX([3]Sheet1!$C$4:$Q$23,
MATCH(K105,[3]Sheet1!$B$4:$B$23,1),MATCH(D105,[3]Sheet1!$C$3:$Q$3,1)))
+(D105-INDEX([3]Sheet1!$C$3:$Q$3,1,MATCH(D105,[3]Sheet1!$C$3:$Q$3)))/(INDEX([3]Sheet1!$C$3:$Q$3,1,MATCH(D105,[3]Sheet1!$C$3:$Q$3)+1)-INDEX([3]Sheet1!$C$3:$Q$3,1,MATCH(
D105,[3]Sheet1!$C$3:$Q$3)))*(INDEX([3]Sheet1!$C$4:$Q$23,MATCH(K105,[3]Sheet1!$B$4:$B$23,1),MATCH(D105,[3]Sheet1!$C$3:$Q$3,1)+1)-INDEX([3]Sheet1!$C$4:$Q$23,MATCH(K105,[3]Sheet1!$B$4:$B$23,1),MATCH(D105,[3]Sheet1!$C$3:$Q$3,1))))</f>
        <v>0</v>
      </c>
      <c r="M105" cm="1">
        <f t="array" ref="M105" xml:space="preserve"> IF(E105*J105=0,0,(INDEX([2]Sheet1!$C$4:$Q$23,MATCH(K105,[2]Sheet1!$B$4:$B$23,1),MATCH(D105,[2]Sheet1!$C$3:$Q$3,1))
+ (K105 - INDEX([2]Sheet1!$B$4:$B$23,MATCH(K105,[2]Sheet1!$B$4:$B$23,1),1))/(INDEX([2]Sheet1!$B$4:$B$23,MATCH(K105,[2]Sheet1!$B$4:$B$23,1)+1,1) - INDEX([2]Sheet1!$B$4:$B$23,MATCH(K105,[2]Sheet1!$B$4:$B$23,1),1))*(INDEX([2]Sheet1!$C$4:$Q$23,MATCH(K105,[2]Sheet1!$B$4:$B$23,1)+1,MATCH(D105,[2]Sheet1!$C$3:$Q$3,1)) - INDEX([2]Sheet1!$C$4:$Q$23,MATCH(K105,[2]Sheet1!$B$4:$B$23,1),MATCH(D105,[2]Sheet1!$C$3:$Q$3,1)))
+ (D105 - INDEX([2]Sheet1!$C$3:$Q$3,1,MATCH(D105,[2]Sheet1!$C$3:$Q$3)))/(INDEX([2]Sheet1!$C$3:$Q$3,1,MATCH(D105,[2]Sheet1!$C$3:$Q$3)+1) - INDEX([2]Sheet1!$C$3:$Q$3,1,MATCH(D105,[2]Sheet1!$C$3:$Q$3)))*(
INDEX([2]Sheet1!$C$4:$Q$23,MATCH(K105,[2]Sheet1!$B$4:$B$23,1),MATCH(D105,[2]Sheet1!$C$3:$Q$3,1)+1) - INDEX([2]Sheet1!$C$4:$Q$23,MATCH(K105,[2]Sheet1!$B$4:$B$23,1),MATCH(D105,[2]Sheet1!$C$3:$Q$3,1)))))</f>
        <v>0</v>
      </c>
      <c r="N105">
        <f t="shared" si="44"/>
        <v>12</v>
      </c>
      <c r="O105">
        <v>8.7476081515891785E-2</v>
      </c>
      <c r="P105" t="e">
        <f t="shared" si="45"/>
        <v>#DIV/0!</v>
      </c>
      <c r="Q105">
        <f t="shared" si="32"/>
        <v>0</v>
      </c>
      <c r="R105">
        <f t="shared" si="46"/>
        <v>741.9099431943954</v>
      </c>
      <c r="T105" t="e">
        <f t="shared" si="35"/>
        <v>#DIV/0!</v>
      </c>
      <c r="U105" t="e">
        <f t="shared" si="36"/>
        <v>#DIV/0!</v>
      </c>
      <c r="V105">
        <f t="shared" si="37"/>
        <v>0</v>
      </c>
      <c r="W105" t="e">
        <f t="shared" si="33"/>
        <v>#DIV/0!</v>
      </c>
    </row>
    <row r="106" spans="1:23" x14ac:dyDescent="0.55000000000000004">
      <c r="A106">
        <f t="shared" si="34"/>
        <v>7.1999999999999904</v>
      </c>
      <c r="B106">
        <f t="shared" si="38"/>
        <v>0.316</v>
      </c>
      <c r="C106">
        <f t="shared" si="39"/>
        <v>0.30434782608696231</v>
      </c>
      <c r="D106">
        <v>2.1793354242635887</v>
      </c>
      <c r="E106">
        <f t="shared" si="29"/>
        <v>0</v>
      </c>
      <c r="F106">
        <f t="shared" si="40"/>
        <v>4.8605058816845369E-2</v>
      </c>
      <c r="G106">
        <f t="shared" si="41"/>
        <v>39.513748498891111</v>
      </c>
      <c r="H106">
        <f t="shared" si="42"/>
        <v>0</v>
      </c>
      <c r="I106" s="1">
        <f t="shared" si="30"/>
        <v>0</v>
      </c>
      <c r="J106">
        <f t="shared" si="43"/>
        <v>0</v>
      </c>
      <c r="K106">
        <f t="shared" si="31"/>
        <v>0</v>
      </c>
      <c r="L106" cm="1">
        <f t="array" ref="L106">IF(E106*J106=0,0,$C$21*INDEX([3]Sheet1!$C$4:$Q$23,MATCH(K106,[3]Sheet1!$B$4:$B$23,1),MATCH(D106,[3]Sheet1!$C$3:$Q$3,1))
+(K106-INDEX([3]Sheet1!$B$4:$B$23,MATCH(K106,[3]Sheet1!$B$4:$B$23,1),1))/(INDEX([3]Sheet1!$B$4:$B$23,MATCH(K106,[3]Sheet1!$B$4:$B$23,1)+1,1)-INDEX([3]Sheet1!$B$4:$B$23,
MATCH(K106,[3]Sheet1!$B$4:$B$23,1),1))*(INDEX([3]Sheet1!$C$4:$Q$23,MATCH(K106,[3]Sheet1!$B$4:$B$23,1)+1,MATCH(D106,[3]Sheet1!$C$3:$Q$3,1))-INDEX([3]Sheet1!$C$4:$Q$23,
MATCH(K106,[3]Sheet1!$B$4:$B$23,1),MATCH(D106,[3]Sheet1!$C$3:$Q$3,1)))
+(D106-INDEX([3]Sheet1!$C$3:$Q$3,1,MATCH(D106,[3]Sheet1!$C$3:$Q$3)))/(INDEX([3]Sheet1!$C$3:$Q$3,1,MATCH(D106,[3]Sheet1!$C$3:$Q$3)+1)-INDEX([3]Sheet1!$C$3:$Q$3,1,MATCH(
D106,[3]Sheet1!$C$3:$Q$3)))*(INDEX([3]Sheet1!$C$4:$Q$23,MATCH(K106,[3]Sheet1!$B$4:$B$23,1),MATCH(D106,[3]Sheet1!$C$3:$Q$3,1)+1)-INDEX([3]Sheet1!$C$4:$Q$23,MATCH(K106,[3]Sheet1!$B$4:$B$23,1),MATCH(D106,[3]Sheet1!$C$3:$Q$3,1))))</f>
        <v>0</v>
      </c>
      <c r="M106" cm="1">
        <f t="array" ref="M106" xml:space="preserve"> IF(E106*J106=0,0,(INDEX([2]Sheet1!$C$4:$Q$23,MATCH(K106,[2]Sheet1!$B$4:$B$23,1),MATCH(D106,[2]Sheet1!$C$3:$Q$3,1))
+ (K106 - INDEX([2]Sheet1!$B$4:$B$23,MATCH(K106,[2]Sheet1!$B$4:$B$23,1),1))/(INDEX([2]Sheet1!$B$4:$B$23,MATCH(K106,[2]Sheet1!$B$4:$B$23,1)+1,1) - INDEX([2]Sheet1!$B$4:$B$23,MATCH(K106,[2]Sheet1!$B$4:$B$23,1),1))*(INDEX([2]Sheet1!$C$4:$Q$23,MATCH(K106,[2]Sheet1!$B$4:$B$23,1)+1,MATCH(D106,[2]Sheet1!$C$3:$Q$3,1)) - INDEX([2]Sheet1!$C$4:$Q$23,MATCH(K106,[2]Sheet1!$B$4:$B$23,1),MATCH(D106,[2]Sheet1!$C$3:$Q$3,1)))
+ (D106 - INDEX([2]Sheet1!$C$3:$Q$3,1,MATCH(D106,[2]Sheet1!$C$3:$Q$3)))/(INDEX([2]Sheet1!$C$3:$Q$3,1,MATCH(D106,[2]Sheet1!$C$3:$Q$3)+1) - INDEX([2]Sheet1!$C$3:$Q$3,1,MATCH(D106,[2]Sheet1!$C$3:$Q$3)))*(
INDEX([2]Sheet1!$C$4:$Q$23,MATCH(K106,[2]Sheet1!$B$4:$B$23,1),MATCH(D106,[2]Sheet1!$C$3:$Q$3,1)+1) - INDEX([2]Sheet1!$C$4:$Q$23,MATCH(K106,[2]Sheet1!$B$4:$B$23,1),MATCH(D106,[2]Sheet1!$C$3:$Q$3,1)))))</f>
        <v>0</v>
      </c>
      <c r="N106">
        <f t="shared" si="44"/>
        <v>12</v>
      </c>
      <c r="O106">
        <v>8.7298202552639315E-2</v>
      </c>
      <c r="P106" t="e">
        <f t="shared" si="45"/>
        <v>#DIV/0!</v>
      </c>
      <c r="Q106">
        <f t="shared" si="32"/>
        <v>0</v>
      </c>
      <c r="R106">
        <f t="shared" si="46"/>
        <v>741.9099431943954</v>
      </c>
      <c r="T106" t="e">
        <f t="shared" si="35"/>
        <v>#DIV/0!</v>
      </c>
      <c r="U106" t="e">
        <f t="shared" si="36"/>
        <v>#DIV/0!</v>
      </c>
      <c r="V106">
        <f t="shared" si="37"/>
        <v>0</v>
      </c>
      <c r="W106" t="e">
        <f t="shared" si="33"/>
        <v>#DIV/0!</v>
      </c>
    </row>
    <row r="107" spans="1:23" x14ac:dyDescent="0.55000000000000004">
      <c r="A107">
        <f t="shared" si="34"/>
        <v>7.2999999999999901</v>
      </c>
      <c r="B107">
        <f t="shared" si="38"/>
        <v>0.316</v>
      </c>
      <c r="C107">
        <f t="shared" si="39"/>
        <v>0.23913043478261464</v>
      </c>
      <c r="D107">
        <v>2.1744110358159743</v>
      </c>
      <c r="E107">
        <f t="shared" si="29"/>
        <v>0</v>
      </c>
      <c r="F107">
        <f t="shared" si="40"/>
        <v>4.8605058816845369E-2</v>
      </c>
      <c r="G107">
        <f t="shared" si="41"/>
        <v>39.513748498891111</v>
      </c>
      <c r="H107">
        <f t="shared" si="42"/>
        <v>0</v>
      </c>
      <c r="I107" s="1">
        <f t="shared" si="30"/>
        <v>0</v>
      </c>
      <c r="J107">
        <f t="shared" si="43"/>
        <v>0</v>
      </c>
      <c r="K107">
        <f t="shared" si="31"/>
        <v>0</v>
      </c>
      <c r="L107" cm="1">
        <f t="array" ref="L107">IF(E107*J107=0,0,$C$21*INDEX([3]Sheet1!$C$4:$Q$23,MATCH(K107,[3]Sheet1!$B$4:$B$23,1),MATCH(D107,[3]Sheet1!$C$3:$Q$3,1))
+(K107-INDEX([3]Sheet1!$B$4:$B$23,MATCH(K107,[3]Sheet1!$B$4:$B$23,1),1))/(INDEX([3]Sheet1!$B$4:$B$23,MATCH(K107,[3]Sheet1!$B$4:$B$23,1)+1,1)-INDEX([3]Sheet1!$B$4:$B$23,
MATCH(K107,[3]Sheet1!$B$4:$B$23,1),1))*(INDEX([3]Sheet1!$C$4:$Q$23,MATCH(K107,[3]Sheet1!$B$4:$B$23,1)+1,MATCH(D107,[3]Sheet1!$C$3:$Q$3,1))-INDEX([3]Sheet1!$C$4:$Q$23,
MATCH(K107,[3]Sheet1!$B$4:$B$23,1),MATCH(D107,[3]Sheet1!$C$3:$Q$3,1)))
+(D107-INDEX([3]Sheet1!$C$3:$Q$3,1,MATCH(D107,[3]Sheet1!$C$3:$Q$3)))/(INDEX([3]Sheet1!$C$3:$Q$3,1,MATCH(D107,[3]Sheet1!$C$3:$Q$3)+1)-INDEX([3]Sheet1!$C$3:$Q$3,1,MATCH(
D107,[3]Sheet1!$C$3:$Q$3)))*(INDEX([3]Sheet1!$C$4:$Q$23,MATCH(K107,[3]Sheet1!$B$4:$B$23,1),MATCH(D107,[3]Sheet1!$C$3:$Q$3,1)+1)-INDEX([3]Sheet1!$C$4:$Q$23,MATCH(K107,[3]Sheet1!$B$4:$B$23,1),MATCH(D107,[3]Sheet1!$C$3:$Q$3,1))))</f>
        <v>0</v>
      </c>
      <c r="M107" cm="1">
        <f t="array" ref="M107" xml:space="preserve"> IF(E107*J107=0,0,(INDEX([2]Sheet1!$C$4:$Q$23,MATCH(K107,[2]Sheet1!$B$4:$B$23,1),MATCH(D107,[2]Sheet1!$C$3:$Q$3,1))
+ (K107 - INDEX([2]Sheet1!$B$4:$B$23,MATCH(K107,[2]Sheet1!$B$4:$B$23,1),1))/(INDEX([2]Sheet1!$B$4:$B$23,MATCH(K107,[2]Sheet1!$B$4:$B$23,1)+1,1) - INDEX([2]Sheet1!$B$4:$B$23,MATCH(K107,[2]Sheet1!$B$4:$B$23,1),1))*(INDEX([2]Sheet1!$C$4:$Q$23,MATCH(K107,[2]Sheet1!$B$4:$B$23,1)+1,MATCH(D107,[2]Sheet1!$C$3:$Q$3,1)) - INDEX([2]Sheet1!$C$4:$Q$23,MATCH(K107,[2]Sheet1!$B$4:$B$23,1),MATCH(D107,[2]Sheet1!$C$3:$Q$3,1)))
+ (D107 - INDEX([2]Sheet1!$C$3:$Q$3,1,MATCH(D107,[2]Sheet1!$C$3:$Q$3)))/(INDEX([2]Sheet1!$C$3:$Q$3,1,MATCH(D107,[2]Sheet1!$C$3:$Q$3)+1) - INDEX([2]Sheet1!$C$3:$Q$3,1,MATCH(D107,[2]Sheet1!$C$3:$Q$3)))*(
INDEX([2]Sheet1!$C$4:$Q$23,MATCH(K107,[2]Sheet1!$B$4:$B$23,1),MATCH(D107,[2]Sheet1!$C$3:$Q$3,1)+1) - INDEX([2]Sheet1!$C$4:$Q$23,MATCH(K107,[2]Sheet1!$B$4:$B$23,1),MATCH(D107,[2]Sheet1!$C$3:$Q$3,1)))))</f>
        <v>0</v>
      </c>
      <c r="N107">
        <f t="shared" si="44"/>
        <v>12</v>
      </c>
      <c r="O107">
        <v>8.7119951453892189E-2</v>
      </c>
      <c r="P107" t="e">
        <f t="shared" si="45"/>
        <v>#DIV/0!</v>
      </c>
      <c r="Q107">
        <f t="shared" si="32"/>
        <v>0</v>
      </c>
      <c r="R107">
        <f t="shared" si="46"/>
        <v>741.9099431943954</v>
      </c>
      <c r="T107" t="e">
        <f t="shared" si="35"/>
        <v>#DIV/0!</v>
      </c>
      <c r="U107" t="e">
        <f t="shared" si="36"/>
        <v>#DIV/0!</v>
      </c>
      <c r="V107">
        <f t="shared" si="37"/>
        <v>0</v>
      </c>
      <c r="W107" t="e">
        <f t="shared" si="33"/>
        <v>#DIV/0!</v>
      </c>
    </row>
    <row r="108" spans="1:23" x14ac:dyDescent="0.55000000000000004">
      <c r="A108">
        <f t="shared" si="34"/>
        <v>7.3999999999999897</v>
      </c>
      <c r="B108">
        <f t="shared" si="38"/>
        <v>0.316</v>
      </c>
      <c r="C108">
        <f t="shared" si="39"/>
        <v>0.17391304347826786</v>
      </c>
      <c r="D108">
        <v>2.1694880213094936</v>
      </c>
      <c r="E108">
        <f t="shared" si="29"/>
        <v>0</v>
      </c>
      <c r="F108">
        <f t="shared" si="40"/>
        <v>4.8605058816845369E-2</v>
      </c>
      <c r="G108">
        <f t="shared" si="41"/>
        <v>39.513748498891111</v>
      </c>
      <c r="H108">
        <f t="shared" si="42"/>
        <v>0</v>
      </c>
      <c r="I108" s="1">
        <f t="shared" si="30"/>
        <v>0</v>
      </c>
      <c r="J108">
        <f t="shared" si="43"/>
        <v>0</v>
      </c>
      <c r="K108">
        <f t="shared" si="31"/>
        <v>0</v>
      </c>
      <c r="L108" cm="1">
        <f t="array" ref="L108">IF(E108*J108=0,0,$C$21*INDEX([3]Sheet1!$C$4:$Q$23,MATCH(K108,[3]Sheet1!$B$4:$B$23,1),MATCH(D108,[3]Sheet1!$C$3:$Q$3,1))
+(K108-INDEX([3]Sheet1!$B$4:$B$23,MATCH(K108,[3]Sheet1!$B$4:$B$23,1),1))/(INDEX([3]Sheet1!$B$4:$B$23,MATCH(K108,[3]Sheet1!$B$4:$B$23,1)+1,1)-INDEX([3]Sheet1!$B$4:$B$23,
MATCH(K108,[3]Sheet1!$B$4:$B$23,1),1))*(INDEX([3]Sheet1!$C$4:$Q$23,MATCH(K108,[3]Sheet1!$B$4:$B$23,1)+1,MATCH(D108,[3]Sheet1!$C$3:$Q$3,1))-INDEX([3]Sheet1!$C$4:$Q$23,
MATCH(K108,[3]Sheet1!$B$4:$B$23,1),MATCH(D108,[3]Sheet1!$C$3:$Q$3,1)))
+(D108-INDEX([3]Sheet1!$C$3:$Q$3,1,MATCH(D108,[3]Sheet1!$C$3:$Q$3)))/(INDEX([3]Sheet1!$C$3:$Q$3,1,MATCH(D108,[3]Sheet1!$C$3:$Q$3)+1)-INDEX([3]Sheet1!$C$3:$Q$3,1,MATCH(
D108,[3]Sheet1!$C$3:$Q$3)))*(INDEX([3]Sheet1!$C$4:$Q$23,MATCH(K108,[3]Sheet1!$B$4:$B$23,1),MATCH(D108,[3]Sheet1!$C$3:$Q$3,1)+1)-INDEX([3]Sheet1!$C$4:$Q$23,MATCH(K108,[3]Sheet1!$B$4:$B$23,1),MATCH(D108,[3]Sheet1!$C$3:$Q$3,1))))</f>
        <v>0</v>
      </c>
      <c r="M108" cm="1">
        <f t="array" ref="M108" xml:space="preserve"> IF(E108*J108=0,0,(INDEX([2]Sheet1!$C$4:$Q$23,MATCH(K108,[2]Sheet1!$B$4:$B$23,1),MATCH(D108,[2]Sheet1!$C$3:$Q$3,1))
+ (K108 - INDEX([2]Sheet1!$B$4:$B$23,MATCH(K108,[2]Sheet1!$B$4:$B$23,1),1))/(INDEX([2]Sheet1!$B$4:$B$23,MATCH(K108,[2]Sheet1!$B$4:$B$23,1)+1,1) - INDEX([2]Sheet1!$B$4:$B$23,MATCH(K108,[2]Sheet1!$B$4:$B$23,1),1))*(INDEX([2]Sheet1!$C$4:$Q$23,MATCH(K108,[2]Sheet1!$B$4:$B$23,1)+1,MATCH(D108,[2]Sheet1!$C$3:$Q$3,1)) - INDEX([2]Sheet1!$C$4:$Q$23,MATCH(K108,[2]Sheet1!$B$4:$B$23,1),MATCH(D108,[2]Sheet1!$C$3:$Q$3,1)))
+ (D108 - INDEX([2]Sheet1!$C$3:$Q$3,1,MATCH(D108,[2]Sheet1!$C$3:$Q$3)))/(INDEX([2]Sheet1!$C$3:$Q$3,1,MATCH(D108,[2]Sheet1!$C$3:$Q$3)+1) - INDEX([2]Sheet1!$C$3:$Q$3,1,MATCH(D108,[2]Sheet1!$C$3:$Q$3)))*(
INDEX([2]Sheet1!$C$4:$Q$23,MATCH(K108,[2]Sheet1!$B$4:$B$23,1),MATCH(D108,[2]Sheet1!$C$3:$Q$3,1)+1) - INDEX([2]Sheet1!$C$4:$Q$23,MATCH(K108,[2]Sheet1!$B$4:$B$23,1),MATCH(D108,[2]Sheet1!$C$3:$Q$3,1)))))</f>
        <v>0</v>
      </c>
      <c r="N108">
        <f t="shared" si="44"/>
        <v>12</v>
      </c>
      <c r="O108">
        <v>8.6941328242149618E-2</v>
      </c>
      <c r="P108" t="e">
        <f t="shared" si="45"/>
        <v>#DIV/0!</v>
      </c>
      <c r="Q108">
        <f t="shared" si="32"/>
        <v>0</v>
      </c>
      <c r="R108">
        <f t="shared" si="46"/>
        <v>741.9099431943954</v>
      </c>
      <c r="T108" t="e">
        <f t="shared" si="35"/>
        <v>#DIV/0!</v>
      </c>
      <c r="U108" t="e">
        <f t="shared" si="36"/>
        <v>#DIV/0!</v>
      </c>
      <c r="V108">
        <f t="shared" si="37"/>
        <v>0</v>
      </c>
      <c r="W108" t="e">
        <f t="shared" si="33"/>
        <v>#DIV/0!</v>
      </c>
    </row>
    <row r="109" spans="1:23" x14ac:dyDescent="0.55000000000000004">
      <c r="A109">
        <f t="shared" si="34"/>
        <v>7.4999999999999893</v>
      </c>
      <c r="B109">
        <f t="shared" si="38"/>
        <v>0.316</v>
      </c>
      <c r="C109">
        <f t="shared" si="39"/>
        <v>0.1086956521739193</v>
      </c>
      <c r="D109">
        <v>2.1645661782547658</v>
      </c>
      <c r="E109">
        <f t="shared" si="29"/>
        <v>0</v>
      </c>
      <c r="F109">
        <f t="shared" si="40"/>
        <v>4.8605058816845369E-2</v>
      </c>
      <c r="G109">
        <f t="shared" si="41"/>
        <v>39.513748498891111</v>
      </c>
      <c r="H109">
        <f t="shared" si="42"/>
        <v>0</v>
      </c>
      <c r="I109" s="1">
        <f t="shared" si="30"/>
        <v>0</v>
      </c>
      <c r="J109">
        <f t="shared" si="43"/>
        <v>0</v>
      </c>
      <c r="K109">
        <f t="shared" si="31"/>
        <v>0</v>
      </c>
      <c r="L109" cm="1">
        <f t="array" ref="L109">IF(E109*J109=0,0,$C$21*INDEX([3]Sheet1!$C$4:$Q$23,MATCH(K109,[3]Sheet1!$B$4:$B$23,1),MATCH(D109,[3]Sheet1!$C$3:$Q$3,1))
+(K109-INDEX([3]Sheet1!$B$4:$B$23,MATCH(K109,[3]Sheet1!$B$4:$B$23,1),1))/(INDEX([3]Sheet1!$B$4:$B$23,MATCH(K109,[3]Sheet1!$B$4:$B$23,1)+1,1)-INDEX([3]Sheet1!$B$4:$B$23,
MATCH(K109,[3]Sheet1!$B$4:$B$23,1),1))*(INDEX([3]Sheet1!$C$4:$Q$23,MATCH(K109,[3]Sheet1!$B$4:$B$23,1)+1,MATCH(D109,[3]Sheet1!$C$3:$Q$3,1))-INDEX([3]Sheet1!$C$4:$Q$23,
MATCH(K109,[3]Sheet1!$B$4:$B$23,1),MATCH(D109,[3]Sheet1!$C$3:$Q$3,1)))
+(D109-INDEX([3]Sheet1!$C$3:$Q$3,1,MATCH(D109,[3]Sheet1!$C$3:$Q$3)))/(INDEX([3]Sheet1!$C$3:$Q$3,1,MATCH(D109,[3]Sheet1!$C$3:$Q$3)+1)-INDEX([3]Sheet1!$C$3:$Q$3,1,MATCH(
D109,[3]Sheet1!$C$3:$Q$3)))*(INDEX([3]Sheet1!$C$4:$Q$23,MATCH(K109,[3]Sheet1!$B$4:$B$23,1),MATCH(D109,[3]Sheet1!$C$3:$Q$3,1)+1)-INDEX([3]Sheet1!$C$4:$Q$23,MATCH(K109,[3]Sheet1!$B$4:$B$23,1),MATCH(D109,[3]Sheet1!$C$3:$Q$3,1))))</f>
        <v>0</v>
      </c>
      <c r="M109" cm="1">
        <f t="array" ref="M109" xml:space="preserve"> IF(E109*J109=0,0,(INDEX([2]Sheet1!$C$4:$Q$23,MATCH(K109,[2]Sheet1!$B$4:$B$23,1),MATCH(D109,[2]Sheet1!$C$3:$Q$3,1))
+ (K109 - INDEX([2]Sheet1!$B$4:$B$23,MATCH(K109,[2]Sheet1!$B$4:$B$23,1),1))/(INDEX([2]Sheet1!$B$4:$B$23,MATCH(K109,[2]Sheet1!$B$4:$B$23,1)+1,1) - INDEX([2]Sheet1!$B$4:$B$23,MATCH(K109,[2]Sheet1!$B$4:$B$23,1),1))*(INDEX([2]Sheet1!$C$4:$Q$23,MATCH(K109,[2]Sheet1!$B$4:$B$23,1)+1,MATCH(D109,[2]Sheet1!$C$3:$Q$3,1)) - INDEX([2]Sheet1!$C$4:$Q$23,MATCH(K109,[2]Sheet1!$B$4:$B$23,1),MATCH(D109,[2]Sheet1!$C$3:$Q$3,1)))
+ (D109 - INDEX([2]Sheet1!$C$3:$Q$3,1,MATCH(D109,[2]Sheet1!$C$3:$Q$3)))/(INDEX([2]Sheet1!$C$3:$Q$3,1,MATCH(D109,[2]Sheet1!$C$3:$Q$3)+1) - INDEX([2]Sheet1!$C$3:$Q$3,1,MATCH(D109,[2]Sheet1!$C$3:$Q$3)))*(
INDEX([2]Sheet1!$C$4:$Q$23,MATCH(K109,[2]Sheet1!$B$4:$B$23,1),MATCH(D109,[2]Sheet1!$C$3:$Q$3,1)+1) - INDEX([2]Sheet1!$C$4:$Q$23,MATCH(K109,[2]Sheet1!$B$4:$B$23,1),MATCH(D109,[2]Sheet1!$C$3:$Q$3,1)))))</f>
        <v>0</v>
      </c>
      <c r="N109">
        <f t="shared" si="44"/>
        <v>12</v>
      </c>
      <c r="O109">
        <v>8.6762332927330252E-2</v>
      </c>
      <c r="P109" t="e">
        <f t="shared" si="45"/>
        <v>#DIV/0!</v>
      </c>
      <c r="Q109">
        <f t="shared" si="32"/>
        <v>0</v>
      </c>
      <c r="R109">
        <f t="shared" si="46"/>
        <v>741.9099431943954</v>
      </c>
      <c r="T109" t="e">
        <f t="shared" si="35"/>
        <v>#DIV/0!</v>
      </c>
      <c r="U109" t="e">
        <f t="shared" si="36"/>
        <v>#DIV/0!</v>
      </c>
      <c r="V109">
        <f t="shared" si="37"/>
        <v>0</v>
      </c>
      <c r="W109" t="e">
        <f t="shared" si="33"/>
        <v>#DIV/0!</v>
      </c>
    </row>
    <row r="110" spans="1:23" x14ac:dyDescent="0.55000000000000004">
      <c r="A110">
        <f t="shared" si="34"/>
        <v>7.599999999999989</v>
      </c>
      <c r="B110">
        <f t="shared" si="38"/>
        <v>0.316</v>
      </c>
      <c r="C110">
        <f t="shared" si="39"/>
        <v>4.3478260869571628E-2</v>
      </c>
      <c r="D110">
        <v>2.159645309515962</v>
      </c>
      <c r="E110">
        <f t="shared" si="29"/>
        <v>0</v>
      </c>
      <c r="F110">
        <f t="shared" si="40"/>
        <v>4.8605058816845369E-2</v>
      </c>
      <c r="G110">
        <f t="shared" si="41"/>
        <v>39.513748498891111</v>
      </c>
      <c r="H110">
        <f t="shared" si="42"/>
        <v>0</v>
      </c>
      <c r="I110" s="1">
        <f t="shared" si="30"/>
        <v>0</v>
      </c>
      <c r="J110">
        <f t="shared" si="43"/>
        <v>0</v>
      </c>
      <c r="K110">
        <f t="shared" si="31"/>
        <v>0</v>
      </c>
      <c r="L110" cm="1">
        <f t="array" ref="L110">IF(E110*J110=0,0,$C$21*INDEX([3]Sheet1!$C$4:$Q$23,MATCH(K110,[3]Sheet1!$B$4:$B$23,1),MATCH(D110,[3]Sheet1!$C$3:$Q$3,1))
+(K110-INDEX([3]Sheet1!$B$4:$B$23,MATCH(K110,[3]Sheet1!$B$4:$B$23,1),1))/(INDEX([3]Sheet1!$B$4:$B$23,MATCH(K110,[3]Sheet1!$B$4:$B$23,1)+1,1)-INDEX([3]Sheet1!$B$4:$B$23,
MATCH(K110,[3]Sheet1!$B$4:$B$23,1),1))*(INDEX([3]Sheet1!$C$4:$Q$23,MATCH(K110,[3]Sheet1!$B$4:$B$23,1)+1,MATCH(D110,[3]Sheet1!$C$3:$Q$3,1))-INDEX([3]Sheet1!$C$4:$Q$23,
MATCH(K110,[3]Sheet1!$B$4:$B$23,1),MATCH(D110,[3]Sheet1!$C$3:$Q$3,1)))
+(D110-INDEX([3]Sheet1!$C$3:$Q$3,1,MATCH(D110,[3]Sheet1!$C$3:$Q$3)))/(INDEX([3]Sheet1!$C$3:$Q$3,1,MATCH(D110,[3]Sheet1!$C$3:$Q$3)+1)-INDEX([3]Sheet1!$C$3:$Q$3,1,MATCH(
D110,[3]Sheet1!$C$3:$Q$3)))*(INDEX([3]Sheet1!$C$4:$Q$23,MATCH(K110,[3]Sheet1!$B$4:$B$23,1),MATCH(D110,[3]Sheet1!$C$3:$Q$3,1)+1)-INDEX([3]Sheet1!$C$4:$Q$23,MATCH(K110,[3]Sheet1!$B$4:$B$23,1),MATCH(D110,[3]Sheet1!$C$3:$Q$3,1))))</f>
        <v>0</v>
      </c>
      <c r="M110" cm="1">
        <f t="array" ref="M110" xml:space="preserve"> IF(E110*J110=0,0,(INDEX([2]Sheet1!$C$4:$Q$23,MATCH(K110,[2]Sheet1!$B$4:$B$23,1),MATCH(D110,[2]Sheet1!$C$3:$Q$3,1))
+ (K110 - INDEX([2]Sheet1!$B$4:$B$23,MATCH(K110,[2]Sheet1!$B$4:$B$23,1),1))/(INDEX([2]Sheet1!$B$4:$B$23,MATCH(K110,[2]Sheet1!$B$4:$B$23,1)+1,1) - INDEX([2]Sheet1!$B$4:$B$23,MATCH(K110,[2]Sheet1!$B$4:$B$23,1),1))*(INDEX([2]Sheet1!$C$4:$Q$23,MATCH(K110,[2]Sheet1!$B$4:$B$23,1)+1,MATCH(D110,[2]Sheet1!$C$3:$Q$3,1)) - INDEX([2]Sheet1!$C$4:$Q$23,MATCH(K110,[2]Sheet1!$B$4:$B$23,1),MATCH(D110,[2]Sheet1!$C$3:$Q$3,1)))
+ (D110 - INDEX([2]Sheet1!$C$3:$Q$3,1,MATCH(D110,[2]Sheet1!$C$3:$Q$3)))/(INDEX([2]Sheet1!$C$3:$Q$3,1,MATCH(D110,[2]Sheet1!$C$3:$Q$3)+1) - INDEX([2]Sheet1!$C$3:$Q$3,1,MATCH(D110,[2]Sheet1!$C$3:$Q$3)))*(
INDEX([2]Sheet1!$C$4:$Q$23,MATCH(K110,[2]Sheet1!$B$4:$B$23,1),MATCH(D110,[2]Sheet1!$C$3:$Q$3,1)+1) - INDEX([2]Sheet1!$C$4:$Q$23,MATCH(K110,[2]Sheet1!$B$4:$B$23,1),MATCH(D110,[2]Sheet1!$C$3:$Q$3,1)))))</f>
        <v>0</v>
      </c>
      <c r="N110">
        <f t="shared" si="44"/>
        <v>12</v>
      </c>
      <c r="O110">
        <v>8.6582965507906354E-2</v>
      </c>
      <c r="P110" t="e">
        <f t="shared" si="45"/>
        <v>#DIV/0!</v>
      </c>
      <c r="Q110">
        <f t="shared" si="32"/>
        <v>0</v>
      </c>
      <c r="R110">
        <f t="shared" si="46"/>
        <v>741.9099431943954</v>
      </c>
      <c r="T110" t="e">
        <f t="shared" si="35"/>
        <v>#DIV/0!</v>
      </c>
      <c r="U110" t="e">
        <f t="shared" si="36"/>
        <v>#DIV/0!</v>
      </c>
      <c r="V110">
        <f t="shared" si="37"/>
        <v>0</v>
      </c>
      <c r="W110" t="e">
        <f t="shared" si="33"/>
        <v>#DIV/0!</v>
      </c>
    </row>
    <row r="111" spans="1:23" x14ac:dyDescent="0.55000000000000004">
      <c r="A111">
        <f t="shared" si="34"/>
        <v>7.6999999999999886</v>
      </c>
      <c r="B111">
        <f t="shared" si="38"/>
        <v>0.316</v>
      </c>
      <c r="C111">
        <f t="shared" si="39"/>
        <v>-2.1739130434775156E-2</v>
      </c>
      <c r="D111">
        <v>2.1547252230659533</v>
      </c>
      <c r="E111">
        <f t="shared" si="29"/>
        <v>0</v>
      </c>
      <c r="F111">
        <f t="shared" si="40"/>
        <v>4.8605058816845369E-2</v>
      </c>
      <c r="G111">
        <f t="shared" si="41"/>
        <v>39.513748498891111</v>
      </c>
      <c r="H111">
        <f t="shared" si="42"/>
        <v>0</v>
      </c>
      <c r="I111" s="1">
        <f t="shared" si="30"/>
        <v>0</v>
      </c>
      <c r="J111">
        <f t="shared" si="43"/>
        <v>0</v>
      </c>
      <c r="K111">
        <f t="shared" si="31"/>
        <v>0</v>
      </c>
      <c r="L111" cm="1">
        <f t="array" ref="L111">IF(E111*J111=0,0,$C$21*INDEX([3]Sheet1!$C$4:$Q$23,MATCH(K111,[3]Sheet1!$B$4:$B$23,1),MATCH(D111,[3]Sheet1!$C$3:$Q$3,1))
+(K111-INDEX([3]Sheet1!$B$4:$B$23,MATCH(K111,[3]Sheet1!$B$4:$B$23,1),1))/(INDEX([3]Sheet1!$B$4:$B$23,MATCH(K111,[3]Sheet1!$B$4:$B$23,1)+1,1)-INDEX([3]Sheet1!$B$4:$B$23,
MATCH(K111,[3]Sheet1!$B$4:$B$23,1),1))*(INDEX([3]Sheet1!$C$4:$Q$23,MATCH(K111,[3]Sheet1!$B$4:$B$23,1)+1,MATCH(D111,[3]Sheet1!$C$3:$Q$3,1))-INDEX([3]Sheet1!$C$4:$Q$23,
MATCH(K111,[3]Sheet1!$B$4:$B$23,1),MATCH(D111,[3]Sheet1!$C$3:$Q$3,1)))
+(D111-INDEX([3]Sheet1!$C$3:$Q$3,1,MATCH(D111,[3]Sheet1!$C$3:$Q$3)))/(INDEX([3]Sheet1!$C$3:$Q$3,1,MATCH(D111,[3]Sheet1!$C$3:$Q$3)+1)-INDEX([3]Sheet1!$C$3:$Q$3,1,MATCH(
D111,[3]Sheet1!$C$3:$Q$3)))*(INDEX([3]Sheet1!$C$4:$Q$23,MATCH(K111,[3]Sheet1!$B$4:$B$23,1),MATCH(D111,[3]Sheet1!$C$3:$Q$3,1)+1)-INDEX([3]Sheet1!$C$4:$Q$23,MATCH(K111,[3]Sheet1!$B$4:$B$23,1),MATCH(D111,[3]Sheet1!$C$3:$Q$3,1))))</f>
        <v>0</v>
      </c>
      <c r="M111" cm="1">
        <f t="array" ref="M111" xml:space="preserve"> IF(E111*J111=0,0,(INDEX([2]Sheet1!$C$4:$Q$23,MATCH(K111,[2]Sheet1!$B$4:$B$23,1),MATCH(D111,[2]Sheet1!$C$3:$Q$3,1))
+ (K111 - INDEX([2]Sheet1!$B$4:$B$23,MATCH(K111,[2]Sheet1!$B$4:$B$23,1),1))/(INDEX([2]Sheet1!$B$4:$B$23,MATCH(K111,[2]Sheet1!$B$4:$B$23,1)+1,1) - INDEX([2]Sheet1!$B$4:$B$23,MATCH(K111,[2]Sheet1!$B$4:$B$23,1),1))*(INDEX([2]Sheet1!$C$4:$Q$23,MATCH(K111,[2]Sheet1!$B$4:$B$23,1)+1,MATCH(D111,[2]Sheet1!$C$3:$Q$3,1)) - INDEX([2]Sheet1!$C$4:$Q$23,MATCH(K111,[2]Sheet1!$B$4:$B$23,1),MATCH(D111,[2]Sheet1!$C$3:$Q$3,1)))
+ (D111 - INDEX([2]Sheet1!$C$3:$Q$3,1,MATCH(D111,[2]Sheet1!$C$3:$Q$3)))/(INDEX([2]Sheet1!$C$3:$Q$3,1,MATCH(D111,[2]Sheet1!$C$3:$Q$3)+1) - INDEX([2]Sheet1!$C$3:$Q$3,1,MATCH(D111,[2]Sheet1!$C$3:$Q$3)))*(
INDEX([2]Sheet1!$C$4:$Q$23,MATCH(K111,[2]Sheet1!$B$4:$B$23,1),MATCH(D111,[2]Sheet1!$C$3:$Q$3,1)+1) - INDEX([2]Sheet1!$C$4:$Q$23,MATCH(K111,[2]Sheet1!$B$4:$B$23,1),MATCH(D111,[2]Sheet1!$C$3:$Q$3,1)))))</f>
        <v>0</v>
      </c>
      <c r="N111">
        <f t="shared" si="44"/>
        <v>12</v>
      </c>
      <c r="O111">
        <v>8.640322597209503E-2</v>
      </c>
      <c r="P111" t="e">
        <f t="shared" si="45"/>
        <v>#DIV/0!</v>
      </c>
      <c r="Q111">
        <f t="shared" si="32"/>
        <v>0</v>
      </c>
      <c r="R111">
        <f t="shared" si="46"/>
        <v>741.9099431943954</v>
      </c>
      <c r="T111" t="e">
        <f t="shared" si="35"/>
        <v>#DIV/0!</v>
      </c>
      <c r="U111" t="e">
        <f t="shared" si="36"/>
        <v>#DIV/0!</v>
      </c>
      <c r="V111">
        <f t="shared" si="37"/>
        <v>0</v>
      </c>
      <c r="W111" t="e">
        <f t="shared" si="33"/>
        <v>#DIV/0!</v>
      </c>
    </row>
    <row r="112" spans="1:23" x14ac:dyDescent="0.55000000000000004">
      <c r="A112">
        <f t="shared" si="34"/>
        <v>7.7999999999999883</v>
      </c>
      <c r="B112">
        <f t="shared" si="38"/>
        <v>0.316</v>
      </c>
      <c r="C112">
        <f t="shared" si="39"/>
        <v>-8.6956521739122827E-2</v>
      </c>
      <c r="D112">
        <v>2.1498057317544745</v>
      </c>
      <c r="E112">
        <f t="shared" si="29"/>
        <v>0</v>
      </c>
      <c r="F112">
        <f t="shared" si="40"/>
        <v>4.8605058816845369E-2</v>
      </c>
      <c r="G112">
        <f t="shared" si="41"/>
        <v>39.513748498891111</v>
      </c>
      <c r="H112">
        <f t="shared" si="42"/>
        <v>0</v>
      </c>
      <c r="I112" s="1">
        <f t="shared" si="30"/>
        <v>0</v>
      </c>
      <c r="J112">
        <f t="shared" si="43"/>
        <v>0</v>
      </c>
      <c r="K112">
        <f t="shared" si="31"/>
        <v>0</v>
      </c>
      <c r="L112" cm="1">
        <f t="array" ref="L112">IF(E112*J112=0,0,$C$21*INDEX([3]Sheet1!$C$4:$Q$23,MATCH(K112,[3]Sheet1!$B$4:$B$23,1),MATCH(D112,[3]Sheet1!$C$3:$Q$3,1))
+(K112-INDEX([3]Sheet1!$B$4:$B$23,MATCH(K112,[3]Sheet1!$B$4:$B$23,1),1))/(INDEX([3]Sheet1!$B$4:$B$23,MATCH(K112,[3]Sheet1!$B$4:$B$23,1)+1,1)-INDEX([3]Sheet1!$B$4:$B$23,
MATCH(K112,[3]Sheet1!$B$4:$B$23,1),1))*(INDEX([3]Sheet1!$C$4:$Q$23,MATCH(K112,[3]Sheet1!$B$4:$B$23,1)+1,MATCH(D112,[3]Sheet1!$C$3:$Q$3,1))-INDEX([3]Sheet1!$C$4:$Q$23,
MATCH(K112,[3]Sheet1!$B$4:$B$23,1),MATCH(D112,[3]Sheet1!$C$3:$Q$3,1)))
+(D112-INDEX([3]Sheet1!$C$3:$Q$3,1,MATCH(D112,[3]Sheet1!$C$3:$Q$3)))/(INDEX([3]Sheet1!$C$3:$Q$3,1,MATCH(D112,[3]Sheet1!$C$3:$Q$3)+1)-INDEX([3]Sheet1!$C$3:$Q$3,1,MATCH(
D112,[3]Sheet1!$C$3:$Q$3)))*(INDEX([3]Sheet1!$C$4:$Q$23,MATCH(K112,[3]Sheet1!$B$4:$B$23,1),MATCH(D112,[3]Sheet1!$C$3:$Q$3,1)+1)-INDEX([3]Sheet1!$C$4:$Q$23,MATCH(K112,[3]Sheet1!$B$4:$B$23,1),MATCH(D112,[3]Sheet1!$C$3:$Q$3,1))))</f>
        <v>0</v>
      </c>
      <c r="M112" cm="1">
        <f t="array" ref="M112" xml:space="preserve"> IF(E112*J112=0,0,(INDEX([2]Sheet1!$C$4:$Q$23,MATCH(K112,[2]Sheet1!$B$4:$B$23,1),MATCH(D112,[2]Sheet1!$C$3:$Q$3,1))
+ (K112 - INDEX([2]Sheet1!$B$4:$B$23,MATCH(K112,[2]Sheet1!$B$4:$B$23,1),1))/(INDEX([2]Sheet1!$B$4:$B$23,MATCH(K112,[2]Sheet1!$B$4:$B$23,1)+1,1) - INDEX([2]Sheet1!$B$4:$B$23,MATCH(K112,[2]Sheet1!$B$4:$B$23,1),1))*(INDEX([2]Sheet1!$C$4:$Q$23,MATCH(K112,[2]Sheet1!$B$4:$B$23,1)+1,MATCH(D112,[2]Sheet1!$C$3:$Q$3,1)) - INDEX([2]Sheet1!$C$4:$Q$23,MATCH(K112,[2]Sheet1!$B$4:$B$23,1),MATCH(D112,[2]Sheet1!$C$3:$Q$3,1)))
+ (D112 - INDEX([2]Sheet1!$C$3:$Q$3,1,MATCH(D112,[2]Sheet1!$C$3:$Q$3)))/(INDEX([2]Sheet1!$C$3:$Q$3,1,MATCH(D112,[2]Sheet1!$C$3:$Q$3)+1) - INDEX([2]Sheet1!$C$3:$Q$3,1,MATCH(D112,[2]Sheet1!$C$3:$Q$3)))*(
INDEX([2]Sheet1!$C$4:$Q$23,MATCH(K112,[2]Sheet1!$B$4:$B$23,1),MATCH(D112,[2]Sheet1!$C$3:$Q$3,1)+1) - INDEX([2]Sheet1!$C$4:$Q$23,MATCH(K112,[2]Sheet1!$B$4:$B$23,1),MATCH(D112,[2]Sheet1!$C$3:$Q$3,1)))))</f>
        <v>0</v>
      </c>
      <c r="N112">
        <f t="shared" si="44"/>
        <v>12</v>
      </c>
      <c r="O112">
        <v>8.622311429910362E-2</v>
      </c>
      <c r="P112" t="e">
        <f t="shared" si="45"/>
        <v>#DIV/0!</v>
      </c>
      <c r="Q112">
        <f t="shared" si="32"/>
        <v>0</v>
      </c>
      <c r="R112">
        <f t="shared" si="46"/>
        <v>741.9099431943954</v>
      </c>
      <c r="T112" t="e">
        <f t="shared" si="35"/>
        <v>#DIV/0!</v>
      </c>
      <c r="U112" t="e">
        <f t="shared" si="36"/>
        <v>#DIV/0!</v>
      </c>
      <c r="V112">
        <f t="shared" si="37"/>
        <v>0</v>
      </c>
      <c r="W112" t="e">
        <f t="shared" si="33"/>
        <v>#DIV/0!</v>
      </c>
    </row>
    <row r="113" spans="1:23" x14ac:dyDescent="0.55000000000000004">
      <c r="A113">
        <f t="shared" si="34"/>
        <v>7.8999999999999879</v>
      </c>
      <c r="B113">
        <f t="shared" si="38"/>
        <v>0.316</v>
      </c>
      <c r="C113">
        <f t="shared" si="39"/>
        <v>-0.1521739130434705</v>
      </c>
      <c r="D113">
        <v>2.1448866530884612</v>
      </c>
      <c r="E113">
        <f t="shared" si="29"/>
        <v>0</v>
      </c>
      <c r="F113">
        <f t="shared" si="40"/>
        <v>4.8605058816845369E-2</v>
      </c>
      <c r="G113">
        <f t="shared" si="41"/>
        <v>39.513748498891111</v>
      </c>
      <c r="H113">
        <f t="shared" si="42"/>
        <v>0</v>
      </c>
      <c r="I113" s="1">
        <f t="shared" si="30"/>
        <v>0</v>
      </c>
      <c r="J113">
        <f t="shared" si="43"/>
        <v>0</v>
      </c>
      <c r="K113">
        <f t="shared" si="31"/>
        <v>0</v>
      </c>
      <c r="L113" cm="1">
        <f t="array" ref="L113">IF(E113*J113=0,0,$C$21*INDEX([3]Sheet1!$C$4:$Q$23,MATCH(K113,[3]Sheet1!$B$4:$B$23,1),MATCH(D113,[3]Sheet1!$C$3:$Q$3,1))
+(K113-INDEX([3]Sheet1!$B$4:$B$23,MATCH(K113,[3]Sheet1!$B$4:$B$23,1),1))/(INDEX([3]Sheet1!$B$4:$B$23,MATCH(K113,[3]Sheet1!$B$4:$B$23,1)+1,1)-INDEX([3]Sheet1!$B$4:$B$23,
MATCH(K113,[3]Sheet1!$B$4:$B$23,1),1))*(INDEX([3]Sheet1!$C$4:$Q$23,MATCH(K113,[3]Sheet1!$B$4:$B$23,1)+1,MATCH(D113,[3]Sheet1!$C$3:$Q$3,1))-INDEX([3]Sheet1!$C$4:$Q$23,
MATCH(K113,[3]Sheet1!$B$4:$B$23,1),MATCH(D113,[3]Sheet1!$C$3:$Q$3,1)))
+(D113-INDEX([3]Sheet1!$C$3:$Q$3,1,MATCH(D113,[3]Sheet1!$C$3:$Q$3)))/(INDEX([3]Sheet1!$C$3:$Q$3,1,MATCH(D113,[3]Sheet1!$C$3:$Q$3)+1)-INDEX([3]Sheet1!$C$3:$Q$3,1,MATCH(
D113,[3]Sheet1!$C$3:$Q$3)))*(INDEX([3]Sheet1!$C$4:$Q$23,MATCH(K113,[3]Sheet1!$B$4:$B$23,1),MATCH(D113,[3]Sheet1!$C$3:$Q$3,1)+1)-INDEX([3]Sheet1!$C$4:$Q$23,MATCH(K113,[3]Sheet1!$B$4:$B$23,1),MATCH(D113,[3]Sheet1!$C$3:$Q$3,1))))</f>
        <v>0</v>
      </c>
      <c r="M113" cm="1">
        <f t="array" ref="M113" xml:space="preserve"> IF(E113*J113=0,0,(INDEX([2]Sheet1!$C$4:$Q$23,MATCH(K113,[2]Sheet1!$B$4:$B$23,1),MATCH(D113,[2]Sheet1!$C$3:$Q$3,1))
+ (K113 - INDEX([2]Sheet1!$B$4:$B$23,MATCH(K113,[2]Sheet1!$B$4:$B$23,1),1))/(INDEX([2]Sheet1!$B$4:$B$23,MATCH(K113,[2]Sheet1!$B$4:$B$23,1)+1,1) - INDEX([2]Sheet1!$B$4:$B$23,MATCH(K113,[2]Sheet1!$B$4:$B$23,1),1))*(INDEX([2]Sheet1!$C$4:$Q$23,MATCH(K113,[2]Sheet1!$B$4:$B$23,1)+1,MATCH(D113,[2]Sheet1!$C$3:$Q$3,1)) - INDEX([2]Sheet1!$C$4:$Q$23,MATCH(K113,[2]Sheet1!$B$4:$B$23,1),MATCH(D113,[2]Sheet1!$C$3:$Q$3,1)))
+ (D113 - INDEX([2]Sheet1!$C$3:$Q$3,1,MATCH(D113,[2]Sheet1!$C$3:$Q$3)))/(INDEX([2]Sheet1!$C$3:$Q$3,1,MATCH(D113,[2]Sheet1!$C$3:$Q$3)+1) - INDEX([2]Sheet1!$C$3:$Q$3,1,MATCH(D113,[2]Sheet1!$C$3:$Q$3)))*(
INDEX([2]Sheet1!$C$4:$Q$23,MATCH(K113,[2]Sheet1!$B$4:$B$23,1),MATCH(D113,[2]Sheet1!$C$3:$Q$3,1)+1) - INDEX([2]Sheet1!$C$4:$Q$23,MATCH(K113,[2]Sheet1!$B$4:$B$23,1),MATCH(D113,[2]Sheet1!$C$3:$Q$3,1)))))</f>
        <v>0</v>
      </c>
      <c r="N113">
        <f t="shared" si="44"/>
        <v>12</v>
      </c>
      <c r="O113">
        <v>8.6042630460434075E-2</v>
      </c>
      <c r="P113" t="e">
        <f t="shared" si="45"/>
        <v>#DIV/0!</v>
      </c>
      <c r="Q113">
        <f t="shared" si="32"/>
        <v>0</v>
      </c>
      <c r="R113">
        <f t="shared" si="46"/>
        <v>741.9099431943954</v>
      </c>
      <c r="T113" t="e">
        <f t="shared" si="35"/>
        <v>#DIV/0!</v>
      </c>
      <c r="U113" t="e">
        <f t="shared" si="36"/>
        <v>#DIV/0!</v>
      </c>
      <c r="V113">
        <f t="shared" si="37"/>
        <v>0</v>
      </c>
      <c r="W113" t="e">
        <f t="shared" si="33"/>
        <v>#DIV/0!</v>
      </c>
    </row>
    <row r="114" spans="1:23" x14ac:dyDescent="0.55000000000000004">
      <c r="A114">
        <f t="shared" si="34"/>
        <v>7.9999999999999876</v>
      </c>
      <c r="B114">
        <f t="shared" si="38"/>
        <v>0.316</v>
      </c>
      <c r="C114">
        <f t="shared" si="39"/>
        <v>-0.21739130434781906</v>
      </c>
      <c r="D114">
        <v>2.1399678090237844</v>
      </c>
      <c r="E114">
        <f t="shared" si="29"/>
        <v>0</v>
      </c>
      <c r="F114">
        <f t="shared" si="40"/>
        <v>4.8605058816845369E-2</v>
      </c>
      <c r="G114">
        <f t="shared" si="41"/>
        <v>39.513748498891111</v>
      </c>
      <c r="H114">
        <f t="shared" si="42"/>
        <v>0</v>
      </c>
      <c r="I114" s="1">
        <f t="shared" si="30"/>
        <v>0</v>
      </c>
      <c r="J114">
        <f t="shared" si="43"/>
        <v>0</v>
      </c>
      <c r="K114">
        <f t="shared" si="31"/>
        <v>0</v>
      </c>
      <c r="L114" cm="1">
        <f t="array" ref="L114">IF(E114*J114=0,0,$C$21*INDEX([3]Sheet1!$C$4:$Q$23,MATCH(K114,[3]Sheet1!$B$4:$B$23,1),MATCH(D114,[3]Sheet1!$C$3:$Q$3,1))
+(K114-INDEX([3]Sheet1!$B$4:$B$23,MATCH(K114,[3]Sheet1!$B$4:$B$23,1),1))/(INDEX([3]Sheet1!$B$4:$B$23,MATCH(K114,[3]Sheet1!$B$4:$B$23,1)+1,1)-INDEX([3]Sheet1!$B$4:$B$23,
MATCH(K114,[3]Sheet1!$B$4:$B$23,1),1))*(INDEX([3]Sheet1!$C$4:$Q$23,MATCH(K114,[3]Sheet1!$B$4:$B$23,1)+1,MATCH(D114,[3]Sheet1!$C$3:$Q$3,1))-INDEX([3]Sheet1!$C$4:$Q$23,
MATCH(K114,[3]Sheet1!$B$4:$B$23,1),MATCH(D114,[3]Sheet1!$C$3:$Q$3,1)))
+(D114-INDEX([3]Sheet1!$C$3:$Q$3,1,MATCH(D114,[3]Sheet1!$C$3:$Q$3)))/(INDEX([3]Sheet1!$C$3:$Q$3,1,MATCH(D114,[3]Sheet1!$C$3:$Q$3)+1)-INDEX([3]Sheet1!$C$3:$Q$3,1,MATCH(
D114,[3]Sheet1!$C$3:$Q$3)))*(INDEX([3]Sheet1!$C$4:$Q$23,MATCH(K114,[3]Sheet1!$B$4:$B$23,1),MATCH(D114,[3]Sheet1!$C$3:$Q$3,1)+1)-INDEX([3]Sheet1!$C$4:$Q$23,MATCH(K114,[3]Sheet1!$B$4:$B$23,1),MATCH(D114,[3]Sheet1!$C$3:$Q$3,1))))</f>
        <v>0</v>
      </c>
      <c r="M114" cm="1">
        <f t="array" ref="M114" xml:space="preserve"> IF(E114*J114=0,0,(INDEX([2]Sheet1!$C$4:$Q$23,MATCH(K114,[2]Sheet1!$B$4:$B$23,1),MATCH(D114,[2]Sheet1!$C$3:$Q$3,1))
+ (K114 - INDEX([2]Sheet1!$B$4:$B$23,MATCH(K114,[2]Sheet1!$B$4:$B$23,1),1))/(INDEX([2]Sheet1!$B$4:$B$23,MATCH(K114,[2]Sheet1!$B$4:$B$23,1)+1,1) - INDEX([2]Sheet1!$B$4:$B$23,MATCH(K114,[2]Sheet1!$B$4:$B$23,1),1))*(INDEX([2]Sheet1!$C$4:$Q$23,MATCH(K114,[2]Sheet1!$B$4:$B$23,1)+1,MATCH(D114,[2]Sheet1!$C$3:$Q$3,1)) - INDEX([2]Sheet1!$C$4:$Q$23,MATCH(K114,[2]Sheet1!$B$4:$B$23,1),MATCH(D114,[2]Sheet1!$C$3:$Q$3,1)))
+ (D114 - INDEX([2]Sheet1!$C$3:$Q$3,1,MATCH(D114,[2]Sheet1!$C$3:$Q$3)))/(INDEX([2]Sheet1!$C$3:$Q$3,1,MATCH(D114,[2]Sheet1!$C$3:$Q$3)+1) - INDEX([2]Sheet1!$C$3:$Q$3,1,MATCH(D114,[2]Sheet1!$C$3:$Q$3)))*(
INDEX([2]Sheet1!$C$4:$Q$23,MATCH(K114,[2]Sheet1!$B$4:$B$23,1),MATCH(D114,[2]Sheet1!$C$3:$Q$3,1)+1) - INDEX([2]Sheet1!$C$4:$Q$23,MATCH(K114,[2]Sheet1!$B$4:$B$23,1),MATCH(D114,[2]Sheet1!$C$3:$Q$3,1)))))</f>
        <v>0</v>
      </c>
      <c r="N114">
        <f t="shared" si="44"/>
        <v>12</v>
      </c>
      <c r="O114">
        <v>8.5861774421244652E-2</v>
      </c>
      <c r="P114" t="e">
        <f t="shared" si="45"/>
        <v>#DIV/0!</v>
      </c>
      <c r="Q114">
        <f t="shared" si="32"/>
        <v>0</v>
      </c>
      <c r="R114">
        <f t="shared" si="46"/>
        <v>741.9099431943954</v>
      </c>
      <c r="T114" t="e">
        <f t="shared" si="35"/>
        <v>#DIV/0!</v>
      </c>
      <c r="U114" t="e">
        <f t="shared" si="36"/>
        <v>#DIV/0!</v>
      </c>
      <c r="V114">
        <f t="shared" si="37"/>
        <v>0</v>
      </c>
      <c r="W114" t="e">
        <f t="shared" si="33"/>
        <v>#DIV/0!</v>
      </c>
    </row>
    <row r="115" spans="1:23" x14ac:dyDescent="0.55000000000000004">
      <c r="A115">
        <f t="shared" si="34"/>
        <v>8.0999999999999872</v>
      </c>
      <c r="B115">
        <f t="shared" si="38"/>
        <v>0.316</v>
      </c>
      <c r="C115">
        <f t="shared" si="39"/>
        <v>-0.28260869565216584</v>
      </c>
      <c r="D115">
        <v>2.1350490257676737</v>
      </c>
      <c r="E115">
        <f t="shared" si="29"/>
        <v>0</v>
      </c>
      <c r="F115">
        <f t="shared" si="40"/>
        <v>4.8605058816845369E-2</v>
      </c>
      <c r="G115">
        <f t="shared" si="41"/>
        <v>39.513748498891111</v>
      </c>
      <c r="H115">
        <f t="shared" si="42"/>
        <v>0</v>
      </c>
      <c r="I115" s="1">
        <f t="shared" si="30"/>
        <v>0</v>
      </c>
      <c r="J115">
        <f t="shared" si="43"/>
        <v>0</v>
      </c>
      <c r="K115">
        <f t="shared" si="31"/>
        <v>0</v>
      </c>
      <c r="L115" cm="1">
        <f t="array" ref="L115">IF(E115*J115=0,0,$C$21*INDEX([3]Sheet1!$C$4:$Q$23,MATCH(K115,[3]Sheet1!$B$4:$B$23,1),MATCH(D115,[3]Sheet1!$C$3:$Q$3,1))
+(K115-INDEX([3]Sheet1!$B$4:$B$23,MATCH(K115,[3]Sheet1!$B$4:$B$23,1),1))/(INDEX([3]Sheet1!$B$4:$B$23,MATCH(K115,[3]Sheet1!$B$4:$B$23,1)+1,1)-INDEX([3]Sheet1!$B$4:$B$23,
MATCH(K115,[3]Sheet1!$B$4:$B$23,1),1))*(INDEX([3]Sheet1!$C$4:$Q$23,MATCH(K115,[3]Sheet1!$B$4:$B$23,1)+1,MATCH(D115,[3]Sheet1!$C$3:$Q$3,1))-INDEX([3]Sheet1!$C$4:$Q$23,
MATCH(K115,[3]Sheet1!$B$4:$B$23,1),MATCH(D115,[3]Sheet1!$C$3:$Q$3,1)))
+(D115-INDEX([3]Sheet1!$C$3:$Q$3,1,MATCH(D115,[3]Sheet1!$C$3:$Q$3)))/(INDEX([3]Sheet1!$C$3:$Q$3,1,MATCH(D115,[3]Sheet1!$C$3:$Q$3)+1)-INDEX([3]Sheet1!$C$3:$Q$3,1,MATCH(
D115,[3]Sheet1!$C$3:$Q$3)))*(INDEX([3]Sheet1!$C$4:$Q$23,MATCH(K115,[3]Sheet1!$B$4:$B$23,1),MATCH(D115,[3]Sheet1!$C$3:$Q$3,1)+1)-INDEX([3]Sheet1!$C$4:$Q$23,MATCH(K115,[3]Sheet1!$B$4:$B$23,1),MATCH(D115,[3]Sheet1!$C$3:$Q$3,1))))</f>
        <v>0</v>
      </c>
      <c r="M115" cm="1">
        <f t="array" ref="M115" xml:space="preserve"> IF(E115*J115=0,0,(INDEX([2]Sheet1!$C$4:$Q$23,MATCH(K115,[2]Sheet1!$B$4:$B$23,1),MATCH(D115,[2]Sheet1!$C$3:$Q$3,1))
+ (K115 - INDEX([2]Sheet1!$B$4:$B$23,MATCH(K115,[2]Sheet1!$B$4:$B$23,1),1))/(INDEX([2]Sheet1!$B$4:$B$23,MATCH(K115,[2]Sheet1!$B$4:$B$23,1)+1,1) - INDEX([2]Sheet1!$B$4:$B$23,MATCH(K115,[2]Sheet1!$B$4:$B$23,1),1))*(INDEX([2]Sheet1!$C$4:$Q$23,MATCH(K115,[2]Sheet1!$B$4:$B$23,1)+1,MATCH(D115,[2]Sheet1!$C$3:$Q$3,1)) - INDEX([2]Sheet1!$C$4:$Q$23,MATCH(K115,[2]Sheet1!$B$4:$B$23,1),MATCH(D115,[2]Sheet1!$C$3:$Q$3,1)))
+ (D115 - INDEX([2]Sheet1!$C$3:$Q$3,1,MATCH(D115,[2]Sheet1!$C$3:$Q$3)))/(INDEX([2]Sheet1!$C$3:$Q$3,1,MATCH(D115,[2]Sheet1!$C$3:$Q$3)+1) - INDEX([2]Sheet1!$C$3:$Q$3,1,MATCH(D115,[2]Sheet1!$C$3:$Q$3)))*(
INDEX([2]Sheet1!$C$4:$Q$23,MATCH(K115,[2]Sheet1!$B$4:$B$23,1),MATCH(D115,[2]Sheet1!$C$3:$Q$3,1)+1) - INDEX([2]Sheet1!$C$4:$Q$23,MATCH(K115,[2]Sheet1!$B$4:$B$23,1),MATCH(D115,[2]Sheet1!$C$3:$Q$3,1)))))</f>
        <v>0</v>
      </c>
      <c r="N115">
        <f t="shared" si="44"/>
        <v>12</v>
      </c>
      <c r="O115">
        <v>8.5680546141773894E-2</v>
      </c>
      <c r="P115" t="e">
        <f t="shared" si="45"/>
        <v>#DIV/0!</v>
      </c>
      <c r="Q115">
        <f t="shared" si="32"/>
        <v>0</v>
      </c>
      <c r="R115">
        <f t="shared" si="46"/>
        <v>741.9099431943954</v>
      </c>
      <c r="T115" t="e">
        <f t="shared" si="35"/>
        <v>#DIV/0!</v>
      </c>
      <c r="U115" t="e">
        <f t="shared" si="36"/>
        <v>#DIV/0!</v>
      </c>
      <c r="V115">
        <f t="shared" si="37"/>
        <v>0</v>
      </c>
      <c r="W115" t="e">
        <f t="shared" si="33"/>
        <v>#DIV/0!</v>
      </c>
    </row>
    <row r="116" spans="1:23" x14ac:dyDescent="0.55000000000000004">
      <c r="A116">
        <f t="shared" si="34"/>
        <v>8.1999999999999869</v>
      </c>
      <c r="B116">
        <f t="shared" si="38"/>
        <v>0.316</v>
      </c>
      <c r="C116">
        <f t="shared" si="39"/>
        <v>-0.34782608695651351</v>
      </c>
      <c r="D116">
        <v>2.1301301335911615</v>
      </c>
      <c r="E116">
        <f t="shared" si="29"/>
        <v>0</v>
      </c>
      <c r="F116">
        <f t="shared" si="40"/>
        <v>4.8605058816845369E-2</v>
      </c>
      <c r="G116">
        <f t="shared" si="41"/>
        <v>39.513748498891111</v>
      </c>
      <c r="H116">
        <f t="shared" si="42"/>
        <v>0</v>
      </c>
      <c r="I116" s="1">
        <f t="shared" si="30"/>
        <v>0</v>
      </c>
      <c r="J116">
        <f t="shared" si="43"/>
        <v>0</v>
      </c>
      <c r="K116">
        <f t="shared" si="31"/>
        <v>0</v>
      </c>
      <c r="L116" cm="1">
        <f t="array" ref="L116">IF(E116*J116=0,0,$C$21*INDEX([3]Sheet1!$C$4:$Q$23,MATCH(K116,[3]Sheet1!$B$4:$B$23,1),MATCH(D116,[3]Sheet1!$C$3:$Q$3,1))
+(K116-INDEX([3]Sheet1!$B$4:$B$23,MATCH(K116,[3]Sheet1!$B$4:$B$23,1),1))/(INDEX([3]Sheet1!$B$4:$B$23,MATCH(K116,[3]Sheet1!$B$4:$B$23,1)+1,1)-INDEX([3]Sheet1!$B$4:$B$23,
MATCH(K116,[3]Sheet1!$B$4:$B$23,1),1))*(INDEX([3]Sheet1!$C$4:$Q$23,MATCH(K116,[3]Sheet1!$B$4:$B$23,1)+1,MATCH(D116,[3]Sheet1!$C$3:$Q$3,1))-INDEX([3]Sheet1!$C$4:$Q$23,
MATCH(K116,[3]Sheet1!$B$4:$B$23,1),MATCH(D116,[3]Sheet1!$C$3:$Q$3,1)))
+(D116-INDEX([3]Sheet1!$C$3:$Q$3,1,MATCH(D116,[3]Sheet1!$C$3:$Q$3)))/(INDEX([3]Sheet1!$C$3:$Q$3,1,MATCH(D116,[3]Sheet1!$C$3:$Q$3)+1)-INDEX([3]Sheet1!$C$3:$Q$3,1,MATCH(
D116,[3]Sheet1!$C$3:$Q$3)))*(INDEX([3]Sheet1!$C$4:$Q$23,MATCH(K116,[3]Sheet1!$B$4:$B$23,1),MATCH(D116,[3]Sheet1!$C$3:$Q$3,1)+1)-INDEX([3]Sheet1!$C$4:$Q$23,MATCH(K116,[3]Sheet1!$B$4:$B$23,1),MATCH(D116,[3]Sheet1!$C$3:$Q$3,1))))</f>
        <v>0</v>
      </c>
      <c r="M116" cm="1">
        <f t="array" ref="M116" xml:space="preserve"> IF(E116*J116=0,0,(INDEX([2]Sheet1!$C$4:$Q$23,MATCH(K116,[2]Sheet1!$B$4:$B$23,1),MATCH(D116,[2]Sheet1!$C$3:$Q$3,1))
+ (K116 - INDEX([2]Sheet1!$B$4:$B$23,MATCH(K116,[2]Sheet1!$B$4:$B$23,1),1))/(INDEX([2]Sheet1!$B$4:$B$23,MATCH(K116,[2]Sheet1!$B$4:$B$23,1)+1,1) - INDEX([2]Sheet1!$B$4:$B$23,MATCH(K116,[2]Sheet1!$B$4:$B$23,1),1))*(INDEX([2]Sheet1!$C$4:$Q$23,MATCH(K116,[2]Sheet1!$B$4:$B$23,1)+1,MATCH(D116,[2]Sheet1!$C$3:$Q$3,1)) - INDEX([2]Sheet1!$C$4:$Q$23,MATCH(K116,[2]Sheet1!$B$4:$B$23,1),MATCH(D116,[2]Sheet1!$C$3:$Q$3,1)))
+ (D116 - INDEX([2]Sheet1!$C$3:$Q$3,1,MATCH(D116,[2]Sheet1!$C$3:$Q$3)))/(INDEX([2]Sheet1!$C$3:$Q$3,1,MATCH(D116,[2]Sheet1!$C$3:$Q$3)+1) - INDEX([2]Sheet1!$C$3:$Q$3,1,MATCH(D116,[2]Sheet1!$C$3:$Q$3)))*(
INDEX([2]Sheet1!$C$4:$Q$23,MATCH(K116,[2]Sheet1!$B$4:$B$23,1),MATCH(D116,[2]Sheet1!$C$3:$Q$3,1)+1) - INDEX([2]Sheet1!$C$4:$Q$23,MATCH(K116,[2]Sheet1!$B$4:$B$23,1),MATCH(D116,[2]Sheet1!$C$3:$Q$3,1)))))</f>
        <v>0</v>
      </c>
      <c r="N116">
        <f t="shared" si="44"/>
        <v>12</v>
      </c>
      <c r="O116">
        <v>8.5498945578823621E-2</v>
      </c>
      <c r="P116" t="e">
        <f t="shared" si="45"/>
        <v>#DIV/0!</v>
      </c>
      <c r="Q116">
        <f t="shared" si="32"/>
        <v>0</v>
      </c>
      <c r="R116">
        <f t="shared" si="46"/>
        <v>741.9099431943954</v>
      </c>
      <c r="T116" t="e">
        <f t="shared" si="35"/>
        <v>#DIV/0!</v>
      </c>
      <c r="U116" t="e">
        <f t="shared" si="36"/>
        <v>#DIV/0!</v>
      </c>
      <c r="V116">
        <f t="shared" si="37"/>
        <v>0</v>
      </c>
      <c r="W116" t="e">
        <f t="shared" si="33"/>
        <v>#DIV/0!</v>
      </c>
    </row>
    <row r="117" spans="1:23" x14ac:dyDescent="0.55000000000000004">
      <c r="A117">
        <f t="shared" si="34"/>
        <v>8.2999999999999865</v>
      </c>
      <c r="B117">
        <f t="shared" si="38"/>
        <v>0.316</v>
      </c>
      <c r="C117">
        <f t="shared" si="39"/>
        <v>-0.41304347826086119</v>
      </c>
      <c r="D117">
        <v>2.1252109666509265</v>
      </c>
      <c r="E117">
        <f t="shared" si="29"/>
        <v>0</v>
      </c>
      <c r="F117">
        <f t="shared" si="40"/>
        <v>4.8605058816845369E-2</v>
      </c>
      <c r="G117">
        <f t="shared" si="41"/>
        <v>39.513748498891111</v>
      </c>
      <c r="H117">
        <f t="shared" si="42"/>
        <v>0</v>
      </c>
      <c r="I117" s="1">
        <f t="shared" si="30"/>
        <v>0</v>
      </c>
      <c r="J117">
        <f t="shared" si="43"/>
        <v>0</v>
      </c>
      <c r="K117">
        <f t="shared" si="31"/>
        <v>0</v>
      </c>
      <c r="L117" cm="1">
        <f t="array" ref="L117">IF(E117*J117=0,0,$C$21*INDEX([3]Sheet1!$C$4:$Q$23,MATCH(K117,[3]Sheet1!$B$4:$B$23,1),MATCH(D117,[3]Sheet1!$C$3:$Q$3,1))
+(K117-INDEX([3]Sheet1!$B$4:$B$23,MATCH(K117,[3]Sheet1!$B$4:$B$23,1),1))/(INDEX([3]Sheet1!$B$4:$B$23,MATCH(K117,[3]Sheet1!$B$4:$B$23,1)+1,1)-INDEX([3]Sheet1!$B$4:$B$23,
MATCH(K117,[3]Sheet1!$B$4:$B$23,1),1))*(INDEX([3]Sheet1!$C$4:$Q$23,MATCH(K117,[3]Sheet1!$B$4:$B$23,1)+1,MATCH(D117,[3]Sheet1!$C$3:$Q$3,1))-INDEX([3]Sheet1!$C$4:$Q$23,
MATCH(K117,[3]Sheet1!$B$4:$B$23,1),MATCH(D117,[3]Sheet1!$C$3:$Q$3,1)))
+(D117-INDEX([3]Sheet1!$C$3:$Q$3,1,MATCH(D117,[3]Sheet1!$C$3:$Q$3)))/(INDEX([3]Sheet1!$C$3:$Q$3,1,MATCH(D117,[3]Sheet1!$C$3:$Q$3)+1)-INDEX([3]Sheet1!$C$3:$Q$3,1,MATCH(
D117,[3]Sheet1!$C$3:$Q$3)))*(INDEX([3]Sheet1!$C$4:$Q$23,MATCH(K117,[3]Sheet1!$B$4:$B$23,1),MATCH(D117,[3]Sheet1!$C$3:$Q$3,1)+1)-INDEX([3]Sheet1!$C$4:$Q$23,MATCH(K117,[3]Sheet1!$B$4:$B$23,1),MATCH(D117,[3]Sheet1!$C$3:$Q$3,1))))</f>
        <v>0</v>
      </c>
      <c r="M117" cm="1">
        <f t="array" ref="M117" xml:space="preserve"> IF(E117*J117=0,0,(INDEX([2]Sheet1!$C$4:$Q$23,MATCH(K117,[2]Sheet1!$B$4:$B$23,1),MATCH(D117,[2]Sheet1!$C$3:$Q$3,1))
+ (K117 - INDEX([2]Sheet1!$B$4:$B$23,MATCH(K117,[2]Sheet1!$B$4:$B$23,1),1))/(INDEX([2]Sheet1!$B$4:$B$23,MATCH(K117,[2]Sheet1!$B$4:$B$23,1)+1,1) - INDEX([2]Sheet1!$B$4:$B$23,MATCH(K117,[2]Sheet1!$B$4:$B$23,1),1))*(INDEX([2]Sheet1!$C$4:$Q$23,MATCH(K117,[2]Sheet1!$B$4:$B$23,1)+1,MATCH(D117,[2]Sheet1!$C$3:$Q$3,1)) - INDEX([2]Sheet1!$C$4:$Q$23,MATCH(K117,[2]Sheet1!$B$4:$B$23,1),MATCH(D117,[2]Sheet1!$C$3:$Q$3,1)))
+ (D117 - INDEX([2]Sheet1!$C$3:$Q$3,1,MATCH(D117,[2]Sheet1!$C$3:$Q$3)))/(INDEX([2]Sheet1!$C$3:$Q$3,1,MATCH(D117,[2]Sheet1!$C$3:$Q$3)+1) - INDEX([2]Sheet1!$C$3:$Q$3,1,MATCH(D117,[2]Sheet1!$C$3:$Q$3)))*(
INDEX([2]Sheet1!$C$4:$Q$23,MATCH(K117,[2]Sheet1!$B$4:$B$23,1),MATCH(D117,[2]Sheet1!$C$3:$Q$3,1)+1) - INDEX([2]Sheet1!$C$4:$Q$23,MATCH(K117,[2]Sheet1!$B$4:$B$23,1),MATCH(D117,[2]Sheet1!$C$3:$Q$3,1)))))</f>
        <v>0</v>
      </c>
      <c r="N117">
        <f t="shared" si="44"/>
        <v>12</v>
      </c>
      <c r="O117">
        <v>8.5316972687310311E-2</v>
      </c>
      <c r="P117" t="e">
        <f t="shared" si="45"/>
        <v>#DIV/0!</v>
      </c>
      <c r="Q117">
        <f t="shared" si="32"/>
        <v>0</v>
      </c>
      <c r="R117">
        <f t="shared" si="46"/>
        <v>741.9099431943954</v>
      </c>
      <c r="T117" t="e">
        <f t="shared" si="35"/>
        <v>#DIV/0!</v>
      </c>
      <c r="U117" t="e">
        <f t="shared" si="36"/>
        <v>#DIV/0!</v>
      </c>
      <c r="V117">
        <f t="shared" si="37"/>
        <v>0</v>
      </c>
      <c r="W117" t="e">
        <f t="shared" si="33"/>
        <v>#DIV/0!</v>
      </c>
    </row>
    <row r="118" spans="1:23" x14ac:dyDescent="0.55000000000000004">
      <c r="A118">
        <f t="shared" si="34"/>
        <v>8.3999999999999861</v>
      </c>
      <c r="B118">
        <f t="shared" si="38"/>
        <v>0.316</v>
      </c>
      <c r="C118">
        <f t="shared" si="39"/>
        <v>-0.47826086956520886</v>
      </c>
      <c r="D118">
        <v>2.120291346130875</v>
      </c>
      <c r="E118">
        <f t="shared" si="29"/>
        <v>0</v>
      </c>
      <c r="F118">
        <f t="shared" si="40"/>
        <v>4.8605058816845369E-2</v>
      </c>
      <c r="G118">
        <f t="shared" si="41"/>
        <v>39.513748498891111</v>
      </c>
      <c r="H118">
        <f t="shared" si="42"/>
        <v>0</v>
      </c>
      <c r="I118" s="1">
        <f t="shared" si="30"/>
        <v>0</v>
      </c>
      <c r="J118">
        <f t="shared" si="43"/>
        <v>0</v>
      </c>
      <c r="K118">
        <f t="shared" si="31"/>
        <v>0</v>
      </c>
      <c r="L118" cm="1">
        <f t="array" ref="L118">IF(E118*J118=0,0,$C$21*INDEX([3]Sheet1!$C$4:$Q$23,MATCH(K118,[3]Sheet1!$B$4:$B$23,1),MATCH(D118,[3]Sheet1!$C$3:$Q$3,1))
+(K118-INDEX([3]Sheet1!$B$4:$B$23,MATCH(K118,[3]Sheet1!$B$4:$B$23,1),1))/(INDEX([3]Sheet1!$B$4:$B$23,MATCH(K118,[3]Sheet1!$B$4:$B$23,1)+1,1)-INDEX([3]Sheet1!$B$4:$B$23,
MATCH(K118,[3]Sheet1!$B$4:$B$23,1),1))*(INDEX([3]Sheet1!$C$4:$Q$23,MATCH(K118,[3]Sheet1!$B$4:$B$23,1)+1,MATCH(D118,[3]Sheet1!$C$3:$Q$3,1))-INDEX([3]Sheet1!$C$4:$Q$23,
MATCH(K118,[3]Sheet1!$B$4:$B$23,1),MATCH(D118,[3]Sheet1!$C$3:$Q$3,1)))
+(D118-INDEX([3]Sheet1!$C$3:$Q$3,1,MATCH(D118,[3]Sheet1!$C$3:$Q$3)))/(INDEX([3]Sheet1!$C$3:$Q$3,1,MATCH(D118,[3]Sheet1!$C$3:$Q$3)+1)-INDEX([3]Sheet1!$C$3:$Q$3,1,MATCH(
D118,[3]Sheet1!$C$3:$Q$3)))*(INDEX([3]Sheet1!$C$4:$Q$23,MATCH(K118,[3]Sheet1!$B$4:$B$23,1),MATCH(D118,[3]Sheet1!$C$3:$Q$3,1)+1)-INDEX([3]Sheet1!$C$4:$Q$23,MATCH(K118,[3]Sheet1!$B$4:$B$23,1),MATCH(D118,[3]Sheet1!$C$3:$Q$3,1))))</f>
        <v>0</v>
      </c>
      <c r="M118" cm="1">
        <f t="array" ref="M118" xml:space="preserve"> IF(E118*J118=0,0,(INDEX([2]Sheet1!$C$4:$Q$23,MATCH(K118,[2]Sheet1!$B$4:$B$23,1),MATCH(D118,[2]Sheet1!$C$3:$Q$3,1))
+ (K118 - INDEX([2]Sheet1!$B$4:$B$23,MATCH(K118,[2]Sheet1!$B$4:$B$23,1),1))/(INDEX([2]Sheet1!$B$4:$B$23,MATCH(K118,[2]Sheet1!$B$4:$B$23,1)+1,1) - INDEX([2]Sheet1!$B$4:$B$23,MATCH(K118,[2]Sheet1!$B$4:$B$23,1),1))*(INDEX([2]Sheet1!$C$4:$Q$23,MATCH(K118,[2]Sheet1!$B$4:$B$23,1)+1,MATCH(D118,[2]Sheet1!$C$3:$Q$3,1)) - INDEX([2]Sheet1!$C$4:$Q$23,MATCH(K118,[2]Sheet1!$B$4:$B$23,1),MATCH(D118,[2]Sheet1!$C$3:$Q$3,1)))
+ (D118 - INDEX([2]Sheet1!$C$3:$Q$3,1,MATCH(D118,[2]Sheet1!$C$3:$Q$3)))/(INDEX([2]Sheet1!$C$3:$Q$3,1,MATCH(D118,[2]Sheet1!$C$3:$Q$3)+1) - INDEX([2]Sheet1!$C$3:$Q$3,1,MATCH(D118,[2]Sheet1!$C$3:$Q$3)))*(
INDEX([2]Sheet1!$C$4:$Q$23,MATCH(K118,[2]Sheet1!$B$4:$B$23,1),MATCH(D118,[2]Sheet1!$C$3:$Q$3,1)+1) - INDEX([2]Sheet1!$C$4:$Q$23,MATCH(K118,[2]Sheet1!$B$4:$B$23,1),MATCH(D118,[2]Sheet1!$C$3:$Q$3,1)))))</f>
        <v>0</v>
      </c>
      <c r="N118">
        <f t="shared" si="44"/>
        <v>12</v>
      </c>
      <c r="O118">
        <v>8.5134626787404716E-2</v>
      </c>
      <c r="P118" t="e">
        <f t="shared" si="45"/>
        <v>#DIV/0!</v>
      </c>
      <c r="Q118">
        <f t="shared" si="32"/>
        <v>0</v>
      </c>
      <c r="R118">
        <f t="shared" si="46"/>
        <v>741.9099431943954</v>
      </c>
      <c r="T118" t="e">
        <f t="shared" si="35"/>
        <v>#DIV/0!</v>
      </c>
      <c r="U118" t="e">
        <f t="shared" si="36"/>
        <v>#DIV/0!</v>
      </c>
      <c r="V118">
        <f t="shared" si="37"/>
        <v>0</v>
      </c>
      <c r="W118" t="e">
        <f t="shared" si="33"/>
        <v>#DIV/0!</v>
      </c>
    </row>
    <row r="119" spans="1:23" x14ac:dyDescent="0.55000000000000004">
      <c r="A119">
        <f t="shared" si="34"/>
        <v>8.4999999999999858</v>
      </c>
      <c r="B119">
        <f t="shared" si="38"/>
        <v>0.316</v>
      </c>
      <c r="C119">
        <f t="shared" si="39"/>
        <v>-0.54347826086955653</v>
      </c>
      <c r="D119">
        <v>2.1153711489191971</v>
      </c>
      <c r="E119">
        <f t="shared" si="29"/>
        <v>0</v>
      </c>
      <c r="F119">
        <f t="shared" si="40"/>
        <v>4.8605058816845369E-2</v>
      </c>
      <c r="G119">
        <f t="shared" si="41"/>
        <v>39.513748498891111</v>
      </c>
      <c r="H119">
        <f t="shared" si="42"/>
        <v>0</v>
      </c>
      <c r="I119" s="1">
        <f t="shared" si="30"/>
        <v>0</v>
      </c>
      <c r="J119">
        <f t="shared" si="43"/>
        <v>0</v>
      </c>
      <c r="K119">
        <f t="shared" si="31"/>
        <v>0</v>
      </c>
      <c r="L119" cm="1">
        <f t="array" ref="L119">IF(E119*J119=0,0,$C$21*INDEX([3]Sheet1!$C$4:$Q$23,MATCH(K119,[3]Sheet1!$B$4:$B$23,1),MATCH(D119,[3]Sheet1!$C$3:$Q$3,1))
+(K119-INDEX([3]Sheet1!$B$4:$B$23,MATCH(K119,[3]Sheet1!$B$4:$B$23,1),1))/(INDEX([3]Sheet1!$B$4:$B$23,MATCH(K119,[3]Sheet1!$B$4:$B$23,1)+1,1)-INDEX([3]Sheet1!$B$4:$B$23,
MATCH(K119,[3]Sheet1!$B$4:$B$23,1),1))*(INDEX([3]Sheet1!$C$4:$Q$23,MATCH(K119,[3]Sheet1!$B$4:$B$23,1)+1,MATCH(D119,[3]Sheet1!$C$3:$Q$3,1))-INDEX([3]Sheet1!$C$4:$Q$23,
MATCH(K119,[3]Sheet1!$B$4:$B$23,1),MATCH(D119,[3]Sheet1!$C$3:$Q$3,1)))
+(D119-INDEX([3]Sheet1!$C$3:$Q$3,1,MATCH(D119,[3]Sheet1!$C$3:$Q$3)))/(INDEX([3]Sheet1!$C$3:$Q$3,1,MATCH(D119,[3]Sheet1!$C$3:$Q$3)+1)-INDEX([3]Sheet1!$C$3:$Q$3,1,MATCH(
D119,[3]Sheet1!$C$3:$Q$3)))*(INDEX([3]Sheet1!$C$4:$Q$23,MATCH(K119,[3]Sheet1!$B$4:$B$23,1),MATCH(D119,[3]Sheet1!$C$3:$Q$3,1)+1)-INDEX([3]Sheet1!$C$4:$Q$23,MATCH(K119,[3]Sheet1!$B$4:$B$23,1),MATCH(D119,[3]Sheet1!$C$3:$Q$3,1))))</f>
        <v>0</v>
      </c>
      <c r="M119" cm="1">
        <f t="array" ref="M119" xml:space="preserve"> IF(E119*J119=0,0,(INDEX([2]Sheet1!$C$4:$Q$23,MATCH(K119,[2]Sheet1!$B$4:$B$23,1),MATCH(D119,[2]Sheet1!$C$3:$Q$3,1))
+ (K119 - INDEX([2]Sheet1!$B$4:$B$23,MATCH(K119,[2]Sheet1!$B$4:$B$23,1),1))/(INDEX([2]Sheet1!$B$4:$B$23,MATCH(K119,[2]Sheet1!$B$4:$B$23,1)+1,1) - INDEX([2]Sheet1!$B$4:$B$23,MATCH(K119,[2]Sheet1!$B$4:$B$23,1),1))*(INDEX([2]Sheet1!$C$4:$Q$23,MATCH(K119,[2]Sheet1!$B$4:$B$23,1)+1,MATCH(D119,[2]Sheet1!$C$3:$Q$3,1)) - INDEX([2]Sheet1!$C$4:$Q$23,MATCH(K119,[2]Sheet1!$B$4:$B$23,1),MATCH(D119,[2]Sheet1!$C$3:$Q$3,1)))
+ (D119 - INDEX([2]Sheet1!$C$3:$Q$3,1,MATCH(D119,[2]Sheet1!$C$3:$Q$3)))/(INDEX([2]Sheet1!$C$3:$Q$3,1,MATCH(D119,[2]Sheet1!$C$3:$Q$3)+1) - INDEX([2]Sheet1!$C$3:$Q$3,1,MATCH(D119,[2]Sheet1!$C$3:$Q$3)))*(
INDEX([2]Sheet1!$C$4:$Q$23,MATCH(K119,[2]Sheet1!$B$4:$B$23,1),MATCH(D119,[2]Sheet1!$C$3:$Q$3,1)+1) - INDEX([2]Sheet1!$C$4:$Q$23,MATCH(K119,[2]Sheet1!$B$4:$B$23,1),MATCH(D119,[2]Sheet1!$C$3:$Q$3,1)))))</f>
        <v>0</v>
      </c>
      <c r="N119">
        <f t="shared" si="44"/>
        <v>12</v>
      </c>
      <c r="O119">
        <v>8.4951909183221527E-2</v>
      </c>
      <c r="P119" t="e">
        <f t="shared" si="45"/>
        <v>#DIV/0!</v>
      </c>
      <c r="Q119">
        <f t="shared" si="32"/>
        <v>0</v>
      </c>
      <c r="R119">
        <f t="shared" si="46"/>
        <v>741.9099431943954</v>
      </c>
      <c r="T119" t="e">
        <f t="shared" si="35"/>
        <v>#DIV/0!</v>
      </c>
      <c r="U119" t="e">
        <f t="shared" si="36"/>
        <v>#DIV/0!</v>
      </c>
      <c r="V119">
        <f t="shared" si="37"/>
        <v>0</v>
      </c>
      <c r="W119" t="e">
        <f t="shared" si="33"/>
        <v>#DIV/0!</v>
      </c>
    </row>
    <row r="120" spans="1:23" x14ac:dyDescent="0.55000000000000004">
      <c r="A120">
        <f t="shared" si="34"/>
        <v>8.5999999999999854</v>
      </c>
      <c r="B120">
        <f t="shared" si="38"/>
        <v>0.316</v>
      </c>
      <c r="C120">
        <f t="shared" si="39"/>
        <v>-0.60869565217390331</v>
      </c>
      <c r="D120">
        <v>2.11045020097683</v>
      </c>
      <c r="E120">
        <f t="shared" si="29"/>
        <v>0</v>
      </c>
      <c r="F120">
        <f t="shared" si="40"/>
        <v>4.8605058816845369E-2</v>
      </c>
      <c r="G120">
        <f t="shared" si="41"/>
        <v>39.513748498891111</v>
      </c>
      <c r="H120">
        <f t="shared" si="42"/>
        <v>0</v>
      </c>
      <c r="I120" s="1">
        <f t="shared" si="30"/>
        <v>0</v>
      </c>
      <c r="J120">
        <f t="shared" si="43"/>
        <v>0</v>
      </c>
      <c r="K120">
        <f t="shared" si="31"/>
        <v>0</v>
      </c>
      <c r="L120" cm="1">
        <f t="array" ref="L120">IF(E120*J120=0,0,$C$21*INDEX([3]Sheet1!$C$4:$Q$23,MATCH(K120,[3]Sheet1!$B$4:$B$23,1),MATCH(D120,[3]Sheet1!$C$3:$Q$3,1))
+(K120-INDEX([3]Sheet1!$B$4:$B$23,MATCH(K120,[3]Sheet1!$B$4:$B$23,1),1))/(INDEX([3]Sheet1!$B$4:$B$23,MATCH(K120,[3]Sheet1!$B$4:$B$23,1)+1,1)-INDEX([3]Sheet1!$B$4:$B$23,
MATCH(K120,[3]Sheet1!$B$4:$B$23,1),1))*(INDEX([3]Sheet1!$C$4:$Q$23,MATCH(K120,[3]Sheet1!$B$4:$B$23,1)+1,MATCH(D120,[3]Sheet1!$C$3:$Q$3,1))-INDEX([3]Sheet1!$C$4:$Q$23,
MATCH(K120,[3]Sheet1!$B$4:$B$23,1),MATCH(D120,[3]Sheet1!$C$3:$Q$3,1)))
+(D120-INDEX([3]Sheet1!$C$3:$Q$3,1,MATCH(D120,[3]Sheet1!$C$3:$Q$3)))/(INDEX([3]Sheet1!$C$3:$Q$3,1,MATCH(D120,[3]Sheet1!$C$3:$Q$3)+1)-INDEX([3]Sheet1!$C$3:$Q$3,1,MATCH(
D120,[3]Sheet1!$C$3:$Q$3)))*(INDEX([3]Sheet1!$C$4:$Q$23,MATCH(K120,[3]Sheet1!$B$4:$B$23,1),MATCH(D120,[3]Sheet1!$C$3:$Q$3,1)+1)-INDEX([3]Sheet1!$C$4:$Q$23,MATCH(K120,[3]Sheet1!$B$4:$B$23,1),MATCH(D120,[3]Sheet1!$C$3:$Q$3,1))))</f>
        <v>0</v>
      </c>
      <c r="M120" cm="1">
        <f t="array" ref="M120" xml:space="preserve"> IF(E120*J120=0,0,(INDEX([2]Sheet1!$C$4:$Q$23,MATCH(K120,[2]Sheet1!$B$4:$B$23,1),MATCH(D120,[2]Sheet1!$C$3:$Q$3,1))
+ (K120 - INDEX([2]Sheet1!$B$4:$B$23,MATCH(K120,[2]Sheet1!$B$4:$B$23,1),1))/(INDEX([2]Sheet1!$B$4:$B$23,MATCH(K120,[2]Sheet1!$B$4:$B$23,1)+1,1) - INDEX([2]Sheet1!$B$4:$B$23,MATCH(K120,[2]Sheet1!$B$4:$B$23,1),1))*(INDEX([2]Sheet1!$C$4:$Q$23,MATCH(K120,[2]Sheet1!$B$4:$B$23,1)+1,MATCH(D120,[2]Sheet1!$C$3:$Q$3,1)) - INDEX([2]Sheet1!$C$4:$Q$23,MATCH(K120,[2]Sheet1!$B$4:$B$23,1),MATCH(D120,[2]Sheet1!$C$3:$Q$3,1)))
+ (D120 - INDEX([2]Sheet1!$C$3:$Q$3,1,MATCH(D120,[2]Sheet1!$C$3:$Q$3)))/(INDEX([2]Sheet1!$C$3:$Q$3,1,MATCH(D120,[2]Sheet1!$C$3:$Q$3)+1) - INDEX([2]Sheet1!$C$3:$Q$3,1,MATCH(D120,[2]Sheet1!$C$3:$Q$3)))*(
INDEX([2]Sheet1!$C$4:$Q$23,MATCH(K120,[2]Sheet1!$B$4:$B$23,1),MATCH(D120,[2]Sheet1!$C$3:$Q$3,1)+1) - INDEX([2]Sheet1!$C$4:$Q$23,MATCH(K120,[2]Sheet1!$B$4:$B$23,1),MATCH(D120,[2]Sheet1!$C$3:$Q$3,1)))))</f>
        <v>0</v>
      </c>
      <c r="N120">
        <f t="shared" si="44"/>
        <v>12</v>
      </c>
      <c r="O120">
        <v>8.4768819116714023E-2</v>
      </c>
      <c r="P120" t="e">
        <f t="shared" si="45"/>
        <v>#DIV/0!</v>
      </c>
      <c r="Q120">
        <f t="shared" si="32"/>
        <v>0</v>
      </c>
      <c r="R120">
        <f t="shared" si="46"/>
        <v>741.9099431943954</v>
      </c>
      <c r="T120" t="e">
        <f t="shared" si="35"/>
        <v>#DIV/0!</v>
      </c>
      <c r="U120" t="e">
        <f t="shared" si="36"/>
        <v>#DIV/0!</v>
      </c>
      <c r="V120">
        <f t="shared" si="37"/>
        <v>0</v>
      </c>
      <c r="W120" t="e">
        <f t="shared" si="33"/>
        <v>#DIV/0!</v>
      </c>
    </row>
    <row r="121" spans="1:23" x14ac:dyDescent="0.55000000000000004">
      <c r="A121">
        <f t="shared" si="34"/>
        <v>8.6999999999999851</v>
      </c>
      <c r="B121">
        <f t="shared" si="38"/>
        <v>0.316</v>
      </c>
      <c r="C121">
        <f t="shared" si="39"/>
        <v>-0.67391304347825187</v>
      </c>
      <c r="D121">
        <v>2.1055283503928046</v>
      </c>
      <c r="E121">
        <f t="shared" si="29"/>
        <v>0</v>
      </c>
      <c r="F121">
        <f t="shared" si="40"/>
        <v>4.8605058816845369E-2</v>
      </c>
      <c r="G121">
        <f t="shared" si="41"/>
        <v>39.513748498891111</v>
      </c>
      <c r="H121">
        <f t="shared" si="42"/>
        <v>0</v>
      </c>
      <c r="I121" s="1">
        <f t="shared" si="30"/>
        <v>0</v>
      </c>
      <c r="J121">
        <f t="shared" si="43"/>
        <v>0</v>
      </c>
      <c r="K121">
        <f t="shared" si="31"/>
        <v>0</v>
      </c>
      <c r="L121" cm="1">
        <f t="array" ref="L121">IF(E121*J121=0,0,$C$21*INDEX([3]Sheet1!$C$4:$Q$23,MATCH(K121,[3]Sheet1!$B$4:$B$23,1),MATCH(D121,[3]Sheet1!$C$3:$Q$3,1))
+(K121-INDEX([3]Sheet1!$B$4:$B$23,MATCH(K121,[3]Sheet1!$B$4:$B$23,1),1))/(INDEX([3]Sheet1!$B$4:$B$23,MATCH(K121,[3]Sheet1!$B$4:$B$23,1)+1,1)-INDEX([3]Sheet1!$B$4:$B$23,
MATCH(K121,[3]Sheet1!$B$4:$B$23,1),1))*(INDEX([3]Sheet1!$C$4:$Q$23,MATCH(K121,[3]Sheet1!$B$4:$B$23,1)+1,MATCH(D121,[3]Sheet1!$C$3:$Q$3,1))-INDEX([3]Sheet1!$C$4:$Q$23,
MATCH(K121,[3]Sheet1!$B$4:$B$23,1),MATCH(D121,[3]Sheet1!$C$3:$Q$3,1)))
+(D121-INDEX([3]Sheet1!$C$3:$Q$3,1,MATCH(D121,[3]Sheet1!$C$3:$Q$3)))/(INDEX([3]Sheet1!$C$3:$Q$3,1,MATCH(D121,[3]Sheet1!$C$3:$Q$3)+1)-INDEX([3]Sheet1!$C$3:$Q$3,1,MATCH(
D121,[3]Sheet1!$C$3:$Q$3)))*(INDEX([3]Sheet1!$C$4:$Q$23,MATCH(K121,[3]Sheet1!$B$4:$B$23,1),MATCH(D121,[3]Sheet1!$C$3:$Q$3,1)+1)-INDEX([3]Sheet1!$C$4:$Q$23,MATCH(K121,[3]Sheet1!$B$4:$B$23,1),MATCH(D121,[3]Sheet1!$C$3:$Q$3,1))))</f>
        <v>0</v>
      </c>
      <c r="M121" cm="1">
        <f t="array" ref="M121" xml:space="preserve"> IF(E121*J121=0,0,(INDEX([2]Sheet1!$C$4:$Q$23,MATCH(K121,[2]Sheet1!$B$4:$B$23,1),MATCH(D121,[2]Sheet1!$C$3:$Q$3,1))
+ (K121 - INDEX([2]Sheet1!$B$4:$B$23,MATCH(K121,[2]Sheet1!$B$4:$B$23,1),1))/(INDEX([2]Sheet1!$B$4:$B$23,MATCH(K121,[2]Sheet1!$B$4:$B$23,1)+1,1) - INDEX([2]Sheet1!$B$4:$B$23,MATCH(K121,[2]Sheet1!$B$4:$B$23,1),1))*(INDEX([2]Sheet1!$C$4:$Q$23,MATCH(K121,[2]Sheet1!$B$4:$B$23,1)+1,MATCH(D121,[2]Sheet1!$C$3:$Q$3,1)) - INDEX([2]Sheet1!$C$4:$Q$23,MATCH(K121,[2]Sheet1!$B$4:$B$23,1),MATCH(D121,[2]Sheet1!$C$3:$Q$3,1)))
+ (D121 - INDEX([2]Sheet1!$C$3:$Q$3,1,MATCH(D121,[2]Sheet1!$C$3:$Q$3)))/(INDEX([2]Sheet1!$C$3:$Q$3,1,MATCH(D121,[2]Sheet1!$C$3:$Q$3)+1) - INDEX([2]Sheet1!$C$3:$Q$3,1,MATCH(D121,[2]Sheet1!$C$3:$Q$3)))*(
INDEX([2]Sheet1!$C$4:$Q$23,MATCH(K121,[2]Sheet1!$B$4:$B$23,1),MATCH(D121,[2]Sheet1!$C$3:$Q$3,1)+1) - INDEX([2]Sheet1!$C$4:$Q$23,MATCH(K121,[2]Sheet1!$B$4:$B$23,1),MATCH(D121,[2]Sheet1!$C$3:$Q$3,1)))))</f>
        <v>0</v>
      </c>
      <c r="N121">
        <f t="shared" si="44"/>
        <v>12</v>
      </c>
      <c r="O121">
        <v>8.4585356552185437E-2</v>
      </c>
      <c r="P121" t="e">
        <f t="shared" si="45"/>
        <v>#DIV/0!</v>
      </c>
      <c r="Q121">
        <f t="shared" si="32"/>
        <v>0</v>
      </c>
      <c r="R121">
        <f t="shared" si="46"/>
        <v>741.9099431943954</v>
      </c>
      <c r="T121" t="e">
        <f t="shared" si="35"/>
        <v>#DIV/0!</v>
      </c>
      <c r="U121" t="e">
        <f t="shared" si="36"/>
        <v>#DIV/0!</v>
      </c>
      <c r="V121">
        <f t="shared" si="37"/>
        <v>0</v>
      </c>
      <c r="W121" t="e">
        <f t="shared" si="33"/>
        <v>#DIV/0!</v>
      </c>
    </row>
    <row r="122" spans="1:23" x14ac:dyDescent="0.55000000000000004">
      <c r="A122">
        <f t="shared" si="34"/>
        <v>8.7999999999999847</v>
      </c>
      <c r="B122">
        <f t="shared" si="38"/>
        <v>0.316</v>
      </c>
      <c r="C122">
        <f t="shared" si="39"/>
        <v>-0.73913043478259954</v>
      </c>
      <c r="D122">
        <v>2.1006054483727388</v>
      </c>
      <c r="E122">
        <f t="shared" si="29"/>
        <v>0</v>
      </c>
      <c r="F122">
        <f t="shared" si="40"/>
        <v>4.8605058816845369E-2</v>
      </c>
      <c r="G122">
        <f t="shared" si="41"/>
        <v>39.513748498891111</v>
      </c>
      <c r="H122">
        <f t="shared" si="42"/>
        <v>0</v>
      </c>
      <c r="I122" s="1">
        <f t="shared" si="30"/>
        <v>0</v>
      </c>
      <c r="J122">
        <f t="shared" si="43"/>
        <v>0</v>
      </c>
      <c r="K122">
        <f t="shared" si="31"/>
        <v>0</v>
      </c>
      <c r="L122" cm="1">
        <f t="array" ref="L122">IF(E122*J122=0,0,$C$21*INDEX([3]Sheet1!$C$4:$Q$23,MATCH(K122,[3]Sheet1!$B$4:$B$23,1),MATCH(D122,[3]Sheet1!$C$3:$Q$3,1))
+(K122-INDEX([3]Sheet1!$B$4:$B$23,MATCH(K122,[3]Sheet1!$B$4:$B$23,1),1))/(INDEX([3]Sheet1!$B$4:$B$23,MATCH(K122,[3]Sheet1!$B$4:$B$23,1)+1,1)-INDEX([3]Sheet1!$B$4:$B$23,
MATCH(K122,[3]Sheet1!$B$4:$B$23,1),1))*(INDEX([3]Sheet1!$C$4:$Q$23,MATCH(K122,[3]Sheet1!$B$4:$B$23,1)+1,MATCH(D122,[3]Sheet1!$C$3:$Q$3,1))-INDEX([3]Sheet1!$C$4:$Q$23,
MATCH(K122,[3]Sheet1!$B$4:$B$23,1),MATCH(D122,[3]Sheet1!$C$3:$Q$3,1)))
+(D122-INDEX([3]Sheet1!$C$3:$Q$3,1,MATCH(D122,[3]Sheet1!$C$3:$Q$3)))/(INDEX([3]Sheet1!$C$3:$Q$3,1,MATCH(D122,[3]Sheet1!$C$3:$Q$3)+1)-INDEX([3]Sheet1!$C$3:$Q$3,1,MATCH(
D122,[3]Sheet1!$C$3:$Q$3)))*(INDEX([3]Sheet1!$C$4:$Q$23,MATCH(K122,[3]Sheet1!$B$4:$B$23,1),MATCH(D122,[3]Sheet1!$C$3:$Q$3,1)+1)-INDEX([3]Sheet1!$C$4:$Q$23,MATCH(K122,[3]Sheet1!$B$4:$B$23,1),MATCH(D122,[3]Sheet1!$C$3:$Q$3,1))))</f>
        <v>0</v>
      </c>
      <c r="M122" cm="1">
        <f t="array" ref="M122" xml:space="preserve"> IF(E122*J122=0,0,(INDEX([2]Sheet1!$C$4:$Q$23,MATCH(K122,[2]Sheet1!$B$4:$B$23,1),MATCH(D122,[2]Sheet1!$C$3:$Q$3,1))
+ (K122 - INDEX([2]Sheet1!$B$4:$B$23,MATCH(K122,[2]Sheet1!$B$4:$B$23,1),1))/(INDEX([2]Sheet1!$B$4:$B$23,MATCH(K122,[2]Sheet1!$B$4:$B$23,1)+1,1) - INDEX([2]Sheet1!$B$4:$B$23,MATCH(K122,[2]Sheet1!$B$4:$B$23,1),1))*(INDEX([2]Sheet1!$C$4:$Q$23,MATCH(K122,[2]Sheet1!$B$4:$B$23,1)+1,MATCH(D122,[2]Sheet1!$C$3:$Q$3,1)) - INDEX([2]Sheet1!$C$4:$Q$23,MATCH(K122,[2]Sheet1!$B$4:$B$23,1),MATCH(D122,[2]Sheet1!$C$3:$Q$3,1)))
+ (D122 - INDEX([2]Sheet1!$C$3:$Q$3,1,MATCH(D122,[2]Sheet1!$C$3:$Q$3)))/(INDEX([2]Sheet1!$C$3:$Q$3,1,MATCH(D122,[2]Sheet1!$C$3:$Q$3)+1) - INDEX([2]Sheet1!$C$3:$Q$3,1,MATCH(D122,[2]Sheet1!$C$3:$Q$3)))*(
INDEX([2]Sheet1!$C$4:$Q$23,MATCH(K122,[2]Sheet1!$B$4:$B$23,1),MATCH(D122,[2]Sheet1!$C$3:$Q$3,1)+1) - INDEX([2]Sheet1!$C$4:$Q$23,MATCH(K122,[2]Sheet1!$B$4:$B$23,1),MATCH(D122,[2]Sheet1!$C$3:$Q$3,1)))))</f>
        <v>0</v>
      </c>
      <c r="N122">
        <f t="shared" si="44"/>
        <v>12</v>
      </c>
      <c r="O122">
        <v>8.4401521460867365E-2</v>
      </c>
      <c r="P122" t="e">
        <f t="shared" si="45"/>
        <v>#DIV/0!</v>
      </c>
      <c r="Q122">
        <f t="shared" si="32"/>
        <v>0</v>
      </c>
      <c r="R122">
        <f t="shared" si="46"/>
        <v>741.9099431943954</v>
      </c>
      <c r="T122" t="e">
        <f t="shared" si="35"/>
        <v>#DIV/0!</v>
      </c>
      <c r="U122" t="e">
        <f t="shared" si="36"/>
        <v>#DIV/0!</v>
      </c>
      <c r="V122">
        <f t="shared" si="37"/>
        <v>0</v>
      </c>
      <c r="W122" t="e">
        <f t="shared" si="33"/>
        <v>#DIV/0!</v>
      </c>
    </row>
    <row r="123" spans="1:23" x14ac:dyDescent="0.55000000000000004">
      <c r="A123">
        <f t="shared" si="34"/>
        <v>8.8999999999999844</v>
      </c>
      <c r="B123">
        <f t="shared" si="38"/>
        <v>0.316</v>
      </c>
      <c r="C123">
        <f t="shared" si="39"/>
        <v>-0.80434782608694722</v>
      </c>
      <c r="D123">
        <v>2.0956813491069375</v>
      </c>
      <c r="E123">
        <f t="shared" si="29"/>
        <v>0</v>
      </c>
      <c r="F123">
        <f t="shared" si="40"/>
        <v>4.8605058816845369E-2</v>
      </c>
      <c r="G123">
        <f t="shared" si="41"/>
        <v>39.513748498891111</v>
      </c>
      <c r="H123">
        <f t="shared" si="42"/>
        <v>0</v>
      </c>
      <c r="I123" s="1">
        <f t="shared" si="30"/>
        <v>0</v>
      </c>
      <c r="J123">
        <f t="shared" si="43"/>
        <v>0</v>
      </c>
      <c r="K123">
        <f t="shared" si="31"/>
        <v>0</v>
      </c>
      <c r="L123" cm="1">
        <f t="array" ref="L123">IF(E123*J123=0,0,$C$21*INDEX([3]Sheet1!$C$4:$Q$23,MATCH(K123,[3]Sheet1!$B$4:$B$23,1),MATCH(D123,[3]Sheet1!$C$3:$Q$3,1))
+(K123-INDEX([3]Sheet1!$B$4:$B$23,MATCH(K123,[3]Sheet1!$B$4:$B$23,1),1))/(INDEX([3]Sheet1!$B$4:$B$23,MATCH(K123,[3]Sheet1!$B$4:$B$23,1)+1,1)-INDEX([3]Sheet1!$B$4:$B$23,
MATCH(K123,[3]Sheet1!$B$4:$B$23,1),1))*(INDEX([3]Sheet1!$C$4:$Q$23,MATCH(K123,[3]Sheet1!$B$4:$B$23,1)+1,MATCH(D123,[3]Sheet1!$C$3:$Q$3,1))-INDEX([3]Sheet1!$C$4:$Q$23,
MATCH(K123,[3]Sheet1!$B$4:$B$23,1),MATCH(D123,[3]Sheet1!$C$3:$Q$3,1)))
+(D123-INDEX([3]Sheet1!$C$3:$Q$3,1,MATCH(D123,[3]Sheet1!$C$3:$Q$3)))/(INDEX([3]Sheet1!$C$3:$Q$3,1,MATCH(D123,[3]Sheet1!$C$3:$Q$3)+1)-INDEX([3]Sheet1!$C$3:$Q$3,1,MATCH(
D123,[3]Sheet1!$C$3:$Q$3)))*(INDEX([3]Sheet1!$C$4:$Q$23,MATCH(K123,[3]Sheet1!$B$4:$B$23,1),MATCH(D123,[3]Sheet1!$C$3:$Q$3,1)+1)-INDEX([3]Sheet1!$C$4:$Q$23,MATCH(K123,[3]Sheet1!$B$4:$B$23,1),MATCH(D123,[3]Sheet1!$C$3:$Q$3,1))))</f>
        <v>0</v>
      </c>
      <c r="M123" cm="1">
        <f t="array" ref="M123" xml:space="preserve"> IF(E123*J123=0,0,(INDEX([2]Sheet1!$C$4:$Q$23,MATCH(K123,[2]Sheet1!$B$4:$B$23,1),MATCH(D123,[2]Sheet1!$C$3:$Q$3,1))
+ (K123 - INDEX([2]Sheet1!$B$4:$B$23,MATCH(K123,[2]Sheet1!$B$4:$B$23,1),1))/(INDEX([2]Sheet1!$B$4:$B$23,MATCH(K123,[2]Sheet1!$B$4:$B$23,1)+1,1) - INDEX([2]Sheet1!$B$4:$B$23,MATCH(K123,[2]Sheet1!$B$4:$B$23,1),1))*(INDEX([2]Sheet1!$C$4:$Q$23,MATCH(K123,[2]Sheet1!$B$4:$B$23,1)+1,MATCH(D123,[2]Sheet1!$C$3:$Q$3,1)) - INDEX([2]Sheet1!$C$4:$Q$23,MATCH(K123,[2]Sheet1!$B$4:$B$23,1),MATCH(D123,[2]Sheet1!$C$3:$Q$3,1)))
+ (D123 - INDEX([2]Sheet1!$C$3:$Q$3,1,MATCH(D123,[2]Sheet1!$C$3:$Q$3)))/(INDEX([2]Sheet1!$C$3:$Q$3,1,MATCH(D123,[2]Sheet1!$C$3:$Q$3)+1) - INDEX([2]Sheet1!$C$3:$Q$3,1,MATCH(D123,[2]Sheet1!$C$3:$Q$3)))*(
INDEX([2]Sheet1!$C$4:$Q$23,MATCH(K123,[2]Sheet1!$B$4:$B$23,1),MATCH(D123,[2]Sheet1!$C$3:$Q$3,1)+1) - INDEX([2]Sheet1!$C$4:$Q$23,MATCH(K123,[2]Sheet1!$B$4:$B$23,1),MATCH(D123,[2]Sheet1!$C$3:$Q$3,1)))))</f>
        <v>0</v>
      </c>
      <c r="N123">
        <f t="shared" si="44"/>
        <v>12</v>
      </c>
      <c r="O123">
        <v>8.4217313822903414E-2</v>
      </c>
      <c r="P123" t="e">
        <f t="shared" si="45"/>
        <v>#DIV/0!</v>
      </c>
      <c r="Q123">
        <f t="shared" si="32"/>
        <v>0</v>
      </c>
      <c r="R123">
        <f t="shared" si="46"/>
        <v>741.9099431943954</v>
      </c>
      <c r="T123" t="e">
        <f t="shared" si="35"/>
        <v>#DIV/0!</v>
      </c>
      <c r="U123" t="e">
        <f t="shared" si="36"/>
        <v>#DIV/0!</v>
      </c>
      <c r="V123">
        <f t="shared" si="37"/>
        <v>0</v>
      </c>
      <c r="W123" t="e">
        <f t="shared" si="33"/>
        <v>#DIV/0!</v>
      </c>
    </row>
    <row r="124" spans="1:23" x14ac:dyDescent="0.55000000000000004">
      <c r="A124">
        <f t="shared" si="34"/>
        <v>8.999999999999984</v>
      </c>
      <c r="B124">
        <f t="shared" si="38"/>
        <v>0.316</v>
      </c>
      <c r="C124">
        <f t="shared" si="39"/>
        <v>-0.869565217391294</v>
      </c>
      <c r="D124">
        <v>2.0907559096440416</v>
      </c>
      <c r="E124">
        <f t="shared" si="29"/>
        <v>0</v>
      </c>
      <c r="F124">
        <f t="shared" si="40"/>
        <v>4.8605058816845369E-2</v>
      </c>
      <c r="G124">
        <f t="shared" si="41"/>
        <v>39.513748498891111</v>
      </c>
      <c r="H124">
        <f t="shared" si="42"/>
        <v>0</v>
      </c>
      <c r="I124" s="1">
        <f t="shared" si="30"/>
        <v>0</v>
      </c>
      <c r="J124">
        <f t="shared" si="43"/>
        <v>0</v>
      </c>
      <c r="K124">
        <f t="shared" si="31"/>
        <v>0</v>
      </c>
      <c r="L124" cm="1">
        <f t="array" ref="L124">IF(E124*J124=0,0,$C$21*INDEX([3]Sheet1!$C$4:$Q$23,MATCH(K124,[3]Sheet1!$B$4:$B$23,1),MATCH(D124,[3]Sheet1!$C$3:$Q$3,1))
+(K124-INDEX([3]Sheet1!$B$4:$B$23,MATCH(K124,[3]Sheet1!$B$4:$B$23,1),1))/(INDEX([3]Sheet1!$B$4:$B$23,MATCH(K124,[3]Sheet1!$B$4:$B$23,1)+1,1)-INDEX([3]Sheet1!$B$4:$B$23,
MATCH(K124,[3]Sheet1!$B$4:$B$23,1),1))*(INDEX([3]Sheet1!$C$4:$Q$23,MATCH(K124,[3]Sheet1!$B$4:$B$23,1)+1,MATCH(D124,[3]Sheet1!$C$3:$Q$3,1))-INDEX([3]Sheet1!$C$4:$Q$23,
MATCH(K124,[3]Sheet1!$B$4:$B$23,1),MATCH(D124,[3]Sheet1!$C$3:$Q$3,1)))
+(D124-INDEX([3]Sheet1!$C$3:$Q$3,1,MATCH(D124,[3]Sheet1!$C$3:$Q$3)))/(INDEX([3]Sheet1!$C$3:$Q$3,1,MATCH(D124,[3]Sheet1!$C$3:$Q$3)+1)-INDEX([3]Sheet1!$C$3:$Q$3,1,MATCH(
D124,[3]Sheet1!$C$3:$Q$3)))*(INDEX([3]Sheet1!$C$4:$Q$23,MATCH(K124,[3]Sheet1!$B$4:$B$23,1),MATCH(D124,[3]Sheet1!$C$3:$Q$3,1)+1)-INDEX([3]Sheet1!$C$4:$Q$23,MATCH(K124,[3]Sheet1!$B$4:$B$23,1),MATCH(D124,[3]Sheet1!$C$3:$Q$3,1))))</f>
        <v>0</v>
      </c>
      <c r="M124" cm="1">
        <f t="array" ref="M124" xml:space="preserve"> IF(E124*J124=0,0,(INDEX([2]Sheet1!$C$4:$Q$23,MATCH(K124,[2]Sheet1!$B$4:$B$23,1),MATCH(D124,[2]Sheet1!$C$3:$Q$3,1))
+ (K124 - INDEX([2]Sheet1!$B$4:$B$23,MATCH(K124,[2]Sheet1!$B$4:$B$23,1),1))/(INDEX([2]Sheet1!$B$4:$B$23,MATCH(K124,[2]Sheet1!$B$4:$B$23,1)+1,1) - INDEX([2]Sheet1!$B$4:$B$23,MATCH(K124,[2]Sheet1!$B$4:$B$23,1),1))*(INDEX([2]Sheet1!$C$4:$Q$23,MATCH(K124,[2]Sheet1!$B$4:$B$23,1)+1,MATCH(D124,[2]Sheet1!$C$3:$Q$3,1)) - INDEX([2]Sheet1!$C$4:$Q$23,MATCH(K124,[2]Sheet1!$B$4:$B$23,1),MATCH(D124,[2]Sheet1!$C$3:$Q$3,1)))
+ (D124 - INDEX([2]Sheet1!$C$3:$Q$3,1,MATCH(D124,[2]Sheet1!$C$3:$Q$3)))/(INDEX([2]Sheet1!$C$3:$Q$3,1,MATCH(D124,[2]Sheet1!$C$3:$Q$3)+1) - INDEX([2]Sheet1!$C$3:$Q$3,1,MATCH(D124,[2]Sheet1!$C$3:$Q$3)))*(
INDEX([2]Sheet1!$C$4:$Q$23,MATCH(K124,[2]Sheet1!$B$4:$B$23,1),MATCH(D124,[2]Sheet1!$C$3:$Q$3,1)+1) - INDEX([2]Sheet1!$C$4:$Q$23,MATCH(K124,[2]Sheet1!$B$4:$B$23,1),MATCH(D124,[2]Sheet1!$C$3:$Q$3,1)))))</f>
        <v>0</v>
      </c>
      <c r="N124">
        <f t="shared" si="44"/>
        <v>12</v>
      </c>
      <c r="O124">
        <v>8.403273362943009E-2</v>
      </c>
      <c r="P124" t="e">
        <f t="shared" si="45"/>
        <v>#DIV/0!</v>
      </c>
      <c r="Q124">
        <f t="shared" si="32"/>
        <v>0</v>
      </c>
      <c r="R124">
        <f t="shared" si="46"/>
        <v>741.9099431943954</v>
      </c>
      <c r="T124" t="e">
        <f t="shared" si="35"/>
        <v>#DIV/0!</v>
      </c>
      <c r="U124" t="e">
        <f t="shared" si="36"/>
        <v>#DIV/0!</v>
      </c>
      <c r="V124">
        <f t="shared" si="37"/>
        <v>0</v>
      </c>
      <c r="W124" t="e">
        <f t="shared" si="33"/>
        <v>#DIV/0!</v>
      </c>
    </row>
    <row r="125" spans="1:23" x14ac:dyDescent="0.55000000000000004">
      <c r="A125">
        <f t="shared" si="34"/>
        <v>9.0999999999999837</v>
      </c>
      <c r="B125">
        <f t="shared" si="38"/>
        <v>0.316</v>
      </c>
      <c r="C125">
        <f t="shared" si="39"/>
        <v>-0.93478260869564167</v>
      </c>
      <c r="D125">
        <v>2.0858289897704592</v>
      </c>
      <c r="E125">
        <f t="shared" si="29"/>
        <v>0</v>
      </c>
      <c r="F125">
        <f t="shared" si="40"/>
        <v>4.8605058816845369E-2</v>
      </c>
      <c r="G125">
        <f t="shared" si="41"/>
        <v>39.513748498891111</v>
      </c>
      <c r="H125">
        <f t="shared" si="42"/>
        <v>0</v>
      </c>
      <c r="I125" s="1">
        <f t="shared" si="30"/>
        <v>0</v>
      </c>
      <c r="J125">
        <f t="shared" si="43"/>
        <v>0</v>
      </c>
      <c r="K125">
        <f t="shared" si="31"/>
        <v>0</v>
      </c>
      <c r="L125" cm="1">
        <f t="array" ref="L125">IF(E125*J125=0,0,$C$21*INDEX([3]Sheet1!$C$4:$Q$23,MATCH(K125,[3]Sheet1!$B$4:$B$23,1),MATCH(D125,[3]Sheet1!$C$3:$Q$3,1))
+(K125-INDEX([3]Sheet1!$B$4:$B$23,MATCH(K125,[3]Sheet1!$B$4:$B$23,1),1))/(INDEX([3]Sheet1!$B$4:$B$23,MATCH(K125,[3]Sheet1!$B$4:$B$23,1)+1,1)-INDEX([3]Sheet1!$B$4:$B$23,
MATCH(K125,[3]Sheet1!$B$4:$B$23,1),1))*(INDEX([3]Sheet1!$C$4:$Q$23,MATCH(K125,[3]Sheet1!$B$4:$B$23,1)+1,MATCH(D125,[3]Sheet1!$C$3:$Q$3,1))-INDEX([3]Sheet1!$C$4:$Q$23,
MATCH(K125,[3]Sheet1!$B$4:$B$23,1),MATCH(D125,[3]Sheet1!$C$3:$Q$3,1)))
+(D125-INDEX([3]Sheet1!$C$3:$Q$3,1,MATCH(D125,[3]Sheet1!$C$3:$Q$3)))/(INDEX([3]Sheet1!$C$3:$Q$3,1,MATCH(D125,[3]Sheet1!$C$3:$Q$3)+1)-INDEX([3]Sheet1!$C$3:$Q$3,1,MATCH(
D125,[3]Sheet1!$C$3:$Q$3)))*(INDEX([3]Sheet1!$C$4:$Q$23,MATCH(K125,[3]Sheet1!$B$4:$B$23,1),MATCH(D125,[3]Sheet1!$C$3:$Q$3,1)+1)-INDEX([3]Sheet1!$C$4:$Q$23,MATCH(K125,[3]Sheet1!$B$4:$B$23,1),MATCH(D125,[3]Sheet1!$C$3:$Q$3,1))))</f>
        <v>0</v>
      </c>
      <c r="M125" cm="1">
        <f t="array" ref="M125" xml:space="preserve"> IF(E125*J125=0,0,(INDEX([2]Sheet1!$C$4:$Q$23,MATCH(K125,[2]Sheet1!$B$4:$B$23,1),MATCH(D125,[2]Sheet1!$C$3:$Q$3,1))
+ (K125 - INDEX([2]Sheet1!$B$4:$B$23,MATCH(K125,[2]Sheet1!$B$4:$B$23,1),1))/(INDEX([2]Sheet1!$B$4:$B$23,MATCH(K125,[2]Sheet1!$B$4:$B$23,1)+1,1) - INDEX([2]Sheet1!$B$4:$B$23,MATCH(K125,[2]Sheet1!$B$4:$B$23,1),1))*(INDEX([2]Sheet1!$C$4:$Q$23,MATCH(K125,[2]Sheet1!$B$4:$B$23,1)+1,MATCH(D125,[2]Sheet1!$C$3:$Q$3,1)) - INDEX([2]Sheet1!$C$4:$Q$23,MATCH(K125,[2]Sheet1!$B$4:$B$23,1),MATCH(D125,[2]Sheet1!$C$3:$Q$3,1)))
+ (D125 - INDEX([2]Sheet1!$C$3:$Q$3,1,MATCH(D125,[2]Sheet1!$C$3:$Q$3)))/(INDEX([2]Sheet1!$C$3:$Q$3,1,MATCH(D125,[2]Sheet1!$C$3:$Q$3)+1) - INDEX([2]Sheet1!$C$3:$Q$3,1,MATCH(D125,[2]Sheet1!$C$3:$Q$3)))*(
INDEX([2]Sheet1!$C$4:$Q$23,MATCH(K125,[2]Sheet1!$B$4:$B$23,1),MATCH(D125,[2]Sheet1!$C$3:$Q$3,1)+1) - INDEX([2]Sheet1!$C$4:$Q$23,MATCH(K125,[2]Sheet1!$B$4:$B$23,1),MATCH(D125,[2]Sheet1!$C$3:$Q$3,1)))))</f>
        <v>0</v>
      </c>
      <c r="N125">
        <f t="shared" si="44"/>
        <v>12</v>
      </c>
      <c r="O125">
        <v>8.3847780884745302E-2</v>
      </c>
      <c r="P125" t="e">
        <f t="shared" si="45"/>
        <v>#DIV/0!</v>
      </c>
      <c r="Q125">
        <f t="shared" si="32"/>
        <v>0</v>
      </c>
      <c r="R125">
        <f t="shared" si="46"/>
        <v>741.9099431943954</v>
      </c>
      <c r="T125" t="e">
        <f t="shared" si="35"/>
        <v>#DIV/0!</v>
      </c>
      <c r="U125" t="e">
        <f t="shared" si="36"/>
        <v>#DIV/0!</v>
      </c>
      <c r="V125">
        <f t="shared" si="37"/>
        <v>0</v>
      </c>
      <c r="W125" t="e">
        <f t="shared" si="33"/>
        <v>#DIV/0!</v>
      </c>
    </row>
    <row r="126" spans="1:23" x14ac:dyDescent="0.55000000000000004">
      <c r="A126">
        <f t="shared" si="34"/>
        <v>9.1999999999999833</v>
      </c>
      <c r="B126">
        <f t="shared" si="38"/>
        <v>0.316</v>
      </c>
      <c r="C126">
        <f t="shared" si="39"/>
        <v>-0.99999999999999023</v>
      </c>
      <c r="D126">
        <v>2.080900451895241</v>
      </c>
      <c r="E126">
        <f t="shared" si="29"/>
        <v>0</v>
      </c>
      <c r="F126">
        <f t="shared" si="40"/>
        <v>4.8605058816845369E-2</v>
      </c>
      <c r="G126">
        <f t="shared" si="41"/>
        <v>39.513748498891111</v>
      </c>
      <c r="H126">
        <f t="shared" si="42"/>
        <v>0</v>
      </c>
      <c r="I126" s="1">
        <f t="shared" si="30"/>
        <v>0</v>
      </c>
      <c r="J126">
        <f t="shared" si="43"/>
        <v>0</v>
      </c>
      <c r="K126">
        <f t="shared" si="31"/>
        <v>0</v>
      </c>
      <c r="L126" cm="1">
        <f t="array" ref="L126">IF(E126*J126=0,0,$C$21*INDEX([3]Sheet1!$C$4:$Q$23,MATCH(K126,[3]Sheet1!$B$4:$B$23,1),MATCH(D126,[3]Sheet1!$C$3:$Q$3,1))
+(K126-INDEX([3]Sheet1!$B$4:$B$23,MATCH(K126,[3]Sheet1!$B$4:$B$23,1),1))/(INDEX([3]Sheet1!$B$4:$B$23,MATCH(K126,[3]Sheet1!$B$4:$B$23,1)+1,1)-INDEX([3]Sheet1!$B$4:$B$23,
MATCH(K126,[3]Sheet1!$B$4:$B$23,1),1))*(INDEX([3]Sheet1!$C$4:$Q$23,MATCH(K126,[3]Sheet1!$B$4:$B$23,1)+1,MATCH(D126,[3]Sheet1!$C$3:$Q$3,1))-INDEX([3]Sheet1!$C$4:$Q$23,
MATCH(K126,[3]Sheet1!$B$4:$B$23,1),MATCH(D126,[3]Sheet1!$C$3:$Q$3,1)))
+(D126-INDEX([3]Sheet1!$C$3:$Q$3,1,MATCH(D126,[3]Sheet1!$C$3:$Q$3)))/(INDEX([3]Sheet1!$C$3:$Q$3,1,MATCH(D126,[3]Sheet1!$C$3:$Q$3)+1)-INDEX([3]Sheet1!$C$3:$Q$3,1,MATCH(
D126,[3]Sheet1!$C$3:$Q$3)))*(INDEX([3]Sheet1!$C$4:$Q$23,MATCH(K126,[3]Sheet1!$B$4:$B$23,1),MATCH(D126,[3]Sheet1!$C$3:$Q$3,1)+1)-INDEX([3]Sheet1!$C$4:$Q$23,MATCH(K126,[3]Sheet1!$B$4:$B$23,1),MATCH(D126,[3]Sheet1!$C$3:$Q$3,1))))</f>
        <v>0</v>
      </c>
      <c r="M126" cm="1">
        <f t="array" ref="M126" xml:space="preserve"> IF(E126*J126=0,0,(INDEX([2]Sheet1!$C$4:$Q$23,MATCH(K126,[2]Sheet1!$B$4:$B$23,1),MATCH(D126,[2]Sheet1!$C$3:$Q$3,1))
+ (K126 - INDEX([2]Sheet1!$B$4:$B$23,MATCH(K126,[2]Sheet1!$B$4:$B$23,1),1))/(INDEX([2]Sheet1!$B$4:$B$23,MATCH(K126,[2]Sheet1!$B$4:$B$23,1)+1,1) - INDEX([2]Sheet1!$B$4:$B$23,MATCH(K126,[2]Sheet1!$B$4:$B$23,1),1))*(INDEX([2]Sheet1!$C$4:$Q$23,MATCH(K126,[2]Sheet1!$B$4:$B$23,1)+1,MATCH(D126,[2]Sheet1!$C$3:$Q$3,1)) - INDEX([2]Sheet1!$C$4:$Q$23,MATCH(K126,[2]Sheet1!$B$4:$B$23,1),MATCH(D126,[2]Sheet1!$C$3:$Q$3,1)))
+ (D126 - INDEX([2]Sheet1!$C$3:$Q$3,1,MATCH(D126,[2]Sheet1!$C$3:$Q$3)))/(INDEX([2]Sheet1!$C$3:$Q$3,1,MATCH(D126,[2]Sheet1!$C$3:$Q$3)+1) - INDEX([2]Sheet1!$C$3:$Q$3,1,MATCH(D126,[2]Sheet1!$C$3:$Q$3)))*(
INDEX([2]Sheet1!$C$4:$Q$23,MATCH(K126,[2]Sheet1!$B$4:$B$23,1),MATCH(D126,[2]Sheet1!$C$3:$Q$3,1)+1) - INDEX([2]Sheet1!$C$4:$Q$23,MATCH(K126,[2]Sheet1!$B$4:$B$23,1),MATCH(D126,[2]Sheet1!$C$3:$Q$3,1)))))</f>
        <v>0</v>
      </c>
      <c r="N126">
        <f t="shared" si="44"/>
        <v>12</v>
      </c>
      <c r="O126">
        <v>8.3662455608573841E-2</v>
      </c>
      <c r="P126" t="e">
        <f t="shared" si="45"/>
        <v>#DIV/0!</v>
      </c>
      <c r="Q126">
        <f t="shared" si="32"/>
        <v>0</v>
      </c>
      <c r="R126">
        <f t="shared" si="46"/>
        <v>741.9099431943954</v>
      </c>
      <c r="T126" t="e">
        <f t="shared" si="35"/>
        <v>#DIV/0!</v>
      </c>
      <c r="U126" t="e">
        <f t="shared" si="36"/>
        <v>#DIV/0!</v>
      </c>
      <c r="V126">
        <f t="shared" si="37"/>
        <v>0</v>
      </c>
      <c r="W126" t="e">
        <f t="shared" si="33"/>
        <v>#DIV/0!</v>
      </c>
    </row>
    <row r="127" spans="1:23" x14ac:dyDescent="0.55000000000000004">
      <c r="A127">
        <f t="shared" si="34"/>
        <v>9.2999999999999829</v>
      </c>
      <c r="B127">
        <f t="shared" si="38"/>
        <v>0.316</v>
      </c>
      <c r="C127">
        <f t="shared" si="39"/>
        <v>-1.065217391304337</v>
      </c>
      <c r="D127">
        <v>2.0759701609401056</v>
      </c>
      <c r="E127">
        <f t="shared" si="29"/>
        <v>0</v>
      </c>
      <c r="F127">
        <f t="shared" si="40"/>
        <v>4.8605058816845369E-2</v>
      </c>
      <c r="G127">
        <f t="shared" si="41"/>
        <v>39.513748498891111</v>
      </c>
      <c r="H127">
        <f t="shared" si="42"/>
        <v>0</v>
      </c>
      <c r="I127" s="1">
        <f t="shared" si="30"/>
        <v>0</v>
      </c>
      <c r="J127">
        <f t="shared" si="43"/>
        <v>0</v>
      </c>
      <c r="K127">
        <f t="shared" si="31"/>
        <v>0</v>
      </c>
      <c r="L127" cm="1">
        <f t="array" ref="L127">IF(E127*J127=0,0,$C$21*INDEX([3]Sheet1!$C$4:$Q$23,MATCH(K127,[3]Sheet1!$B$4:$B$23,1),MATCH(D127,[3]Sheet1!$C$3:$Q$3,1))
+(K127-INDEX([3]Sheet1!$B$4:$B$23,MATCH(K127,[3]Sheet1!$B$4:$B$23,1),1))/(INDEX([3]Sheet1!$B$4:$B$23,MATCH(K127,[3]Sheet1!$B$4:$B$23,1)+1,1)-INDEX([3]Sheet1!$B$4:$B$23,
MATCH(K127,[3]Sheet1!$B$4:$B$23,1),1))*(INDEX([3]Sheet1!$C$4:$Q$23,MATCH(K127,[3]Sheet1!$B$4:$B$23,1)+1,MATCH(D127,[3]Sheet1!$C$3:$Q$3,1))-INDEX([3]Sheet1!$C$4:$Q$23,
MATCH(K127,[3]Sheet1!$B$4:$B$23,1),MATCH(D127,[3]Sheet1!$C$3:$Q$3,1)))
+(D127-INDEX([3]Sheet1!$C$3:$Q$3,1,MATCH(D127,[3]Sheet1!$C$3:$Q$3)))/(INDEX([3]Sheet1!$C$3:$Q$3,1,MATCH(D127,[3]Sheet1!$C$3:$Q$3)+1)-INDEX([3]Sheet1!$C$3:$Q$3,1,MATCH(
D127,[3]Sheet1!$C$3:$Q$3)))*(INDEX([3]Sheet1!$C$4:$Q$23,MATCH(K127,[3]Sheet1!$B$4:$B$23,1),MATCH(D127,[3]Sheet1!$C$3:$Q$3,1)+1)-INDEX([3]Sheet1!$C$4:$Q$23,MATCH(K127,[3]Sheet1!$B$4:$B$23,1),MATCH(D127,[3]Sheet1!$C$3:$Q$3,1))))</f>
        <v>0</v>
      </c>
      <c r="M127" cm="1">
        <f t="array" ref="M127" xml:space="preserve"> IF(E127*J127=0,0,(INDEX([2]Sheet1!$C$4:$Q$23,MATCH(K127,[2]Sheet1!$B$4:$B$23,1),MATCH(D127,[2]Sheet1!$C$3:$Q$3,1))
+ (K127 - INDEX([2]Sheet1!$B$4:$B$23,MATCH(K127,[2]Sheet1!$B$4:$B$23,1),1))/(INDEX([2]Sheet1!$B$4:$B$23,MATCH(K127,[2]Sheet1!$B$4:$B$23,1)+1,1) - INDEX([2]Sheet1!$B$4:$B$23,MATCH(K127,[2]Sheet1!$B$4:$B$23,1),1))*(INDEX([2]Sheet1!$C$4:$Q$23,MATCH(K127,[2]Sheet1!$B$4:$B$23,1)+1,MATCH(D127,[2]Sheet1!$C$3:$Q$3,1)) - INDEX([2]Sheet1!$C$4:$Q$23,MATCH(K127,[2]Sheet1!$B$4:$B$23,1),MATCH(D127,[2]Sheet1!$C$3:$Q$3,1)))
+ (D127 - INDEX([2]Sheet1!$C$3:$Q$3,1,MATCH(D127,[2]Sheet1!$C$3:$Q$3)))/(INDEX([2]Sheet1!$C$3:$Q$3,1,MATCH(D127,[2]Sheet1!$C$3:$Q$3)+1) - INDEX([2]Sheet1!$C$3:$Q$3,1,MATCH(D127,[2]Sheet1!$C$3:$Q$3)))*(
INDEX([2]Sheet1!$C$4:$Q$23,MATCH(K127,[2]Sheet1!$B$4:$B$23,1),MATCH(D127,[2]Sheet1!$C$3:$Q$3,1)+1) - INDEX([2]Sheet1!$C$4:$Q$23,MATCH(K127,[2]Sheet1!$B$4:$B$23,1),MATCH(D127,[2]Sheet1!$C$3:$Q$3,1)))))</f>
        <v>0</v>
      </c>
      <c r="N127">
        <f t="shared" si="44"/>
        <v>12</v>
      </c>
      <c r="O127">
        <v>8.347675783842938E-2</v>
      </c>
      <c r="P127" t="e">
        <f t="shared" si="45"/>
        <v>#DIV/0!</v>
      </c>
      <c r="Q127">
        <f t="shared" si="32"/>
        <v>0</v>
      </c>
      <c r="R127">
        <f t="shared" si="46"/>
        <v>741.9099431943954</v>
      </c>
      <c r="T127" t="e">
        <f t="shared" si="35"/>
        <v>#DIV/0!</v>
      </c>
      <c r="U127" t="e">
        <f t="shared" si="36"/>
        <v>#DIV/0!</v>
      </c>
      <c r="V127">
        <f t="shared" si="37"/>
        <v>0</v>
      </c>
      <c r="W127" t="e">
        <f t="shared" si="33"/>
        <v>#DIV/0!</v>
      </c>
    </row>
    <row r="128" spans="1:23" x14ac:dyDescent="0.55000000000000004">
      <c r="A128">
        <f t="shared" si="34"/>
        <v>9.3999999999999826</v>
      </c>
      <c r="B128">
        <f t="shared" si="38"/>
        <v>0.316</v>
      </c>
      <c r="C128">
        <f t="shared" si="39"/>
        <v>-1.1304347826086847</v>
      </c>
      <c r="D128">
        <v>2.0710379842343269</v>
      </c>
      <c r="E128">
        <f t="shared" si="29"/>
        <v>0</v>
      </c>
      <c r="F128">
        <f t="shared" si="40"/>
        <v>4.8605058816845369E-2</v>
      </c>
      <c r="G128">
        <f t="shared" si="41"/>
        <v>39.513748498891111</v>
      </c>
      <c r="H128">
        <f t="shared" si="42"/>
        <v>0</v>
      </c>
      <c r="I128" s="1">
        <f t="shared" si="30"/>
        <v>0</v>
      </c>
      <c r="J128">
        <f t="shared" si="43"/>
        <v>0</v>
      </c>
      <c r="K128">
        <f t="shared" si="31"/>
        <v>0</v>
      </c>
      <c r="L128" cm="1">
        <f t="array" ref="L128">IF(E128*J128=0,0,$C$21*INDEX([3]Sheet1!$C$4:$Q$23,MATCH(K128,[3]Sheet1!$B$4:$B$23,1),MATCH(D128,[3]Sheet1!$C$3:$Q$3,1))
+(K128-INDEX([3]Sheet1!$B$4:$B$23,MATCH(K128,[3]Sheet1!$B$4:$B$23,1),1))/(INDEX([3]Sheet1!$B$4:$B$23,MATCH(K128,[3]Sheet1!$B$4:$B$23,1)+1,1)-INDEX([3]Sheet1!$B$4:$B$23,
MATCH(K128,[3]Sheet1!$B$4:$B$23,1),1))*(INDEX([3]Sheet1!$C$4:$Q$23,MATCH(K128,[3]Sheet1!$B$4:$B$23,1)+1,MATCH(D128,[3]Sheet1!$C$3:$Q$3,1))-INDEX([3]Sheet1!$C$4:$Q$23,
MATCH(K128,[3]Sheet1!$B$4:$B$23,1),MATCH(D128,[3]Sheet1!$C$3:$Q$3,1)))
+(D128-INDEX([3]Sheet1!$C$3:$Q$3,1,MATCH(D128,[3]Sheet1!$C$3:$Q$3)))/(INDEX([3]Sheet1!$C$3:$Q$3,1,MATCH(D128,[3]Sheet1!$C$3:$Q$3)+1)-INDEX([3]Sheet1!$C$3:$Q$3,1,MATCH(
D128,[3]Sheet1!$C$3:$Q$3)))*(INDEX([3]Sheet1!$C$4:$Q$23,MATCH(K128,[3]Sheet1!$B$4:$B$23,1),MATCH(D128,[3]Sheet1!$C$3:$Q$3,1)+1)-INDEX([3]Sheet1!$C$4:$Q$23,MATCH(K128,[3]Sheet1!$B$4:$B$23,1),MATCH(D128,[3]Sheet1!$C$3:$Q$3,1))))</f>
        <v>0</v>
      </c>
      <c r="M128" cm="1">
        <f t="array" ref="M128" xml:space="preserve"> IF(E128*J128=0,0,(INDEX([2]Sheet1!$C$4:$Q$23,MATCH(K128,[2]Sheet1!$B$4:$B$23,1),MATCH(D128,[2]Sheet1!$C$3:$Q$3,1))
+ (K128 - INDEX([2]Sheet1!$B$4:$B$23,MATCH(K128,[2]Sheet1!$B$4:$B$23,1),1))/(INDEX([2]Sheet1!$B$4:$B$23,MATCH(K128,[2]Sheet1!$B$4:$B$23,1)+1,1) - INDEX([2]Sheet1!$B$4:$B$23,MATCH(K128,[2]Sheet1!$B$4:$B$23,1),1))*(INDEX([2]Sheet1!$C$4:$Q$23,MATCH(K128,[2]Sheet1!$B$4:$B$23,1)+1,MATCH(D128,[2]Sheet1!$C$3:$Q$3,1)) - INDEX([2]Sheet1!$C$4:$Q$23,MATCH(K128,[2]Sheet1!$B$4:$B$23,1),MATCH(D128,[2]Sheet1!$C$3:$Q$3,1)))
+ (D128 - INDEX([2]Sheet1!$C$3:$Q$3,1,MATCH(D128,[2]Sheet1!$C$3:$Q$3)))/(INDEX([2]Sheet1!$C$3:$Q$3,1,MATCH(D128,[2]Sheet1!$C$3:$Q$3)+1) - INDEX([2]Sheet1!$C$3:$Q$3,1,MATCH(D128,[2]Sheet1!$C$3:$Q$3)))*(
INDEX([2]Sheet1!$C$4:$Q$23,MATCH(K128,[2]Sheet1!$B$4:$B$23,1),MATCH(D128,[2]Sheet1!$C$3:$Q$3,1)+1) - INDEX([2]Sheet1!$C$4:$Q$23,MATCH(K128,[2]Sheet1!$B$4:$B$23,1),MATCH(D128,[2]Sheet1!$C$3:$Q$3,1)))))</f>
        <v>0</v>
      </c>
      <c r="N128">
        <f t="shared" si="44"/>
        <v>12</v>
      </c>
      <c r="O128">
        <v>8.3290687632080737E-2</v>
      </c>
      <c r="P128" t="e">
        <f t="shared" si="45"/>
        <v>#DIV/0!</v>
      </c>
      <c r="Q128">
        <f t="shared" si="32"/>
        <v>0</v>
      </c>
      <c r="R128">
        <f t="shared" si="46"/>
        <v>741.9099431943954</v>
      </c>
      <c r="T128" t="e">
        <f t="shared" si="35"/>
        <v>#DIV/0!</v>
      </c>
      <c r="U128" t="e">
        <f t="shared" si="36"/>
        <v>#DIV/0!</v>
      </c>
      <c r="V128">
        <f t="shared" si="37"/>
        <v>0</v>
      </c>
      <c r="W128" t="e">
        <f t="shared" si="33"/>
        <v>#DIV/0!</v>
      </c>
    </row>
    <row r="129" spans="1:23" x14ac:dyDescent="0.55000000000000004">
      <c r="A129">
        <f t="shared" si="34"/>
        <v>9.4999999999999822</v>
      </c>
      <c r="B129">
        <f t="shared" si="38"/>
        <v>0.316</v>
      </c>
      <c r="C129">
        <f t="shared" si="39"/>
        <v>-1.1956521739130324</v>
      </c>
      <c r="D129">
        <v>2.0661037914142018</v>
      </c>
      <c r="E129">
        <f t="shared" si="29"/>
        <v>0</v>
      </c>
      <c r="F129">
        <f t="shared" si="40"/>
        <v>4.8605058816845369E-2</v>
      </c>
      <c r="G129">
        <f t="shared" si="41"/>
        <v>39.513748498891111</v>
      </c>
      <c r="H129">
        <f t="shared" si="42"/>
        <v>0</v>
      </c>
      <c r="I129" s="1">
        <f t="shared" si="30"/>
        <v>0</v>
      </c>
      <c r="J129">
        <f t="shared" si="43"/>
        <v>0</v>
      </c>
      <c r="K129">
        <f t="shared" si="31"/>
        <v>0</v>
      </c>
      <c r="L129" cm="1">
        <f t="array" ref="L129">IF(E129*J129=0,0,$C$21*INDEX([3]Sheet1!$C$4:$Q$23,MATCH(K129,[3]Sheet1!$B$4:$B$23,1),MATCH(D129,[3]Sheet1!$C$3:$Q$3,1))
+(K129-INDEX([3]Sheet1!$B$4:$B$23,MATCH(K129,[3]Sheet1!$B$4:$B$23,1),1))/(INDEX([3]Sheet1!$B$4:$B$23,MATCH(K129,[3]Sheet1!$B$4:$B$23,1)+1,1)-INDEX([3]Sheet1!$B$4:$B$23,
MATCH(K129,[3]Sheet1!$B$4:$B$23,1),1))*(INDEX([3]Sheet1!$C$4:$Q$23,MATCH(K129,[3]Sheet1!$B$4:$B$23,1)+1,MATCH(D129,[3]Sheet1!$C$3:$Q$3,1))-INDEX([3]Sheet1!$C$4:$Q$23,
MATCH(K129,[3]Sheet1!$B$4:$B$23,1),MATCH(D129,[3]Sheet1!$C$3:$Q$3,1)))
+(D129-INDEX([3]Sheet1!$C$3:$Q$3,1,MATCH(D129,[3]Sheet1!$C$3:$Q$3)))/(INDEX([3]Sheet1!$C$3:$Q$3,1,MATCH(D129,[3]Sheet1!$C$3:$Q$3)+1)-INDEX([3]Sheet1!$C$3:$Q$3,1,MATCH(
D129,[3]Sheet1!$C$3:$Q$3)))*(INDEX([3]Sheet1!$C$4:$Q$23,MATCH(K129,[3]Sheet1!$B$4:$B$23,1),MATCH(D129,[3]Sheet1!$C$3:$Q$3,1)+1)-INDEX([3]Sheet1!$C$4:$Q$23,MATCH(K129,[3]Sheet1!$B$4:$B$23,1),MATCH(D129,[3]Sheet1!$C$3:$Q$3,1))))</f>
        <v>0</v>
      </c>
      <c r="M129" cm="1">
        <f t="array" ref="M129" xml:space="preserve"> IF(E129*J129=0,0,(INDEX([2]Sheet1!$C$4:$Q$23,MATCH(K129,[2]Sheet1!$B$4:$B$23,1),MATCH(D129,[2]Sheet1!$C$3:$Q$3,1))
+ (K129 - INDEX([2]Sheet1!$B$4:$B$23,MATCH(K129,[2]Sheet1!$B$4:$B$23,1),1))/(INDEX([2]Sheet1!$B$4:$B$23,MATCH(K129,[2]Sheet1!$B$4:$B$23,1)+1,1) - INDEX([2]Sheet1!$B$4:$B$23,MATCH(K129,[2]Sheet1!$B$4:$B$23,1),1))*(INDEX([2]Sheet1!$C$4:$Q$23,MATCH(K129,[2]Sheet1!$B$4:$B$23,1)+1,MATCH(D129,[2]Sheet1!$C$3:$Q$3,1)) - INDEX([2]Sheet1!$C$4:$Q$23,MATCH(K129,[2]Sheet1!$B$4:$B$23,1),MATCH(D129,[2]Sheet1!$C$3:$Q$3,1)))
+ (D129 - INDEX([2]Sheet1!$C$3:$Q$3,1,MATCH(D129,[2]Sheet1!$C$3:$Q$3)))/(INDEX([2]Sheet1!$C$3:$Q$3,1,MATCH(D129,[2]Sheet1!$C$3:$Q$3)+1) - INDEX([2]Sheet1!$C$3:$Q$3,1,MATCH(D129,[2]Sheet1!$C$3:$Q$3)))*(
INDEX([2]Sheet1!$C$4:$Q$23,MATCH(K129,[2]Sheet1!$B$4:$B$23,1),MATCH(D129,[2]Sheet1!$C$3:$Q$3,1)+1) - INDEX([2]Sheet1!$C$4:$Q$23,MATCH(K129,[2]Sheet1!$B$4:$B$23,1),MATCH(D129,[2]Sheet1!$C$3:$Q$3,1)))))</f>
        <v>0</v>
      </c>
      <c r="N129">
        <f t="shared" si="44"/>
        <v>12</v>
      </c>
      <c r="O129">
        <v>8.3104245070125579E-2</v>
      </c>
      <c r="P129" t="e">
        <f t="shared" si="45"/>
        <v>#DIV/0!</v>
      </c>
      <c r="Q129">
        <f t="shared" si="32"/>
        <v>0</v>
      </c>
      <c r="R129">
        <f t="shared" si="46"/>
        <v>741.9099431943954</v>
      </c>
      <c r="T129" t="e">
        <f t="shared" si="35"/>
        <v>#DIV/0!</v>
      </c>
      <c r="U129" t="e">
        <f t="shared" si="36"/>
        <v>#DIV/0!</v>
      </c>
      <c r="V129">
        <f t="shared" si="37"/>
        <v>0</v>
      </c>
      <c r="W129" t="e">
        <f t="shared" si="33"/>
        <v>#DIV/0!</v>
      </c>
    </row>
    <row r="130" spans="1:23" x14ac:dyDescent="0.55000000000000004">
      <c r="A130">
        <f t="shared" si="34"/>
        <v>9.5999999999999819</v>
      </c>
      <c r="B130">
        <f t="shared" si="38"/>
        <v>0.316</v>
      </c>
      <c r="C130">
        <f t="shared" si="39"/>
        <v>-1.26086956521738</v>
      </c>
      <c r="D130">
        <v>0.19999999984315328</v>
      </c>
      <c r="E130">
        <f t="shared" si="29"/>
        <v>0</v>
      </c>
      <c r="F130">
        <f t="shared" si="40"/>
        <v>4.8605058816845369E-2</v>
      </c>
      <c r="G130">
        <f t="shared" si="41"/>
        <v>39.513748498891111</v>
      </c>
      <c r="H130">
        <f t="shared" si="42"/>
        <v>0</v>
      </c>
      <c r="I130" s="1">
        <f t="shared" si="30"/>
        <v>0</v>
      </c>
      <c r="J130">
        <f t="shared" si="43"/>
        <v>0</v>
      </c>
      <c r="K130">
        <f t="shared" si="31"/>
        <v>0</v>
      </c>
      <c r="L130" cm="1">
        <f t="array" ref="L130">IF(E130*J130=0,0,$C$21*INDEX([3]Sheet1!$C$4:$Q$23,MATCH(K130,[3]Sheet1!$B$4:$B$23,1),MATCH(D130,[3]Sheet1!$C$3:$Q$3,1))
+(K130-INDEX([3]Sheet1!$B$4:$B$23,MATCH(K130,[3]Sheet1!$B$4:$B$23,1),1))/(INDEX([3]Sheet1!$B$4:$B$23,MATCH(K130,[3]Sheet1!$B$4:$B$23,1)+1,1)-INDEX([3]Sheet1!$B$4:$B$23,
MATCH(K130,[3]Sheet1!$B$4:$B$23,1),1))*(INDEX([3]Sheet1!$C$4:$Q$23,MATCH(K130,[3]Sheet1!$B$4:$B$23,1)+1,MATCH(D130,[3]Sheet1!$C$3:$Q$3,1))-INDEX([3]Sheet1!$C$4:$Q$23,
MATCH(K130,[3]Sheet1!$B$4:$B$23,1),MATCH(D130,[3]Sheet1!$C$3:$Q$3,1)))
+(D130-INDEX([3]Sheet1!$C$3:$Q$3,1,MATCH(D130,[3]Sheet1!$C$3:$Q$3)))/(INDEX([3]Sheet1!$C$3:$Q$3,1,MATCH(D130,[3]Sheet1!$C$3:$Q$3)+1)-INDEX([3]Sheet1!$C$3:$Q$3,1,MATCH(
D130,[3]Sheet1!$C$3:$Q$3)))*(INDEX([3]Sheet1!$C$4:$Q$23,MATCH(K130,[3]Sheet1!$B$4:$B$23,1),MATCH(D130,[3]Sheet1!$C$3:$Q$3,1)+1)-INDEX([3]Sheet1!$C$4:$Q$23,MATCH(K130,[3]Sheet1!$B$4:$B$23,1),MATCH(D130,[3]Sheet1!$C$3:$Q$3,1))))</f>
        <v>0</v>
      </c>
      <c r="M130" cm="1">
        <f t="array" ref="M130" xml:space="preserve"> IF(E130*J130=0,0,(INDEX([2]Sheet1!$C$4:$Q$23,MATCH(K130,[2]Sheet1!$B$4:$B$23,1),MATCH(D130,[2]Sheet1!$C$3:$Q$3,1))
+ (K130 - INDEX([2]Sheet1!$B$4:$B$23,MATCH(K130,[2]Sheet1!$B$4:$B$23,1),1))/(INDEX([2]Sheet1!$B$4:$B$23,MATCH(K130,[2]Sheet1!$B$4:$B$23,1)+1,1) - INDEX([2]Sheet1!$B$4:$B$23,MATCH(K130,[2]Sheet1!$B$4:$B$23,1),1))*(INDEX([2]Sheet1!$C$4:$Q$23,MATCH(K130,[2]Sheet1!$B$4:$B$23,1)+1,MATCH(D130,[2]Sheet1!$C$3:$Q$3,1)) - INDEX([2]Sheet1!$C$4:$Q$23,MATCH(K130,[2]Sheet1!$B$4:$B$23,1),MATCH(D130,[2]Sheet1!$C$3:$Q$3,1)))
+ (D130 - INDEX([2]Sheet1!$C$3:$Q$3,1,MATCH(D130,[2]Sheet1!$C$3:$Q$3)))/(INDEX([2]Sheet1!$C$3:$Q$3,1,MATCH(D130,[2]Sheet1!$C$3:$Q$3)+1) - INDEX([2]Sheet1!$C$3:$Q$3,1,MATCH(D130,[2]Sheet1!$C$3:$Q$3)))*(
INDEX([2]Sheet1!$C$4:$Q$23,MATCH(K130,[2]Sheet1!$B$4:$B$23,1),MATCH(D130,[2]Sheet1!$C$3:$Q$3,1)+1) - INDEX([2]Sheet1!$C$4:$Q$23,MATCH(K130,[2]Sheet1!$B$4:$B$23,1),MATCH(D130,[2]Sheet1!$C$3:$Q$3,1)))))</f>
        <v>0</v>
      </c>
      <c r="N130">
        <f t="shared" si="44"/>
        <v>12</v>
      </c>
      <c r="O130">
        <v>-33554.332000000002</v>
      </c>
      <c r="P130" t="e">
        <f t="shared" si="45"/>
        <v>#DIV/0!</v>
      </c>
      <c r="Q130">
        <f t="shared" si="32"/>
        <v>0</v>
      </c>
      <c r="R130">
        <f t="shared" si="46"/>
        <v>741.9099431943954</v>
      </c>
      <c r="T130" t="e">
        <f t="shared" si="35"/>
        <v>#DIV/0!</v>
      </c>
      <c r="U130" t="e">
        <f t="shared" si="36"/>
        <v>#DIV/0!</v>
      </c>
      <c r="V130">
        <f t="shared" si="37"/>
        <v>0</v>
      </c>
      <c r="W130" t="e">
        <f t="shared" si="33"/>
        <v>#DIV/0!</v>
      </c>
    </row>
    <row r="131" spans="1:23" x14ac:dyDescent="0.55000000000000004">
      <c r="A131">
        <f t="shared" si="34"/>
        <v>9.6999999999999815</v>
      </c>
      <c r="B131">
        <f t="shared" si="38"/>
        <v>0.316</v>
      </c>
      <c r="C131">
        <f t="shared" si="39"/>
        <v>-1.3260869565217277</v>
      </c>
      <c r="D131">
        <v>0.19999999968314161</v>
      </c>
      <c r="E131">
        <f t="shared" si="29"/>
        <v>0</v>
      </c>
      <c r="F131">
        <f t="shared" si="40"/>
        <v>4.8605058816845369E-2</v>
      </c>
      <c r="G131">
        <f t="shared" si="41"/>
        <v>39.513748498891111</v>
      </c>
      <c r="H131">
        <f t="shared" si="42"/>
        <v>0</v>
      </c>
      <c r="I131" s="1">
        <f t="shared" si="30"/>
        <v>0</v>
      </c>
      <c r="J131">
        <f t="shared" si="43"/>
        <v>0</v>
      </c>
      <c r="K131">
        <f t="shared" si="31"/>
        <v>0</v>
      </c>
      <c r="L131" cm="1">
        <f t="array" ref="L131">IF(E131*J131=0,0,$C$21*INDEX([3]Sheet1!$C$4:$Q$23,MATCH(K131,[3]Sheet1!$B$4:$B$23,1),MATCH(D131,[3]Sheet1!$C$3:$Q$3,1))
+(K131-INDEX([3]Sheet1!$B$4:$B$23,MATCH(K131,[3]Sheet1!$B$4:$B$23,1),1))/(INDEX([3]Sheet1!$B$4:$B$23,MATCH(K131,[3]Sheet1!$B$4:$B$23,1)+1,1)-INDEX([3]Sheet1!$B$4:$B$23,
MATCH(K131,[3]Sheet1!$B$4:$B$23,1),1))*(INDEX([3]Sheet1!$C$4:$Q$23,MATCH(K131,[3]Sheet1!$B$4:$B$23,1)+1,MATCH(D131,[3]Sheet1!$C$3:$Q$3,1))-INDEX([3]Sheet1!$C$4:$Q$23,
MATCH(K131,[3]Sheet1!$B$4:$B$23,1),MATCH(D131,[3]Sheet1!$C$3:$Q$3,1)))
+(D131-INDEX([3]Sheet1!$C$3:$Q$3,1,MATCH(D131,[3]Sheet1!$C$3:$Q$3)))/(INDEX([3]Sheet1!$C$3:$Q$3,1,MATCH(D131,[3]Sheet1!$C$3:$Q$3)+1)-INDEX([3]Sheet1!$C$3:$Q$3,1,MATCH(
D131,[3]Sheet1!$C$3:$Q$3)))*(INDEX([3]Sheet1!$C$4:$Q$23,MATCH(K131,[3]Sheet1!$B$4:$B$23,1),MATCH(D131,[3]Sheet1!$C$3:$Q$3,1)+1)-INDEX([3]Sheet1!$C$4:$Q$23,MATCH(K131,[3]Sheet1!$B$4:$B$23,1),MATCH(D131,[3]Sheet1!$C$3:$Q$3,1))))</f>
        <v>0</v>
      </c>
      <c r="M131" cm="1">
        <f t="array" ref="M131" xml:space="preserve"> IF(E131*J131=0,0,(INDEX([2]Sheet1!$C$4:$Q$23,MATCH(K131,[2]Sheet1!$B$4:$B$23,1),MATCH(D131,[2]Sheet1!$C$3:$Q$3,1))
+ (K131 - INDEX([2]Sheet1!$B$4:$B$23,MATCH(K131,[2]Sheet1!$B$4:$B$23,1),1))/(INDEX([2]Sheet1!$B$4:$B$23,MATCH(K131,[2]Sheet1!$B$4:$B$23,1)+1,1) - INDEX([2]Sheet1!$B$4:$B$23,MATCH(K131,[2]Sheet1!$B$4:$B$23,1),1))*(INDEX([2]Sheet1!$C$4:$Q$23,MATCH(K131,[2]Sheet1!$B$4:$B$23,1)+1,MATCH(D131,[2]Sheet1!$C$3:$Q$3,1)) - INDEX([2]Sheet1!$C$4:$Q$23,MATCH(K131,[2]Sheet1!$B$4:$B$23,1),MATCH(D131,[2]Sheet1!$C$3:$Q$3,1)))
+ (D131 - INDEX([2]Sheet1!$C$3:$Q$3,1,MATCH(D131,[2]Sheet1!$C$3:$Q$3)))/(INDEX([2]Sheet1!$C$3:$Q$3,1,MATCH(D131,[2]Sheet1!$C$3:$Q$3)+1) - INDEX([2]Sheet1!$C$3:$Q$3,1,MATCH(D131,[2]Sheet1!$C$3:$Q$3)))*(
INDEX([2]Sheet1!$C$4:$Q$23,MATCH(K131,[2]Sheet1!$B$4:$B$23,1),MATCH(D131,[2]Sheet1!$C$3:$Q$3,1)+1) - INDEX([2]Sheet1!$C$4:$Q$23,MATCH(K131,[2]Sheet1!$B$4:$B$23,1),MATCH(D131,[2]Sheet1!$C$3:$Q$3,1)))))</f>
        <v>0</v>
      </c>
      <c r="N131">
        <f t="shared" si="44"/>
        <v>12</v>
      </c>
      <c r="O131">
        <v>-33554.332000000002</v>
      </c>
      <c r="P131" t="e">
        <f t="shared" si="45"/>
        <v>#DIV/0!</v>
      </c>
      <c r="Q131">
        <f t="shared" si="32"/>
        <v>0</v>
      </c>
      <c r="R131">
        <f t="shared" si="46"/>
        <v>741.9099431943954</v>
      </c>
      <c r="T131" t="e">
        <f t="shared" si="35"/>
        <v>#DIV/0!</v>
      </c>
      <c r="U131" t="e">
        <f t="shared" si="36"/>
        <v>#DIV/0!</v>
      </c>
      <c r="V131">
        <f t="shared" si="37"/>
        <v>0</v>
      </c>
      <c r="W131" t="e">
        <f t="shared" si="33"/>
        <v>#DIV/0!</v>
      </c>
    </row>
    <row r="132" spans="1:23" x14ac:dyDescent="0.55000000000000004">
      <c r="A132">
        <f t="shared" si="34"/>
        <v>9.7999999999999812</v>
      </c>
      <c r="B132">
        <f t="shared" si="38"/>
        <v>0.316</v>
      </c>
      <c r="C132">
        <f t="shared" si="39"/>
        <v>-1.3913043478260745</v>
      </c>
      <c r="D132">
        <v>0.199999997941328</v>
      </c>
      <c r="E132">
        <f t="shared" si="29"/>
        <v>0</v>
      </c>
      <c r="F132">
        <f t="shared" si="40"/>
        <v>4.8605058816845369E-2</v>
      </c>
      <c r="G132">
        <f t="shared" si="41"/>
        <v>39.513748498891111</v>
      </c>
      <c r="H132">
        <f t="shared" si="42"/>
        <v>0</v>
      </c>
      <c r="I132" s="1">
        <f t="shared" si="30"/>
        <v>0</v>
      </c>
      <c r="J132">
        <f t="shared" si="43"/>
        <v>0</v>
      </c>
      <c r="K132">
        <f t="shared" si="31"/>
        <v>0</v>
      </c>
      <c r="L132" cm="1">
        <f t="array" ref="L132">IF(E132*J132=0,0,$C$21*INDEX([3]Sheet1!$C$4:$Q$23,MATCH(K132,[3]Sheet1!$B$4:$B$23,1),MATCH(D132,[3]Sheet1!$C$3:$Q$3,1))
+(K132-INDEX([3]Sheet1!$B$4:$B$23,MATCH(K132,[3]Sheet1!$B$4:$B$23,1),1))/(INDEX([3]Sheet1!$B$4:$B$23,MATCH(K132,[3]Sheet1!$B$4:$B$23,1)+1,1)-INDEX([3]Sheet1!$B$4:$B$23,
MATCH(K132,[3]Sheet1!$B$4:$B$23,1),1))*(INDEX([3]Sheet1!$C$4:$Q$23,MATCH(K132,[3]Sheet1!$B$4:$B$23,1)+1,MATCH(D132,[3]Sheet1!$C$3:$Q$3,1))-INDEX([3]Sheet1!$C$4:$Q$23,
MATCH(K132,[3]Sheet1!$B$4:$B$23,1),MATCH(D132,[3]Sheet1!$C$3:$Q$3,1)))
+(D132-INDEX([3]Sheet1!$C$3:$Q$3,1,MATCH(D132,[3]Sheet1!$C$3:$Q$3)))/(INDEX([3]Sheet1!$C$3:$Q$3,1,MATCH(D132,[3]Sheet1!$C$3:$Q$3)+1)-INDEX([3]Sheet1!$C$3:$Q$3,1,MATCH(
D132,[3]Sheet1!$C$3:$Q$3)))*(INDEX([3]Sheet1!$C$4:$Q$23,MATCH(K132,[3]Sheet1!$B$4:$B$23,1),MATCH(D132,[3]Sheet1!$C$3:$Q$3,1)+1)-INDEX([3]Sheet1!$C$4:$Q$23,MATCH(K132,[3]Sheet1!$B$4:$B$23,1),MATCH(D132,[3]Sheet1!$C$3:$Q$3,1))))</f>
        <v>0</v>
      </c>
      <c r="M132" cm="1">
        <f t="array" ref="M132" xml:space="preserve"> IF(E132*J132=0,0,(INDEX([2]Sheet1!$C$4:$Q$23,MATCH(K132,[2]Sheet1!$B$4:$B$23,1),MATCH(D132,[2]Sheet1!$C$3:$Q$3,1))
+ (K132 - INDEX([2]Sheet1!$B$4:$B$23,MATCH(K132,[2]Sheet1!$B$4:$B$23,1),1))/(INDEX([2]Sheet1!$B$4:$B$23,MATCH(K132,[2]Sheet1!$B$4:$B$23,1)+1,1) - INDEX([2]Sheet1!$B$4:$B$23,MATCH(K132,[2]Sheet1!$B$4:$B$23,1),1))*(INDEX([2]Sheet1!$C$4:$Q$23,MATCH(K132,[2]Sheet1!$B$4:$B$23,1)+1,MATCH(D132,[2]Sheet1!$C$3:$Q$3,1)) - INDEX([2]Sheet1!$C$4:$Q$23,MATCH(K132,[2]Sheet1!$B$4:$B$23,1),MATCH(D132,[2]Sheet1!$C$3:$Q$3,1)))
+ (D132 - INDEX([2]Sheet1!$C$3:$Q$3,1,MATCH(D132,[2]Sheet1!$C$3:$Q$3)))/(INDEX([2]Sheet1!$C$3:$Q$3,1,MATCH(D132,[2]Sheet1!$C$3:$Q$3)+1) - INDEX([2]Sheet1!$C$3:$Q$3,1,MATCH(D132,[2]Sheet1!$C$3:$Q$3)))*(
INDEX([2]Sheet1!$C$4:$Q$23,MATCH(K132,[2]Sheet1!$B$4:$B$23,1),MATCH(D132,[2]Sheet1!$C$3:$Q$3,1)+1) - INDEX([2]Sheet1!$C$4:$Q$23,MATCH(K132,[2]Sheet1!$B$4:$B$23,1),MATCH(D132,[2]Sheet1!$C$3:$Q$3,1)))))</f>
        <v>0</v>
      </c>
      <c r="N132">
        <f t="shared" si="44"/>
        <v>12</v>
      </c>
      <c r="O132">
        <v>-33554.332000000002</v>
      </c>
      <c r="P132" t="e">
        <f t="shared" si="45"/>
        <v>#DIV/0!</v>
      </c>
      <c r="Q132">
        <f t="shared" si="32"/>
        <v>0</v>
      </c>
      <c r="R132">
        <f t="shared" si="46"/>
        <v>741.9099431943954</v>
      </c>
      <c r="T132" t="e">
        <f t="shared" si="35"/>
        <v>#DIV/0!</v>
      </c>
      <c r="U132" t="e">
        <f t="shared" si="36"/>
        <v>#DIV/0!</v>
      </c>
      <c r="V132">
        <f t="shared" si="37"/>
        <v>0</v>
      </c>
      <c r="W132" t="e">
        <f t="shared" si="33"/>
        <v>#DIV/0!</v>
      </c>
    </row>
    <row r="133" spans="1:23" x14ac:dyDescent="0.55000000000000004">
      <c r="A133">
        <f t="shared" si="34"/>
        <v>9.8999999999999808</v>
      </c>
      <c r="B133">
        <f t="shared" si="38"/>
        <v>0.316</v>
      </c>
      <c r="C133">
        <f t="shared" si="39"/>
        <v>-1.456521739130423</v>
      </c>
      <c r="D133">
        <v>0.19999999465495233</v>
      </c>
      <c r="E133">
        <f t="shared" si="29"/>
        <v>0</v>
      </c>
      <c r="F133">
        <f t="shared" si="40"/>
        <v>4.8605058816845369E-2</v>
      </c>
      <c r="G133">
        <f t="shared" si="41"/>
        <v>39.513748498891111</v>
      </c>
      <c r="H133">
        <f t="shared" si="42"/>
        <v>0</v>
      </c>
      <c r="I133" s="1">
        <f t="shared" si="30"/>
        <v>0</v>
      </c>
      <c r="J133">
        <f t="shared" si="43"/>
        <v>0</v>
      </c>
      <c r="K133">
        <f t="shared" si="31"/>
        <v>0</v>
      </c>
      <c r="L133" cm="1">
        <f t="array" ref="L133">IF(E133*J133=0,0,$C$21*INDEX([3]Sheet1!$C$4:$Q$23,MATCH(K133,[3]Sheet1!$B$4:$B$23,1),MATCH(D133,[3]Sheet1!$C$3:$Q$3,1))
+(K133-INDEX([3]Sheet1!$B$4:$B$23,MATCH(K133,[3]Sheet1!$B$4:$B$23,1),1))/(INDEX([3]Sheet1!$B$4:$B$23,MATCH(K133,[3]Sheet1!$B$4:$B$23,1)+1,1)-INDEX([3]Sheet1!$B$4:$B$23,
MATCH(K133,[3]Sheet1!$B$4:$B$23,1),1))*(INDEX([3]Sheet1!$C$4:$Q$23,MATCH(K133,[3]Sheet1!$B$4:$B$23,1)+1,MATCH(D133,[3]Sheet1!$C$3:$Q$3,1))-INDEX([3]Sheet1!$C$4:$Q$23,
MATCH(K133,[3]Sheet1!$B$4:$B$23,1),MATCH(D133,[3]Sheet1!$C$3:$Q$3,1)))
+(D133-INDEX([3]Sheet1!$C$3:$Q$3,1,MATCH(D133,[3]Sheet1!$C$3:$Q$3)))/(INDEX([3]Sheet1!$C$3:$Q$3,1,MATCH(D133,[3]Sheet1!$C$3:$Q$3)+1)-INDEX([3]Sheet1!$C$3:$Q$3,1,MATCH(
D133,[3]Sheet1!$C$3:$Q$3)))*(INDEX([3]Sheet1!$C$4:$Q$23,MATCH(K133,[3]Sheet1!$B$4:$B$23,1),MATCH(D133,[3]Sheet1!$C$3:$Q$3,1)+1)-INDEX([3]Sheet1!$C$4:$Q$23,MATCH(K133,[3]Sheet1!$B$4:$B$23,1),MATCH(D133,[3]Sheet1!$C$3:$Q$3,1))))</f>
        <v>0</v>
      </c>
      <c r="M133" cm="1">
        <f t="array" ref="M133" xml:space="preserve"> IF(E133*J133=0,0,(INDEX([2]Sheet1!$C$4:$Q$23,MATCH(K133,[2]Sheet1!$B$4:$B$23,1),MATCH(D133,[2]Sheet1!$C$3:$Q$3,1))
+ (K133 - INDEX([2]Sheet1!$B$4:$B$23,MATCH(K133,[2]Sheet1!$B$4:$B$23,1),1))/(INDEX([2]Sheet1!$B$4:$B$23,MATCH(K133,[2]Sheet1!$B$4:$B$23,1)+1,1) - INDEX([2]Sheet1!$B$4:$B$23,MATCH(K133,[2]Sheet1!$B$4:$B$23,1),1))*(INDEX([2]Sheet1!$C$4:$Q$23,MATCH(K133,[2]Sheet1!$B$4:$B$23,1)+1,MATCH(D133,[2]Sheet1!$C$3:$Q$3,1)) - INDEX([2]Sheet1!$C$4:$Q$23,MATCH(K133,[2]Sheet1!$B$4:$B$23,1),MATCH(D133,[2]Sheet1!$C$3:$Q$3,1)))
+ (D133 - INDEX([2]Sheet1!$C$3:$Q$3,1,MATCH(D133,[2]Sheet1!$C$3:$Q$3)))/(INDEX([2]Sheet1!$C$3:$Q$3,1,MATCH(D133,[2]Sheet1!$C$3:$Q$3)+1) - INDEX([2]Sheet1!$C$3:$Q$3,1,MATCH(D133,[2]Sheet1!$C$3:$Q$3)))*(
INDEX([2]Sheet1!$C$4:$Q$23,MATCH(K133,[2]Sheet1!$B$4:$B$23,1),MATCH(D133,[2]Sheet1!$C$3:$Q$3,1)+1) - INDEX([2]Sheet1!$C$4:$Q$23,MATCH(K133,[2]Sheet1!$B$4:$B$23,1),MATCH(D133,[2]Sheet1!$C$3:$Q$3,1)))))</f>
        <v>0</v>
      </c>
      <c r="N133">
        <f t="shared" si="44"/>
        <v>12</v>
      </c>
      <c r="O133">
        <v>-33554.332000000002</v>
      </c>
      <c r="P133" t="e">
        <f t="shared" si="45"/>
        <v>#DIV/0!</v>
      </c>
      <c r="Q133">
        <f t="shared" si="32"/>
        <v>0</v>
      </c>
      <c r="R133">
        <f t="shared" si="46"/>
        <v>741.9099431943954</v>
      </c>
      <c r="T133" t="e">
        <f t="shared" si="35"/>
        <v>#DIV/0!</v>
      </c>
      <c r="U133" t="e">
        <f t="shared" si="36"/>
        <v>#DIV/0!</v>
      </c>
      <c r="V133">
        <f t="shared" si="37"/>
        <v>0</v>
      </c>
      <c r="W133" t="e">
        <f t="shared" si="33"/>
        <v>#DIV/0!</v>
      </c>
    </row>
    <row r="134" spans="1:23" x14ac:dyDescent="0.55000000000000004">
      <c r="A134">
        <f t="shared" si="34"/>
        <v>9.9999999999999805</v>
      </c>
      <c r="B134">
        <f t="shared" si="38"/>
        <v>0.316</v>
      </c>
      <c r="C134">
        <f t="shared" si="39"/>
        <v>-1.5217391304347707</v>
      </c>
      <c r="D134">
        <v>0.20000000035908852</v>
      </c>
      <c r="E134">
        <f t="shared" si="29"/>
        <v>0</v>
      </c>
      <c r="F134">
        <f t="shared" si="40"/>
        <v>4.8605058816845369E-2</v>
      </c>
      <c r="G134">
        <f t="shared" si="41"/>
        <v>39.513748498891111</v>
      </c>
      <c r="H134">
        <f t="shared" si="42"/>
        <v>0</v>
      </c>
      <c r="I134" s="1">
        <f t="shared" si="30"/>
        <v>0</v>
      </c>
      <c r="J134">
        <f t="shared" si="43"/>
        <v>0</v>
      </c>
      <c r="K134">
        <f t="shared" si="31"/>
        <v>0</v>
      </c>
      <c r="L134" cm="1">
        <f t="array" ref="L134">IF(E134*J134=0,0,$C$21*INDEX([3]Sheet1!$C$4:$Q$23,MATCH(K134,[3]Sheet1!$B$4:$B$23,1),MATCH(D134,[3]Sheet1!$C$3:$Q$3,1))
+(K134-INDEX([3]Sheet1!$B$4:$B$23,MATCH(K134,[3]Sheet1!$B$4:$B$23,1),1))/(INDEX([3]Sheet1!$B$4:$B$23,MATCH(K134,[3]Sheet1!$B$4:$B$23,1)+1,1)-INDEX([3]Sheet1!$B$4:$B$23,
MATCH(K134,[3]Sheet1!$B$4:$B$23,1),1))*(INDEX([3]Sheet1!$C$4:$Q$23,MATCH(K134,[3]Sheet1!$B$4:$B$23,1)+1,MATCH(D134,[3]Sheet1!$C$3:$Q$3,1))-INDEX([3]Sheet1!$C$4:$Q$23,
MATCH(K134,[3]Sheet1!$B$4:$B$23,1),MATCH(D134,[3]Sheet1!$C$3:$Q$3,1)))
+(D134-INDEX([3]Sheet1!$C$3:$Q$3,1,MATCH(D134,[3]Sheet1!$C$3:$Q$3)))/(INDEX([3]Sheet1!$C$3:$Q$3,1,MATCH(D134,[3]Sheet1!$C$3:$Q$3)+1)-INDEX([3]Sheet1!$C$3:$Q$3,1,MATCH(
D134,[3]Sheet1!$C$3:$Q$3)))*(INDEX([3]Sheet1!$C$4:$Q$23,MATCH(K134,[3]Sheet1!$B$4:$B$23,1),MATCH(D134,[3]Sheet1!$C$3:$Q$3,1)+1)-INDEX([3]Sheet1!$C$4:$Q$23,MATCH(K134,[3]Sheet1!$B$4:$B$23,1),MATCH(D134,[3]Sheet1!$C$3:$Q$3,1))))</f>
        <v>0</v>
      </c>
      <c r="M134" cm="1">
        <f t="array" ref="M134" xml:space="preserve"> IF(E134*J134=0,0,(INDEX([2]Sheet1!$C$4:$Q$23,MATCH(K134,[2]Sheet1!$B$4:$B$23,1),MATCH(D134,[2]Sheet1!$C$3:$Q$3,1))
+ (K134 - INDEX([2]Sheet1!$B$4:$B$23,MATCH(K134,[2]Sheet1!$B$4:$B$23,1),1))/(INDEX([2]Sheet1!$B$4:$B$23,MATCH(K134,[2]Sheet1!$B$4:$B$23,1)+1,1) - INDEX([2]Sheet1!$B$4:$B$23,MATCH(K134,[2]Sheet1!$B$4:$B$23,1),1))*(INDEX([2]Sheet1!$C$4:$Q$23,MATCH(K134,[2]Sheet1!$B$4:$B$23,1)+1,MATCH(D134,[2]Sheet1!$C$3:$Q$3,1)) - INDEX([2]Sheet1!$C$4:$Q$23,MATCH(K134,[2]Sheet1!$B$4:$B$23,1),MATCH(D134,[2]Sheet1!$C$3:$Q$3,1)))
+ (D134 - INDEX([2]Sheet1!$C$3:$Q$3,1,MATCH(D134,[2]Sheet1!$C$3:$Q$3)))/(INDEX([2]Sheet1!$C$3:$Q$3,1,MATCH(D134,[2]Sheet1!$C$3:$Q$3)+1) - INDEX([2]Sheet1!$C$3:$Q$3,1,MATCH(D134,[2]Sheet1!$C$3:$Q$3)))*(
INDEX([2]Sheet1!$C$4:$Q$23,MATCH(K134,[2]Sheet1!$B$4:$B$23,1),MATCH(D134,[2]Sheet1!$C$3:$Q$3,1)+1) - INDEX([2]Sheet1!$C$4:$Q$23,MATCH(K134,[2]Sheet1!$B$4:$B$23,1),MATCH(D134,[2]Sheet1!$C$3:$Q$3,1)))))</f>
        <v>0</v>
      </c>
      <c r="N134">
        <f t="shared" si="44"/>
        <v>12</v>
      </c>
      <c r="O134">
        <v>7.7364136341901936E-3</v>
      </c>
      <c r="P134" t="e">
        <f t="shared" si="45"/>
        <v>#DIV/0!</v>
      </c>
      <c r="Q134">
        <f t="shared" si="32"/>
        <v>0</v>
      </c>
      <c r="R134">
        <f t="shared" si="46"/>
        <v>741.9099431943954</v>
      </c>
      <c r="T134" t="e">
        <f t="shared" si="35"/>
        <v>#DIV/0!</v>
      </c>
      <c r="U134" t="e">
        <f t="shared" si="36"/>
        <v>#DIV/0!</v>
      </c>
      <c r="V134">
        <f t="shared" si="37"/>
        <v>0</v>
      </c>
      <c r="W134" t="e">
        <f t="shared" si="33"/>
        <v>#DIV/0!</v>
      </c>
    </row>
    <row r="135" spans="1:23" x14ac:dyDescent="0.55000000000000004">
      <c r="A135">
        <f t="shared" si="34"/>
        <v>10.09999999999998</v>
      </c>
      <c r="B135">
        <f t="shared" si="38"/>
        <v>0.316</v>
      </c>
      <c r="C135">
        <f t="shared" si="39"/>
        <v>-1.5869565217391184</v>
      </c>
      <c r="D135">
        <v>2.4719298228399125</v>
      </c>
      <c r="E135">
        <f t="shared" si="29"/>
        <v>0</v>
      </c>
      <c r="F135">
        <f t="shared" si="40"/>
        <v>4.8605058816845369E-2</v>
      </c>
      <c r="G135">
        <f t="shared" si="41"/>
        <v>39.513748498891111</v>
      </c>
      <c r="H135">
        <f t="shared" si="42"/>
        <v>0</v>
      </c>
      <c r="I135" s="1">
        <f t="shared" si="30"/>
        <v>0</v>
      </c>
      <c r="J135">
        <f t="shared" si="43"/>
        <v>0</v>
      </c>
      <c r="K135">
        <f t="shared" si="31"/>
        <v>0</v>
      </c>
      <c r="L135" cm="1">
        <f t="array" ref="L135">IF(E135*J135=0,0,$C$21*INDEX([3]Sheet1!$C$4:$Q$23,MATCH(K135,[3]Sheet1!$B$4:$B$23,1),MATCH(D135,[3]Sheet1!$C$3:$Q$3,1))
+(K135-INDEX([3]Sheet1!$B$4:$B$23,MATCH(K135,[3]Sheet1!$B$4:$B$23,1),1))/(INDEX([3]Sheet1!$B$4:$B$23,MATCH(K135,[3]Sheet1!$B$4:$B$23,1)+1,1)-INDEX([3]Sheet1!$B$4:$B$23,
MATCH(K135,[3]Sheet1!$B$4:$B$23,1),1))*(INDEX([3]Sheet1!$C$4:$Q$23,MATCH(K135,[3]Sheet1!$B$4:$B$23,1)+1,MATCH(D135,[3]Sheet1!$C$3:$Q$3,1))-INDEX([3]Sheet1!$C$4:$Q$23,
MATCH(K135,[3]Sheet1!$B$4:$B$23,1),MATCH(D135,[3]Sheet1!$C$3:$Q$3,1)))
+(D135-INDEX([3]Sheet1!$C$3:$Q$3,1,MATCH(D135,[3]Sheet1!$C$3:$Q$3)))/(INDEX([3]Sheet1!$C$3:$Q$3,1,MATCH(D135,[3]Sheet1!$C$3:$Q$3)+1)-INDEX([3]Sheet1!$C$3:$Q$3,1,MATCH(
D135,[3]Sheet1!$C$3:$Q$3)))*(INDEX([3]Sheet1!$C$4:$Q$23,MATCH(K135,[3]Sheet1!$B$4:$B$23,1),MATCH(D135,[3]Sheet1!$C$3:$Q$3,1)+1)-INDEX([3]Sheet1!$C$4:$Q$23,MATCH(K135,[3]Sheet1!$B$4:$B$23,1),MATCH(D135,[3]Sheet1!$C$3:$Q$3,1))))</f>
        <v>0</v>
      </c>
      <c r="M135" cm="1">
        <f t="array" ref="M135" xml:space="preserve"> IF(E135*J135=0,0,(INDEX([2]Sheet1!$C$4:$Q$23,MATCH(K135,[2]Sheet1!$B$4:$B$23,1),MATCH(D135,[2]Sheet1!$C$3:$Q$3,1))
+ (K135 - INDEX([2]Sheet1!$B$4:$B$23,MATCH(K135,[2]Sheet1!$B$4:$B$23,1),1))/(INDEX([2]Sheet1!$B$4:$B$23,MATCH(K135,[2]Sheet1!$B$4:$B$23,1)+1,1) - INDEX([2]Sheet1!$B$4:$B$23,MATCH(K135,[2]Sheet1!$B$4:$B$23,1),1))*(INDEX([2]Sheet1!$C$4:$Q$23,MATCH(K135,[2]Sheet1!$B$4:$B$23,1)+1,MATCH(D135,[2]Sheet1!$C$3:$Q$3,1)) - INDEX([2]Sheet1!$C$4:$Q$23,MATCH(K135,[2]Sheet1!$B$4:$B$23,1),MATCH(D135,[2]Sheet1!$C$3:$Q$3,1)))
+ (D135 - INDEX([2]Sheet1!$C$3:$Q$3,1,MATCH(D135,[2]Sheet1!$C$3:$Q$3)))/(INDEX([2]Sheet1!$C$3:$Q$3,1,MATCH(D135,[2]Sheet1!$C$3:$Q$3)+1) - INDEX([2]Sheet1!$C$3:$Q$3,1,MATCH(D135,[2]Sheet1!$C$3:$Q$3)))*(
INDEX([2]Sheet1!$C$4:$Q$23,MATCH(K135,[2]Sheet1!$B$4:$B$23,1),MATCH(D135,[2]Sheet1!$C$3:$Q$3,1)+1) - INDEX([2]Sheet1!$C$4:$Q$23,MATCH(K135,[2]Sheet1!$B$4:$B$23,1),MATCH(D135,[2]Sheet1!$C$3:$Q$3,1)))))</f>
        <v>0</v>
      </c>
      <c r="N135">
        <f t="shared" si="44"/>
        <v>12</v>
      </c>
      <c r="O135">
        <v>9.4351828220584119E-2</v>
      </c>
      <c r="P135" t="e">
        <f t="shared" si="45"/>
        <v>#DIV/0!</v>
      </c>
      <c r="Q135">
        <f t="shared" si="32"/>
        <v>0</v>
      </c>
      <c r="R135">
        <f t="shared" si="46"/>
        <v>741.9099431943954</v>
      </c>
      <c r="T135" t="e">
        <f t="shared" si="35"/>
        <v>#DIV/0!</v>
      </c>
      <c r="U135" t="e">
        <f t="shared" si="36"/>
        <v>#DIV/0!</v>
      </c>
      <c r="V135">
        <f t="shared" si="37"/>
        <v>0</v>
      </c>
      <c r="W135" t="e">
        <f t="shared" si="33"/>
        <v>#DIV/0!</v>
      </c>
    </row>
    <row r="136" spans="1:23" x14ac:dyDescent="0.55000000000000004">
      <c r="A136">
        <f t="shared" si="34"/>
        <v>10.19999999999998</v>
      </c>
      <c r="B136">
        <f t="shared" si="38"/>
        <v>0.316</v>
      </c>
      <c r="C136">
        <f t="shared" si="39"/>
        <v>-1.6521739130434652</v>
      </c>
      <c r="D136">
        <v>2.4717559682792065</v>
      </c>
      <c r="E136">
        <f t="shared" si="29"/>
        <v>0</v>
      </c>
      <c r="F136">
        <f t="shared" si="40"/>
        <v>4.8605058816845369E-2</v>
      </c>
      <c r="G136">
        <f t="shared" si="41"/>
        <v>39.513748498891111</v>
      </c>
      <c r="H136">
        <f t="shared" si="42"/>
        <v>0</v>
      </c>
      <c r="I136" s="1">
        <f t="shared" si="30"/>
        <v>0</v>
      </c>
      <c r="J136">
        <f t="shared" si="43"/>
        <v>0</v>
      </c>
      <c r="K136">
        <f t="shared" si="31"/>
        <v>0</v>
      </c>
      <c r="L136" cm="1">
        <f t="array" ref="L136">IF(E136*J136=0,0,$C$21*INDEX([3]Sheet1!$C$4:$Q$23,MATCH(K136,[3]Sheet1!$B$4:$B$23,1),MATCH(D136,[3]Sheet1!$C$3:$Q$3,1))
+(K136-INDEX([3]Sheet1!$B$4:$B$23,MATCH(K136,[3]Sheet1!$B$4:$B$23,1),1))/(INDEX([3]Sheet1!$B$4:$B$23,MATCH(K136,[3]Sheet1!$B$4:$B$23,1)+1,1)-INDEX([3]Sheet1!$B$4:$B$23,
MATCH(K136,[3]Sheet1!$B$4:$B$23,1),1))*(INDEX([3]Sheet1!$C$4:$Q$23,MATCH(K136,[3]Sheet1!$B$4:$B$23,1)+1,MATCH(D136,[3]Sheet1!$C$3:$Q$3,1))-INDEX([3]Sheet1!$C$4:$Q$23,
MATCH(K136,[3]Sheet1!$B$4:$B$23,1),MATCH(D136,[3]Sheet1!$C$3:$Q$3,1)))
+(D136-INDEX([3]Sheet1!$C$3:$Q$3,1,MATCH(D136,[3]Sheet1!$C$3:$Q$3)))/(INDEX([3]Sheet1!$C$3:$Q$3,1,MATCH(D136,[3]Sheet1!$C$3:$Q$3)+1)-INDEX([3]Sheet1!$C$3:$Q$3,1,MATCH(
D136,[3]Sheet1!$C$3:$Q$3)))*(INDEX([3]Sheet1!$C$4:$Q$23,MATCH(K136,[3]Sheet1!$B$4:$B$23,1),MATCH(D136,[3]Sheet1!$C$3:$Q$3,1)+1)-INDEX([3]Sheet1!$C$4:$Q$23,MATCH(K136,[3]Sheet1!$B$4:$B$23,1),MATCH(D136,[3]Sheet1!$C$3:$Q$3,1))))</f>
        <v>0</v>
      </c>
      <c r="M136" cm="1">
        <f t="array" ref="M136" xml:space="preserve"> IF(E136*J136=0,0,(INDEX([2]Sheet1!$C$4:$Q$23,MATCH(K136,[2]Sheet1!$B$4:$B$23,1),MATCH(D136,[2]Sheet1!$C$3:$Q$3,1))
+ (K136 - INDEX([2]Sheet1!$B$4:$B$23,MATCH(K136,[2]Sheet1!$B$4:$B$23,1),1))/(INDEX([2]Sheet1!$B$4:$B$23,MATCH(K136,[2]Sheet1!$B$4:$B$23,1)+1,1) - INDEX([2]Sheet1!$B$4:$B$23,MATCH(K136,[2]Sheet1!$B$4:$B$23,1),1))*(INDEX([2]Sheet1!$C$4:$Q$23,MATCH(K136,[2]Sheet1!$B$4:$B$23,1)+1,MATCH(D136,[2]Sheet1!$C$3:$Q$3,1)) - INDEX([2]Sheet1!$C$4:$Q$23,MATCH(K136,[2]Sheet1!$B$4:$B$23,1),MATCH(D136,[2]Sheet1!$C$3:$Q$3,1)))
+ (D136 - INDEX([2]Sheet1!$C$3:$Q$3,1,MATCH(D136,[2]Sheet1!$C$3:$Q$3)))/(INDEX([2]Sheet1!$C$3:$Q$3,1,MATCH(D136,[2]Sheet1!$C$3:$Q$3)+1) - INDEX([2]Sheet1!$C$3:$Q$3,1,MATCH(D136,[2]Sheet1!$C$3:$Q$3)))*(
INDEX([2]Sheet1!$C$4:$Q$23,MATCH(K136,[2]Sheet1!$B$4:$B$23,1),MATCH(D136,[2]Sheet1!$C$3:$Q$3,1)+1) - INDEX([2]Sheet1!$C$4:$Q$23,MATCH(K136,[2]Sheet1!$B$4:$B$23,1),MATCH(D136,[2]Sheet1!$C$3:$Q$3,1)))))</f>
        <v>0</v>
      </c>
      <c r="N136">
        <f t="shared" si="44"/>
        <v>12</v>
      </c>
      <c r="O136">
        <v>9.4315459476630795E-2</v>
      </c>
      <c r="P136" t="e">
        <f t="shared" si="45"/>
        <v>#DIV/0!</v>
      </c>
      <c r="Q136">
        <f t="shared" si="32"/>
        <v>0</v>
      </c>
      <c r="R136">
        <f t="shared" si="46"/>
        <v>741.9099431943954</v>
      </c>
      <c r="T136" t="e">
        <f t="shared" si="35"/>
        <v>#DIV/0!</v>
      </c>
      <c r="U136" t="e">
        <f t="shared" si="36"/>
        <v>#DIV/0!</v>
      </c>
      <c r="V136">
        <f t="shared" si="37"/>
        <v>0</v>
      </c>
      <c r="W136" t="e">
        <f t="shared" si="33"/>
        <v>#DIV/0!</v>
      </c>
    </row>
    <row r="137" spans="1:23" x14ac:dyDescent="0.55000000000000004">
      <c r="A137">
        <f t="shared" si="34"/>
        <v>10.299999999999979</v>
      </c>
      <c r="B137">
        <f t="shared" si="38"/>
        <v>0.316</v>
      </c>
      <c r="C137">
        <f t="shared" si="39"/>
        <v>-1.7173913043478128</v>
      </c>
      <c r="D137">
        <v>2.4715826644571997</v>
      </c>
      <c r="E137">
        <f t="shared" si="29"/>
        <v>0</v>
      </c>
      <c r="F137">
        <f t="shared" si="40"/>
        <v>4.8605058816845369E-2</v>
      </c>
      <c r="G137">
        <f t="shared" si="41"/>
        <v>39.513748498891111</v>
      </c>
      <c r="H137">
        <f t="shared" si="42"/>
        <v>0</v>
      </c>
      <c r="I137" s="1">
        <f t="shared" si="30"/>
        <v>0</v>
      </c>
      <c r="J137">
        <f t="shared" si="43"/>
        <v>0</v>
      </c>
      <c r="K137">
        <f t="shared" si="31"/>
        <v>0</v>
      </c>
      <c r="L137" cm="1">
        <f t="array" ref="L137">IF(E137*J137=0,0,$C$21*INDEX([3]Sheet1!$C$4:$Q$23,MATCH(K137,[3]Sheet1!$B$4:$B$23,1),MATCH(D137,[3]Sheet1!$C$3:$Q$3,1))
+(K137-INDEX([3]Sheet1!$B$4:$B$23,MATCH(K137,[3]Sheet1!$B$4:$B$23,1),1))/(INDEX([3]Sheet1!$B$4:$B$23,MATCH(K137,[3]Sheet1!$B$4:$B$23,1)+1,1)-INDEX([3]Sheet1!$B$4:$B$23,
MATCH(K137,[3]Sheet1!$B$4:$B$23,1),1))*(INDEX([3]Sheet1!$C$4:$Q$23,MATCH(K137,[3]Sheet1!$B$4:$B$23,1)+1,MATCH(D137,[3]Sheet1!$C$3:$Q$3,1))-INDEX([3]Sheet1!$C$4:$Q$23,
MATCH(K137,[3]Sheet1!$B$4:$B$23,1),MATCH(D137,[3]Sheet1!$C$3:$Q$3,1)))
+(D137-INDEX([3]Sheet1!$C$3:$Q$3,1,MATCH(D137,[3]Sheet1!$C$3:$Q$3)))/(INDEX([3]Sheet1!$C$3:$Q$3,1,MATCH(D137,[3]Sheet1!$C$3:$Q$3)+1)-INDEX([3]Sheet1!$C$3:$Q$3,1,MATCH(
D137,[3]Sheet1!$C$3:$Q$3)))*(INDEX([3]Sheet1!$C$4:$Q$23,MATCH(K137,[3]Sheet1!$B$4:$B$23,1),MATCH(D137,[3]Sheet1!$C$3:$Q$3,1)+1)-INDEX([3]Sheet1!$C$4:$Q$23,MATCH(K137,[3]Sheet1!$B$4:$B$23,1),MATCH(D137,[3]Sheet1!$C$3:$Q$3,1))))</f>
        <v>0</v>
      </c>
      <c r="M137" cm="1">
        <f t="array" ref="M137" xml:space="preserve"> IF(E137*J137=0,0,(INDEX([2]Sheet1!$C$4:$Q$23,MATCH(K137,[2]Sheet1!$B$4:$B$23,1),MATCH(D137,[2]Sheet1!$C$3:$Q$3,1))
+ (K137 - INDEX([2]Sheet1!$B$4:$B$23,MATCH(K137,[2]Sheet1!$B$4:$B$23,1),1))/(INDEX([2]Sheet1!$B$4:$B$23,MATCH(K137,[2]Sheet1!$B$4:$B$23,1)+1,1) - INDEX([2]Sheet1!$B$4:$B$23,MATCH(K137,[2]Sheet1!$B$4:$B$23,1),1))*(INDEX([2]Sheet1!$C$4:$Q$23,MATCH(K137,[2]Sheet1!$B$4:$B$23,1)+1,MATCH(D137,[2]Sheet1!$C$3:$Q$3,1)) - INDEX([2]Sheet1!$C$4:$Q$23,MATCH(K137,[2]Sheet1!$B$4:$B$23,1),MATCH(D137,[2]Sheet1!$C$3:$Q$3,1)))
+ (D137 - INDEX([2]Sheet1!$C$3:$Q$3,1,MATCH(D137,[2]Sheet1!$C$3:$Q$3)))/(INDEX([2]Sheet1!$C$3:$Q$3,1,MATCH(D137,[2]Sheet1!$C$3:$Q$3)+1) - INDEX([2]Sheet1!$C$3:$Q$3,1,MATCH(D137,[2]Sheet1!$C$3:$Q$3)))*(
INDEX([2]Sheet1!$C$4:$Q$23,MATCH(K137,[2]Sheet1!$B$4:$B$23,1),MATCH(D137,[2]Sheet1!$C$3:$Q$3,1)+1) - INDEX([2]Sheet1!$C$4:$Q$23,MATCH(K137,[2]Sheet1!$B$4:$B$23,1),MATCH(D137,[2]Sheet1!$C$3:$Q$3,1)))))</f>
        <v>0</v>
      </c>
      <c r="N137">
        <f t="shared" si="44"/>
        <v>12</v>
      </c>
      <c r="O137">
        <v>9.4279220247566201E-2</v>
      </c>
      <c r="P137" t="e">
        <f t="shared" si="45"/>
        <v>#DIV/0!</v>
      </c>
      <c r="Q137">
        <f t="shared" si="32"/>
        <v>0</v>
      </c>
      <c r="R137">
        <f t="shared" si="46"/>
        <v>741.9099431943954</v>
      </c>
      <c r="T137" t="e">
        <f t="shared" si="35"/>
        <v>#DIV/0!</v>
      </c>
      <c r="U137" t="e">
        <f t="shared" si="36"/>
        <v>#DIV/0!</v>
      </c>
      <c r="V137">
        <f t="shared" si="37"/>
        <v>0</v>
      </c>
      <c r="W137" t="e">
        <f t="shared" si="33"/>
        <v>#DIV/0!</v>
      </c>
    </row>
    <row r="138" spans="1:23" x14ac:dyDescent="0.55000000000000004">
      <c r="A138">
        <f t="shared" si="34"/>
        <v>10.399999999999979</v>
      </c>
      <c r="B138">
        <f t="shared" si="38"/>
        <v>0.316</v>
      </c>
      <c r="C138">
        <f t="shared" si="39"/>
        <v>-1.7826086956521614</v>
      </c>
      <c r="D138">
        <v>2.4714099077953446</v>
      </c>
      <c r="E138">
        <f t="shared" si="29"/>
        <v>0</v>
      </c>
      <c r="F138">
        <f t="shared" si="40"/>
        <v>4.8605058816845369E-2</v>
      </c>
      <c r="G138">
        <f t="shared" si="41"/>
        <v>39.513748498891111</v>
      </c>
      <c r="H138">
        <f t="shared" si="42"/>
        <v>0</v>
      </c>
      <c r="I138" s="1">
        <f t="shared" si="30"/>
        <v>0</v>
      </c>
      <c r="J138">
        <f t="shared" si="43"/>
        <v>0</v>
      </c>
      <c r="K138">
        <f t="shared" si="31"/>
        <v>0</v>
      </c>
      <c r="L138" cm="1">
        <f t="array" ref="L138">IF(E138*J138=0,0,$C$21*INDEX([3]Sheet1!$C$4:$Q$23,MATCH(K138,[3]Sheet1!$B$4:$B$23,1),MATCH(D138,[3]Sheet1!$C$3:$Q$3,1))
+(K138-INDEX([3]Sheet1!$B$4:$B$23,MATCH(K138,[3]Sheet1!$B$4:$B$23,1),1))/(INDEX([3]Sheet1!$B$4:$B$23,MATCH(K138,[3]Sheet1!$B$4:$B$23,1)+1,1)-INDEX([3]Sheet1!$B$4:$B$23,
MATCH(K138,[3]Sheet1!$B$4:$B$23,1),1))*(INDEX([3]Sheet1!$C$4:$Q$23,MATCH(K138,[3]Sheet1!$B$4:$B$23,1)+1,MATCH(D138,[3]Sheet1!$C$3:$Q$3,1))-INDEX([3]Sheet1!$C$4:$Q$23,
MATCH(K138,[3]Sheet1!$B$4:$B$23,1),MATCH(D138,[3]Sheet1!$C$3:$Q$3,1)))
+(D138-INDEX([3]Sheet1!$C$3:$Q$3,1,MATCH(D138,[3]Sheet1!$C$3:$Q$3)))/(INDEX([3]Sheet1!$C$3:$Q$3,1,MATCH(D138,[3]Sheet1!$C$3:$Q$3)+1)-INDEX([3]Sheet1!$C$3:$Q$3,1,MATCH(
D138,[3]Sheet1!$C$3:$Q$3)))*(INDEX([3]Sheet1!$C$4:$Q$23,MATCH(K138,[3]Sheet1!$B$4:$B$23,1),MATCH(D138,[3]Sheet1!$C$3:$Q$3,1)+1)-INDEX([3]Sheet1!$C$4:$Q$23,MATCH(K138,[3]Sheet1!$B$4:$B$23,1),MATCH(D138,[3]Sheet1!$C$3:$Q$3,1))))</f>
        <v>0</v>
      </c>
      <c r="M138" cm="1">
        <f t="array" ref="M138" xml:space="preserve"> IF(E138*J138=0,0,(INDEX([2]Sheet1!$C$4:$Q$23,MATCH(K138,[2]Sheet1!$B$4:$B$23,1),MATCH(D138,[2]Sheet1!$C$3:$Q$3,1))
+ (K138 - INDEX([2]Sheet1!$B$4:$B$23,MATCH(K138,[2]Sheet1!$B$4:$B$23,1),1))/(INDEX([2]Sheet1!$B$4:$B$23,MATCH(K138,[2]Sheet1!$B$4:$B$23,1)+1,1) - INDEX([2]Sheet1!$B$4:$B$23,MATCH(K138,[2]Sheet1!$B$4:$B$23,1),1))*(INDEX([2]Sheet1!$C$4:$Q$23,MATCH(K138,[2]Sheet1!$B$4:$B$23,1)+1,MATCH(D138,[2]Sheet1!$C$3:$Q$3,1)) - INDEX([2]Sheet1!$C$4:$Q$23,MATCH(K138,[2]Sheet1!$B$4:$B$23,1),MATCH(D138,[2]Sheet1!$C$3:$Q$3,1)))
+ (D138 - INDEX([2]Sheet1!$C$3:$Q$3,1,MATCH(D138,[2]Sheet1!$C$3:$Q$3)))/(INDEX([2]Sheet1!$C$3:$Q$3,1,MATCH(D138,[2]Sheet1!$C$3:$Q$3)+1) - INDEX([2]Sheet1!$C$3:$Q$3,1,MATCH(D138,[2]Sheet1!$C$3:$Q$3)))*(
INDEX([2]Sheet1!$C$4:$Q$23,MATCH(K138,[2]Sheet1!$B$4:$B$23,1),MATCH(D138,[2]Sheet1!$C$3:$Q$3,1)+1) - INDEX([2]Sheet1!$C$4:$Q$23,MATCH(K138,[2]Sheet1!$B$4:$B$23,1),MATCH(D138,[2]Sheet1!$C$3:$Q$3,1)))))</f>
        <v>0</v>
      </c>
      <c r="N138">
        <f t="shared" si="44"/>
        <v>12</v>
      </c>
      <c r="O138">
        <v>9.4243109644255557E-2</v>
      </c>
      <c r="P138" t="e">
        <f t="shared" si="45"/>
        <v>#DIV/0!</v>
      </c>
      <c r="Q138">
        <f t="shared" si="32"/>
        <v>0</v>
      </c>
      <c r="R138">
        <f t="shared" si="46"/>
        <v>741.9099431943954</v>
      </c>
      <c r="T138" t="e">
        <f t="shared" si="35"/>
        <v>#DIV/0!</v>
      </c>
      <c r="U138" t="e">
        <f t="shared" si="36"/>
        <v>#DIV/0!</v>
      </c>
      <c r="V138">
        <f t="shared" si="37"/>
        <v>0</v>
      </c>
      <c r="W138" t="e">
        <f t="shared" si="33"/>
        <v>#DIV/0!</v>
      </c>
    </row>
    <row r="139" spans="1:23" x14ac:dyDescent="0.55000000000000004">
      <c r="A139">
        <f t="shared" si="34"/>
        <v>10.499999999999979</v>
      </c>
      <c r="B139">
        <f t="shared" si="38"/>
        <v>0.316</v>
      </c>
      <c r="C139">
        <f t="shared" si="39"/>
        <v>-1.8478260869565082</v>
      </c>
      <c r="D139">
        <v>2.4712376947500401</v>
      </c>
      <c r="E139">
        <f t="shared" si="29"/>
        <v>0</v>
      </c>
      <c r="F139">
        <f t="shared" si="40"/>
        <v>4.8605058816845369E-2</v>
      </c>
      <c r="G139">
        <f t="shared" si="41"/>
        <v>39.513748498891111</v>
      </c>
      <c r="H139">
        <f t="shared" si="42"/>
        <v>0</v>
      </c>
      <c r="I139" s="1">
        <f t="shared" si="30"/>
        <v>0</v>
      </c>
      <c r="J139">
        <f t="shared" si="43"/>
        <v>0</v>
      </c>
      <c r="K139">
        <f t="shared" si="31"/>
        <v>0</v>
      </c>
      <c r="L139" cm="1">
        <f t="array" ref="L139">IF(E139*J139=0,0,$C$21*INDEX([3]Sheet1!$C$4:$Q$23,MATCH(K139,[3]Sheet1!$B$4:$B$23,1),MATCH(D139,[3]Sheet1!$C$3:$Q$3,1))
+(K139-INDEX([3]Sheet1!$B$4:$B$23,MATCH(K139,[3]Sheet1!$B$4:$B$23,1),1))/(INDEX([3]Sheet1!$B$4:$B$23,MATCH(K139,[3]Sheet1!$B$4:$B$23,1)+1,1)-INDEX([3]Sheet1!$B$4:$B$23,
MATCH(K139,[3]Sheet1!$B$4:$B$23,1),1))*(INDEX([3]Sheet1!$C$4:$Q$23,MATCH(K139,[3]Sheet1!$B$4:$B$23,1)+1,MATCH(D139,[3]Sheet1!$C$3:$Q$3,1))-INDEX([3]Sheet1!$C$4:$Q$23,
MATCH(K139,[3]Sheet1!$B$4:$B$23,1),MATCH(D139,[3]Sheet1!$C$3:$Q$3,1)))
+(D139-INDEX([3]Sheet1!$C$3:$Q$3,1,MATCH(D139,[3]Sheet1!$C$3:$Q$3)))/(INDEX([3]Sheet1!$C$3:$Q$3,1,MATCH(D139,[3]Sheet1!$C$3:$Q$3)+1)-INDEX([3]Sheet1!$C$3:$Q$3,1,MATCH(
D139,[3]Sheet1!$C$3:$Q$3)))*(INDEX([3]Sheet1!$C$4:$Q$23,MATCH(K139,[3]Sheet1!$B$4:$B$23,1),MATCH(D139,[3]Sheet1!$C$3:$Q$3,1)+1)-INDEX([3]Sheet1!$C$4:$Q$23,MATCH(K139,[3]Sheet1!$B$4:$B$23,1),MATCH(D139,[3]Sheet1!$C$3:$Q$3,1))))</f>
        <v>0</v>
      </c>
      <c r="M139" cm="1">
        <f t="array" ref="M139" xml:space="preserve"> IF(E139*J139=0,0,(INDEX([2]Sheet1!$C$4:$Q$23,MATCH(K139,[2]Sheet1!$B$4:$B$23,1),MATCH(D139,[2]Sheet1!$C$3:$Q$3,1))
+ (K139 - INDEX([2]Sheet1!$B$4:$B$23,MATCH(K139,[2]Sheet1!$B$4:$B$23,1),1))/(INDEX([2]Sheet1!$B$4:$B$23,MATCH(K139,[2]Sheet1!$B$4:$B$23,1)+1,1) - INDEX([2]Sheet1!$B$4:$B$23,MATCH(K139,[2]Sheet1!$B$4:$B$23,1),1))*(INDEX([2]Sheet1!$C$4:$Q$23,MATCH(K139,[2]Sheet1!$B$4:$B$23,1)+1,MATCH(D139,[2]Sheet1!$C$3:$Q$3,1)) - INDEX([2]Sheet1!$C$4:$Q$23,MATCH(K139,[2]Sheet1!$B$4:$B$23,1),MATCH(D139,[2]Sheet1!$C$3:$Q$3,1)))
+ (D139 - INDEX([2]Sheet1!$C$3:$Q$3,1,MATCH(D139,[2]Sheet1!$C$3:$Q$3)))/(INDEX([2]Sheet1!$C$3:$Q$3,1,MATCH(D139,[2]Sheet1!$C$3:$Q$3)+1) - INDEX([2]Sheet1!$C$3:$Q$3,1,MATCH(D139,[2]Sheet1!$C$3:$Q$3)))*(
INDEX([2]Sheet1!$C$4:$Q$23,MATCH(K139,[2]Sheet1!$B$4:$B$23,1),MATCH(D139,[2]Sheet1!$C$3:$Q$3,1)+1) - INDEX([2]Sheet1!$C$4:$Q$23,MATCH(K139,[2]Sheet1!$B$4:$B$23,1),MATCH(D139,[2]Sheet1!$C$3:$Q$3,1)))))</f>
        <v>0</v>
      </c>
      <c r="N139">
        <f t="shared" si="44"/>
        <v>12</v>
      </c>
      <c r="O139">
        <v>9.4207126786580192E-2</v>
      </c>
      <c r="P139" t="e">
        <f t="shared" si="45"/>
        <v>#DIV/0!</v>
      </c>
      <c r="Q139">
        <f t="shared" si="32"/>
        <v>0</v>
      </c>
      <c r="R139">
        <f t="shared" si="46"/>
        <v>741.9099431943954</v>
      </c>
      <c r="T139" t="e">
        <f t="shared" si="35"/>
        <v>#DIV/0!</v>
      </c>
      <c r="U139" t="e">
        <f t="shared" si="36"/>
        <v>#DIV/0!</v>
      </c>
      <c r="V139">
        <f t="shared" si="37"/>
        <v>0</v>
      </c>
      <c r="W139" t="e">
        <f t="shared" si="33"/>
        <v>#DIV/0!</v>
      </c>
    </row>
    <row r="140" spans="1:23" x14ac:dyDescent="0.55000000000000004">
      <c r="A140">
        <f t="shared" si="34"/>
        <v>10.599999999999978</v>
      </c>
      <c r="B140">
        <f t="shared" si="38"/>
        <v>0.316</v>
      </c>
      <c r="C140">
        <f t="shared" si="39"/>
        <v>-1.9130434782608559</v>
      </c>
      <c r="D140">
        <v>2.4710660218121769</v>
      </c>
      <c r="E140">
        <f t="shared" si="29"/>
        <v>0</v>
      </c>
      <c r="F140">
        <f t="shared" si="40"/>
        <v>4.8605058816845369E-2</v>
      </c>
      <c r="G140">
        <f t="shared" si="41"/>
        <v>39.513748498891111</v>
      </c>
      <c r="H140">
        <f t="shared" si="42"/>
        <v>0</v>
      </c>
      <c r="I140" s="1">
        <f t="shared" si="30"/>
        <v>0</v>
      </c>
      <c r="J140">
        <f t="shared" si="43"/>
        <v>0</v>
      </c>
      <c r="K140">
        <f t="shared" si="31"/>
        <v>0</v>
      </c>
      <c r="L140" cm="1">
        <f t="array" ref="L140">IF(E140*J140=0,0,$C$21*INDEX([3]Sheet1!$C$4:$Q$23,MATCH(K140,[3]Sheet1!$B$4:$B$23,1),MATCH(D140,[3]Sheet1!$C$3:$Q$3,1))
+(K140-INDEX([3]Sheet1!$B$4:$B$23,MATCH(K140,[3]Sheet1!$B$4:$B$23,1),1))/(INDEX([3]Sheet1!$B$4:$B$23,MATCH(K140,[3]Sheet1!$B$4:$B$23,1)+1,1)-INDEX([3]Sheet1!$B$4:$B$23,
MATCH(K140,[3]Sheet1!$B$4:$B$23,1),1))*(INDEX([3]Sheet1!$C$4:$Q$23,MATCH(K140,[3]Sheet1!$B$4:$B$23,1)+1,MATCH(D140,[3]Sheet1!$C$3:$Q$3,1))-INDEX([3]Sheet1!$C$4:$Q$23,
MATCH(K140,[3]Sheet1!$B$4:$B$23,1),MATCH(D140,[3]Sheet1!$C$3:$Q$3,1)))
+(D140-INDEX([3]Sheet1!$C$3:$Q$3,1,MATCH(D140,[3]Sheet1!$C$3:$Q$3)))/(INDEX([3]Sheet1!$C$3:$Q$3,1,MATCH(D140,[3]Sheet1!$C$3:$Q$3)+1)-INDEX([3]Sheet1!$C$3:$Q$3,1,MATCH(
D140,[3]Sheet1!$C$3:$Q$3)))*(INDEX([3]Sheet1!$C$4:$Q$23,MATCH(K140,[3]Sheet1!$B$4:$B$23,1),MATCH(D140,[3]Sheet1!$C$3:$Q$3,1)+1)-INDEX([3]Sheet1!$C$4:$Q$23,MATCH(K140,[3]Sheet1!$B$4:$B$23,1),MATCH(D140,[3]Sheet1!$C$3:$Q$3,1))))</f>
        <v>0</v>
      </c>
      <c r="M140" cm="1">
        <f t="array" ref="M140" xml:space="preserve"> IF(E140*J140=0,0,(INDEX([2]Sheet1!$C$4:$Q$23,MATCH(K140,[2]Sheet1!$B$4:$B$23,1),MATCH(D140,[2]Sheet1!$C$3:$Q$3,1))
+ (K140 - INDEX([2]Sheet1!$B$4:$B$23,MATCH(K140,[2]Sheet1!$B$4:$B$23,1),1))/(INDEX([2]Sheet1!$B$4:$B$23,MATCH(K140,[2]Sheet1!$B$4:$B$23,1)+1,1) - INDEX([2]Sheet1!$B$4:$B$23,MATCH(K140,[2]Sheet1!$B$4:$B$23,1),1))*(INDEX([2]Sheet1!$C$4:$Q$23,MATCH(K140,[2]Sheet1!$B$4:$B$23,1)+1,MATCH(D140,[2]Sheet1!$C$3:$Q$3,1)) - INDEX([2]Sheet1!$C$4:$Q$23,MATCH(K140,[2]Sheet1!$B$4:$B$23,1),MATCH(D140,[2]Sheet1!$C$3:$Q$3,1)))
+ (D140 - INDEX([2]Sheet1!$C$3:$Q$3,1,MATCH(D140,[2]Sheet1!$C$3:$Q$3)))/(INDEX([2]Sheet1!$C$3:$Q$3,1,MATCH(D140,[2]Sheet1!$C$3:$Q$3)+1) - INDEX([2]Sheet1!$C$3:$Q$3,1,MATCH(D140,[2]Sheet1!$C$3:$Q$3)))*(
INDEX([2]Sheet1!$C$4:$Q$23,MATCH(K140,[2]Sheet1!$B$4:$B$23,1),MATCH(D140,[2]Sheet1!$C$3:$Q$3,1)+1) - INDEX([2]Sheet1!$C$4:$Q$23,MATCH(K140,[2]Sheet1!$B$4:$B$23,1),MATCH(D140,[2]Sheet1!$C$3:$Q$3,1)))))</f>
        <v>0</v>
      </c>
      <c r="N140">
        <f t="shared" si="44"/>
        <v>12</v>
      </c>
      <c r="O140">
        <v>9.4171270803316998E-2</v>
      </c>
      <c r="P140" t="e">
        <f t="shared" si="45"/>
        <v>#DIV/0!</v>
      </c>
      <c r="Q140">
        <f t="shared" si="32"/>
        <v>0</v>
      </c>
      <c r="R140">
        <f t="shared" si="46"/>
        <v>741.9099431943954</v>
      </c>
      <c r="T140" t="e">
        <f t="shared" si="35"/>
        <v>#DIV/0!</v>
      </c>
      <c r="U140" t="e">
        <f t="shared" si="36"/>
        <v>#DIV/0!</v>
      </c>
      <c r="V140">
        <f t="shared" si="37"/>
        <v>0</v>
      </c>
      <c r="W140" t="e">
        <f t="shared" si="33"/>
        <v>#DIV/0!</v>
      </c>
    </row>
    <row r="141" spans="1:23" x14ac:dyDescent="0.55000000000000004">
      <c r="A141">
        <f t="shared" si="34"/>
        <v>10.699999999999978</v>
      </c>
      <c r="B141">
        <f t="shared" si="38"/>
        <v>0.316</v>
      </c>
      <c r="C141">
        <f t="shared" si="39"/>
        <v>-1.9782608695652044</v>
      </c>
      <c r="D141">
        <v>2.4708948855066901</v>
      </c>
      <c r="E141">
        <f t="shared" si="29"/>
        <v>0</v>
      </c>
      <c r="F141">
        <f t="shared" si="40"/>
        <v>4.8605058816845369E-2</v>
      </c>
      <c r="G141">
        <f t="shared" si="41"/>
        <v>39.513748498891111</v>
      </c>
      <c r="H141">
        <f t="shared" si="42"/>
        <v>0</v>
      </c>
      <c r="I141" s="1">
        <f t="shared" si="30"/>
        <v>0</v>
      </c>
      <c r="J141">
        <f t="shared" si="43"/>
        <v>0</v>
      </c>
      <c r="K141">
        <f t="shared" si="31"/>
        <v>0</v>
      </c>
      <c r="L141" cm="1">
        <f t="array" ref="L141">IF(E141*J141=0,0,$C$21*INDEX([3]Sheet1!$C$4:$Q$23,MATCH(K141,[3]Sheet1!$B$4:$B$23,1),MATCH(D141,[3]Sheet1!$C$3:$Q$3,1))
+(K141-INDEX([3]Sheet1!$B$4:$B$23,MATCH(K141,[3]Sheet1!$B$4:$B$23,1),1))/(INDEX([3]Sheet1!$B$4:$B$23,MATCH(K141,[3]Sheet1!$B$4:$B$23,1)+1,1)-INDEX([3]Sheet1!$B$4:$B$23,
MATCH(K141,[3]Sheet1!$B$4:$B$23,1),1))*(INDEX([3]Sheet1!$C$4:$Q$23,MATCH(K141,[3]Sheet1!$B$4:$B$23,1)+1,MATCH(D141,[3]Sheet1!$C$3:$Q$3,1))-INDEX([3]Sheet1!$C$4:$Q$23,
MATCH(K141,[3]Sheet1!$B$4:$B$23,1),MATCH(D141,[3]Sheet1!$C$3:$Q$3,1)))
+(D141-INDEX([3]Sheet1!$C$3:$Q$3,1,MATCH(D141,[3]Sheet1!$C$3:$Q$3)))/(INDEX([3]Sheet1!$C$3:$Q$3,1,MATCH(D141,[3]Sheet1!$C$3:$Q$3)+1)-INDEX([3]Sheet1!$C$3:$Q$3,1,MATCH(
D141,[3]Sheet1!$C$3:$Q$3)))*(INDEX([3]Sheet1!$C$4:$Q$23,MATCH(K141,[3]Sheet1!$B$4:$B$23,1),MATCH(D141,[3]Sheet1!$C$3:$Q$3,1)+1)-INDEX([3]Sheet1!$C$4:$Q$23,MATCH(K141,[3]Sheet1!$B$4:$B$23,1),MATCH(D141,[3]Sheet1!$C$3:$Q$3,1))))</f>
        <v>0</v>
      </c>
      <c r="M141" cm="1">
        <f t="array" ref="M141" xml:space="preserve"> IF(E141*J141=0,0,(INDEX([2]Sheet1!$C$4:$Q$23,MATCH(K141,[2]Sheet1!$B$4:$B$23,1),MATCH(D141,[2]Sheet1!$C$3:$Q$3,1))
+ (K141 - INDEX([2]Sheet1!$B$4:$B$23,MATCH(K141,[2]Sheet1!$B$4:$B$23,1),1))/(INDEX([2]Sheet1!$B$4:$B$23,MATCH(K141,[2]Sheet1!$B$4:$B$23,1)+1,1) - INDEX([2]Sheet1!$B$4:$B$23,MATCH(K141,[2]Sheet1!$B$4:$B$23,1),1))*(INDEX([2]Sheet1!$C$4:$Q$23,MATCH(K141,[2]Sheet1!$B$4:$B$23,1)+1,MATCH(D141,[2]Sheet1!$C$3:$Q$3,1)) - INDEX([2]Sheet1!$C$4:$Q$23,MATCH(K141,[2]Sheet1!$B$4:$B$23,1),MATCH(D141,[2]Sheet1!$C$3:$Q$3,1)))
+ (D141 - INDEX([2]Sheet1!$C$3:$Q$3,1,MATCH(D141,[2]Sheet1!$C$3:$Q$3)))/(INDEX([2]Sheet1!$C$3:$Q$3,1,MATCH(D141,[2]Sheet1!$C$3:$Q$3)+1) - INDEX([2]Sheet1!$C$3:$Q$3,1,MATCH(D141,[2]Sheet1!$C$3:$Q$3)))*(
INDEX([2]Sheet1!$C$4:$Q$23,MATCH(K141,[2]Sheet1!$B$4:$B$23,1),MATCH(D141,[2]Sheet1!$C$3:$Q$3,1)+1) - INDEX([2]Sheet1!$C$4:$Q$23,MATCH(K141,[2]Sheet1!$B$4:$B$23,1),MATCH(D141,[2]Sheet1!$C$3:$Q$3,1)))))</f>
        <v>0</v>
      </c>
      <c r="N141">
        <f t="shared" si="44"/>
        <v>12</v>
      </c>
      <c r="O141">
        <v>9.4135540832019443E-2</v>
      </c>
      <c r="P141" t="e">
        <f t="shared" si="45"/>
        <v>#DIV/0!</v>
      </c>
      <c r="Q141">
        <f t="shared" si="32"/>
        <v>0</v>
      </c>
      <c r="R141">
        <f t="shared" si="46"/>
        <v>741.9099431943954</v>
      </c>
      <c r="T141" t="e">
        <f t="shared" si="35"/>
        <v>#DIV/0!</v>
      </c>
      <c r="U141" t="e">
        <f t="shared" si="36"/>
        <v>#DIV/0!</v>
      </c>
      <c r="V141">
        <f t="shared" si="37"/>
        <v>0</v>
      </c>
      <c r="W141" t="e">
        <f t="shared" si="33"/>
        <v>#DIV/0!</v>
      </c>
    </row>
    <row r="142" spans="1:23" x14ac:dyDescent="0.55000000000000004">
      <c r="A142">
        <f t="shared" si="34"/>
        <v>10.799999999999978</v>
      </c>
      <c r="B142">
        <f t="shared" si="38"/>
        <v>0.316</v>
      </c>
      <c r="C142">
        <f t="shared" si="39"/>
        <v>-2.0434782608695512</v>
      </c>
      <c r="D142">
        <v>2.4707242823921169</v>
      </c>
      <c r="E142">
        <f t="shared" si="29"/>
        <v>0</v>
      </c>
      <c r="F142">
        <f t="shared" si="40"/>
        <v>4.8605058816845369E-2</v>
      </c>
      <c r="G142">
        <f t="shared" si="41"/>
        <v>39.513748498891111</v>
      </c>
      <c r="H142">
        <f t="shared" si="42"/>
        <v>0</v>
      </c>
      <c r="I142" s="1">
        <f t="shared" si="30"/>
        <v>0</v>
      </c>
      <c r="J142">
        <f t="shared" si="43"/>
        <v>0</v>
      </c>
      <c r="K142">
        <f t="shared" si="31"/>
        <v>0</v>
      </c>
      <c r="L142" cm="1">
        <f t="array" ref="L142">IF(E142*J142=0,0,$C$21*INDEX([3]Sheet1!$C$4:$Q$23,MATCH(K142,[3]Sheet1!$B$4:$B$23,1),MATCH(D142,[3]Sheet1!$C$3:$Q$3,1))
+(K142-INDEX([3]Sheet1!$B$4:$B$23,MATCH(K142,[3]Sheet1!$B$4:$B$23,1),1))/(INDEX([3]Sheet1!$B$4:$B$23,MATCH(K142,[3]Sheet1!$B$4:$B$23,1)+1,1)-INDEX([3]Sheet1!$B$4:$B$23,
MATCH(K142,[3]Sheet1!$B$4:$B$23,1),1))*(INDEX([3]Sheet1!$C$4:$Q$23,MATCH(K142,[3]Sheet1!$B$4:$B$23,1)+1,MATCH(D142,[3]Sheet1!$C$3:$Q$3,1))-INDEX([3]Sheet1!$C$4:$Q$23,
MATCH(K142,[3]Sheet1!$B$4:$B$23,1),MATCH(D142,[3]Sheet1!$C$3:$Q$3,1)))
+(D142-INDEX([3]Sheet1!$C$3:$Q$3,1,MATCH(D142,[3]Sheet1!$C$3:$Q$3)))/(INDEX([3]Sheet1!$C$3:$Q$3,1,MATCH(D142,[3]Sheet1!$C$3:$Q$3)+1)-INDEX([3]Sheet1!$C$3:$Q$3,1,MATCH(
D142,[3]Sheet1!$C$3:$Q$3)))*(INDEX([3]Sheet1!$C$4:$Q$23,MATCH(K142,[3]Sheet1!$B$4:$B$23,1),MATCH(D142,[3]Sheet1!$C$3:$Q$3,1)+1)-INDEX([3]Sheet1!$C$4:$Q$23,MATCH(K142,[3]Sheet1!$B$4:$B$23,1),MATCH(D142,[3]Sheet1!$C$3:$Q$3,1))))</f>
        <v>0</v>
      </c>
      <c r="M142" cm="1">
        <f t="array" ref="M142" xml:space="preserve"> IF(E142*J142=0,0,(INDEX([2]Sheet1!$C$4:$Q$23,MATCH(K142,[2]Sheet1!$B$4:$B$23,1),MATCH(D142,[2]Sheet1!$C$3:$Q$3,1))
+ (K142 - INDEX([2]Sheet1!$B$4:$B$23,MATCH(K142,[2]Sheet1!$B$4:$B$23,1),1))/(INDEX([2]Sheet1!$B$4:$B$23,MATCH(K142,[2]Sheet1!$B$4:$B$23,1)+1,1) - INDEX([2]Sheet1!$B$4:$B$23,MATCH(K142,[2]Sheet1!$B$4:$B$23,1),1))*(INDEX([2]Sheet1!$C$4:$Q$23,MATCH(K142,[2]Sheet1!$B$4:$B$23,1)+1,MATCH(D142,[2]Sheet1!$C$3:$Q$3,1)) - INDEX([2]Sheet1!$C$4:$Q$23,MATCH(K142,[2]Sheet1!$B$4:$B$23,1),MATCH(D142,[2]Sheet1!$C$3:$Q$3,1)))
+ (D142 - INDEX([2]Sheet1!$C$3:$Q$3,1,MATCH(D142,[2]Sheet1!$C$3:$Q$3)))/(INDEX([2]Sheet1!$C$3:$Q$3,1,MATCH(D142,[2]Sheet1!$C$3:$Q$3)+1) - INDEX([2]Sheet1!$C$3:$Q$3,1,MATCH(D142,[2]Sheet1!$C$3:$Q$3)))*(
INDEX([2]Sheet1!$C$4:$Q$23,MATCH(K142,[2]Sheet1!$B$4:$B$23,1),MATCH(D142,[2]Sheet1!$C$3:$Q$3,1)+1) - INDEX([2]Sheet1!$C$4:$Q$23,MATCH(K142,[2]Sheet1!$B$4:$B$23,1),MATCH(D142,[2]Sheet1!$C$3:$Q$3,1)))))</f>
        <v>0</v>
      </c>
      <c r="N142">
        <f t="shared" si="44"/>
        <v>12</v>
      </c>
      <c r="O142">
        <v>9.409993601890132E-2</v>
      </c>
      <c r="P142" t="e">
        <f t="shared" si="45"/>
        <v>#DIV/0!</v>
      </c>
      <c r="Q142">
        <f t="shared" si="32"/>
        <v>0</v>
      </c>
      <c r="R142">
        <f t="shared" si="46"/>
        <v>741.9099431943954</v>
      </c>
      <c r="T142" t="e">
        <f t="shared" si="35"/>
        <v>#DIV/0!</v>
      </c>
      <c r="U142" t="e">
        <f t="shared" si="36"/>
        <v>#DIV/0!</v>
      </c>
      <c r="V142">
        <f t="shared" si="37"/>
        <v>0</v>
      </c>
      <c r="W142" t="e">
        <f t="shared" si="33"/>
        <v>#DIV/0!</v>
      </c>
    </row>
    <row r="143" spans="1:23" x14ac:dyDescent="0.55000000000000004">
      <c r="A143">
        <f t="shared" si="34"/>
        <v>10.899999999999977</v>
      </c>
      <c r="B143">
        <f t="shared" si="38"/>
        <v>0.316</v>
      </c>
      <c r="C143">
        <f t="shared" si="39"/>
        <v>-2.1086956521738989</v>
      </c>
      <c r="D143">
        <v>2.4705542090601678</v>
      </c>
      <c r="E143">
        <f t="shared" si="29"/>
        <v>0</v>
      </c>
      <c r="F143">
        <f t="shared" si="40"/>
        <v>4.8605058816845369E-2</v>
      </c>
      <c r="G143">
        <f t="shared" si="41"/>
        <v>39.513748498891111</v>
      </c>
      <c r="H143">
        <f t="shared" si="42"/>
        <v>0</v>
      </c>
      <c r="I143" s="1">
        <f t="shared" si="30"/>
        <v>0</v>
      </c>
      <c r="J143">
        <f t="shared" si="43"/>
        <v>0</v>
      </c>
      <c r="K143">
        <f t="shared" si="31"/>
        <v>0</v>
      </c>
      <c r="L143" cm="1">
        <f t="array" ref="L143">IF(E143*J143=0,0,$C$21*INDEX([3]Sheet1!$C$4:$Q$23,MATCH(K143,[3]Sheet1!$B$4:$B$23,1),MATCH(D143,[3]Sheet1!$C$3:$Q$3,1))
+(K143-INDEX([3]Sheet1!$B$4:$B$23,MATCH(K143,[3]Sheet1!$B$4:$B$23,1),1))/(INDEX([3]Sheet1!$B$4:$B$23,MATCH(K143,[3]Sheet1!$B$4:$B$23,1)+1,1)-INDEX([3]Sheet1!$B$4:$B$23,
MATCH(K143,[3]Sheet1!$B$4:$B$23,1),1))*(INDEX([3]Sheet1!$C$4:$Q$23,MATCH(K143,[3]Sheet1!$B$4:$B$23,1)+1,MATCH(D143,[3]Sheet1!$C$3:$Q$3,1))-INDEX([3]Sheet1!$C$4:$Q$23,
MATCH(K143,[3]Sheet1!$B$4:$B$23,1),MATCH(D143,[3]Sheet1!$C$3:$Q$3,1)))
+(D143-INDEX([3]Sheet1!$C$3:$Q$3,1,MATCH(D143,[3]Sheet1!$C$3:$Q$3)))/(INDEX([3]Sheet1!$C$3:$Q$3,1,MATCH(D143,[3]Sheet1!$C$3:$Q$3)+1)-INDEX([3]Sheet1!$C$3:$Q$3,1,MATCH(
D143,[3]Sheet1!$C$3:$Q$3)))*(INDEX([3]Sheet1!$C$4:$Q$23,MATCH(K143,[3]Sheet1!$B$4:$B$23,1),MATCH(D143,[3]Sheet1!$C$3:$Q$3,1)+1)-INDEX([3]Sheet1!$C$4:$Q$23,MATCH(K143,[3]Sheet1!$B$4:$B$23,1),MATCH(D143,[3]Sheet1!$C$3:$Q$3,1))))</f>
        <v>0</v>
      </c>
      <c r="M143" cm="1">
        <f t="array" ref="M143" xml:space="preserve"> IF(E143*J143=0,0,(INDEX([2]Sheet1!$C$4:$Q$23,MATCH(K143,[2]Sheet1!$B$4:$B$23,1),MATCH(D143,[2]Sheet1!$C$3:$Q$3,1))
+ (K143 - INDEX([2]Sheet1!$B$4:$B$23,MATCH(K143,[2]Sheet1!$B$4:$B$23,1),1))/(INDEX([2]Sheet1!$B$4:$B$23,MATCH(K143,[2]Sheet1!$B$4:$B$23,1)+1,1) - INDEX([2]Sheet1!$B$4:$B$23,MATCH(K143,[2]Sheet1!$B$4:$B$23,1),1))*(INDEX([2]Sheet1!$C$4:$Q$23,MATCH(K143,[2]Sheet1!$B$4:$B$23,1)+1,MATCH(D143,[2]Sheet1!$C$3:$Q$3,1)) - INDEX([2]Sheet1!$C$4:$Q$23,MATCH(K143,[2]Sheet1!$B$4:$B$23,1),MATCH(D143,[2]Sheet1!$C$3:$Q$3,1)))
+ (D143 - INDEX([2]Sheet1!$C$3:$Q$3,1,MATCH(D143,[2]Sheet1!$C$3:$Q$3)))/(INDEX([2]Sheet1!$C$3:$Q$3,1,MATCH(D143,[2]Sheet1!$C$3:$Q$3)+1) - INDEX([2]Sheet1!$C$3:$Q$3,1,MATCH(D143,[2]Sheet1!$C$3:$Q$3)))*(
INDEX([2]Sheet1!$C$4:$Q$23,MATCH(K143,[2]Sheet1!$B$4:$B$23,1),MATCH(D143,[2]Sheet1!$C$3:$Q$3,1)+1) - INDEX([2]Sheet1!$C$4:$Q$23,MATCH(K143,[2]Sheet1!$B$4:$B$23,1),MATCH(D143,[2]Sheet1!$C$3:$Q$3,1)))))</f>
        <v>0</v>
      </c>
      <c r="N143">
        <f t="shared" si="44"/>
        <v>12</v>
      </c>
      <c r="O143">
        <v>9.4064455518721488E-2</v>
      </c>
      <c r="P143" t="e">
        <f t="shared" si="45"/>
        <v>#DIV/0!</v>
      </c>
      <c r="Q143">
        <f t="shared" si="32"/>
        <v>0</v>
      </c>
      <c r="R143">
        <f t="shared" si="46"/>
        <v>741.9099431943954</v>
      </c>
      <c r="T143" t="e">
        <f t="shared" si="35"/>
        <v>#DIV/0!</v>
      </c>
      <c r="U143" t="e">
        <f t="shared" si="36"/>
        <v>#DIV/0!</v>
      </c>
      <c r="V143">
        <f t="shared" si="37"/>
        <v>0</v>
      </c>
      <c r="W143" t="e">
        <f t="shared" si="33"/>
        <v>#DIV/0!</v>
      </c>
    </row>
    <row r="144" spans="1:23" x14ac:dyDescent="0.55000000000000004">
      <c r="A144">
        <f t="shared" si="34"/>
        <v>10.999999999999977</v>
      </c>
      <c r="B144">
        <f t="shared" si="38"/>
        <v>0.316</v>
      </c>
      <c r="C144">
        <f t="shared" si="39"/>
        <v>-2.1739130434782457</v>
      </c>
      <c r="D144">
        <v>2.4703846621352983</v>
      </c>
      <c r="E144">
        <f t="shared" si="29"/>
        <v>0</v>
      </c>
      <c r="F144">
        <f t="shared" si="40"/>
        <v>4.8605058816845369E-2</v>
      </c>
      <c r="G144">
        <f t="shared" si="41"/>
        <v>39.513748498891111</v>
      </c>
      <c r="H144">
        <f t="shared" si="42"/>
        <v>0</v>
      </c>
      <c r="I144" s="1">
        <f t="shared" si="30"/>
        <v>0</v>
      </c>
      <c r="J144">
        <f t="shared" si="43"/>
        <v>0</v>
      </c>
      <c r="K144">
        <f t="shared" si="31"/>
        <v>0</v>
      </c>
      <c r="L144" cm="1">
        <f t="array" ref="L144">IF(E144*J144=0,0,$C$21*INDEX([3]Sheet1!$C$4:$Q$23,MATCH(K144,[3]Sheet1!$B$4:$B$23,1),MATCH(D144,[3]Sheet1!$C$3:$Q$3,1))
+(K144-INDEX([3]Sheet1!$B$4:$B$23,MATCH(K144,[3]Sheet1!$B$4:$B$23,1),1))/(INDEX([3]Sheet1!$B$4:$B$23,MATCH(K144,[3]Sheet1!$B$4:$B$23,1)+1,1)-INDEX([3]Sheet1!$B$4:$B$23,
MATCH(K144,[3]Sheet1!$B$4:$B$23,1),1))*(INDEX([3]Sheet1!$C$4:$Q$23,MATCH(K144,[3]Sheet1!$B$4:$B$23,1)+1,MATCH(D144,[3]Sheet1!$C$3:$Q$3,1))-INDEX([3]Sheet1!$C$4:$Q$23,
MATCH(K144,[3]Sheet1!$B$4:$B$23,1),MATCH(D144,[3]Sheet1!$C$3:$Q$3,1)))
+(D144-INDEX([3]Sheet1!$C$3:$Q$3,1,MATCH(D144,[3]Sheet1!$C$3:$Q$3)))/(INDEX([3]Sheet1!$C$3:$Q$3,1,MATCH(D144,[3]Sheet1!$C$3:$Q$3)+1)-INDEX([3]Sheet1!$C$3:$Q$3,1,MATCH(
D144,[3]Sheet1!$C$3:$Q$3)))*(INDEX([3]Sheet1!$C$4:$Q$23,MATCH(K144,[3]Sheet1!$B$4:$B$23,1),MATCH(D144,[3]Sheet1!$C$3:$Q$3,1)+1)-INDEX([3]Sheet1!$C$4:$Q$23,MATCH(K144,[3]Sheet1!$B$4:$B$23,1),MATCH(D144,[3]Sheet1!$C$3:$Q$3,1))))</f>
        <v>0</v>
      </c>
      <c r="M144" cm="1">
        <f t="array" ref="M144" xml:space="preserve"> IF(E144*J144=0,0,(INDEX([2]Sheet1!$C$4:$Q$23,MATCH(K144,[2]Sheet1!$B$4:$B$23,1),MATCH(D144,[2]Sheet1!$C$3:$Q$3,1))
+ (K144 - INDEX([2]Sheet1!$B$4:$B$23,MATCH(K144,[2]Sheet1!$B$4:$B$23,1),1))/(INDEX([2]Sheet1!$B$4:$B$23,MATCH(K144,[2]Sheet1!$B$4:$B$23,1)+1,1) - INDEX([2]Sheet1!$B$4:$B$23,MATCH(K144,[2]Sheet1!$B$4:$B$23,1),1))*(INDEX([2]Sheet1!$C$4:$Q$23,MATCH(K144,[2]Sheet1!$B$4:$B$23,1)+1,MATCH(D144,[2]Sheet1!$C$3:$Q$3,1)) - INDEX([2]Sheet1!$C$4:$Q$23,MATCH(K144,[2]Sheet1!$B$4:$B$23,1),MATCH(D144,[2]Sheet1!$C$3:$Q$3,1)))
+ (D144 - INDEX([2]Sheet1!$C$3:$Q$3,1,MATCH(D144,[2]Sheet1!$C$3:$Q$3)))/(INDEX([2]Sheet1!$C$3:$Q$3,1,MATCH(D144,[2]Sheet1!$C$3:$Q$3)+1) - INDEX([2]Sheet1!$C$3:$Q$3,1,MATCH(D144,[2]Sheet1!$C$3:$Q$3)))*(
INDEX([2]Sheet1!$C$4:$Q$23,MATCH(K144,[2]Sheet1!$B$4:$B$23,1),MATCH(D144,[2]Sheet1!$C$3:$Q$3,1)+1) - INDEX([2]Sheet1!$C$4:$Q$23,MATCH(K144,[2]Sheet1!$B$4:$B$23,1),MATCH(D144,[2]Sheet1!$C$3:$Q$3,1)))))</f>
        <v>0</v>
      </c>
      <c r="N144">
        <f t="shared" si="44"/>
        <v>12</v>
      </c>
      <c r="O144">
        <v>9.4029098494670976E-2</v>
      </c>
      <c r="P144" t="e">
        <f t="shared" si="45"/>
        <v>#DIV/0!</v>
      </c>
      <c r="Q144">
        <f t="shared" si="32"/>
        <v>0</v>
      </c>
      <c r="R144">
        <f t="shared" si="46"/>
        <v>741.9099431943954</v>
      </c>
      <c r="T144" t="e">
        <f t="shared" si="35"/>
        <v>#DIV/0!</v>
      </c>
      <c r="U144" t="e">
        <f t="shared" si="36"/>
        <v>#DIV/0!</v>
      </c>
      <c r="V144">
        <f t="shared" si="37"/>
        <v>0</v>
      </c>
      <c r="W144" t="e">
        <f t="shared" si="33"/>
        <v>#DIV/0!</v>
      </c>
    </row>
    <row r="145" spans="1:23" x14ac:dyDescent="0.55000000000000004">
      <c r="A145">
        <f t="shared" si="34"/>
        <v>11.099999999999977</v>
      </c>
      <c r="B145">
        <f t="shared" si="38"/>
        <v>0.316</v>
      </c>
      <c r="C145">
        <f t="shared" si="39"/>
        <v>-2.2391304347825933</v>
      </c>
      <c r="D145">
        <v>2.470215638274293</v>
      </c>
      <c r="E145">
        <f t="shared" si="29"/>
        <v>0</v>
      </c>
      <c r="F145">
        <f t="shared" si="40"/>
        <v>4.8605058816845369E-2</v>
      </c>
      <c r="G145">
        <f t="shared" si="41"/>
        <v>39.513748498891111</v>
      </c>
      <c r="H145">
        <f t="shared" si="42"/>
        <v>0</v>
      </c>
      <c r="I145" s="1">
        <f t="shared" si="30"/>
        <v>0</v>
      </c>
      <c r="J145">
        <f t="shared" si="43"/>
        <v>0</v>
      </c>
      <c r="K145">
        <f t="shared" si="31"/>
        <v>0</v>
      </c>
      <c r="L145" cm="1">
        <f t="array" ref="L145">IF(E145*J145=0,0,$C$21*INDEX([3]Sheet1!$C$4:$Q$23,MATCH(K145,[3]Sheet1!$B$4:$B$23,1),MATCH(D145,[3]Sheet1!$C$3:$Q$3,1))
+(K145-INDEX([3]Sheet1!$B$4:$B$23,MATCH(K145,[3]Sheet1!$B$4:$B$23,1),1))/(INDEX([3]Sheet1!$B$4:$B$23,MATCH(K145,[3]Sheet1!$B$4:$B$23,1)+1,1)-INDEX([3]Sheet1!$B$4:$B$23,
MATCH(K145,[3]Sheet1!$B$4:$B$23,1),1))*(INDEX([3]Sheet1!$C$4:$Q$23,MATCH(K145,[3]Sheet1!$B$4:$B$23,1)+1,MATCH(D145,[3]Sheet1!$C$3:$Q$3,1))-INDEX([3]Sheet1!$C$4:$Q$23,
MATCH(K145,[3]Sheet1!$B$4:$B$23,1),MATCH(D145,[3]Sheet1!$C$3:$Q$3,1)))
+(D145-INDEX([3]Sheet1!$C$3:$Q$3,1,MATCH(D145,[3]Sheet1!$C$3:$Q$3)))/(INDEX([3]Sheet1!$C$3:$Q$3,1,MATCH(D145,[3]Sheet1!$C$3:$Q$3)+1)-INDEX([3]Sheet1!$C$3:$Q$3,1,MATCH(
D145,[3]Sheet1!$C$3:$Q$3)))*(INDEX([3]Sheet1!$C$4:$Q$23,MATCH(K145,[3]Sheet1!$B$4:$B$23,1),MATCH(D145,[3]Sheet1!$C$3:$Q$3,1)+1)-INDEX([3]Sheet1!$C$4:$Q$23,MATCH(K145,[3]Sheet1!$B$4:$B$23,1),MATCH(D145,[3]Sheet1!$C$3:$Q$3,1))))</f>
        <v>0</v>
      </c>
      <c r="M145" cm="1">
        <f t="array" ref="M145" xml:space="preserve"> IF(E145*J145=0,0,(INDEX([2]Sheet1!$C$4:$Q$23,MATCH(K145,[2]Sheet1!$B$4:$B$23,1),MATCH(D145,[2]Sheet1!$C$3:$Q$3,1))
+ (K145 - INDEX([2]Sheet1!$B$4:$B$23,MATCH(K145,[2]Sheet1!$B$4:$B$23,1),1))/(INDEX([2]Sheet1!$B$4:$B$23,MATCH(K145,[2]Sheet1!$B$4:$B$23,1)+1,1) - INDEX([2]Sheet1!$B$4:$B$23,MATCH(K145,[2]Sheet1!$B$4:$B$23,1),1))*(INDEX([2]Sheet1!$C$4:$Q$23,MATCH(K145,[2]Sheet1!$B$4:$B$23,1)+1,MATCH(D145,[2]Sheet1!$C$3:$Q$3,1)) - INDEX([2]Sheet1!$C$4:$Q$23,MATCH(K145,[2]Sheet1!$B$4:$B$23,1),MATCH(D145,[2]Sheet1!$C$3:$Q$3,1)))
+ (D145 - INDEX([2]Sheet1!$C$3:$Q$3,1,MATCH(D145,[2]Sheet1!$C$3:$Q$3)))/(INDEX([2]Sheet1!$C$3:$Q$3,1,MATCH(D145,[2]Sheet1!$C$3:$Q$3)+1) - INDEX([2]Sheet1!$C$3:$Q$3,1,MATCH(D145,[2]Sheet1!$C$3:$Q$3)))*(
INDEX([2]Sheet1!$C$4:$Q$23,MATCH(K145,[2]Sheet1!$B$4:$B$23,1),MATCH(D145,[2]Sheet1!$C$3:$Q$3,1)+1) - INDEX([2]Sheet1!$C$4:$Q$23,MATCH(K145,[2]Sheet1!$B$4:$B$23,1),MATCH(D145,[2]Sheet1!$C$3:$Q$3,1)))))</f>
        <v>0</v>
      </c>
      <c r="N145">
        <f t="shared" si="44"/>
        <v>12</v>
      </c>
      <c r="O145">
        <v>9.3993864118264159E-2</v>
      </c>
      <c r="P145" t="e">
        <f t="shared" si="45"/>
        <v>#DIV/0!</v>
      </c>
      <c r="Q145">
        <f t="shared" si="32"/>
        <v>0</v>
      </c>
      <c r="R145">
        <f t="shared" si="46"/>
        <v>741.9099431943954</v>
      </c>
      <c r="T145" t="e">
        <f t="shared" si="35"/>
        <v>#DIV/0!</v>
      </c>
      <c r="U145" t="e">
        <f t="shared" si="36"/>
        <v>#DIV/0!</v>
      </c>
      <c r="V145">
        <f t="shared" si="37"/>
        <v>0</v>
      </c>
      <c r="W145" t="e">
        <f t="shared" si="33"/>
        <v>#DIV/0!</v>
      </c>
    </row>
    <row r="146" spans="1:23" x14ac:dyDescent="0.55000000000000004">
      <c r="A146">
        <f t="shared" si="34"/>
        <v>11.199999999999976</v>
      </c>
      <c r="B146">
        <f t="shared" si="38"/>
        <v>0.316</v>
      </c>
      <c r="C146">
        <f t="shared" si="39"/>
        <v>-2.3043478260869419</v>
      </c>
      <c r="D146">
        <v>2.4700471341658488</v>
      </c>
      <c r="E146">
        <f t="shared" si="29"/>
        <v>0</v>
      </c>
      <c r="F146">
        <f t="shared" si="40"/>
        <v>4.8605058816845369E-2</v>
      </c>
      <c r="G146">
        <f t="shared" si="41"/>
        <v>39.513748498891111</v>
      </c>
      <c r="H146">
        <f t="shared" si="42"/>
        <v>0</v>
      </c>
      <c r="I146" s="1">
        <f t="shared" si="30"/>
        <v>0</v>
      </c>
      <c r="J146">
        <f t="shared" si="43"/>
        <v>0</v>
      </c>
      <c r="K146">
        <f t="shared" si="31"/>
        <v>0</v>
      </c>
      <c r="L146" cm="1">
        <f t="array" ref="L146">IF(E146*J146=0,0,$C$21*INDEX([3]Sheet1!$C$4:$Q$23,MATCH(K146,[3]Sheet1!$B$4:$B$23,1),MATCH(D146,[3]Sheet1!$C$3:$Q$3,1))
+(K146-INDEX([3]Sheet1!$B$4:$B$23,MATCH(K146,[3]Sheet1!$B$4:$B$23,1),1))/(INDEX([3]Sheet1!$B$4:$B$23,MATCH(K146,[3]Sheet1!$B$4:$B$23,1)+1,1)-INDEX([3]Sheet1!$B$4:$B$23,
MATCH(K146,[3]Sheet1!$B$4:$B$23,1),1))*(INDEX([3]Sheet1!$C$4:$Q$23,MATCH(K146,[3]Sheet1!$B$4:$B$23,1)+1,MATCH(D146,[3]Sheet1!$C$3:$Q$3,1))-INDEX([3]Sheet1!$C$4:$Q$23,
MATCH(K146,[3]Sheet1!$B$4:$B$23,1),MATCH(D146,[3]Sheet1!$C$3:$Q$3,1)))
+(D146-INDEX([3]Sheet1!$C$3:$Q$3,1,MATCH(D146,[3]Sheet1!$C$3:$Q$3)))/(INDEX([3]Sheet1!$C$3:$Q$3,1,MATCH(D146,[3]Sheet1!$C$3:$Q$3)+1)-INDEX([3]Sheet1!$C$3:$Q$3,1,MATCH(
D146,[3]Sheet1!$C$3:$Q$3)))*(INDEX([3]Sheet1!$C$4:$Q$23,MATCH(K146,[3]Sheet1!$B$4:$B$23,1),MATCH(D146,[3]Sheet1!$C$3:$Q$3,1)+1)-INDEX([3]Sheet1!$C$4:$Q$23,MATCH(K146,[3]Sheet1!$B$4:$B$23,1),MATCH(D146,[3]Sheet1!$C$3:$Q$3,1))))</f>
        <v>0</v>
      </c>
      <c r="M146" cm="1">
        <f t="array" ref="M146" xml:space="preserve"> IF(E146*J146=0,0,(INDEX([2]Sheet1!$C$4:$Q$23,MATCH(K146,[2]Sheet1!$B$4:$B$23,1),MATCH(D146,[2]Sheet1!$C$3:$Q$3,1))
+ (K146 - INDEX([2]Sheet1!$B$4:$B$23,MATCH(K146,[2]Sheet1!$B$4:$B$23,1),1))/(INDEX([2]Sheet1!$B$4:$B$23,MATCH(K146,[2]Sheet1!$B$4:$B$23,1)+1,1) - INDEX([2]Sheet1!$B$4:$B$23,MATCH(K146,[2]Sheet1!$B$4:$B$23,1),1))*(INDEX([2]Sheet1!$C$4:$Q$23,MATCH(K146,[2]Sheet1!$B$4:$B$23,1)+1,MATCH(D146,[2]Sheet1!$C$3:$Q$3,1)) - INDEX([2]Sheet1!$C$4:$Q$23,MATCH(K146,[2]Sheet1!$B$4:$B$23,1),MATCH(D146,[2]Sheet1!$C$3:$Q$3,1)))
+ (D146 - INDEX([2]Sheet1!$C$3:$Q$3,1,MATCH(D146,[2]Sheet1!$C$3:$Q$3)))/(INDEX([2]Sheet1!$C$3:$Q$3,1,MATCH(D146,[2]Sheet1!$C$3:$Q$3)+1) - INDEX([2]Sheet1!$C$3:$Q$3,1,MATCH(D146,[2]Sheet1!$C$3:$Q$3)))*(
INDEX([2]Sheet1!$C$4:$Q$23,MATCH(K146,[2]Sheet1!$B$4:$B$23,1),MATCH(D146,[2]Sheet1!$C$3:$Q$3,1)+1) - INDEX([2]Sheet1!$C$4:$Q$23,MATCH(K146,[2]Sheet1!$B$4:$B$23,1),MATCH(D146,[2]Sheet1!$C$3:$Q$3,1)))))</f>
        <v>0</v>
      </c>
      <c r="N146">
        <f t="shared" si="44"/>
        <v>12</v>
      </c>
      <c r="O146">
        <v>9.3958751569226714E-2</v>
      </c>
      <c r="P146" t="e">
        <f t="shared" si="45"/>
        <v>#DIV/0!</v>
      </c>
      <c r="Q146">
        <f t="shared" si="32"/>
        <v>0</v>
      </c>
      <c r="R146">
        <f t="shared" si="46"/>
        <v>741.9099431943954</v>
      </c>
      <c r="T146" t="e">
        <f t="shared" si="35"/>
        <v>#DIV/0!</v>
      </c>
      <c r="U146" t="e">
        <f t="shared" si="36"/>
        <v>#DIV/0!</v>
      </c>
      <c r="V146">
        <f t="shared" si="37"/>
        <v>0</v>
      </c>
      <c r="W146" t="e">
        <f t="shared" si="33"/>
        <v>#DIV/0!</v>
      </c>
    </row>
    <row r="147" spans="1:23" x14ac:dyDescent="0.55000000000000004">
      <c r="A147">
        <f t="shared" si="34"/>
        <v>11.299999999999976</v>
      </c>
      <c r="B147">
        <f t="shared" si="38"/>
        <v>0.316</v>
      </c>
      <c r="C147">
        <f t="shared" si="39"/>
        <v>-2.3695652173912896</v>
      </c>
      <c r="D147">
        <v>2.4698791465301748</v>
      </c>
      <c r="E147">
        <f t="shared" si="29"/>
        <v>0</v>
      </c>
      <c r="F147">
        <f t="shared" si="40"/>
        <v>4.8605058816845369E-2</v>
      </c>
      <c r="G147">
        <f t="shared" si="41"/>
        <v>39.513748498891111</v>
      </c>
      <c r="H147">
        <f t="shared" si="42"/>
        <v>0</v>
      </c>
      <c r="I147" s="1">
        <f t="shared" si="30"/>
        <v>0</v>
      </c>
      <c r="J147">
        <f t="shared" si="43"/>
        <v>0</v>
      </c>
      <c r="K147">
        <f t="shared" si="31"/>
        <v>0</v>
      </c>
      <c r="L147" cm="1">
        <f t="array" ref="L147">IF(E147*J147=0,0,$C$21*INDEX([3]Sheet1!$C$4:$Q$23,MATCH(K147,[3]Sheet1!$B$4:$B$23,1),MATCH(D147,[3]Sheet1!$C$3:$Q$3,1))
+(K147-INDEX([3]Sheet1!$B$4:$B$23,MATCH(K147,[3]Sheet1!$B$4:$B$23,1),1))/(INDEX([3]Sheet1!$B$4:$B$23,MATCH(K147,[3]Sheet1!$B$4:$B$23,1)+1,1)-INDEX([3]Sheet1!$B$4:$B$23,
MATCH(K147,[3]Sheet1!$B$4:$B$23,1),1))*(INDEX([3]Sheet1!$C$4:$Q$23,MATCH(K147,[3]Sheet1!$B$4:$B$23,1)+1,MATCH(D147,[3]Sheet1!$C$3:$Q$3,1))-INDEX([3]Sheet1!$C$4:$Q$23,
MATCH(K147,[3]Sheet1!$B$4:$B$23,1),MATCH(D147,[3]Sheet1!$C$3:$Q$3,1)))
+(D147-INDEX([3]Sheet1!$C$3:$Q$3,1,MATCH(D147,[3]Sheet1!$C$3:$Q$3)))/(INDEX([3]Sheet1!$C$3:$Q$3,1,MATCH(D147,[3]Sheet1!$C$3:$Q$3)+1)-INDEX([3]Sheet1!$C$3:$Q$3,1,MATCH(
D147,[3]Sheet1!$C$3:$Q$3)))*(INDEX([3]Sheet1!$C$4:$Q$23,MATCH(K147,[3]Sheet1!$B$4:$B$23,1),MATCH(D147,[3]Sheet1!$C$3:$Q$3,1)+1)-INDEX([3]Sheet1!$C$4:$Q$23,MATCH(K147,[3]Sheet1!$B$4:$B$23,1),MATCH(D147,[3]Sheet1!$C$3:$Q$3,1))))</f>
        <v>0</v>
      </c>
      <c r="M147" cm="1">
        <f t="array" ref="M147" xml:space="preserve"> IF(E147*J147=0,0,(INDEX([2]Sheet1!$C$4:$Q$23,MATCH(K147,[2]Sheet1!$B$4:$B$23,1),MATCH(D147,[2]Sheet1!$C$3:$Q$3,1))
+ (K147 - INDEX([2]Sheet1!$B$4:$B$23,MATCH(K147,[2]Sheet1!$B$4:$B$23,1),1))/(INDEX([2]Sheet1!$B$4:$B$23,MATCH(K147,[2]Sheet1!$B$4:$B$23,1)+1,1) - INDEX([2]Sheet1!$B$4:$B$23,MATCH(K147,[2]Sheet1!$B$4:$B$23,1),1))*(INDEX([2]Sheet1!$C$4:$Q$23,MATCH(K147,[2]Sheet1!$B$4:$B$23,1)+1,MATCH(D147,[2]Sheet1!$C$3:$Q$3,1)) - INDEX([2]Sheet1!$C$4:$Q$23,MATCH(K147,[2]Sheet1!$B$4:$B$23,1),MATCH(D147,[2]Sheet1!$C$3:$Q$3,1)))
+ (D147 - INDEX([2]Sheet1!$C$3:$Q$3,1,MATCH(D147,[2]Sheet1!$C$3:$Q$3)))/(INDEX([2]Sheet1!$C$3:$Q$3,1,MATCH(D147,[2]Sheet1!$C$3:$Q$3)+1) - INDEX([2]Sheet1!$C$3:$Q$3,1,MATCH(D147,[2]Sheet1!$C$3:$Q$3)))*(
INDEX([2]Sheet1!$C$4:$Q$23,MATCH(K147,[2]Sheet1!$B$4:$B$23,1),MATCH(D147,[2]Sheet1!$C$3:$Q$3,1)+1) - INDEX([2]Sheet1!$C$4:$Q$23,MATCH(K147,[2]Sheet1!$B$4:$B$23,1),MATCH(D147,[2]Sheet1!$C$3:$Q$3,1)))))</f>
        <v>0</v>
      </c>
      <c r="N147">
        <f t="shared" si="44"/>
        <v>12</v>
      </c>
      <c r="O147">
        <v>9.392376003538952E-2</v>
      </c>
      <c r="P147" t="e">
        <f t="shared" si="45"/>
        <v>#DIV/0!</v>
      </c>
      <c r="Q147">
        <f t="shared" si="32"/>
        <v>0</v>
      </c>
      <c r="R147">
        <f t="shared" si="46"/>
        <v>741.9099431943954</v>
      </c>
      <c r="T147" t="e">
        <f t="shared" si="35"/>
        <v>#DIV/0!</v>
      </c>
      <c r="U147" t="e">
        <f t="shared" si="36"/>
        <v>#DIV/0!</v>
      </c>
      <c r="V147">
        <f t="shared" si="37"/>
        <v>0</v>
      </c>
      <c r="W147" t="e">
        <f t="shared" si="33"/>
        <v>#DIV/0!</v>
      </c>
    </row>
    <row r="148" spans="1:23" x14ac:dyDescent="0.55000000000000004">
      <c r="A148">
        <f t="shared" si="34"/>
        <v>11.399999999999975</v>
      </c>
      <c r="B148">
        <f t="shared" si="38"/>
        <v>0.316</v>
      </c>
      <c r="C148">
        <f t="shared" si="39"/>
        <v>-2.4347826086956363</v>
      </c>
      <c r="D148">
        <v>2.4697116721185877</v>
      </c>
      <c r="E148">
        <f t="shared" si="29"/>
        <v>0</v>
      </c>
      <c r="F148">
        <f t="shared" si="40"/>
        <v>4.8605058816845369E-2</v>
      </c>
      <c r="G148">
        <f t="shared" si="41"/>
        <v>39.513748498891111</v>
      </c>
      <c r="H148">
        <f t="shared" si="42"/>
        <v>0</v>
      </c>
      <c r="I148" s="1">
        <f t="shared" si="30"/>
        <v>0</v>
      </c>
      <c r="J148">
        <f t="shared" si="43"/>
        <v>0</v>
      </c>
      <c r="K148">
        <f t="shared" si="31"/>
        <v>0</v>
      </c>
      <c r="L148" cm="1">
        <f t="array" ref="L148">IF(E148*J148=0,0,$C$21*INDEX([3]Sheet1!$C$4:$Q$23,MATCH(K148,[3]Sheet1!$B$4:$B$23,1),MATCH(D148,[3]Sheet1!$C$3:$Q$3,1))
+(K148-INDEX([3]Sheet1!$B$4:$B$23,MATCH(K148,[3]Sheet1!$B$4:$B$23,1),1))/(INDEX([3]Sheet1!$B$4:$B$23,MATCH(K148,[3]Sheet1!$B$4:$B$23,1)+1,1)-INDEX([3]Sheet1!$B$4:$B$23,
MATCH(K148,[3]Sheet1!$B$4:$B$23,1),1))*(INDEX([3]Sheet1!$C$4:$Q$23,MATCH(K148,[3]Sheet1!$B$4:$B$23,1)+1,MATCH(D148,[3]Sheet1!$C$3:$Q$3,1))-INDEX([3]Sheet1!$C$4:$Q$23,
MATCH(K148,[3]Sheet1!$B$4:$B$23,1),MATCH(D148,[3]Sheet1!$C$3:$Q$3,1)))
+(D148-INDEX([3]Sheet1!$C$3:$Q$3,1,MATCH(D148,[3]Sheet1!$C$3:$Q$3)))/(INDEX([3]Sheet1!$C$3:$Q$3,1,MATCH(D148,[3]Sheet1!$C$3:$Q$3)+1)-INDEX([3]Sheet1!$C$3:$Q$3,1,MATCH(
D148,[3]Sheet1!$C$3:$Q$3)))*(INDEX([3]Sheet1!$C$4:$Q$23,MATCH(K148,[3]Sheet1!$B$4:$B$23,1),MATCH(D148,[3]Sheet1!$C$3:$Q$3,1)+1)-INDEX([3]Sheet1!$C$4:$Q$23,MATCH(K148,[3]Sheet1!$B$4:$B$23,1),MATCH(D148,[3]Sheet1!$C$3:$Q$3,1))))</f>
        <v>0</v>
      </c>
      <c r="M148" cm="1">
        <f t="array" ref="M148" xml:space="preserve"> IF(E148*J148=0,0,(INDEX([2]Sheet1!$C$4:$Q$23,MATCH(K148,[2]Sheet1!$B$4:$B$23,1),MATCH(D148,[2]Sheet1!$C$3:$Q$3,1))
+ (K148 - INDEX([2]Sheet1!$B$4:$B$23,MATCH(K148,[2]Sheet1!$B$4:$B$23,1),1))/(INDEX([2]Sheet1!$B$4:$B$23,MATCH(K148,[2]Sheet1!$B$4:$B$23,1)+1,1) - INDEX([2]Sheet1!$B$4:$B$23,MATCH(K148,[2]Sheet1!$B$4:$B$23,1),1))*(INDEX([2]Sheet1!$C$4:$Q$23,MATCH(K148,[2]Sheet1!$B$4:$B$23,1)+1,MATCH(D148,[2]Sheet1!$C$3:$Q$3,1)) - INDEX([2]Sheet1!$C$4:$Q$23,MATCH(K148,[2]Sheet1!$B$4:$B$23,1),MATCH(D148,[2]Sheet1!$C$3:$Q$3,1)))
+ (D148 - INDEX([2]Sheet1!$C$3:$Q$3,1,MATCH(D148,[2]Sheet1!$C$3:$Q$3)))/(INDEX([2]Sheet1!$C$3:$Q$3,1,MATCH(D148,[2]Sheet1!$C$3:$Q$3)+1) - INDEX([2]Sheet1!$C$3:$Q$3,1,MATCH(D148,[2]Sheet1!$C$3:$Q$3)))*(
INDEX([2]Sheet1!$C$4:$Q$23,MATCH(K148,[2]Sheet1!$B$4:$B$23,1),MATCH(D148,[2]Sheet1!$C$3:$Q$3,1)+1) - INDEX([2]Sheet1!$C$4:$Q$23,MATCH(K148,[2]Sheet1!$B$4:$B$23,1),MATCH(D148,[2]Sheet1!$C$3:$Q$3,1)))))</f>
        <v>0</v>
      </c>
      <c r="N148">
        <f t="shared" si="44"/>
        <v>12</v>
      </c>
      <c r="O148">
        <v>9.3888888712583829E-2</v>
      </c>
      <c r="P148" t="e">
        <f t="shared" si="45"/>
        <v>#DIV/0!</v>
      </c>
      <c r="Q148">
        <f t="shared" si="32"/>
        <v>0</v>
      </c>
      <c r="R148">
        <f t="shared" si="46"/>
        <v>741.9099431943954</v>
      </c>
      <c r="T148" t="e">
        <f t="shared" si="35"/>
        <v>#DIV/0!</v>
      </c>
      <c r="U148" t="e">
        <f t="shared" si="36"/>
        <v>#DIV/0!</v>
      </c>
      <c r="V148">
        <f t="shared" si="37"/>
        <v>0</v>
      </c>
      <c r="W148" t="e">
        <f t="shared" si="33"/>
        <v>#DIV/0!</v>
      </c>
    </row>
    <row r="149" spans="1:23" x14ac:dyDescent="0.55000000000000004">
      <c r="A149">
        <f t="shared" si="34"/>
        <v>11.499999999999975</v>
      </c>
      <c r="B149">
        <f t="shared" si="38"/>
        <v>0.316</v>
      </c>
      <c r="C149">
        <f t="shared" si="39"/>
        <v>-2.4999999999999849</v>
      </c>
      <c r="D149">
        <v>2.4695447077131236</v>
      </c>
      <c r="E149">
        <f t="shared" si="29"/>
        <v>0</v>
      </c>
      <c r="F149">
        <f t="shared" si="40"/>
        <v>4.8605058816845369E-2</v>
      </c>
      <c r="G149">
        <f t="shared" si="41"/>
        <v>39.513748498891111</v>
      </c>
      <c r="H149">
        <f t="shared" si="42"/>
        <v>0</v>
      </c>
      <c r="I149" s="1">
        <f t="shared" si="30"/>
        <v>0</v>
      </c>
      <c r="J149">
        <f t="shared" si="43"/>
        <v>0</v>
      </c>
      <c r="K149">
        <f t="shared" si="31"/>
        <v>0</v>
      </c>
      <c r="L149" cm="1">
        <f t="array" ref="L149">IF(E149*J149=0,0,$C$21*INDEX([3]Sheet1!$C$4:$Q$23,MATCH(K149,[3]Sheet1!$B$4:$B$23,1),MATCH(D149,[3]Sheet1!$C$3:$Q$3,1))
+(K149-INDEX([3]Sheet1!$B$4:$B$23,MATCH(K149,[3]Sheet1!$B$4:$B$23,1),1))/(INDEX([3]Sheet1!$B$4:$B$23,MATCH(K149,[3]Sheet1!$B$4:$B$23,1)+1,1)-INDEX([3]Sheet1!$B$4:$B$23,
MATCH(K149,[3]Sheet1!$B$4:$B$23,1),1))*(INDEX([3]Sheet1!$C$4:$Q$23,MATCH(K149,[3]Sheet1!$B$4:$B$23,1)+1,MATCH(D149,[3]Sheet1!$C$3:$Q$3,1))-INDEX([3]Sheet1!$C$4:$Q$23,
MATCH(K149,[3]Sheet1!$B$4:$B$23,1),MATCH(D149,[3]Sheet1!$C$3:$Q$3,1)))
+(D149-INDEX([3]Sheet1!$C$3:$Q$3,1,MATCH(D149,[3]Sheet1!$C$3:$Q$3)))/(INDEX([3]Sheet1!$C$3:$Q$3,1,MATCH(D149,[3]Sheet1!$C$3:$Q$3)+1)-INDEX([3]Sheet1!$C$3:$Q$3,1,MATCH(
D149,[3]Sheet1!$C$3:$Q$3)))*(INDEX([3]Sheet1!$C$4:$Q$23,MATCH(K149,[3]Sheet1!$B$4:$B$23,1),MATCH(D149,[3]Sheet1!$C$3:$Q$3,1)+1)-INDEX([3]Sheet1!$C$4:$Q$23,MATCH(K149,[3]Sheet1!$B$4:$B$23,1),MATCH(D149,[3]Sheet1!$C$3:$Q$3,1))))</f>
        <v>0</v>
      </c>
      <c r="M149" cm="1">
        <f t="array" ref="M149" xml:space="preserve"> IF(E149*J149=0,0,(INDEX([2]Sheet1!$C$4:$Q$23,MATCH(K149,[2]Sheet1!$B$4:$B$23,1),MATCH(D149,[2]Sheet1!$C$3:$Q$3,1))
+ (K149 - INDEX([2]Sheet1!$B$4:$B$23,MATCH(K149,[2]Sheet1!$B$4:$B$23,1),1))/(INDEX([2]Sheet1!$B$4:$B$23,MATCH(K149,[2]Sheet1!$B$4:$B$23,1)+1,1) - INDEX([2]Sheet1!$B$4:$B$23,MATCH(K149,[2]Sheet1!$B$4:$B$23,1),1))*(INDEX([2]Sheet1!$C$4:$Q$23,MATCH(K149,[2]Sheet1!$B$4:$B$23,1)+1,MATCH(D149,[2]Sheet1!$C$3:$Q$3,1)) - INDEX([2]Sheet1!$C$4:$Q$23,MATCH(K149,[2]Sheet1!$B$4:$B$23,1),MATCH(D149,[2]Sheet1!$C$3:$Q$3,1)))
+ (D149 - INDEX([2]Sheet1!$C$3:$Q$3,1,MATCH(D149,[2]Sheet1!$C$3:$Q$3)))/(INDEX([2]Sheet1!$C$3:$Q$3,1,MATCH(D149,[2]Sheet1!$C$3:$Q$3)+1) - INDEX([2]Sheet1!$C$3:$Q$3,1,MATCH(D149,[2]Sheet1!$C$3:$Q$3)))*(
INDEX([2]Sheet1!$C$4:$Q$23,MATCH(K149,[2]Sheet1!$B$4:$B$23,1),MATCH(D149,[2]Sheet1!$C$3:$Q$3,1)+1) - INDEX([2]Sheet1!$C$4:$Q$23,MATCH(K149,[2]Sheet1!$B$4:$B$23,1),MATCH(D149,[2]Sheet1!$C$3:$Q$3,1)))))</f>
        <v>0</v>
      </c>
      <c r="N149">
        <f t="shared" si="44"/>
        <v>12</v>
      </c>
      <c r="O149">
        <v>9.3854136804535734E-2</v>
      </c>
      <c r="P149" t="e">
        <f t="shared" si="45"/>
        <v>#DIV/0!</v>
      </c>
      <c r="Q149">
        <f t="shared" si="32"/>
        <v>0</v>
      </c>
      <c r="R149">
        <f t="shared" si="46"/>
        <v>741.9099431943954</v>
      </c>
      <c r="T149" t="e">
        <f t="shared" si="35"/>
        <v>#DIV/0!</v>
      </c>
      <c r="U149" t="e">
        <f t="shared" si="36"/>
        <v>#DIV/0!</v>
      </c>
      <c r="V149">
        <f t="shared" si="37"/>
        <v>0</v>
      </c>
      <c r="W149" t="e">
        <f t="shared" si="33"/>
        <v>#DIV/0!</v>
      </c>
    </row>
    <row r="150" spans="1:23" x14ac:dyDescent="0.55000000000000004">
      <c r="A150">
        <f t="shared" si="34"/>
        <v>11.599999999999975</v>
      </c>
      <c r="B150">
        <f t="shared" si="38"/>
        <v>0.316</v>
      </c>
      <c r="C150">
        <f t="shared" si="39"/>
        <v>-2.5652173913043326</v>
      </c>
      <c r="D150">
        <v>2.4693782501261494</v>
      </c>
      <c r="E150">
        <f t="shared" si="29"/>
        <v>0</v>
      </c>
      <c r="F150">
        <f t="shared" si="40"/>
        <v>4.8605058816845369E-2</v>
      </c>
      <c r="G150">
        <f t="shared" si="41"/>
        <v>39.513748498891111</v>
      </c>
      <c r="H150">
        <f t="shared" si="42"/>
        <v>0</v>
      </c>
      <c r="I150" s="1">
        <f t="shared" si="30"/>
        <v>0</v>
      </c>
      <c r="J150">
        <f t="shared" si="43"/>
        <v>0</v>
      </c>
      <c r="K150">
        <f t="shared" si="31"/>
        <v>0</v>
      </c>
      <c r="L150" cm="1">
        <f t="array" ref="L150">IF(E150*J150=0,0,$C$21*INDEX([3]Sheet1!$C$4:$Q$23,MATCH(K150,[3]Sheet1!$B$4:$B$23,1),MATCH(D150,[3]Sheet1!$C$3:$Q$3,1))
+(K150-INDEX([3]Sheet1!$B$4:$B$23,MATCH(K150,[3]Sheet1!$B$4:$B$23,1),1))/(INDEX([3]Sheet1!$B$4:$B$23,MATCH(K150,[3]Sheet1!$B$4:$B$23,1)+1,1)-INDEX([3]Sheet1!$B$4:$B$23,
MATCH(K150,[3]Sheet1!$B$4:$B$23,1),1))*(INDEX([3]Sheet1!$C$4:$Q$23,MATCH(K150,[3]Sheet1!$B$4:$B$23,1)+1,MATCH(D150,[3]Sheet1!$C$3:$Q$3,1))-INDEX([3]Sheet1!$C$4:$Q$23,
MATCH(K150,[3]Sheet1!$B$4:$B$23,1),MATCH(D150,[3]Sheet1!$C$3:$Q$3,1)))
+(D150-INDEX([3]Sheet1!$C$3:$Q$3,1,MATCH(D150,[3]Sheet1!$C$3:$Q$3)))/(INDEX([3]Sheet1!$C$3:$Q$3,1,MATCH(D150,[3]Sheet1!$C$3:$Q$3)+1)-INDEX([3]Sheet1!$C$3:$Q$3,1,MATCH(
D150,[3]Sheet1!$C$3:$Q$3)))*(INDEX([3]Sheet1!$C$4:$Q$23,MATCH(K150,[3]Sheet1!$B$4:$B$23,1),MATCH(D150,[3]Sheet1!$C$3:$Q$3,1)+1)-INDEX([3]Sheet1!$C$4:$Q$23,MATCH(K150,[3]Sheet1!$B$4:$B$23,1),MATCH(D150,[3]Sheet1!$C$3:$Q$3,1))))</f>
        <v>0</v>
      </c>
      <c r="M150" cm="1">
        <f t="array" ref="M150" xml:space="preserve"> IF(E150*J150=0,0,(INDEX([2]Sheet1!$C$4:$Q$23,MATCH(K150,[2]Sheet1!$B$4:$B$23,1),MATCH(D150,[2]Sheet1!$C$3:$Q$3,1))
+ (K150 - INDEX([2]Sheet1!$B$4:$B$23,MATCH(K150,[2]Sheet1!$B$4:$B$23,1),1))/(INDEX([2]Sheet1!$B$4:$B$23,MATCH(K150,[2]Sheet1!$B$4:$B$23,1)+1,1) - INDEX([2]Sheet1!$B$4:$B$23,MATCH(K150,[2]Sheet1!$B$4:$B$23,1),1))*(INDEX([2]Sheet1!$C$4:$Q$23,MATCH(K150,[2]Sheet1!$B$4:$B$23,1)+1,MATCH(D150,[2]Sheet1!$C$3:$Q$3,1)) - INDEX([2]Sheet1!$C$4:$Q$23,MATCH(K150,[2]Sheet1!$B$4:$B$23,1),MATCH(D150,[2]Sheet1!$C$3:$Q$3,1)))
+ (D150 - INDEX([2]Sheet1!$C$3:$Q$3,1,MATCH(D150,[2]Sheet1!$C$3:$Q$3)))/(INDEX([2]Sheet1!$C$3:$Q$3,1,MATCH(D150,[2]Sheet1!$C$3:$Q$3)+1) - INDEX([2]Sheet1!$C$3:$Q$3,1,MATCH(D150,[2]Sheet1!$C$3:$Q$3)))*(
INDEX([2]Sheet1!$C$4:$Q$23,MATCH(K150,[2]Sheet1!$B$4:$B$23,1),MATCH(D150,[2]Sheet1!$C$3:$Q$3,1)+1) - INDEX([2]Sheet1!$C$4:$Q$23,MATCH(K150,[2]Sheet1!$B$4:$B$23,1),MATCH(D150,[2]Sheet1!$C$3:$Q$3,1)))))</f>
        <v>0</v>
      </c>
      <c r="N150">
        <f t="shared" si="44"/>
        <v>12</v>
      </c>
      <c r="O150">
        <v>9.3819503522766093E-2</v>
      </c>
      <c r="P150" t="e">
        <f t="shared" si="45"/>
        <v>#DIV/0!</v>
      </c>
      <c r="Q150">
        <f t="shared" si="32"/>
        <v>0</v>
      </c>
      <c r="R150">
        <f t="shared" si="46"/>
        <v>741.9099431943954</v>
      </c>
      <c r="T150" t="e">
        <f t="shared" si="35"/>
        <v>#DIV/0!</v>
      </c>
      <c r="U150" t="e">
        <f t="shared" si="36"/>
        <v>#DIV/0!</v>
      </c>
      <c r="V150">
        <f t="shared" si="37"/>
        <v>0</v>
      </c>
      <c r="W150" t="e">
        <f t="shared" si="33"/>
        <v>#DIV/0!</v>
      </c>
    </row>
    <row r="151" spans="1:23" x14ac:dyDescent="0.55000000000000004">
      <c r="A151">
        <f t="shared" si="34"/>
        <v>11.699999999999974</v>
      </c>
      <c r="B151">
        <f t="shared" si="38"/>
        <v>0.316</v>
      </c>
      <c r="C151">
        <f t="shared" si="39"/>
        <v>-2.6304347826086794</v>
      </c>
      <c r="D151">
        <v>2.4692122961999807</v>
      </c>
      <c r="E151">
        <f t="shared" si="29"/>
        <v>0</v>
      </c>
      <c r="F151">
        <f t="shared" si="40"/>
        <v>4.8605058816845369E-2</v>
      </c>
      <c r="G151">
        <f t="shared" si="41"/>
        <v>39.513748498891111</v>
      </c>
      <c r="H151">
        <f t="shared" si="42"/>
        <v>0</v>
      </c>
      <c r="I151" s="1">
        <f t="shared" si="30"/>
        <v>0</v>
      </c>
      <c r="J151">
        <f t="shared" si="43"/>
        <v>0</v>
      </c>
      <c r="K151">
        <f t="shared" si="31"/>
        <v>0</v>
      </c>
      <c r="L151" cm="1">
        <f t="array" ref="L151">IF(E151*J151=0,0,$C$21*INDEX([3]Sheet1!$C$4:$Q$23,MATCH(K151,[3]Sheet1!$B$4:$B$23,1),MATCH(D151,[3]Sheet1!$C$3:$Q$3,1))
+(K151-INDEX([3]Sheet1!$B$4:$B$23,MATCH(K151,[3]Sheet1!$B$4:$B$23,1),1))/(INDEX([3]Sheet1!$B$4:$B$23,MATCH(K151,[3]Sheet1!$B$4:$B$23,1)+1,1)-INDEX([3]Sheet1!$B$4:$B$23,
MATCH(K151,[3]Sheet1!$B$4:$B$23,1),1))*(INDEX([3]Sheet1!$C$4:$Q$23,MATCH(K151,[3]Sheet1!$B$4:$B$23,1)+1,MATCH(D151,[3]Sheet1!$C$3:$Q$3,1))-INDEX([3]Sheet1!$C$4:$Q$23,
MATCH(K151,[3]Sheet1!$B$4:$B$23,1),MATCH(D151,[3]Sheet1!$C$3:$Q$3,1)))
+(D151-INDEX([3]Sheet1!$C$3:$Q$3,1,MATCH(D151,[3]Sheet1!$C$3:$Q$3)))/(INDEX([3]Sheet1!$C$3:$Q$3,1,MATCH(D151,[3]Sheet1!$C$3:$Q$3)+1)-INDEX([3]Sheet1!$C$3:$Q$3,1,MATCH(
D151,[3]Sheet1!$C$3:$Q$3)))*(INDEX([3]Sheet1!$C$4:$Q$23,MATCH(K151,[3]Sheet1!$B$4:$B$23,1),MATCH(D151,[3]Sheet1!$C$3:$Q$3,1)+1)-INDEX([3]Sheet1!$C$4:$Q$23,MATCH(K151,[3]Sheet1!$B$4:$B$23,1),MATCH(D151,[3]Sheet1!$C$3:$Q$3,1))))</f>
        <v>0</v>
      </c>
      <c r="M151" cm="1">
        <f t="array" ref="M151" xml:space="preserve"> IF(E151*J151=0,0,(INDEX([2]Sheet1!$C$4:$Q$23,MATCH(K151,[2]Sheet1!$B$4:$B$23,1),MATCH(D151,[2]Sheet1!$C$3:$Q$3,1))
+ (K151 - INDEX([2]Sheet1!$B$4:$B$23,MATCH(K151,[2]Sheet1!$B$4:$B$23,1),1))/(INDEX([2]Sheet1!$B$4:$B$23,MATCH(K151,[2]Sheet1!$B$4:$B$23,1)+1,1) - INDEX([2]Sheet1!$B$4:$B$23,MATCH(K151,[2]Sheet1!$B$4:$B$23,1),1))*(INDEX([2]Sheet1!$C$4:$Q$23,MATCH(K151,[2]Sheet1!$B$4:$B$23,1)+1,MATCH(D151,[2]Sheet1!$C$3:$Q$3,1)) - INDEX([2]Sheet1!$C$4:$Q$23,MATCH(K151,[2]Sheet1!$B$4:$B$23,1),MATCH(D151,[2]Sheet1!$C$3:$Q$3,1)))
+ (D151 - INDEX([2]Sheet1!$C$3:$Q$3,1,MATCH(D151,[2]Sheet1!$C$3:$Q$3)))/(INDEX([2]Sheet1!$C$3:$Q$3,1,MATCH(D151,[2]Sheet1!$C$3:$Q$3)+1) - INDEX([2]Sheet1!$C$3:$Q$3,1,MATCH(D151,[2]Sheet1!$C$3:$Q$3)))*(
INDEX([2]Sheet1!$C$4:$Q$23,MATCH(K151,[2]Sheet1!$B$4:$B$23,1),MATCH(D151,[2]Sheet1!$C$3:$Q$3,1)+1) - INDEX([2]Sheet1!$C$4:$Q$23,MATCH(K151,[2]Sheet1!$B$4:$B$23,1),MATCH(D151,[2]Sheet1!$C$3:$Q$3,1)))))</f>
        <v>0</v>
      </c>
      <c r="N151">
        <f t="shared" si="44"/>
        <v>12</v>
      </c>
      <c r="O151">
        <v>9.3784988086486179E-2</v>
      </c>
      <c r="P151" t="e">
        <f t="shared" si="45"/>
        <v>#DIV/0!</v>
      </c>
      <c r="Q151">
        <f t="shared" si="32"/>
        <v>0</v>
      </c>
      <c r="R151">
        <f t="shared" si="46"/>
        <v>741.9099431943954</v>
      </c>
      <c r="T151" t="e">
        <f t="shared" si="35"/>
        <v>#DIV/0!</v>
      </c>
      <c r="U151" t="e">
        <f t="shared" si="36"/>
        <v>#DIV/0!</v>
      </c>
      <c r="V151">
        <f t="shared" si="37"/>
        <v>0</v>
      </c>
      <c r="W151" t="e">
        <f t="shared" si="33"/>
        <v>#DIV/0!</v>
      </c>
    </row>
    <row r="152" spans="1:23" x14ac:dyDescent="0.55000000000000004">
      <c r="A152">
        <f t="shared" si="34"/>
        <v>11.799999999999974</v>
      </c>
      <c r="B152">
        <f t="shared" si="38"/>
        <v>0.316</v>
      </c>
      <c r="C152">
        <f t="shared" si="39"/>
        <v>-2.695652173913027</v>
      </c>
      <c r="D152">
        <v>2.4690468428065095</v>
      </c>
      <c r="E152">
        <f t="shared" si="29"/>
        <v>0</v>
      </c>
      <c r="F152">
        <f t="shared" si="40"/>
        <v>4.8605058816845369E-2</v>
      </c>
      <c r="G152">
        <f t="shared" si="41"/>
        <v>39.513748498891111</v>
      </c>
      <c r="H152">
        <f t="shared" si="42"/>
        <v>0</v>
      </c>
      <c r="I152" s="1">
        <f t="shared" si="30"/>
        <v>0</v>
      </c>
      <c r="J152">
        <f t="shared" si="43"/>
        <v>0</v>
      </c>
      <c r="K152">
        <f t="shared" si="31"/>
        <v>0</v>
      </c>
      <c r="L152" cm="1">
        <f t="array" ref="L152">IF(E152*J152=0,0,$C$21*INDEX([3]Sheet1!$C$4:$Q$23,MATCH(K152,[3]Sheet1!$B$4:$B$23,1),MATCH(D152,[3]Sheet1!$C$3:$Q$3,1))
+(K152-INDEX([3]Sheet1!$B$4:$B$23,MATCH(K152,[3]Sheet1!$B$4:$B$23,1),1))/(INDEX([3]Sheet1!$B$4:$B$23,MATCH(K152,[3]Sheet1!$B$4:$B$23,1)+1,1)-INDEX([3]Sheet1!$B$4:$B$23,
MATCH(K152,[3]Sheet1!$B$4:$B$23,1),1))*(INDEX([3]Sheet1!$C$4:$Q$23,MATCH(K152,[3]Sheet1!$B$4:$B$23,1)+1,MATCH(D152,[3]Sheet1!$C$3:$Q$3,1))-INDEX([3]Sheet1!$C$4:$Q$23,
MATCH(K152,[3]Sheet1!$B$4:$B$23,1),MATCH(D152,[3]Sheet1!$C$3:$Q$3,1)))
+(D152-INDEX([3]Sheet1!$C$3:$Q$3,1,MATCH(D152,[3]Sheet1!$C$3:$Q$3)))/(INDEX([3]Sheet1!$C$3:$Q$3,1,MATCH(D152,[3]Sheet1!$C$3:$Q$3)+1)-INDEX([3]Sheet1!$C$3:$Q$3,1,MATCH(
D152,[3]Sheet1!$C$3:$Q$3)))*(INDEX([3]Sheet1!$C$4:$Q$23,MATCH(K152,[3]Sheet1!$B$4:$B$23,1),MATCH(D152,[3]Sheet1!$C$3:$Q$3,1)+1)-INDEX([3]Sheet1!$C$4:$Q$23,MATCH(K152,[3]Sheet1!$B$4:$B$23,1),MATCH(D152,[3]Sheet1!$C$3:$Q$3,1))))</f>
        <v>0</v>
      </c>
      <c r="M152" cm="1">
        <f t="array" ref="M152" xml:space="preserve"> IF(E152*J152=0,0,(INDEX([2]Sheet1!$C$4:$Q$23,MATCH(K152,[2]Sheet1!$B$4:$B$23,1),MATCH(D152,[2]Sheet1!$C$3:$Q$3,1))
+ (K152 - INDEX([2]Sheet1!$B$4:$B$23,MATCH(K152,[2]Sheet1!$B$4:$B$23,1),1))/(INDEX([2]Sheet1!$B$4:$B$23,MATCH(K152,[2]Sheet1!$B$4:$B$23,1)+1,1) - INDEX([2]Sheet1!$B$4:$B$23,MATCH(K152,[2]Sheet1!$B$4:$B$23,1),1))*(INDEX([2]Sheet1!$C$4:$Q$23,MATCH(K152,[2]Sheet1!$B$4:$B$23,1)+1,MATCH(D152,[2]Sheet1!$C$3:$Q$3,1)) - INDEX([2]Sheet1!$C$4:$Q$23,MATCH(K152,[2]Sheet1!$B$4:$B$23,1),MATCH(D152,[2]Sheet1!$C$3:$Q$3,1)))
+ (D152 - INDEX([2]Sheet1!$C$3:$Q$3,1,MATCH(D152,[2]Sheet1!$C$3:$Q$3)))/(INDEX([2]Sheet1!$C$3:$Q$3,1,MATCH(D152,[2]Sheet1!$C$3:$Q$3)+1) - INDEX([2]Sheet1!$C$3:$Q$3,1,MATCH(D152,[2]Sheet1!$C$3:$Q$3)))*(
INDEX([2]Sheet1!$C$4:$Q$23,MATCH(K152,[2]Sheet1!$B$4:$B$23,1),MATCH(D152,[2]Sheet1!$C$3:$Q$3,1)+1) - INDEX([2]Sheet1!$C$4:$Q$23,MATCH(K152,[2]Sheet1!$B$4:$B$23,1),MATCH(D152,[2]Sheet1!$C$3:$Q$3,1)))))</f>
        <v>0</v>
      </c>
      <c r="N152">
        <f t="shared" si="44"/>
        <v>12</v>
      </c>
      <c r="O152">
        <v>9.3750589722503733E-2</v>
      </c>
      <c r="P152" t="e">
        <f t="shared" si="45"/>
        <v>#DIV/0!</v>
      </c>
      <c r="Q152">
        <f t="shared" si="32"/>
        <v>0</v>
      </c>
      <c r="R152">
        <f t="shared" si="46"/>
        <v>741.9099431943954</v>
      </c>
      <c r="T152" t="e">
        <f t="shared" si="35"/>
        <v>#DIV/0!</v>
      </c>
      <c r="U152" t="e">
        <f t="shared" si="36"/>
        <v>#DIV/0!</v>
      </c>
      <c r="V152">
        <f t="shared" si="37"/>
        <v>0</v>
      </c>
      <c r="W152" t="e">
        <f t="shared" si="33"/>
        <v>#DIV/0!</v>
      </c>
    </row>
    <row r="153" spans="1:23" x14ac:dyDescent="0.55000000000000004">
      <c r="A153">
        <f t="shared" si="34"/>
        <v>11.899999999999974</v>
      </c>
      <c r="B153">
        <f t="shared" si="38"/>
        <v>0.316</v>
      </c>
      <c r="C153">
        <f t="shared" si="39"/>
        <v>-2.7608695652173738</v>
      </c>
      <c r="D153">
        <v>2.4688818868468343</v>
      </c>
      <c r="E153">
        <f t="shared" si="29"/>
        <v>0</v>
      </c>
      <c r="F153">
        <f t="shared" si="40"/>
        <v>4.8605058816845369E-2</v>
      </c>
      <c r="G153">
        <f t="shared" si="41"/>
        <v>39.513748498891111</v>
      </c>
      <c r="H153">
        <f t="shared" si="42"/>
        <v>0</v>
      </c>
      <c r="I153" s="1">
        <f t="shared" si="30"/>
        <v>0</v>
      </c>
      <c r="J153">
        <f t="shared" si="43"/>
        <v>0</v>
      </c>
      <c r="K153">
        <f t="shared" si="31"/>
        <v>0</v>
      </c>
      <c r="L153" cm="1">
        <f t="array" ref="L153">IF(E153*J153=0,0,$C$21*INDEX([3]Sheet1!$C$4:$Q$23,MATCH(K153,[3]Sheet1!$B$4:$B$23,1),MATCH(D153,[3]Sheet1!$C$3:$Q$3,1))
+(K153-INDEX([3]Sheet1!$B$4:$B$23,MATCH(K153,[3]Sheet1!$B$4:$B$23,1),1))/(INDEX([3]Sheet1!$B$4:$B$23,MATCH(K153,[3]Sheet1!$B$4:$B$23,1)+1,1)-INDEX([3]Sheet1!$B$4:$B$23,
MATCH(K153,[3]Sheet1!$B$4:$B$23,1),1))*(INDEX([3]Sheet1!$C$4:$Q$23,MATCH(K153,[3]Sheet1!$B$4:$B$23,1)+1,MATCH(D153,[3]Sheet1!$C$3:$Q$3,1))-INDEX([3]Sheet1!$C$4:$Q$23,
MATCH(K153,[3]Sheet1!$B$4:$B$23,1),MATCH(D153,[3]Sheet1!$C$3:$Q$3,1)))
+(D153-INDEX([3]Sheet1!$C$3:$Q$3,1,MATCH(D153,[3]Sheet1!$C$3:$Q$3)))/(INDEX([3]Sheet1!$C$3:$Q$3,1,MATCH(D153,[3]Sheet1!$C$3:$Q$3)+1)-INDEX([3]Sheet1!$C$3:$Q$3,1,MATCH(
D153,[3]Sheet1!$C$3:$Q$3)))*(INDEX([3]Sheet1!$C$4:$Q$23,MATCH(K153,[3]Sheet1!$B$4:$B$23,1),MATCH(D153,[3]Sheet1!$C$3:$Q$3,1)+1)-INDEX([3]Sheet1!$C$4:$Q$23,MATCH(K153,[3]Sheet1!$B$4:$B$23,1),MATCH(D153,[3]Sheet1!$C$3:$Q$3,1))))</f>
        <v>0</v>
      </c>
      <c r="M153" cm="1">
        <f t="array" ref="M153" xml:space="preserve"> IF(E153*J153=0,0,(INDEX([2]Sheet1!$C$4:$Q$23,MATCH(K153,[2]Sheet1!$B$4:$B$23,1),MATCH(D153,[2]Sheet1!$C$3:$Q$3,1))
+ (K153 - INDEX([2]Sheet1!$B$4:$B$23,MATCH(K153,[2]Sheet1!$B$4:$B$23,1),1))/(INDEX([2]Sheet1!$B$4:$B$23,MATCH(K153,[2]Sheet1!$B$4:$B$23,1)+1,1) - INDEX([2]Sheet1!$B$4:$B$23,MATCH(K153,[2]Sheet1!$B$4:$B$23,1),1))*(INDEX([2]Sheet1!$C$4:$Q$23,MATCH(K153,[2]Sheet1!$B$4:$B$23,1)+1,MATCH(D153,[2]Sheet1!$C$3:$Q$3,1)) - INDEX([2]Sheet1!$C$4:$Q$23,MATCH(K153,[2]Sheet1!$B$4:$B$23,1),MATCH(D153,[2]Sheet1!$C$3:$Q$3,1)))
+ (D153 - INDEX([2]Sheet1!$C$3:$Q$3,1,MATCH(D153,[2]Sheet1!$C$3:$Q$3)))/(INDEX([2]Sheet1!$C$3:$Q$3,1,MATCH(D153,[2]Sheet1!$C$3:$Q$3)+1) - INDEX([2]Sheet1!$C$3:$Q$3,1,MATCH(D153,[2]Sheet1!$C$3:$Q$3)))*(
INDEX([2]Sheet1!$C$4:$Q$23,MATCH(K153,[2]Sheet1!$B$4:$B$23,1),MATCH(D153,[2]Sheet1!$C$3:$Q$3,1)+1) - INDEX([2]Sheet1!$C$4:$Q$23,MATCH(K153,[2]Sheet1!$B$4:$B$23,1),MATCH(D153,[2]Sheet1!$C$3:$Q$3,1)))))</f>
        <v>0</v>
      </c>
      <c r="N153">
        <f t="shared" si="44"/>
        <v>12</v>
      </c>
      <c r="O153">
        <v>9.371630766512147E-2</v>
      </c>
      <c r="P153" t="e">
        <f t="shared" si="45"/>
        <v>#DIV/0!</v>
      </c>
      <c r="Q153">
        <f t="shared" si="32"/>
        <v>0</v>
      </c>
      <c r="R153">
        <f t="shared" si="46"/>
        <v>741.9099431943954</v>
      </c>
      <c r="T153" t="e">
        <f t="shared" si="35"/>
        <v>#DIV/0!</v>
      </c>
      <c r="U153" t="e">
        <f t="shared" si="36"/>
        <v>#DIV/0!</v>
      </c>
      <c r="V153">
        <f t="shared" si="37"/>
        <v>0</v>
      </c>
      <c r="W153" t="e">
        <f t="shared" si="33"/>
        <v>#DIV/0!</v>
      </c>
    </row>
    <row r="154" spans="1:23" x14ac:dyDescent="0.55000000000000004">
      <c r="A154">
        <f t="shared" si="34"/>
        <v>11.999999999999973</v>
      </c>
      <c r="B154">
        <f t="shared" si="38"/>
        <v>0.316</v>
      </c>
      <c r="C154">
        <f t="shared" si="39"/>
        <v>-2.8260869565217224</v>
      </c>
      <c r="D154">
        <v>2.4687174252508965</v>
      </c>
      <c r="E154">
        <f t="shared" si="29"/>
        <v>0</v>
      </c>
      <c r="F154">
        <f t="shared" si="40"/>
        <v>4.8605058816845369E-2</v>
      </c>
      <c r="G154">
        <f t="shared" si="41"/>
        <v>39.513748498891111</v>
      </c>
      <c r="H154">
        <f t="shared" si="42"/>
        <v>0</v>
      </c>
      <c r="I154" s="1">
        <f t="shared" si="30"/>
        <v>0</v>
      </c>
      <c r="J154">
        <f t="shared" si="43"/>
        <v>0</v>
      </c>
      <c r="K154">
        <f t="shared" si="31"/>
        <v>0</v>
      </c>
      <c r="L154" cm="1">
        <f t="array" ref="L154">IF(E154*J154=0,0,$C$21*INDEX([3]Sheet1!$C$4:$Q$23,MATCH(K154,[3]Sheet1!$B$4:$B$23,1),MATCH(D154,[3]Sheet1!$C$3:$Q$3,1))
+(K154-INDEX([3]Sheet1!$B$4:$B$23,MATCH(K154,[3]Sheet1!$B$4:$B$23,1),1))/(INDEX([3]Sheet1!$B$4:$B$23,MATCH(K154,[3]Sheet1!$B$4:$B$23,1)+1,1)-INDEX([3]Sheet1!$B$4:$B$23,
MATCH(K154,[3]Sheet1!$B$4:$B$23,1),1))*(INDEX([3]Sheet1!$C$4:$Q$23,MATCH(K154,[3]Sheet1!$B$4:$B$23,1)+1,MATCH(D154,[3]Sheet1!$C$3:$Q$3,1))-INDEX([3]Sheet1!$C$4:$Q$23,
MATCH(K154,[3]Sheet1!$B$4:$B$23,1),MATCH(D154,[3]Sheet1!$C$3:$Q$3,1)))
+(D154-INDEX([3]Sheet1!$C$3:$Q$3,1,MATCH(D154,[3]Sheet1!$C$3:$Q$3)))/(INDEX([3]Sheet1!$C$3:$Q$3,1,MATCH(D154,[3]Sheet1!$C$3:$Q$3)+1)-INDEX([3]Sheet1!$C$3:$Q$3,1,MATCH(
D154,[3]Sheet1!$C$3:$Q$3)))*(INDEX([3]Sheet1!$C$4:$Q$23,MATCH(K154,[3]Sheet1!$B$4:$B$23,1),MATCH(D154,[3]Sheet1!$C$3:$Q$3,1)+1)-INDEX([3]Sheet1!$C$4:$Q$23,MATCH(K154,[3]Sheet1!$B$4:$B$23,1),MATCH(D154,[3]Sheet1!$C$3:$Q$3,1))))</f>
        <v>0</v>
      </c>
      <c r="M154" cm="1">
        <f t="array" ref="M154" xml:space="preserve"> IF(E154*J154=0,0,(INDEX([2]Sheet1!$C$4:$Q$23,MATCH(K154,[2]Sheet1!$B$4:$B$23,1),MATCH(D154,[2]Sheet1!$C$3:$Q$3,1))
+ (K154 - INDEX([2]Sheet1!$B$4:$B$23,MATCH(K154,[2]Sheet1!$B$4:$B$23,1),1))/(INDEX([2]Sheet1!$B$4:$B$23,MATCH(K154,[2]Sheet1!$B$4:$B$23,1)+1,1) - INDEX([2]Sheet1!$B$4:$B$23,MATCH(K154,[2]Sheet1!$B$4:$B$23,1),1))*(INDEX([2]Sheet1!$C$4:$Q$23,MATCH(K154,[2]Sheet1!$B$4:$B$23,1)+1,MATCH(D154,[2]Sheet1!$C$3:$Q$3,1)) - INDEX([2]Sheet1!$C$4:$Q$23,MATCH(K154,[2]Sheet1!$B$4:$B$23,1),MATCH(D154,[2]Sheet1!$C$3:$Q$3,1)))
+ (D154 - INDEX([2]Sheet1!$C$3:$Q$3,1,MATCH(D154,[2]Sheet1!$C$3:$Q$3)))/(INDEX([2]Sheet1!$C$3:$Q$3,1,MATCH(D154,[2]Sheet1!$C$3:$Q$3)+1) - INDEX([2]Sheet1!$C$3:$Q$3,1,MATCH(D154,[2]Sheet1!$C$3:$Q$3)))*(
INDEX([2]Sheet1!$C$4:$Q$23,MATCH(K154,[2]Sheet1!$B$4:$B$23,1),MATCH(D154,[2]Sheet1!$C$3:$Q$3,1)+1) - INDEX([2]Sheet1!$C$4:$Q$23,MATCH(K154,[2]Sheet1!$B$4:$B$23,1),MATCH(D154,[2]Sheet1!$C$3:$Q$3,1)))))</f>
        <v>0</v>
      </c>
      <c r="N154">
        <f t="shared" si="44"/>
        <v>12</v>
      </c>
      <c r="O154">
        <v>9.3682141156042703E-2</v>
      </c>
      <c r="P154" t="e">
        <f t="shared" si="45"/>
        <v>#DIV/0!</v>
      </c>
      <c r="Q154">
        <f t="shared" si="32"/>
        <v>0</v>
      </c>
      <c r="R154">
        <f t="shared" si="46"/>
        <v>741.9099431943954</v>
      </c>
      <c r="T154" t="e">
        <f t="shared" si="35"/>
        <v>#DIV/0!</v>
      </c>
      <c r="U154" t="e">
        <f t="shared" si="36"/>
        <v>#DIV/0!</v>
      </c>
      <c r="V154">
        <f t="shared" si="37"/>
        <v>0</v>
      </c>
      <c r="W154" t="e">
        <f t="shared" si="33"/>
        <v>#DIV/0!</v>
      </c>
    </row>
    <row r="155" spans="1:23" x14ac:dyDescent="0.55000000000000004">
      <c r="A155">
        <f t="shared" si="34"/>
        <v>12.099999999999973</v>
      </c>
      <c r="B155">
        <f t="shared" si="38"/>
        <v>0.316</v>
      </c>
      <c r="C155">
        <f t="shared" si="39"/>
        <v>-2.89130434782607</v>
      </c>
      <c r="D155">
        <v>2.468553454977084</v>
      </c>
      <c r="E155">
        <f t="shared" si="29"/>
        <v>0</v>
      </c>
      <c r="F155">
        <f t="shared" si="40"/>
        <v>4.8605058816845369E-2</v>
      </c>
      <c r="G155">
        <f t="shared" si="41"/>
        <v>39.513748498891111</v>
      </c>
      <c r="H155">
        <f t="shared" si="42"/>
        <v>0</v>
      </c>
      <c r="I155" s="1">
        <f t="shared" si="30"/>
        <v>0</v>
      </c>
      <c r="J155">
        <f t="shared" si="43"/>
        <v>0</v>
      </c>
      <c r="K155">
        <f t="shared" si="31"/>
        <v>0</v>
      </c>
      <c r="L155" cm="1">
        <f t="array" ref="L155">IF(E155*J155=0,0,$C$21*INDEX([3]Sheet1!$C$4:$Q$23,MATCH(K155,[3]Sheet1!$B$4:$B$23,1),MATCH(D155,[3]Sheet1!$C$3:$Q$3,1))
+(K155-INDEX([3]Sheet1!$B$4:$B$23,MATCH(K155,[3]Sheet1!$B$4:$B$23,1),1))/(INDEX([3]Sheet1!$B$4:$B$23,MATCH(K155,[3]Sheet1!$B$4:$B$23,1)+1,1)-INDEX([3]Sheet1!$B$4:$B$23,
MATCH(K155,[3]Sheet1!$B$4:$B$23,1),1))*(INDEX([3]Sheet1!$C$4:$Q$23,MATCH(K155,[3]Sheet1!$B$4:$B$23,1)+1,MATCH(D155,[3]Sheet1!$C$3:$Q$3,1))-INDEX([3]Sheet1!$C$4:$Q$23,
MATCH(K155,[3]Sheet1!$B$4:$B$23,1),MATCH(D155,[3]Sheet1!$C$3:$Q$3,1)))
+(D155-INDEX([3]Sheet1!$C$3:$Q$3,1,MATCH(D155,[3]Sheet1!$C$3:$Q$3)))/(INDEX([3]Sheet1!$C$3:$Q$3,1,MATCH(D155,[3]Sheet1!$C$3:$Q$3)+1)-INDEX([3]Sheet1!$C$3:$Q$3,1,MATCH(
D155,[3]Sheet1!$C$3:$Q$3)))*(INDEX([3]Sheet1!$C$4:$Q$23,MATCH(K155,[3]Sheet1!$B$4:$B$23,1),MATCH(D155,[3]Sheet1!$C$3:$Q$3,1)+1)-INDEX([3]Sheet1!$C$4:$Q$23,MATCH(K155,[3]Sheet1!$B$4:$B$23,1),MATCH(D155,[3]Sheet1!$C$3:$Q$3,1))))</f>
        <v>0</v>
      </c>
      <c r="M155" cm="1">
        <f t="array" ref="M155" xml:space="preserve"> IF(E155*J155=0,0,(INDEX([2]Sheet1!$C$4:$Q$23,MATCH(K155,[2]Sheet1!$B$4:$B$23,1),MATCH(D155,[2]Sheet1!$C$3:$Q$3,1))
+ (K155 - INDEX([2]Sheet1!$B$4:$B$23,MATCH(K155,[2]Sheet1!$B$4:$B$23,1),1))/(INDEX([2]Sheet1!$B$4:$B$23,MATCH(K155,[2]Sheet1!$B$4:$B$23,1)+1,1) - INDEX([2]Sheet1!$B$4:$B$23,MATCH(K155,[2]Sheet1!$B$4:$B$23,1),1))*(INDEX([2]Sheet1!$C$4:$Q$23,MATCH(K155,[2]Sheet1!$B$4:$B$23,1)+1,MATCH(D155,[2]Sheet1!$C$3:$Q$3,1)) - INDEX([2]Sheet1!$C$4:$Q$23,MATCH(K155,[2]Sheet1!$B$4:$B$23,1),MATCH(D155,[2]Sheet1!$C$3:$Q$3,1)))
+ (D155 - INDEX([2]Sheet1!$C$3:$Q$3,1,MATCH(D155,[2]Sheet1!$C$3:$Q$3)))/(INDEX([2]Sheet1!$C$3:$Q$3,1,MATCH(D155,[2]Sheet1!$C$3:$Q$3)+1) - INDEX([2]Sheet1!$C$3:$Q$3,1,MATCH(D155,[2]Sheet1!$C$3:$Q$3)))*(
INDEX([2]Sheet1!$C$4:$Q$23,MATCH(K155,[2]Sheet1!$B$4:$B$23,1),MATCH(D155,[2]Sheet1!$C$3:$Q$3,1)+1) - INDEX([2]Sheet1!$C$4:$Q$23,MATCH(K155,[2]Sheet1!$B$4:$B$23,1),MATCH(D155,[2]Sheet1!$C$3:$Q$3,1)))))</f>
        <v>0</v>
      </c>
      <c r="N155">
        <f t="shared" si="44"/>
        <v>12</v>
      </c>
      <c r="O155">
        <v>9.3648089444269431E-2</v>
      </c>
      <c r="P155" t="e">
        <f t="shared" si="45"/>
        <v>#DIV/0!</v>
      </c>
      <c r="Q155">
        <f t="shared" si="32"/>
        <v>0</v>
      </c>
      <c r="R155">
        <f t="shared" si="46"/>
        <v>741.9099431943954</v>
      </c>
      <c r="T155" t="e">
        <f t="shared" si="35"/>
        <v>#DIV/0!</v>
      </c>
      <c r="U155" t="e">
        <f t="shared" si="36"/>
        <v>#DIV/0!</v>
      </c>
      <c r="V155">
        <f t="shared" si="37"/>
        <v>0</v>
      </c>
      <c r="W155" t="e">
        <f t="shared" si="33"/>
        <v>#DIV/0!</v>
      </c>
    </row>
    <row r="156" spans="1:23" x14ac:dyDescent="0.55000000000000004">
      <c r="A156">
        <f t="shared" si="34"/>
        <v>12.199999999999973</v>
      </c>
      <c r="B156">
        <f t="shared" si="38"/>
        <v>0.316</v>
      </c>
      <c r="C156">
        <f t="shared" si="39"/>
        <v>-2.9565217391304168</v>
      </c>
      <c r="D156">
        <v>2.4683899730112655</v>
      </c>
      <c r="E156">
        <f t="shared" si="29"/>
        <v>0</v>
      </c>
      <c r="F156">
        <f t="shared" si="40"/>
        <v>4.8605058816845369E-2</v>
      </c>
      <c r="G156">
        <f t="shared" si="41"/>
        <v>39.513748498891111</v>
      </c>
      <c r="H156">
        <f t="shared" si="42"/>
        <v>0</v>
      </c>
      <c r="I156" s="1">
        <f t="shared" si="30"/>
        <v>0</v>
      </c>
      <c r="J156">
        <f t="shared" si="43"/>
        <v>0</v>
      </c>
      <c r="K156">
        <f t="shared" si="31"/>
        <v>0</v>
      </c>
      <c r="L156" cm="1">
        <f t="array" ref="L156">IF(E156*J156=0,0,$C$21*INDEX([3]Sheet1!$C$4:$Q$23,MATCH(K156,[3]Sheet1!$B$4:$B$23,1),MATCH(D156,[3]Sheet1!$C$3:$Q$3,1))
+(K156-INDEX([3]Sheet1!$B$4:$B$23,MATCH(K156,[3]Sheet1!$B$4:$B$23,1),1))/(INDEX([3]Sheet1!$B$4:$B$23,MATCH(K156,[3]Sheet1!$B$4:$B$23,1)+1,1)-INDEX([3]Sheet1!$B$4:$B$23,
MATCH(K156,[3]Sheet1!$B$4:$B$23,1),1))*(INDEX([3]Sheet1!$C$4:$Q$23,MATCH(K156,[3]Sheet1!$B$4:$B$23,1)+1,MATCH(D156,[3]Sheet1!$C$3:$Q$3,1))-INDEX([3]Sheet1!$C$4:$Q$23,
MATCH(K156,[3]Sheet1!$B$4:$B$23,1),MATCH(D156,[3]Sheet1!$C$3:$Q$3,1)))
+(D156-INDEX([3]Sheet1!$C$3:$Q$3,1,MATCH(D156,[3]Sheet1!$C$3:$Q$3)))/(INDEX([3]Sheet1!$C$3:$Q$3,1,MATCH(D156,[3]Sheet1!$C$3:$Q$3)+1)-INDEX([3]Sheet1!$C$3:$Q$3,1,MATCH(
D156,[3]Sheet1!$C$3:$Q$3)))*(INDEX([3]Sheet1!$C$4:$Q$23,MATCH(K156,[3]Sheet1!$B$4:$B$23,1),MATCH(D156,[3]Sheet1!$C$3:$Q$3,1)+1)-INDEX([3]Sheet1!$C$4:$Q$23,MATCH(K156,[3]Sheet1!$B$4:$B$23,1),MATCH(D156,[3]Sheet1!$C$3:$Q$3,1))))</f>
        <v>0</v>
      </c>
      <c r="M156" cm="1">
        <f t="array" ref="M156" xml:space="preserve"> IF(E156*J156=0,0,(INDEX([2]Sheet1!$C$4:$Q$23,MATCH(K156,[2]Sheet1!$B$4:$B$23,1),MATCH(D156,[2]Sheet1!$C$3:$Q$3,1))
+ (K156 - INDEX([2]Sheet1!$B$4:$B$23,MATCH(K156,[2]Sheet1!$B$4:$B$23,1),1))/(INDEX([2]Sheet1!$B$4:$B$23,MATCH(K156,[2]Sheet1!$B$4:$B$23,1)+1,1) - INDEX([2]Sheet1!$B$4:$B$23,MATCH(K156,[2]Sheet1!$B$4:$B$23,1),1))*(INDEX([2]Sheet1!$C$4:$Q$23,MATCH(K156,[2]Sheet1!$B$4:$B$23,1)+1,MATCH(D156,[2]Sheet1!$C$3:$Q$3,1)) - INDEX([2]Sheet1!$C$4:$Q$23,MATCH(K156,[2]Sheet1!$B$4:$B$23,1),MATCH(D156,[2]Sheet1!$C$3:$Q$3,1)))
+ (D156 - INDEX([2]Sheet1!$C$3:$Q$3,1,MATCH(D156,[2]Sheet1!$C$3:$Q$3)))/(INDEX([2]Sheet1!$C$3:$Q$3,1,MATCH(D156,[2]Sheet1!$C$3:$Q$3)+1) - INDEX([2]Sheet1!$C$3:$Q$3,1,MATCH(D156,[2]Sheet1!$C$3:$Q$3)))*(
INDEX([2]Sheet1!$C$4:$Q$23,MATCH(K156,[2]Sheet1!$B$4:$B$23,1),MATCH(D156,[2]Sheet1!$C$3:$Q$3,1)+1) - INDEX([2]Sheet1!$C$4:$Q$23,MATCH(K156,[2]Sheet1!$B$4:$B$23,1),MATCH(D156,[2]Sheet1!$C$3:$Q$3,1)))))</f>
        <v>0</v>
      </c>
      <c r="N156">
        <f t="shared" si="44"/>
        <v>12</v>
      </c>
      <c r="O156">
        <v>9.3614151785883934E-2</v>
      </c>
      <c r="P156" t="e">
        <f t="shared" si="45"/>
        <v>#DIV/0!</v>
      </c>
      <c r="Q156">
        <f t="shared" si="32"/>
        <v>0</v>
      </c>
      <c r="R156">
        <f t="shared" si="46"/>
        <v>741.9099431943954</v>
      </c>
      <c r="T156" t="e">
        <f t="shared" si="35"/>
        <v>#DIV/0!</v>
      </c>
      <c r="U156" t="e">
        <f t="shared" si="36"/>
        <v>#DIV/0!</v>
      </c>
      <c r="V156">
        <f t="shared" si="37"/>
        <v>0</v>
      </c>
      <c r="W156" t="e">
        <f t="shared" si="33"/>
        <v>#DIV/0!</v>
      </c>
    </row>
    <row r="157" spans="1:23" x14ac:dyDescent="0.55000000000000004">
      <c r="A157">
        <f t="shared" si="34"/>
        <v>12.299999999999972</v>
      </c>
      <c r="B157">
        <f t="shared" si="38"/>
        <v>0.316</v>
      </c>
      <c r="C157">
        <f t="shared" si="39"/>
        <v>-3.0217391304347654</v>
      </c>
      <c r="D157">
        <v>2.4682269763685269</v>
      </c>
      <c r="E157">
        <f t="shared" si="29"/>
        <v>0</v>
      </c>
      <c r="F157">
        <f t="shared" si="40"/>
        <v>4.8605058816845369E-2</v>
      </c>
      <c r="G157">
        <f t="shared" si="41"/>
        <v>39.513748498891111</v>
      </c>
      <c r="H157">
        <f t="shared" si="42"/>
        <v>0</v>
      </c>
      <c r="I157" s="1">
        <f t="shared" si="30"/>
        <v>0</v>
      </c>
      <c r="J157">
        <f t="shared" si="43"/>
        <v>0</v>
      </c>
      <c r="K157">
        <f t="shared" si="31"/>
        <v>0</v>
      </c>
      <c r="L157" cm="1">
        <f t="array" ref="L157">IF(E157*J157=0,0,$C$21*INDEX([3]Sheet1!$C$4:$Q$23,MATCH(K157,[3]Sheet1!$B$4:$B$23,1),MATCH(D157,[3]Sheet1!$C$3:$Q$3,1))
+(K157-INDEX([3]Sheet1!$B$4:$B$23,MATCH(K157,[3]Sheet1!$B$4:$B$23,1),1))/(INDEX([3]Sheet1!$B$4:$B$23,MATCH(K157,[3]Sheet1!$B$4:$B$23,1)+1,1)-INDEX([3]Sheet1!$B$4:$B$23,
MATCH(K157,[3]Sheet1!$B$4:$B$23,1),1))*(INDEX([3]Sheet1!$C$4:$Q$23,MATCH(K157,[3]Sheet1!$B$4:$B$23,1)+1,MATCH(D157,[3]Sheet1!$C$3:$Q$3,1))-INDEX([3]Sheet1!$C$4:$Q$23,
MATCH(K157,[3]Sheet1!$B$4:$B$23,1),MATCH(D157,[3]Sheet1!$C$3:$Q$3,1)))
+(D157-INDEX([3]Sheet1!$C$3:$Q$3,1,MATCH(D157,[3]Sheet1!$C$3:$Q$3)))/(INDEX([3]Sheet1!$C$3:$Q$3,1,MATCH(D157,[3]Sheet1!$C$3:$Q$3)+1)-INDEX([3]Sheet1!$C$3:$Q$3,1,MATCH(
D157,[3]Sheet1!$C$3:$Q$3)))*(INDEX([3]Sheet1!$C$4:$Q$23,MATCH(K157,[3]Sheet1!$B$4:$B$23,1),MATCH(D157,[3]Sheet1!$C$3:$Q$3,1)+1)-INDEX([3]Sheet1!$C$4:$Q$23,MATCH(K157,[3]Sheet1!$B$4:$B$23,1),MATCH(D157,[3]Sheet1!$C$3:$Q$3,1))))</f>
        <v>0</v>
      </c>
      <c r="M157" cm="1">
        <f t="array" ref="M157" xml:space="preserve"> IF(E157*J157=0,0,(INDEX([2]Sheet1!$C$4:$Q$23,MATCH(K157,[2]Sheet1!$B$4:$B$23,1),MATCH(D157,[2]Sheet1!$C$3:$Q$3,1))
+ (K157 - INDEX([2]Sheet1!$B$4:$B$23,MATCH(K157,[2]Sheet1!$B$4:$B$23,1),1))/(INDEX([2]Sheet1!$B$4:$B$23,MATCH(K157,[2]Sheet1!$B$4:$B$23,1)+1,1) - INDEX([2]Sheet1!$B$4:$B$23,MATCH(K157,[2]Sheet1!$B$4:$B$23,1),1))*(INDEX([2]Sheet1!$C$4:$Q$23,MATCH(K157,[2]Sheet1!$B$4:$B$23,1)+1,MATCH(D157,[2]Sheet1!$C$3:$Q$3,1)) - INDEX([2]Sheet1!$C$4:$Q$23,MATCH(K157,[2]Sheet1!$B$4:$B$23,1),MATCH(D157,[2]Sheet1!$C$3:$Q$3,1)))
+ (D157 - INDEX([2]Sheet1!$C$3:$Q$3,1,MATCH(D157,[2]Sheet1!$C$3:$Q$3)))/(INDEX([2]Sheet1!$C$3:$Q$3,1,MATCH(D157,[2]Sheet1!$C$3:$Q$3)+1) - INDEX([2]Sheet1!$C$3:$Q$3,1,MATCH(D157,[2]Sheet1!$C$3:$Q$3)))*(
INDEX([2]Sheet1!$C$4:$Q$23,MATCH(K157,[2]Sheet1!$B$4:$B$23,1),MATCH(D157,[2]Sheet1!$C$3:$Q$3,1)+1) - INDEX([2]Sheet1!$C$4:$Q$23,MATCH(K157,[2]Sheet1!$B$4:$B$23,1),MATCH(D157,[2]Sheet1!$C$3:$Q$3,1)))))</f>
        <v>0</v>
      </c>
      <c r="N157">
        <f t="shared" si="44"/>
        <v>12</v>
      </c>
      <c r="O157">
        <v>9.3580327444380801E-2</v>
      </c>
      <c r="P157" t="e">
        <f t="shared" si="45"/>
        <v>#DIV/0!</v>
      </c>
      <c r="Q157">
        <f t="shared" si="32"/>
        <v>0</v>
      </c>
      <c r="R157">
        <f t="shared" si="46"/>
        <v>741.9099431943954</v>
      </c>
      <c r="T157" t="e">
        <f t="shared" si="35"/>
        <v>#DIV/0!</v>
      </c>
      <c r="U157" t="e">
        <f t="shared" si="36"/>
        <v>#DIV/0!</v>
      </c>
      <c r="V157">
        <f t="shared" si="37"/>
        <v>0</v>
      </c>
      <c r="W157" t="e">
        <f t="shared" si="33"/>
        <v>#DIV/0!</v>
      </c>
    </row>
    <row r="158" spans="1:23" x14ac:dyDescent="0.55000000000000004">
      <c r="A158">
        <f t="shared" si="34"/>
        <v>12.399999999999972</v>
      </c>
      <c r="B158">
        <f t="shared" si="38"/>
        <v>0.316</v>
      </c>
      <c r="C158">
        <f t="shared" si="39"/>
        <v>-3.0869565217391131</v>
      </c>
      <c r="D158">
        <v>2.4680644620906649</v>
      </c>
      <c r="E158">
        <f t="shared" si="29"/>
        <v>0</v>
      </c>
      <c r="F158">
        <f t="shared" si="40"/>
        <v>4.8605058816845369E-2</v>
      </c>
      <c r="G158">
        <f t="shared" si="41"/>
        <v>39.513748498891111</v>
      </c>
      <c r="H158">
        <f t="shared" si="42"/>
        <v>0</v>
      </c>
      <c r="I158" s="1">
        <f t="shared" si="30"/>
        <v>0</v>
      </c>
      <c r="J158">
        <f t="shared" si="43"/>
        <v>0</v>
      </c>
      <c r="K158">
        <f t="shared" si="31"/>
        <v>0</v>
      </c>
      <c r="L158" cm="1">
        <f t="array" ref="L158">IF(E158*J158=0,0,$C$21*INDEX([3]Sheet1!$C$4:$Q$23,MATCH(K158,[3]Sheet1!$B$4:$B$23,1),MATCH(D158,[3]Sheet1!$C$3:$Q$3,1))
+(K158-INDEX([3]Sheet1!$B$4:$B$23,MATCH(K158,[3]Sheet1!$B$4:$B$23,1),1))/(INDEX([3]Sheet1!$B$4:$B$23,MATCH(K158,[3]Sheet1!$B$4:$B$23,1)+1,1)-INDEX([3]Sheet1!$B$4:$B$23,
MATCH(K158,[3]Sheet1!$B$4:$B$23,1),1))*(INDEX([3]Sheet1!$C$4:$Q$23,MATCH(K158,[3]Sheet1!$B$4:$B$23,1)+1,MATCH(D158,[3]Sheet1!$C$3:$Q$3,1))-INDEX([3]Sheet1!$C$4:$Q$23,
MATCH(K158,[3]Sheet1!$B$4:$B$23,1),MATCH(D158,[3]Sheet1!$C$3:$Q$3,1)))
+(D158-INDEX([3]Sheet1!$C$3:$Q$3,1,MATCH(D158,[3]Sheet1!$C$3:$Q$3)))/(INDEX([3]Sheet1!$C$3:$Q$3,1,MATCH(D158,[3]Sheet1!$C$3:$Q$3)+1)-INDEX([3]Sheet1!$C$3:$Q$3,1,MATCH(
D158,[3]Sheet1!$C$3:$Q$3)))*(INDEX([3]Sheet1!$C$4:$Q$23,MATCH(K158,[3]Sheet1!$B$4:$B$23,1),MATCH(D158,[3]Sheet1!$C$3:$Q$3,1)+1)-INDEX([3]Sheet1!$C$4:$Q$23,MATCH(K158,[3]Sheet1!$B$4:$B$23,1),MATCH(D158,[3]Sheet1!$C$3:$Q$3,1))))</f>
        <v>0</v>
      </c>
      <c r="M158" cm="1">
        <f t="array" ref="M158" xml:space="preserve"> IF(E158*J158=0,0,(INDEX([2]Sheet1!$C$4:$Q$23,MATCH(K158,[2]Sheet1!$B$4:$B$23,1),MATCH(D158,[2]Sheet1!$C$3:$Q$3,1))
+ (K158 - INDEX([2]Sheet1!$B$4:$B$23,MATCH(K158,[2]Sheet1!$B$4:$B$23,1),1))/(INDEX([2]Sheet1!$B$4:$B$23,MATCH(K158,[2]Sheet1!$B$4:$B$23,1)+1,1) - INDEX([2]Sheet1!$B$4:$B$23,MATCH(K158,[2]Sheet1!$B$4:$B$23,1),1))*(INDEX([2]Sheet1!$C$4:$Q$23,MATCH(K158,[2]Sheet1!$B$4:$B$23,1)+1,MATCH(D158,[2]Sheet1!$C$3:$Q$3,1)) - INDEX([2]Sheet1!$C$4:$Q$23,MATCH(K158,[2]Sheet1!$B$4:$B$23,1),MATCH(D158,[2]Sheet1!$C$3:$Q$3,1)))
+ (D158 - INDEX([2]Sheet1!$C$3:$Q$3,1,MATCH(D158,[2]Sheet1!$C$3:$Q$3)))/(INDEX([2]Sheet1!$C$3:$Q$3,1,MATCH(D158,[2]Sheet1!$C$3:$Q$3)+1) - INDEX([2]Sheet1!$C$3:$Q$3,1,MATCH(D158,[2]Sheet1!$C$3:$Q$3)))*(
INDEX([2]Sheet1!$C$4:$Q$23,MATCH(K158,[2]Sheet1!$B$4:$B$23,1),MATCH(D158,[2]Sheet1!$C$3:$Q$3,1)+1) - INDEX([2]Sheet1!$C$4:$Q$23,MATCH(K158,[2]Sheet1!$B$4:$B$23,1),MATCH(D158,[2]Sheet1!$C$3:$Q$3,1)))))</f>
        <v>0</v>
      </c>
      <c r="N158">
        <f t="shared" si="44"/>
        <v>12</v>
      </c>
      <c r="O158">
        <v>9.3546615690136892E-2</v>
      </c>
      <c r="P158" t="e">
        <f t="shared" si="45"/>
        <v>#DIV/0!</v>
      </c>
      <c r="Q158">
        <f t="shared" si="32"/>
        <v>0</v>
      </c>
      <c r="R158">
        <f t="shared" si="46"/>
        <v>741.9099431943954</v>
      </c>
      <c r="T158" t="e">
        <f t="shared" si="35"/>
        <v>#DIV/0!</v>
      </c>
      <c r="U158" t="e">
        <f t="shared" si="36"/>
        <v>#DIV/0!</v>
      </c>
      <c r="V158">
        <f t="shared" si="37"/>
        <v>0</v>
      </c>
      <c r="W158" t="e">
        <f t="shared" si="33"/>
        <v>#DIV/0!</v>
      </c>
    </row>
    <row r="159" spans="1:23" x14ac:dyDescent="0.55000000000000004">
      <c r="A159">
        <f t="shared" si="34"/>
        <v>12.499999999999972</v>
      </c>
      <c r="B159">
        <f t="shared" si="38"/>
        <v>0.316</v>
      </c>
      <c r="C159">
        <f t="shared" si="39"/>
        <v>-3.1521739130434607</v>
      </c>
      <c r="D159">
        <v>2.4679024272465835</v>
      </c>
      <c r="E159">
        <f t="shared" si="29"/>
        <v>0</v>
      </c>
      <c r="F159">
        <f t="shared" si="40"/>
        <v>4.8605058816845369E-2</v>
      </c>
      <c r="G159">
        <f t="shared" si="41"/>
        <v>39.513748498891111</v>
      </c>
      <c r="H159">
        <f t="shared" si="42"/>
        <v>0</v>
      </c>
      <c r="I159" s="1">
        <f t="shared" si="30"/>
        <v>0</v>
      </c>
      <c r="J159">
        <f t="shared" si="43"/>
        <v>0</v>
      </c>
      <c r="K159">
        <f t="shared" si="31"/>
        <v>0</v>
      </c>
      <c r="L159" cm="1">
        <f t="array" ref="L159">IF(E159*J159=0,0,$C$21*INDEX([3]Sheet1!$C$4:$Q$23,MATCH(K159,[3]Sheet1!$B$4:$B$23,1),MATCH(D159,[3]Sheet1!$C$3:$Q$3,1))
+(K159-INDEX([3]Sheet1!$B$4:$B$23,MATCH(K159,[3]Sheet1!$B$4:$B$23,1),1))/(INDEX([3]Sheet1!$B$4:$B$23,MATCH(K159,[3]Sheet1!$B$4:$B$23,1)+1,1)-INDEX([3]Sheet1!$B$4:$B$23,
MATCH(K159,[3]Sheet1!$B$4:$B$23,1),1))*(INDEX([3]Sheet1!$C$4:$Q$23,MATCH(K159,[3]Sheet1!$B$4:$B$23,1)+1,MATCH(D159,[3]Sheet1!$C$3:$Q$3,1))-INDEX([3]Sheet1!$C$4:$Q$23,
MATCH(K159,[3]Sheet1!$B$4:$B$23,1),MATCH(D159,[3]Sheet1!$C$3:$Q$3,1)))
+(D159-INDEX([3]Sheet1!$C$3:$Q$3,1,MATCH(D159,[3]Sheet1!$C$3:$Q$3)))/(INDEX([3]Sheet1!$C$3:$Q$3,1,MATCH(D159,[3]Sheet1!$C$3:$Q$3)+1)-INDEX([3]Sheet1!$C$3:$Q$3,1,MATCH(
D159,[3]Sheet1!$C$3:$Q$3)))*(INDEX([3]Sheet1!$C$4:$Q$23,MATCH(K159,[3]Sheet1!$B$4:$B$23,1),MATCH(D159,[3]Sheet1!$C$3:$Q$3,1)+1)-INDEX([3]Sheet1!$C$4:$Q$23,MATCH(K159,[3]Sheet1!$B$4:$B$23,1),MATCH(D159,[3]Sheet1!$C$3:$Q$3,1))))</f>
        <v>0</v>
      </c>
      <c r="M159" cm="1">
        <f t="array" ref="M159" xml:space="preserve"> IF(E159*J159=0,0,(INDEX([2]Sheet1!$C$4:$Q$23,MATCH(K159,[2]Sheet1!$B$4:$B$23,1),MATCH(D159,[2]Sheet1!$C$3:$Q$3,1))
+ (K159 - INDEX([2]Sheet1!$B$4:$B$23,MATCH(K159,[2]Sheet1!$B$4:$B$23,1),1))/(INDEX([2]Sheet1!$B$4:$B$23,MATCH(K159,[2]Sheet1!$B$4:$B$23,1)+1,1) - INDEX([2]Sheet1!$B$4:$B$23,MATCH(K159,[2]Sheet1!$B$4:$B$23,1),1))*(INDEX([2]Sheet1!$C$4:$Q$23,MATCH(K159,[2]Sheet1!$B$4:$B$23,1)+1,MATCH(D159,[2]Sheet1!$C$3:$Q$3,1)) - INDEX([2]Sheet1!$C$4:$Q$23,MATCH(K159,[2]Sheet1!$B$4:$B$23,1),MATCH(D159,[2]Sheet1!$C$3:$Q$3,1)))
+ (D159 - INDEX([2]Sheet1!$C$3:$Q$3,1,MATCH(D159,[2]Sheet1!$C$3:$Q$3)))/(INDEX([2]Sheet1!$C$3:$Q$3,1,MATCH(D159,[2]Sheet1!$C$3:$Q$3)+1) - INDEX([2]Sheet1!$C$3:$Q$3,1,MATCH(D159,[2]Sheet1!$C$3:$Q$3)))*(
INDEX([2]Sheet1!$C$4:$Q$23,MATCH(K159,[2]Sheet1!$B$4:$B$23,1),MATCH(D159,[2]Sheet1!$C$3:$Q$3,1)+1) - INDEX([2]Sheet1!$C$4:$Q$23,MATCH(K159,[2]Sheet1!$B$4:$B$23,1),MATCH(D159,[2]Sheet1!$C$3:$Q$3,1)))))</f>
        <v>0</v>
      </c>
      <c r="N159">
        <f t="shared" si="44"/>
        <v>12</v>
      </c>
      <c r="O159">
        <v>9.3513015800472429E-2</v>
      </c>
      <c r="P159" t="e">
        <f t="shared" si="45"/>
        <v>#DIV/0!</v>
      </c>
      <c r="Q159">
        <f t="shared" si="32"/>
        <v>0</v>
      </c>
      <c r="R159">
        <f t="shared" si="46"/>
        <v>741.9099431943954</v>
      </c>
      <c r="T159" t="e">
        <f t="shared" si="35"/>
        <v>#DIV/0!</v>
      </c>
      <c r="U159" t="e">
        <f t="shared" si="36"/>
        <v>#DIV/0!</v>
      </c>
      <c r="V159">
        <f t="shared" si="37"/>
        <v>0</v>
      </c>
      <c r="W159" t="e">
        <f t="shared" si="33"/>
        <v>#DIV/0!</v>
      </c>
    </row>
    <row r="160" spans="1:23" x14ac:dyDescent="0.55000000000000004">
      <c r="A160">
        <f t="shared" si="34"/>
        <v>12.599999999999971</v>
      </c>
      <c r="B160">
        <f t="shared" si="38"/>
        <v>0.316</v>
      </c>
      <c r="C160">
        <f t="shared" si="39"/>
        <v>-3.2173913043478084</v>
      </c>
      <c r="D160">
        <v>2.4677408689319726</v>
      </c>
      <c r="E160">
        <f t="shared" si="29"/>
        <v>0</v>
      </c>
      <c r="F160">
        <f t="shared" si="40"/>
        <v>4.8605058816845369E-2</v>
      </c>
      <c r="G160">
        <f t="shared" si="41"/>
        <v>39.513748498891111</v>
      </c>
      <c r="H160">
        <f t="shared" si="42"/>
        <v>0</v>
      </c>
      <c r="I160" s="1">
        <f t="shared" si="30"/>
        <v>0</v>
      </c>
      <c r="J160">
        <f t="shared" si="43"/>
        <v>0</v>
      </c>
      <c r="K160">
        <f t="shared" si="31"/>
        <v>0</v>
      </c>
      <c r="L160" cm="1">
        <f t="array" ref="L160">IF(E160*J160=0,0,$C$21*INDEX([3]Sheet1!$C$4:$Q$23,MATCH(K160,[3]Sheet1!$B$4:$B$23,1),MATCH(D160,[3]Sheet1!$C$3:$Q$3,1))
+(K160-INDEX([3]Sheet1!$B$4:$B$23,MATCH(K160,[3]Sheet1!$B$4:$B$23,1),1))/(INDEX([3]Sheet1!$B$4:$B$23,MATCH(K160,[3]Sheet1!$B$4:$B$23,1)+1,1)-INDEX([3]Sheet1!$B$4:$B$23,
MATCH(K160,[3]Sheet1!$B$4:$B$23,1),1))*(INDEX([3]Sheet1!$C$4:$Q$23,MATCH(K160,[3]Sheet1!$B$4:$B$23,1)+1,MATCH(D160,[3]Sheet1!$C$3:$Q$3,1))-INDEX([3]Sheet1!$C$4:$Q$23,
MATCH(K160,[3]Sheet1!$B$4:$B$23,1),MATCH(D160,[3]Sheet1!$C$3:$Q$3,1)))
+(D160-INDEX([3]Sheet1!$C$3:$Q$3,1,MATCH(D160,[3]Sheet1!$C$3:$Q$3)))/(INDEX([3]Sheet1!$C$3:$Q$3,1,MATCH(D160,[3]Sheet1!$C$3:$Q$3)+1)-INDEX([3]Sheet1!$C$3:$Q$3,1,MATCH(
D160,[3]Sheet1!$C$3:$Q$3)))*(INDEX([3]Sheet1!$C$4:$Q$23,MATCH(K160,[3]Sheet1!$B$4:$B$23,1),MATCH(D160,[3]Sheet1!$C$3:$Q$3,1)+1)-INDEX([3]Sheet1!$C$4:$Q$23,MATCH(K160,[3]Sheet1!$B$4:$B$23,1),MATCH(D160,[3]Sheet1!$C$3:$Q$3,1))))</f>
        <v>0</v>
      </c>
      <c r="M160" cm="1">
        <f t="array" ref="M160" xml:space="preserve"> IF(E160*J160=0,0,(INDEX([2]Sheet1!$C$4:$Q$23,MATCH(K160,[2]Sheet1!$B$4:$B$23,1),MATCH(D160,[2]Sheet1!$C$3:$Q$3,1))
+ (K160 - INDEX([2]Sheet1!$B$4:$B$23,MATCH(K160,[2]Sheet1!$B$4:$B$23,1),1))/(INDEX([2]Sheet1!$B$4:$B$23,MATCH(K160,[2]Sheet1!$B$4:$B$23,1)+1,1) - INDEX([2]Sheet1!$B$4:$B$23,MATCH(K160,[2]Sheet1!$B$4:$B$23,1),1))*(INDEX([2]Sheet1!$C$4:$Q$23,MATCH(K160,[2]Sheet1!$B$4:$B$23,1)+1,MATCH(D160,[2]Sheet1!$C$3:$Q$3,1)) - INDEX([2]Sheet1!$C$4:$Q$23,MATCH(K160,[2]Sheet1!$B$4:$B$23,1),MATCH(D160,[2]Sheet1!$C$3:$Q$3,1)))
+ (D160 - INDEX([2]Sheet1!$C$3:$Q$3,1,MATCH(D160,[2]Sheet1!$C$3:$Q$3)))/(INDEX([2]Sheet1!$C$3:$Q$3,1,MATCH(D160,[2]Sheet1!$C$3:$Q$3)+1) - INDEX([2]Sheet1!$C$3:$Q$3,1,MATCH(D160,[2]Sheet1!$C$3:$Q$3)))*(
INDEX([2]Sheet1!$C$4:$Q$23,MATCH(K160,[2]Sheet1!$B$4:$B$23,1),MATCH(D160,[2]Sheet1!$C$3:$Q$3,1)+1) - INDEX([2]Sheet1!$C$4:$Q$23,MATCH(K160,[2]Sheet1!$B$4:$B$23,1),MATCH(D160,[2]Sheet1!$C$3:$Q$3,1)))))</f>
        <v>0</v>
      </c>
      <c r="N160">
        <f t="shared" si="44"/>
        <v>12</v>
      </c>
      <c r="O160">
        <v>9.3479527059565387E-2</v>
      </c>
      <c r="P160" t="e">
        <f t="shared" si="45"/>
        <v>#DIV/0!</v>
      </c>
      <c r="Q160">
        <f t="shared" si="32"/>
        <v>0</v>
      </c>
      <c r="R160">
        <f t="shared" si="46"/>
        <v>741.9099431943954</v>
      </c>
      <c r="T160" t="e">
        <f t="shared" si="35"/>
        <v>#DIV/0!</v>
      </c>
      <c r="U160" t="e">
        <f t="shared" si="36"/>
        <v>#DIV/0!</v>
      </c>
      <c r="V160">
        <f t="shared" si="37"/>
        <v>0</v>
      </c>
      <c r="W160" t="e">
        <f t="shared" si="33"/>
        <v>#DIV/0!</v>
      </c>
    </row>
    <row r="161" spans="1:23" x14ac:dyDescent="0.55000000000000004">
      <c r="A161">
        <f t="shared" si="34"/>
        <v>12.699999999999971</v>
      </c>
      <c r="B161">
        <f t="shared" si="38"/>
        <v>0.316</v>
      </c>
      <c r="C161">
        <f t="shared" si="39"/>
        <v>-3.2826086956521543</v>
      </c>
      <c r="D161">
        <v>2.4675797842689704</v>
      </c>
      <c r="E161">
        <f t="shared" si="29"/>
        <v>0</v>
      </c>
      <c r="F161">
        <f t="shared" si="40"/>
        <v>4.8605058816845369E-2</v>
      </c>
      <c r="G161">
        <f t="shared" si="41"/>
        <v>39.513748498891111</v>
      </c>
      <c r="H161">
        <f t="shared" si="42"/>
        <v>0</v>
      </c>
      <c r="I161" s="1">
        <f t="shared" si="30"/>
        <v>0</v>
      </c>
      <c r="J161">
        <f t="shared" si="43"/>
        <v>0</v>
      </c>
      <c r="K161">
        <f t="shared" si="31"/>
        <v>0</v>
      </c>
      <c r="L161" cm="1">
        <f t="array" ref="L161">IF(E161*J161=0,0,$C$21*INDEX([3]Sheet1!$C$4:$Q$23,MATCH(K161,[3]Sheet1!$B$4:$B$23,1),MATCH(D161,[3]Sheet1!$C$3:$Q$3,1))
+(K161-INDEX([3]Sheet1!$B$4:$B$23,MATCH(K161,[3]Sheet1!$B$4:$B$23,1),1))/(INDEX([3]Sheet1!$B$4:$B$23,MATCH(K161,[3]Sheet1!$B$4:$B$23,1)+1,1)-INDEX([3]Sheet1!$B$4:$B$23,
MATCH(K161,[3]Sheet1!$B$4:$B$23,1),1))*(INDEX([3]Sheet1!$C$4:$Q$23,MATCH(K161,[3]Sheet1!$B$4:$B$23,1)+1,MATCH(D161,[3]Sheet1!$C$3:$Q$3,1))-INDEX([3]Sheet1!$C$4:$Q$23,
MATCH(K161,[3]Sheet1!$B$4:$B$23,1),MATCH(D161,[3]Sheet1!$C$3:$Q$3,1)))
+(D161-INDEX([3]Sheet1!$C$3:$Q$3,1,MATCH(D161,[3]Sheet1!$C$3:$Q$3)))/(INDEX([3]Sheet1!$C$3:$Q$3,1,MATCH(D161,[3]Sheet1!$C$3:$Q$3)+1)-INDEX([3]Sheet1!$C$3:$Q$3,1,MATCH(
D161,[3]Sheet1!$C$3:$Q$3)))*(INDEX([3]Sheet1!$C$4:$Q$23,MATCH(K161,[3]Sheet1!$B$4:$B$23,1),MATCH(D161,[3]Sheet1!$C$3:$Q$3,1)+1)-INDEX([3]Sheet1!$C$4:$Q$23,MATCH(K161,[3]Sheet1!$B$4:$B$23,1),MATCH(D161,[3]Sheet1!$C$3:$Q$3,1))))</f>
        <v>0</v>
      </c>
      <c r="M161" cm="1">
        <f t="array" ref="M161" xml:space="preserve"> IF(E161*J161=0,0,(INDEX([2]Sheet1!$C$4:$Q$23,MATCH(K161,[2]Sheet1!$B$4:$B$23,1),MATCH(D161,[2]Sheet1!$C$3:$Q$3,1))
+ (K161 - INDEX([2]Sheet1!$B$4:$B$23,MATCH(K161,[2]Sheet1!$B$4:$B$23,1),1))/(INDEX([2]Sheet1!$B$4:$B$23,MATCH(K161,[2]Sheet1!$B$4:$B$23,1)+1,1) - INDEX([2]Sheet1!$B$4:$B$23,MATCH(K161,[2]Sheet1!$B$4:$B$23,1),1))*(INDEX([2]Sheet1!$C$4:$Q$23,MATCH(K161,[2]Sheet1!$B$4:$B$23,1)+1,MATCH(D161,[2]Sheet1!$C$3:$Q$3,1)) - INDEX([2]Sheet1!$C$4:$Q$23,MATCH(K161,[2]Sheet1!$B$4:$B$23,1),MATCH(D161,[2]Sheet1!$C$3:$Q$3,1)))
+ (D161 - INDEX([2]Sheet1!$C$3:$Q$3,1,MATCH(D161,[2]Sheet1!$C$3:$Q$3)))/(INDEX([2]Sheet1!$C$3:$Q$3,1,MATCH(D161,[2]Sheet1!$C$3:$Q$3)+1) - INDEX([2]Sheet1!$C$3:$Q$3,1,MATCH(D161,[2]Sheet1!$C$3:$Q$3)))*(
INDEX([2]Sheet1!$C$4:$Q$23,MATCH(K161,[2]Sheet1!$B$4:$B$23,1),MATCH(D161,[2]Sheet1!$C$3:$Q$3,1)+1) - INDEX([2]Sheet1!$C$4:$Q$23,MATCH(K161,[2]Sheet1!$B$4:$B$23,1),MATCH(D161,[2]Sheet1!$C$3:$Q$3,1)))))</f>
        <v>0</v>
      </c>
      <c r="N161">
        <f t="shared" si="44"/>
        <v>12</v>
      </c>
      <c r="O161">
        <v>9.3446148758362213E-2</v>
      </c>
      <c r="P161" t="e">
        <f t="shared" si="45"/>
        <v>#DIV/0!</v>
      </c>
      <c r="Q161">
        <f t="shared" si="32"/>
        <v>0</v>
      </c>
      <c r="R161">
        <f t="shared" si="46"/>
        <v>741.9099431943954</v>
      </c>
      <c r="T161" t="e">
        <f t="shared" si="35"/>
        <v>#DIV/0!</v>
      </c>
      <c r="U161" t="e">
        <f t="shared" si="36"/>
        <v>#DIV/0!</v>
      </c>
      <c r="V161">
        <f t="shared" si="37"/>
        <v>0</v>
      </c>
      <c r="W161" t="e">
        <f t="shared" si="33"/>
        <v>#DIV/0!</v>
      </c>
    </row>
    <row r="162" spans="1:23" x14ac:dyDescent="0.55000000000000004">
      <c r="A162">
        <f t="shared" si="34"/>
        <v>12.799999999999971</v>
      </c>
      <c r="B162">
        <f t="shared" si="38"/>
        <v>0.316</v>
      </c>
      <c r="C162">
        <f t="shared" si="39"/>
        <v>-3.3478260869565037</v>
      </c>
      <c r="D162">
        <v>2.4674191704058503</v>
      </c>
      <c r="E162">
        <f t="shared" si="29"/>
        <v>0</v>
      </c>
      <c r="F162">
        <f t="shared" si="40"/>
        <v>4.8605058816845369E-2</v>
      </c>
      <c r="G162">
        <f t="shared" si="41"/>
        <v>39.513748498891111</v>
      </c>
      <c r="H162">
        <f t="shared" si="42"/>
        <v>0</v>
      </c>
      <c r="I162" s="1">
        <f t="shared" si="30"/>
        <v>0</v>
      </c>
      <c r="J162">
        <f t="shared" si="43"/>
        <v>0</v>
      </c>
      <c r="K162">
        <f t="shared" si="31"/>
        <v>0</v>
      </c>
      <c r="L162" cm="1">
        <f t="array" ref="L162">IF(E162*J162=0,0,$C$21*INDEX([3]Sheet1!$C$4:$Q$23,MATCH(K162,[3]Sheet1!$B$4:$B$23,1),MATCH(D162,[3]Sheet1!$C$3:$Q$3,1))
+(K162-INDEX([3]Sheet1!$B$4:$B$23,MATCH(K162,[3]Sheet1!$B$4:$B$23,1),1))/(INDEX([3]Sheet1!$B$4:$B$23,MATCH(K162,[3]Sheet1!$B$4:$B$23,1)+1,1)-INDEX([3]Sheet1!$B$4:$B$23,
MATCH(K162,[3]Sheet1!$B$4:$B$23,1),1))*(INDEX([3]Sheet1!$C$4:$Q$23,MATCH(K162,[3]Sheet1!$B$4:$B$23,1)+1,MATCH(D162,[3]Sheet1!$C$3:$Q$3,1))-INDEX([3]Sheet1!$C$4:$Q$23,
MATCH(K162,[3]Sheet1!$B$4:$B$23,1),MATCH(D162,[3]Sheet1!$C$3:$Q$3,1)))
+(D162-INDEX([3]Sheet1!$C$3:$Q$3,1,MATCH(D162,[3]Sheet1!$C$3:$Q$3)))/(INDEX([3]Sheet1!$C$3:$Q$3,1,MATCH(D162,[3]Sheet1!$C$3:$Q$3)+1)-INDEX([3]Sheet1!$C$3:$Q$3,1,MATCH(
D162,[3]Sheet1!$C$3:$Q$3)))*(INDEX([3]Sheet1!$C$4:$Q$23,MATCH(K162,[3]Sheet1!$B$4:$B$23,1),MATCH(D162,[3]Sheet1!$C$3:$Q$3,1)+1)-INDEX([3]Sheet1!$C$4:$Q$23,MATCH(K162,[3]Sheet1!$B$4:$B$23,1),MATCH(D162,[3]Sheet1!$C$3:$Q$3,1))))</f>
        <v>0</v>
      </c>
      <c r="M162" cm="1">
        <f t="array" ref="M162" xml:space="preserve"> IF(E162*J162=0,0,(INDEX([2]Sheet1!$C$4:$Q$23,MATCH(K162,[2]Sheet1!$B$4:$B$23,1),MATCH(D162,[2]Sheet1!$C$3:$Q$3,1))
+ (K162 - INDEX([2]Sheet1!$B$4:$B$23,MATCH(K162,[2]Sheet1!$B$4:$B$23,1),1))/(INDEX([2]Sheet1!$B$4:$B$23,MATCH(K162,[2]Sheet1!$B$4:$B$23,1)+1,1) - INDEX([2]Sheet1!$B$4:$B$23,MATCH(K162,[2]Sheet1!$B$4:$B$23,1),1))*(INDEX([2]Sheet1!$C$4:$Q$23,MATCH(K162,[2]Sheet1!$B$4:$B$23,1)+1,MATCH(D162,[2]Sheet1!$C$3:$Q$3,1)) - INDEX([2]Sheet1!$C$4:$Q$23,MATCH(K162,[2]Sheet1!$B$4:$B$23,1),MATCH(D162,[2]Sheet1!$C$3:$Q$3,1)))
+ (D162 - INDEX([2]Sheet1!$C$3:$Q$3,1,MATCH(D162,[2]Sheet1!$C$3:$Q$3)))/(INDEX([2]Sheet1!$C$3:$Q$3,1,MATCH(D162,[2]Sheet1!$C$3:$Q$3)+1) - INDEX([2]Sheet1!$C$3:$Q$3,1,MATCH(D162,[2]Sheet1!$C$3:$Q$3)))*(
INDEX([2]Sheet1!$C$4:$Q$23,MATCH(K162,[2]Sheet1!$B$4:$B$23,1),MATCH(D162,[2]Sheet1!$C$3:$Q$3,1)+1) - INDEX([2]Sheet1!$C$4:$Q$23,MATCH(K162,[2]Sheet1!$B$4:$B$23,1),MATCH(D162,[2]Sheet1!$C$3:$Q$3,1)))))</f>
        <v>0</v>
      </c>
      <c r="N162">
        <f t="shared" si="44"/>
        <v>12</v>
      </c>
      <c r="O162">
        <v>9.3412880194496756E-2</v>
      </c>
      <c r="P162" t="e">
        <f t="shared" si="45"/>
        <v>#DIV/0!</v>
      </c>
      <c r="Q162">
        <f t="shared" si="32"/>
        <v>0</v>
      </c>
      <c r="R162">
        <f t="shared" si="46"/>
        <v>741.9099431943954</v>
      </c>
      <c r="T162" t="e">
        <f t="shared" si="35"/>
        <v>#DIV/0!</v>
      </c>
      <c r="U162" t="e">
        <f t="shared" si="36"/>
        <v>#DIV/0!</v>
      </c>
      <c r="V162">
        <f t="shared" si="37"/>
        <v>0</v>
      </c>
      <c r="W162" t="e">
        <f t="shared" si="33"/>
        <v>#DIV/0!</v>
      </c>
    </row>
    <row r="163" spans="1:23" x14ac:dyDescent="0.55000000000000004">
      <c r="A163">
        <f t="shared" si="34"/>
        <v>12.89999999999997</v>
      </c>
      <c r="B163">
        <f t="shared" si="38"/>
        <v>0.316</v>
      </c>
      <c r="C163">
        <f t="shared" si="39"/>
        <v>-3.4130434782608514</v>
      </c>
      <c r="D163">
        <v>2.4672590245167045</v>
      </c>
      <c r="E163">
        <f t="shared" ref="E163:E226" si="47">IF(B163&lt;($C$5*$C$6*10^-6),$C$9*(PI()/4*($C$8*0.001)^2)*SQRT(2*$C$6*IF(C163&gt;D163,(C163-D163),0)*10^6),0)</f>
        <v>0</v>
      </c>
      <c r="F163">
        <f t="shared" si="40"/>
        <v>4.8605058816845369E-2</v>
      </c>
      <c r="G163">
        <f t="shared" si="41"/>
        <v>39.513748498891111</v>
      </c>
      <c r="H163">
        <f t="shared" si="42"/>
        <v>0</v>
      </c>
      <c r="I163" s="1">
        <f t="shared" ref="I163:I226" si="48">IF(G163=$C$14,0,$C$16*(H163)^$C$17)</f>
        <v>0</v>
      </c>
      <c r="J163">
        <f t="shared" si="43"/>
        <v>0</v>
      </c>
      <c r="K163">
        <f t="shared" ref="K163:K226" si="49">IF(E163*J163=0,0,E163/J163)</f>
        <v>0</v>
      </c>
      <c r="L163" cm="1">
        <f t="array" ref="L163">IF(E163*J163=0,0,$C$21*INDEX([3]Sheet1!$C$4:$Q$23,MATCH(K163,[3]Sheet1!$B$4:$B$23,1),MATCH(D163,[3]Sheet1!$C$3:$Q$3,1))
+(K163-INDEX([3]Sheet1!$B$4:$B$23,MATCH(K163,[3]Sheet1!$B$4:$B$23,1),1))/(INDEX([3]Sheet1!$B$4:$B$23,MATCH(K163,[3]Sheet1!$B$4:$B$23,1)+1,1)-INDEX([3]Sheet1!$B$4:$B$23,
MATCH(K163,[3]Sheet1!$B$4:$B$23,1),1))*(INDEX([3]Sheet1!$C$4:$Q$23,MATCH(K163,[3]Sheet1!$B$4:$B$23,1)+1,MATCH(D163,[3]Sheet1!$C$3:$Q$3,1))-INDEX([3]Sheet1!$C$4:$Q$23,
MATCH(K163,[3]Sheet1!$B$4:$B$23,1),MATCH(D163,[3]Sheet1!$C$3:$Q$3,1)))
+(D163-INDEX([3]Sheet1!$C$3:$Q$3,1,MATCH(D163,[3]Sheet1!$C$3:$Q$3)))/(INDEX([3]Sheet1!$C$3:$Q$3,1,MATCH(D163,[3]Sheet1!$C$3:$Q$3)+1)-INDEX([3]Sheet1!$C$3:$Q$3,1,MATCH(
D163,[3]Sheet1!$C$3:$Q$3)))*(INDEX([3]Sheet1!$C$4:$Q$23,MATCH(K163,[3]Sheet1!$B$4:$B$23,1),MATCH(D163,[3]Sheet1!$C$3:$Q$3,1)+1)-INDEX([3]Sheet1!$C$4:$Q$23,MATCH(K163,[3]Sheet1!$B$4:$B$23,1),MATCH(D163,[3]Sheet1!$C$3:$Q$3,1))))</f>
        <v>0</v>
      </c>
      <c r="M163" cm="1">
        <f t="array" ref="M163" xml:space="preserve"> IF(E163*J163=0,0,(INDEX([2]Sheet1!$C$4:$Q$23,MATCH(K163,[2]Sheet1!$B$4:$B$23,1),MATCH(D163,[2]Sheet1!$C$3:$Q$3,1))
+ (K163 - INDEX([2]Sheet1!$B$4:$B$23,MATCH(K163,[2]Sheet1!$B$4:$B$23,1),1))/(INDEX([2]Sheet1!$B$4:$B$23,MATCH(K163,[2]Sheet1!$B$4:$B$23,1)+1,1) - INDEX([2]Sheet1!$B$4:$B$23,MATCH(K163,[2]Sheet1!$B$4:$B$23,1),1))*(INDEX([2]Sheet1!$C$4:$Q$23,MATCH(K163,[2]Sheet1!$B$4:$B$23,1)+1,MATCH(D163,[2]Sheet1!$C$3:$Q$3,1)) - INDEX([2]Sheet1!$C$4:$Q$23,MATCH(K163,[2]Sheet1!$B$4:$B$23,1),MATCH(D163,[2]Sheet1!$C$3:$Q$3,1)))
+ (D163 - INDEX([2]Sheet1!$C$3:$Q$3,1,MATCH(D163,[2]Sheet1!$C$3:$Q$3)))/(INDEX([2]Sheet1!$C$3:$Q$3,1,MATCH(D163,[2]Sheet1!$C$3:$Q$3)+1) - INDEX([2]Sheet1!$C$3:$Q$3,1,MATCH(D163,[2]Sheet1!$C$3:$Q$3)))*(
INDEX([2]Sheet1!$C$4:$Q$23,MATCH(K163,[2]Sheet1!$B$4:$B$23,1),MATCH(D163,[2]Sheet1!$C$3:$Q$3,1)+1) - INDEX([2]Sheet1!$C$4:$Q$23,MATCH(K163,[2]Sheet1!$B$4:$B$23,1),MATCH(D163,[2]Sheet1!$C$3:$Q$3,1)))))</f>
        <v>0</v>
      </c>
      <c r="N163">
        <f t="shared" si="44"/>
        <v>12</v>
      </c>
      <c r="O163">
        <v>9.3379720672205554E-2</v>
      </c>
      <c r="P163" t="e">
        <f t="shared" si="45"/>
        <v>#DIV/0!</v>
      </c>
      <c r="Q163">
        <f t="shared" ref="Q163:Q226" si="50">IF(E163*J163=0,0,((1+COS(RADIANS($C$25)))/2)*P163*D163*(PI()*($C$23^2)/4))</f>
        <v>0</v>
      </c>
      <c r="R163">
        <f t="shared" si="46"/>
        <v>741.9099431943954</v>
      </c>
      <c r="T163" t="e">
        <f t="shared" si="35"/>
        <v>#DIV/0!</v>
      </c>
      <c r="U163" t="e">
        <f t="shared" si="36"/>
        <v>#DIV/0!</v>
      </c>
      <c r="V163">
        <f t="shared" si="37"/>
        <v>0</v>
      </c>
      <c r="W163" t="e">
        <f t="shared" ref="W163:W226" si="51">(D163-V163)/V163*100</f>
        <v>#DIV/0!</v>
      </c>
    </row>
    <row r="164" spans="1:23" x14ac:dyDescent="0.55000000000000004">
      <c r="A164">
        <f t="shared" ref="A164:A227" si="52">A163+$C$29</f>
        <v>12.99999999999997</v>
      </c>
      <c r="B164">
        <f t="shared" si="38"/>
        <v>0.316</v>
      </c>
      <c r="C164">
        <f t="shared" si="39"/>
        <v>-3.4782608695651973</v>
      </c>
      <c r="D164">
        <v>2.4670993438011268</v>
      </c>
      <c r="E164">
        <f t="shared" si="47"/>
        <v>0</v>
      </c>
      <c r="F164">
        <f t="shared" si="40"/>
        <v>4.8605058816845369E-2</v>
      </c>
      <c r="G164">
        <f t="shared" si="41"/>
        <v>39.513748498891111</v>
      </c>
      <c r="H164">
        <f t="shared" si="42"/>
        <v>0</v>
      </c>
      <c r="I164" s="1">
        <f t="shared" si="48"/>
        <v>0</v>
      </c>
      <c r="J164">
        <f t="shared" si="43"/>
        <v>0</v>
      </c>
      <c r="K164">
        <f t="shared" si="49"/>
        <v>0</v>
      </c>
      <c r="L164" cm="1">
        <f t="array" ref="L164">IF(E164*J164=0,0,$C$21*INDEX([3]Sheet1!$C$4:$Q$23,MATCH(K164,[3]Sheet1!$B$4:$B$23,1),MATCH(D164,[3]Sheet1!$C$3:$Q$3,1))
+(K164-INDEX([3]Sheet1!$B$4:$B$23,MATCH(K164,[3]Sheet1!$B$4:$B$23,1),1))/(INDEX([3]Sheet1!$B$4:$B$23,MATCH(K164,[3]Sheet1!$B$4:$B$23,1)+1,1)-INDEX([3]Sheet1!$B$4:$B$23,
MATCH(K164,[3]Sheet1!$B$4:$B$23,1),1))*(INDEX([3]Sheet1!$C$4:$Q$23,MATCH(K164,[3]Sheet1!$B$4:$B$23,1)+1,MATCH(D164,[3]Sheet1!$C$3:$Q$3,1))-INDEX([3]Sheet1!$C$4:$Q$23,
MATCH(K164,[3]Sheet1!$B$4:$B$23,1),MATCH(D164,[3]Sheet1!$C$3:$Q$3,1)))
+(D164-INDEX([3]Sheet1!$C$3:$Q$3,1,MATCH(D164,[3]Sheet1!$C$3:$Q$3)))/(INDEX([3]Sheet1!$C$3:$Q$3,1,MATCH(D164,[3]Sheet1!$C$3:$Q$3)+1)-INDEX([3]Sheet1!$C$3:$Q$3,1,MATCH(
D164,[3]Sheet1!$C$3:$Q$3)))*(INDEX([3]Sheet1!$C$4:$Q$23,MATCH(K164,[3]Sheet1!$B$4:$B$23,1),MATCH(D164,[3]Sheet1!$C$3:$Q$3,1)+1)-INDEX([3]Sheet1!$C$4:$Q$23,MATCH(K164,[3]Sheet1!$B$4:$B$23,1),MATCH(D164,[3]Sheet1!$C$3:$Q$3,1))))</f>
        <v>0</v>
      </c>
      <c r="M164" cm="1">
        <f t="array" ref="M164" xml:space="preserve"> IF(E164*J164=0,0,(INDEX([2]Sheet1!$C$4:$Q$23,MATCH(K164,[2]Sheet1!$B$4:$B$23,1),MATCH(D164,[2]Sheet1!$C$3:$Q$3,1))
+ (K164 - INDEX([2]Sheet1!$B$4:$B$23,MATCH(K164,[2]Sheet1!$B$4:$B$23,1),1))/(INDEX([2]Sheet1!$B$4:$B$23,MATCH(K164,[2]Sheet1!$B$4:$B$23,1)+1,1) - INDEX([2]Sheet1!$B$4:$B$23,MATCH(K164,[2]Sheet1!$B$4:$B$23,1),1))*(INDEX([2]Sheet1!$C$4:$Q$23,MATCH(K164,[2]Sheet1!$B$4:$B$23,1)+1,MATCH(D164,[2]Sheet1!$C$3:$Q$3,1)) - INDEX([2]Sheet1!$C$4:$Q$23,MATCH(K164,[2]Sheet1!$B$4:$B$23,1),MATCH(D164,[2]Sheet1!$C$3:$Q$3,1)))
+ (D164 - INDEX([2]Sheet1!$C$3:$Q$3,1,MATCH(D164,[2]Sheet1!$C$3:$Q$3)))/(INDEX([2]Sheet1!$C$3:$Q$3,1,MATCH(D164,[2]Sheet1!$C$3:$Q$3)+1) - INDEX([2]Sheet1!$C$3:$Q$3,1,MATCH(D164,[2]Sheet1!$C$3:$Q$3)))*(
INDEX([2]Sheet1!$C$4:$Q$23,MATCH(K164,[2]Sheet1!$B$4:$B$23,1),MATCH(D164,[2]Sheet1!$C$3:$Q$3,1)+1) - INDEX([2]Sheet1!$C$4:$Q$23,MATCH(K164,[2]Sheet1!$B$4:$B$23,1),MATCH(D164,[2]Sheet1!$C$3:$Q$3,1)))))</f>
        <v>0</v>
      </c>
      <c r="N164">
        <f t="shared" si="44"/>
        <v>12</v>
      </c>
      <c r="O164">
        <v>9.3346669502245044E-2</v>
      </c>
      <c r="P164" t="e">
        <f t="shared" si="45"/>
        <v>#DIV/0!</v>
      </c>
      <c r="Q164">
        <f t="shared" si="50"/>
        <v>0</v>
      </c>
      <c r="R164">
        <f t="shared" si="46"/>
        <v>741.9099431943954</v>
      </c>
      <c r="T164" t="e">
        <f t="shared" si="35"/>
        <v>#DIV/0!</v>
      </c>
      <c r="U164" t="e">
        <f t="shared" si="36"/>
        <v>#DIV/0!</v>
      </c>
      <c r="V164">
        <f t="shared" si="37"/>
        <v>0</v>
      </c>
      <c r="W164" t="e">
        <f t="shared" si="51"/>
        <v>#DIV/0!</v>
      </c>
    </row>
    <row r="165" spans="1:23" x14ac:dyDescent="0.55000000000000004">
      <c r="A165">
        <f t="shared" si="52"/>
        <v>13.099999999999969</v>
      </c>
      <c r="B165">
        <f t="shared" si="38"/>
        <v>0.316</v>
      </c>
      <c r="C165">
        <f t="shared" si="39"/>
        <v>-3.5434782608695468</v>
      </c>
      <c r="D165">
        <v>2.4669401254839136</v>
      </c>
      <c r="E165">
        <f t="shared" si="47"/>
        <v>0</v>
      </c>
      <c r="F165">
        <f t="shared" si="40"/>
        <v>4.8605058816845369E-2</v>
      </c>
      <c r="G165">
        <f t="shared" si="41"/>
        <v>39.513748498891111</v>
      </c>
      <c r="H165">
        <f t="shared" si="42"/>
        <v>0</v>
      </c>
      <c r="I165" s="1">
        <f t="shared" si="48"/>
        <v>0</v>
      </c>
      <c r="J165">
        <f t="shared" si="43"/>
        <v>0</v>
      </c>
      <c r="K165">
        <f t="shared" si="49"/>
        <v>0</v>
      </c>
      <c r="L165" cm="1">
        <f t="array" ref="L165">IF(E165*J165=0,0,$C$21*INDEX([3]Sheet1!$C$4:$Q$23,MATCH(K165,[3]Sheet1!$B$4:$B$23,1),MATCH(D165,[3]Sheet1!$C$3:$Q$3,1))
+(K165-INDEX([3]Sheet1!$B$4:$B$23,MATCH(K165,[3]Sheet1!$B$4:$B$23,1),1))/(INDEX([3]Sheet1!$B$4:$B$23,MATCH(K165,[3]Sheet1!$B$4:$B$23,1)+1,1)-INDEX([3]Sheet1!$B$4:$B$23,
MATCH(K165,[3]Sheet1!$B$4:$B$23,1),1))*(INDEX([3]Sheet1!$C$4:$Q$23,MATCH(K165,[3]Sheet1!$B$4:$B$23,1)+1,MATCH(D165,[3]Sheet1!$C$3:$Q$3,1))-INDEX([3]Sheet1!$C$4:$Q$23,
MATCH(K165,[3]Sheet1!$B$4:$B$23,1),MATCH(D165,[3]Sheet1!$C$3:$Q$3,1)))
+(D165-INDEX([3]Sheet1!$C$3:$Q$3,1,MATCH(D165,[3]Sheet1!$C$3:$Q$3)))/(INDEX([3]Sheet1!$C$3:$Q$3,1,MATCH(D165,[3]Sheet1!$C$3:$Q$3)+1)-INDEX([3]Sheet1!$C$3:$Q$3,1,MATCH(
D165,[3]Sheet1!$C$3:$Q$3)))*(INDEX([3]Sheet1!$C$4:$Q$23,MATCH(K165,[3]Sheet1!$B$4:$B$23,1),MATCH(D165,[3]Sheet1!$C$3:$Q$3,1)+1)-INDEX([3]Sheet1!$C$4:$Q$23,MATCH(K165,[3]Sheet1!$B$4:$B$23,1),MATCH(D165,[3]Sheet1!$C$3:$Q$3,1))))</f>
        <v>0</v>
      </c>
      <c r="M165" cm="1">
        <f t="array" ref="M165" xml:space="preserve"> IF(E165*J165=0,0,(INDEX([2]Sheet1!$C$4:$Q$23,MATCH(K165,[2]Sheet1!$B$4:$B$23,1),MATCH(D165,[2]Sheet1!$C$3:$Q$3,1))
+ (K165 - INDEX([2]Sheet1!$B$4:$B$23,MATCH(K165,[2]Sheet1!$B$4:$B$23,1),1))/(INDEX([2]Sheet1!$B$4:$B$23,MATCH(K165,[2]Sheet1!$B$4:$B$23,1)+1,1) - INDEX([2]Sheet1!$B$4:$B$23,MATCH(K165,[2]Sheet1!$B$4:$B$23,1),1))*(INDEX([2]Sheet1!$C$4:$Q$23,MATCH(K165,[2]Sheet1!$B$4:$B$23,1)+1,MATCH(D165,[2]Sheet1!$C$3:$Q$3,1)) - INDEX([2]Sheet1!$C$4:$Q$23,MATCH(K165,[2]Sheet1!$B$4:$B$23,1),MATCH(D165,[2]Sheet1!$C$3:$Q$3,1)))
+ (D165 - INDEX([2]Sheet1!$C$3:$Q$3,1,MATCH(D165,[2]Sheet1!$C$3:$Q$3)))/(INDEX([2]Sheet1!$C$3:$Q$3,1,MATCH(D165,[2]Sheet1!$C$3:$Q$3)+1) - INDEX([2]Sheet1!$C$3:$Q$3,1,MATCH(D165,[2]Sheet1!$C$3:$Q$3)))*(
INDEX([2]Sheet1!$C$4:$Q$23,MATCH(K165,[2]Sheet1!$B$4:$B$23,1),MATCH(D165,[2]Sheet1!$C$3:$Q$3,1)+1) - INDEX([2]Sheet1!$C$4:$Q$23,MATCH(K165,[2]Sheet1!$B$4:$B$23,1),MATCH(D165,[2]Sheet1!$C$3:$Q$3,1)))))</f>
        <v>0</v>
      </c>
      <c r="N165">
        <f t="shared" si="44"/>
        <v>12</v>
      </c>
      <c r="O165">
        <v>9.3313726001812938E-2</v>
      </c>
      <c r="P165" t="e">
        <f t="shared" si="45"/>
        <v>#DIV/0!</v>
      </c>
      <c r="Q165">
        <f t="shared" si="50"/>
        <v>0</v>
      </c>
      <c r="R165">
        <f t="shared" si="46"/>
        <v>741.9099431943954</v>
      </c>
      <c r="T165" t="e">
        <f t="shared" ref="T165:T228" si="53">((2/(M165+1))^(1/(M165-1)))*((D165/O165)^(1/M165))/SQRT(((M165+1)/(M165-1))*(1-(O165/D165)^((M165-1)/M165)))</f>
        <v>#DIV/0!</v>
      </c>
      <c r="U165" t="e">
        <f t="shared" ref="U165:U228" si="54">(T165-(($C$24^2)/(N165^2)))/(($C$24^2)/(N165^2))*100</f>
        <v>#DIV/0!</v>
      </c>
      <c r="V165">
        <f t="shared" ref="V165:V228" si="55">4*L165*(E165+J165)/(PI()*N165^2)</f>
        <v>0</v>
      </c>
      <c r="W165" t="e">
        <f t="shared" si="51"/>
        <v>#DIV/0!</v>
      </c>
    </row>
    <row r="166" spans="1:23" x14ac:dyDescent="0.55000000000000004">
      <c r="A166">
        <f t="shared" si="52"/>
        <v>13.199999999999969</v>
      </c>
      <c r="B166">
        <f t="shared" ref="B166:B229" si="56">IF(B165+(E165+E164)*(A165-A164)/2&lt;$C$5*$C$6*10^-6,B165+(E165+E164)*(A165-A164)/2,$C$5*$C$6*10^-6)</f>
        <v>0.316</v>
      </c>
      <c r="C166">
        <f t="shared" ref="C166:C229" si="57">($C$3-$C$2)*A166/$C$4+$C$2</f>
        <v>-3.6086956521738944</v>
      </c>
      <c r="D166">
        <v>2.4667813668147582</v>
      </c>
      <c r="E166">
        <f t="shared" si="47"/>
        <v>0</v>
      </c>
      <c r="F166">
        <f t="shared" ref="F166:F229" si="58">F165+(J165+J164)*(A166-A165)/2</f>
        <v>4.8605058816845369E-2</v>
      </c>
      <c r="G166">
        <f t="shared" ref="G166:G229" si="59">IF(SQRT(4*F166/($C$15*PI()*$C$11*$C$12*0.001)+($C$13*0.001)^2)*1000&lt;$C$14,SQRT(4*F166/($C$15*PI()*$C$11*$C$12*0.001)+($C$13*0.001)^2)*1000,$C$14)</f>
        <v>39.513748498891111</v>
      </c>
      <c r="H166">
        <f t="shared" ref="H166:H229" si="60">4*E166/($C$15*PI()*(G166*0.001)^2)</f>
        <v>0</v>
      </c>
      <c r="I166" s="1">
        <f t="shared" si="48"/>
        <v>0</v>
      </c>
      <c r="J166">
        <f t="shared" ref="J166:J229" si="61">($C$12*10^-3)*PI()*(G166*10^-3)*$C$11*(I166*10^-3)*$C$15</f>
        <v>0</v>
      </c>
      <c r="K166">
        <f t="shared" si="49"/>
        <v>0</v>
      </c>
      <c r="L166" cm="1">
        <f t="array" ref="L166">IF(E166*J166=0,0,$C$21*INDEX([3]Sheet1!$C$4:$Q$23,MATCH(K166,[3]Sheet1!$B$4:$B$23,1),MATCH(D166,[3]Sheet1!$C$3:$Q$3,1))
+(K166-INDEX([3]Sheet1!$B$4:$B$23,MATCH(K166,[3]Sheet1!$B$4:$B$23,1),1))/(INDEX([3]Sheet1!$B$4:$B$23,MATCH(K166,[3]Sheet1!$B$4:$B$23,1)+1,1)-INDEX([3]Sheet1!$B$4:$B$23,
MATCH(K166,[3]Sheet1!$B$4:$B$23,1),1))*(INDEX([3]Sheet1!$C$4:$Q$23,MATCH(K166,[3]Sheet1!$B$4:$B$23,1)+1,MATCH(D166,[3]Sheet1!$C$3:$Q$3,1))-INDEX([3]Sheet1!$C$4:$Q$23,
MATCH(K166,[3]Sheet1!$B$4:$B$23,1),MATCH(D166,[3]Sheet1!$C$3:$Q$3,1)))
+(D166-INDEX([3]Sheet1!$C$3:$Q$3,1,MATCH(D166,[3]Sheet1!$C$3:$Q$3)))/(INDEX([3]Sheet1!$C$3:$Q$3,1,MATCH(D166,[3]Sheet1!$C$3:$Q$3)+1)-INDEX([3]Sheet1!$C$3:$Q$3,1,MATCH(
D166,[3]Sheet1!$C$3:$Q$3)))*(INDEX([3]Sheet1!$C$4:$Q$23,MATCH(K166,[3]Sheet1!$B$4:$B$23,1),MATCH(D166,[3]Sheet1!$C$3:$Q$3,1)+1)-INDEX([3]Sheet1!$C$4:$Q$23,MATCH(K166,[3]Sheet1!$B$4:$B$23,1),MATCH(D166,[3]Sheet1!$C$3:$Q$3,1))))</f>
        <v>0</v>
      </c>
      <c r="M166" cm="1">
        <f t="array" ref="M166" xml:space="preserve"> IF(E166*J166=0,0,(INDEX([2]Sheet1!$C$4:$Q$23,MATCH(K166,[2]Sheet1!$B$4:$B$23,1),MATCH(D166,[2]Sheet1!$C$3:$Q$3,1))
+ (K166 - INDEX([2]Sheet1!$B$4:$B$23,MATCH(K166,[2]Sheet1!$B$4:$B$23,1),1))/(INDEX([2]Sheet1!$B$4:$B$23,MATCH(K166,[2]Sheet1!$B$4:$B$23,1)+1,1) - INDEX([2]Sheet1!$B$4:$B$23,MATCH(K166,[2]Sheet1!$B$4:$B$23,1),1))*(INDEX([2]Sheet1!$C$4:$Q$23,MATCH(K166,[2]Sheet1!$B$4:$B$23,1)+1,MATCH(D166,[2]Sheet1!$C$3:$Q$3,1)) - INDEX([2]Sheet1!$C$4:$Q$23,MATCH(K166,[2]Sheet1!$B$4:$B$23,1),MATCH(D166,[2]Sheet1!$C$3:$Q$3,1)))
+ (D166 - INDEX([2]Sheet1!$C$3:$Q$3,1,MATCH(D166,[2]Sheet1!$C$3:$Q$3)))/(INDEX([2]Sheet1!$C$3:$Q$3,1,MATCH(D166,[2]Sheet1!$C$3:$Q$3)+1) - INDEX([2]Sheet1!$C$3:$Q$3,1,MATCH(D166,[2]Sheet1!$C$3:$Q$3)))*(
INDEX([2]Sheet1!$C$4:$Q$23,MATCH(K166,[2]Sheet1!$B$4:$B$23,1),MATCH(D166,[2]Sheet1!$C$3:$Q$3,1)+1) - INDEX([2]Sheet1!$C$4:$Q$23,MATCH(K166,[2]Sheet1!$B$4:$B$23,1),MATCH(D166,[2]Sheet1!$C$3:$Q$3,1)))))</f>
        <v>0</v>
      </c>
      <c r="N166">
        <f t="shared" ref="N166:N229" si="62">C$23+$C$26*(A167-A166)</f>
        <v>12</v>
      </c>
      <c r="O166">
        <v>9.3280889494468014E-2</v>
      </c>
      <c r="P166" t="e">
        <f t="shared" ref="P166:P229" si="63">SQRT(2*(M166^2)/(M166-1)*((2/(M166+1))^((M166+1)/(M166-1)))*(1-(O166/D166)^((M166-1)/M166)))+((O166-$C$22)/D166)*(($C$24^2)/($C$23^2))</f>
        <v>#DIV/0!</v>
      </c>
      <c r="Q166">
        <f t="shared" si="50"/>
        <v>0</v>
      </c>
      <c r="R166">
        <f t="shared" ref="R166:R229" si="64">R165+(Q166+Q165)*(A166-A165)/2</f>
        <v>741.9099431943954</v>
      </c>
      <c r="T166" t="e">
        <f t="shared" si="53"/>
        <v>#DIV/0!</v>
      </c>
      <c r="U166" t="e">
        <f t="shared" si="54"/>
        <v>#DIV/0!</v>
      </c>
      <c r="V166">
        <f t="shared" si="55"/>
        <v>0</v>
      </c>
      <c r="W166" t="e">
        <f t="shared" si="51"/>
        <v>#DIV/0!</v>
      </c>
    </row>
    <row r="167" spans="1:23" x14ac:dyDescent="0.55000000000000004">
      <c r="A167">
        <f t="shared" si="52"/>
        <v>13.299999999999969</v>
      </c>
      <c r="B167">
        <f t="shared" si="56"/>
        <v>0.316</v>
      </c>
      <c r="C167">
        <f t="shared" si="57"/>
        <v>-3.6739130434782403</v>
      </c>
      <c r="D167">
        <v>2.4666230650679526</v>
      </c>
      <c r="E167">
        <f t="shared" si="47"/>
        <v>0</v>
      </c>
      <c r="F167">
        <f t="shared" si="58"/>
        <v>4.8605058816845369E-2</v>
      </c>
      <c r="G167">
        <f t="shared" si="59"/>
        <v>39.513748498891111</v>
      </c>
      <c r="H167">
        <f t="shared" si="60"/>
        <v>0</v>
      </c>
      <c r="I167" s="1">
        <f t="shared" si="48"/>
        <v>0</v>
      </c>
      <c r="J167">
        <f t="shared" si="61"/>
        <v>0</v>
      </c>
      <c r="K167">
        <f t="shared" si="49"/>
        <v>0</v>
      </c>
      <c r="L167" cm="1">
        <f t="array" ref="L167">IF(E167*J167=0,0,$C$21*INDEX([3]Sheet1!$C$4:$Q$23,MATCH(K167,[3]Sheet1!$B$4:$B$23,1),MATCH(D167,[3]Sheet1!$C$3:$Q$3,1))
+(K167-INDEX([3]Sheet1!$B$4:$B$23,MATCH(K167,[3]Sheet1!$B$4:$B$23,1),1))/(INDEX([3]Sheet1!$B$4:$B$23,MATCH(K167,[3]Sheet1!$B$4:$B$23,1)+1,1)-INDEX([3]Sheet1!$B$4:$B$23,
MATCH(K167,[3]Sheet1!$B$4:$B$23,1),1))*(INDEX([3]Sheet1!$C$4:$Q$23,MATCH(K167,[3]Sheet1!$B$4:$B$23,1)+1,MATCH(D167,[3]Sheet1!$C$3:$Q$3,1))-INDEX([3]Sheet1!$C$4:$Q$23,
MATCH(K167,[3]Sheet1!$B$4:$B$23,1),MATCH(D167,[3]Sheet1!$C$3:$Q$3,1)))
+(D167-INDEX([3]Sheet1!$C$3:$Q$3,1,MATCH(D167,[3]Sheet1!$C$3:$Q$3)))/(INDEX([3]Sheet1!$C$3:$Q$3,1,MATCH(D167,[3]Sheet1!$C$3:$Q$3)+1)-INDEX([3]Sheet1!$C$3:$Q$3,1,MATCH(
D167,[3]Sheet1!$C$3:$Q$3)))*(INDEX([3]Sheet1!$C$4:$Q$23,MATCH(K167,[3]Sheet1!$B$4:$B$23,1),MATCH(D167,[3]Sheet1!$C$3:$Q$3,1)+1)-INDEX([3]Sheet1!$C$4:$Q$23,MATCH(K167,[3]Sheet1!$B$4:$B$23,1),MATCH(D167,[3]Sheet1!$C$3:$Q$3,1))))</f>
        <v>0</v>
      </c>
      <c r="M167" cm="1">
        <f t="array" ref="M167" xml:space="preserve"> IF(E167*J167=0,0,(INDEX([2]Sheet1!$C$4:$Q$23,MATCH(K167,[2]Sheet1!$B$4:$B$23,1),MATCH(D167,[2]Sheet1!$C$3:$Q$3,1))
+ (K167 - INDEX([2]Sheet1!$B$4:$B$23,MATCH(K167,[2]Sheet1!$B$4:$B$23,1),1))/(INDEX([2]Sheet1!$B$4:$B$23,MATCH(K167,[2]Sheet1!$B$4:$B$23,1)+1,1) - INDEX([2]Sheet1!$B$4:$B$23,MATCH(K167,[2]Sheet1!$B$4:$B$23,1),1))*(INDEX([2]Sheet1!$C$4:$Q$23,MATCH(K167,[2]Sheet1!$B$4:$B$23,1)+1,MATCH(D167,[2]Sheet1!$C$3:$Q$3,1)) - INDEX([2]Sheet1!$C$4:$Q$23,MATCH(K167,[2]Sheet1!$B$4:$B$23,1),MATCH(D167,[2]Sheet1!$C$3:$Q$3,1)))
+ (D167 - INDEX([2]Sheet1!$C$3:$Q$3,1,MATCH(D167,[2]Sheet1!$C$3:$Q$3)))/(INDEX([2]Sheet1!$C$3:$Q$3,1,MATCH(D167,[2]Sheet1!$C$3:$Q$3)+1) - INDEX([2]Sheet1!$C$3:$Q$3,1,MATCH(D167,[2]Sheet1!$C$3:$Q$3)))*(
INDEX([2]Sheet1!$C$4:$Q$23,MATCH(K167,[2]Sheet1!$B$4:$B$23,1),MATCH(D167,[2]Sheet1!$C$3:$Q$3,1)+1) - INDEX([2]Sheet1!$C$4:$Q$23,MATCH(K167,[2]Sheet1!$B$4:$B$23,1),MATCH(D167,[2]Sheet1!$C$3:$Q$3,1)))))</f>
        <v>0</v>
      </c>
      <c r="N167">
        <f t="shared" si="62"/>
        <v>12</v>
      </c>
      <c r="O167">
        <v>9.3248159310051981E-2</v>
      </c>
      <c r="P167" t="e">
        <f t="shared" si="63"/>
        <v>#DIV/0!</v>
      </c>
      <c r="Q167">
        <f t="shared" si="50"/>
        <v>0</v>
      </c>
      <c r="R167">
        <f t="shared" si="64"/>
        <v>741.9099431943954</v>
      </c>
      <c r="T167" t="e">
        <f t="shared" si="53"/>
        <v>#DIV/0!</v>
      </c>
      <c r="U167" t="e">
        <f t="shared" si="54"/>
        <v>#DIV/0!</v>
      </c>
      <c r="V167">
        <f t="shared" si="55"/>
        <v>0</v>
      </c>
      <c r="W167" t="e">
        <f t="shared" si="51"/>
        <v>#DIV/0!</v>
      </c>
    </row>
    <row r="168" spans="1:23" x14ac:dyDescent="0.55000000000000004">
      <c r="A168">
        <f t="shared" si="52"/>
        <v>13.399999999999968</v>
      </c>
      <c r="B168">
        <f t="shared" si="56"/>
        <v>0.316</v>
      </c>
      <c r="C168">
        <f t="shared" si="57"/>
        <v>-3.739130434782588</v>
      </c>
      <c r="D168">
        <v>2.4664652175420949</v>
      </c>
      <c r="E168">
        <f t="shared" si="47"/>
        <v>0</v>
      </c>
      <c r="F168">
        <f t="shared" si="58"/>
        <v>4.8605058816845369E-2</v>
      </c>
      <c r="G168">
        <f t="shared" si="59"/>
        <v>39.513748498891111</v>
      </c>
      <c r="H168">
        <f t="shared" si="60"/>
        <v>0</v>
      </c>
      <c r="I168" s="1">
        <f t="shared" si="48"/>
        <v>0</v>
      </c>
      <c r="J168">
        <f t="shared" si="61"/>
        <v>0</v>
      </c>
      <c r="K168">
        <f t="shared" si="49"/>
        <v>0</v>
      </c>
      <c r="L168" cm="1">
        <f t="array" ref="L168">IF(E168*J168=0,0,$C$21*INDEX([3]Sheet1!$C$4:$Q$23,MATCH(K168,[3]Sheet1!$B$4:$B$23,1),MATCH(D168,[3]Sheet1!$C$3:$Q$3,1))
+(K168-INDEX([3]Sheet1!$B$4:$B$23,MATCH(K168,[3]Sheet1!$B$4:$B$23,1),1))/(INDEX([3]Sheet1!$B$4:$B$23,MATCH(K168,[3]Sheet1!$B$4:$B$23,1)+1,1)-INDEX([3]Sheet1!$B$4:$B$23,
MATCH(K168,[3]Sheet1!$B$4:$B$23,1),1))*(INDEX([3]Sheet1!$C$4:$Q$23,MATCH(K168,[3]Sheet1!$B$4:$B$23,1)+1,MATCH(D168,[3]Sheet1!$C$3:$Q$3,1))-INDEX([3]Sheet1!$C$4:$Q$23,
MATCH(K168,[3]Sheet1!$B$4:$B$23,1),MATCH(D168,[3]Sheet1!$C$3:$Q$3,1)))
+(D168-INDEX([3]Sheet1!$C$3:$Q$3,1,MATCH(D168,[3]Sheet1!$C$3:$Q$3)))/(INDEX([3]Sheet1!$C$3:$Q$3,1,MATCH(D168,[3]Sheet1!$C$3:$Q$3)+1)-INDEX([3]Sheet1!$C$3:$Q$3,1,MATCH(
D168,[3]Sheet1!$C$3:$Q$3)))*(INDEX([3]Sheet1!$C$4:$Q$23,MATCH(K168,[3]Sheet1!$B$4:$B$23,1),MATCH(D168,[3]Sheet1!$C$3:$Q$3,1)+1)-INDEX([3]Sheet1!$C$4:$Q$23,MATCH(K168,[3]Sheet1!$B$4:$B$23,1),MATCH(D168,[3]Sheet1!$C$3:$Q$3,1))))</f>
        <v>0</v>
      </c>
      <c r="M168" cm="1">
        <f t="array" ref="M168" xml:space="preserve"> IF(E168*J168=0,0,(INDEX([2]Sheet1!$C$4:$Q$23,MATCH(K168,[2]Sheet1!$B$4:$B$23,1),MATCH(D168,[2]Sheet1!$C$3:$Q$3,1))
+ (K168 - INDEX([2]Sheet1!$B$4:$B$23,MATCH(K168,[2]Sheet1!$B$4:$B$23,1),1))/(INDEX([2]Sheet1!$B$4:$B$23,MATCH(K168,[2]Sheet1!$B$4:$B$23,1)+1,1) - INDEX([2]Sheet1!$B$4:$B$23,MATCH(K168,[2]Sheet1!$B$4:$B$23,1),1))*(INDEX([2]Sheet1!$C$4:$Q$23,MATCH(K168,[2]Sheet1!$B$4:$B$23,1)+1,MATCH(D168,[2]Sheet1!$C$3:$Q$3,1)) - INDEX([2]Sheet1!$C$4:$Q$23,MATCH(K168,[2]Sheet1!$B$4:$B$23,1),MATCH(D168,[2]Sheet1!$C$3:$Q$3,1)))
+ (D168 - INDEX([2]Sheet1!$C$3:$Q$3,1,MATCH(D168,[2]Sheet1!$C$3:$Q$3)))/(INDEX([2]Sheet1!$C$3:$Q$3,1,MATCH(D168,[2]Sheet1!$C$3:$Q$3)+1) - INDEX([2]Sheet1!$C$3:$Q$3,1,MATCH(D168,[2]Sheet1!$C$3:$Q$3)))*(
INDEX([2]Sheet1!$C$4:$Q$23,MATCH(K168,[2]Sheet1!$B$4:$B$23,1),MATCH(D168,[2]Sheet1!$C$3:$Q$3,1)+1) - INDEX([2]Sheet1!$C$4:$Q$23,MATCH(K168,[2]Sheet1!$B$4:$B$23,1),MATCH(D168,[2]Sheet1!$C$3:$Q$3,1)))))</f>
        <v>0</v>
      </c>
      <c r="N168">
        <f t="shared" si="62"/>
        <v>12</v>
      </c>
      <c r="O168">
        <v>9.3215534784610699E-2</v>
      </c>
      <c r="P168" t="e">
        <f t="shared" si="63"/>
        <v>#DIV/0!</v>
      </c>
      <c r="Q168">
        <f t="shared" si="50"/>
        <v>0</v>
      </c>
      <c r="R168">
        <f t="shared" si="64"/>
        <v>741.9099431943954</v>
      </c>
      <c r="T168" t="e">
        <f t="shared" si="53"/>
        <v>#DIV/0!</v>
      </c>
      <c r="U168" t="e">
        <f t="shared" si="54"/>
        <v>#DIV/0!</v>
      </c>
      <c r="V168">
        <f t="shared" si="55"/>
        <v>0</v>
      </c>
      <c r="W168" t="e">
        <f t="shared" si="51"/>
        <v>#DIV/0!</v>
      </c>
    </row>
    <row r="169" spans="1:23" x14ac:dyDescent="0.55000000000000004">
      <c r="A169">
        <f t="shared" si="52"/>
        <v>13.499999999999968</v>
      </c>
      <c r="B169">
        <f t="shared" si="56"/>
        <v>0.316</v>
      </c>
      <c r="C169">
        <f t="shared" si="57"/>
        <v>-3.8043478260869357</v>
      </c>
      <c r="D169">
        <v>2.4663078215598038</v>
      </c>
      <c r="E169">
        <f t="shared" si="47"/>
        <v>0</v>
      </c>
      <c r="F169">
        <f t="shared" si="58"/>
        <v>4.8605058816845369E-2</v>
      </c>
      <c r="G169">
        <f t="shared" si="59"/>
        <v>39.513748498891111</v>
      </c>
      <c r="H169">
        <f t="shared" si="60"/>
        <v>0</v>
      </c>
      <c r="I169" s="1">
        <f t="shared" si="48"/>
        <v>0</v>
      </c>
      <c r="J169">
        <f t="shared" si="61"/>
        <v>0</v>
      </c>
      <c r="K169">
        <f t="shared" si="49"/>
        <v>0</v>
      </c>
      <c r="L169" cm="1">
        <f t="array" ref="L169">IF(E169*J169=0,0,$C$21*INDEX([3]Sheet1!$C$4:$Q$23,MATCH(K169,[3]Sheet1!$B$4:$B$23,1),MATCH(D169,[3]Sheet1!$C$3:$Q$3,1))
+(K169-INDEX([3]Sheet1!$B$4:$B$23,MATCH(K169,[3]Sheet1!$B$4:$B$23,1),1))/(INDEX([3]Sheet1!$B$4:$B$23,MATCH(K169,[3]Sheet1!$B$4:$B$23,1)+1,1)-INDEX([3]Sheet1!$B$4:$B$23,
MATCH(K169,[3]Sheet1!$B$4:$B$23,1),1))*(INDEX([3]Sheet1!$C$4:$Q$23,MATCH(K169,[3]Sheet1!$B$4:$B$23,1)+1,MATCH(D169,[3]Sheet1!$C$3:$Q$3,1))-INDEX([3]Sheet1!$C$4:$Q$23,
MATCH(K169,[3]Sheet1!$B$4:$B$23,1),MATCH(D169,[3]Sheet1!$C$3:$Q$3,1)))
+(D169-INDEX([3]Sheet1!$C$3:$Q$3,1,MATCH(D169,[3]Sheet1!$C$3:$Q$3)))/(INDEX([3]Sheet1!$C$3:$Q$3,1,MATCH(D169,[3]Sheet1!$C$3:$Q$3)+1)-INDEX([3]Sheet1!$C$3:$Q$3,1,MATCH(
D169,[3]Sheet1!$C$3:$Q$3)))*(INDEX([3]Sheet1!$C$4:$Q$23,MATCH(K169,[3]Sheet1!$B$4:$B$23,1),MATCH(D169,[3]Sheet1!$C$3:$Q$3,1)+1)-INDEX([3]Sheet1!$C$4:$Q$23,MATCH(K169,[3]Sheet1!$B$4:$B$23,1),MATCH(D169,[3]Sheet1!$C$3:$Q$3,1))))</f>
        <v>0</v>
      </c>
      <c r="M169" cm="1">
        <f t="array" ref="M169" xml:space="preserve"> IF(E169*J169=0,0,(INDEX([2]Sheet1!$C$4:$Q$23,MATCH(K169,[2]Sheet1!$B$4:$B$23,1),MATCH(D169,[2]Sheet1!$C$3:$Q$3,1))
+ (K169 - INDEX([2]Sheet1!$B$4:$B$23,MATCH(K169,[2]Sheet1!$B$4:$B$23,1),1))/(INDEX([2]Sheet1!$B$4:$B$23,MATCH(K169,[2]Sheet1!$B$4:$B$23,1)+1,1) - INDEX([2]Sheet1!$B$4:$B$23,MATCH(K169,[2]Sheet1!$B$4:$B$23,1),1))*(INDEX([2]Sheet1!$C$4:$Q$23,MATCH(K169,[2]Sheet1!$B$4:$B$23,1)+1,MATCH(D169,[2]Sheet1!$C$3:$Q$3,1)) - INDEX([2]Sheet1!$C$4:$Q$23,MATCH(K169,[2]Sheet1!$B$4:$B$23,1),MATCH(D169,[2]Sheet1!$C$3:$Q$3,1)))
+ (D169 - INDEX([2]Sheet1!$C$3:$Q$3,1,MATCH(D169,[2]Sheet1!$C$3:$Q$3)))/(INDEX([2]Sheet1!$C$3:$Q$3,1,MATCH(D169,[2]Sheet1!$C$3:$Q$3)+1) - INDEX([2]Sheet1!$C$3:$Q$3,1,MATCH(D169,[2]Sheet1!$C$3:$Q$3)))*(
INDEX([2]Sheet1!$C$4:$Q$23,MATCH(K169,[2]Sheet1!$B$4:$B$23,1),MATCH(D169,[2]Sheet1!$C$3:$Q$3,1)+1) - INDEX([2]Sheet1!$C$4:$Q$23,MATCH(K169,[2]Sheet1!$B$4:$B$23,1),MATCH(D169,[2]Sheet1!$C$3:$Q$3,1)))))</f>
        <v>0</v>
      </c>
      <c r="N169">
        <f t="shared" si="62"/>
        <v>12</v>
      </c>
      <c r="O169">
        <v>9.3183015260322563E-2</v>
      </c>
      <c r="P169" t="e">
        <f t="shared" si="63"/>
        <v>#DIV/0!</v>
      </c>
      <c r="Q169">
        <f t="shared" si="50"/>
        <v>0</v>
      </c>
      <c r="R169">
        <f t="shared" si="64"/>
        <v>741.9099431943954</v>
      </c>
      <c r="T169" t="e">
        <f t="shared" si="53"/>
        <v>#DIV/0!</v>
      </c>
      <c r="U169" t="e">
        <f t="shared" si="54"/>
        <v>#DIV/0!</v>
      </c>
      <c r="V169">
        <f t="shared" si="55"/>
        <v>0</v>
      </c>
      <c r="W169" t="e">
        <f t="shared" si="51"/>
        <v>#DIV/0!</v>
      </c>
    </row>
    <row r="170" spans="1:23" x14ac:dyDescent="0.55000000000000004">
      <c r="A170">
        <f t="shared" si="52"/>
        <v>13.599999999999968</v>
      </c>
      <c r="B170">
        <f t="shared" si="56"/>
        <v>0.316</v>
      </c>
      <c r="C170">
        <f t="shared" si="57"/>
        <v>-3.8695652173912851</v>
      </c>
      <c r="D170">
        <v>2.4661508744674299</v>
      </c>
      <c r="E170">
        <f t="shared" si="47"/>
        <v>0</v>
      </c>
      <c r="F170">
        <f t="shared" si="58"/>
        <v>4.8605058816845369E-2</v>
      </c>
      <c r="G170">
        <f t="shared" si="59"/>
        <v>39.513748498891111</v>
      </c>
      <c r="H170">
        <f t="shared" si="60"/>
        <v>0</v>
      </c>
      <c r="I170" s="1">
        <f t="shared" si="48"/>
        <v>0</v>
      </c>
      <c r="J170">
        <f t="shared" si="61"/>
        <v>0</v>
      </c>
      <c r="K170">
        <f t="shared" si="49"/>
        <v>0</v>
      </c>
      <c r="L170" cm="1">
        <f t="array" ref="L170">IF(E170*J170=0,0,$C$21*INDEX([3]Sheet1!$C$4:$Q$23,MATCH(K170,[3]Sheet1!$B$4:$B$23,1),MATCH(D170,[3]Sheet1!$C$3:$Q$3,1))
+(K170-INDEX([3]Sheet1!$B$4:$B$23,MATCH(K170,[3]Sheet1!$B$4:$B$23,1),1))/(INDEX([3]Sheet1!$B$4:$B$23,MATCH(K170,[3]Sheet1!$B$4:$B$23,1)+1,1)-INDEX([3]Sheet1!$B$4:$B$23,
MATCH(K170,[3]Sheet1!$B$4:$B$23,1),1))*(INDEX([3]Sheet1!$C$4:$Q$23,MATCH(K170,[3]Sheet1!$B$4:$B$23,1)+1,MATCH(D170,[3]Sheet1!$C$3:$Q$3,1))-INDEX([3]Sheet1!$C$4:$Q$23,
MATCH(K170,[3]Sheet1!$B$4:$B$23,1),MATCH(D170,[3]Sheet1!$C$3:$Q$3,1)))
+(D170-INDEX([3]Sheet1!$C$3:$Q$3,1,MATCH(D170,[3]Sheet1!$C$3:$Q$3)))/(INDEX([3]Sheet1!$C$3:$Q$3,1,MATCH(D170,[3]Sheet1!$C$3:$Q$3)+1)-INDEX([3]Sheet1!$C$3:$Q$3,1,MATCH(
D170,[3]Sheet1!$C$3:$Q$3)))*(INDEX([3]Sheet1!$C$4:$Q$23,MATCH(K170,[3]Sheet1!$B$4:$B$23,1),MATCH(D170,[3]Sheet1!$C$3:$Q$3,1)+1)-INDEX([3]Sheet1!$C$4:$Q$23,MATCH(K170,[3]Sheet1!$B$4:$B$23,1),MATCH(D170,[3]Sheet1!$C$3:$Q$3,1))))</f>
        <v>0</v>
      </c>
      <c r="M170" cm="1">
        <f t="array" ref="M170" xml:space="preserve"> IF(E170*J170=0,0,(INDEX([2]Sheet1!$C$4:$Q$23,MATCH(K170,[2]Sheet1!$B$4:$B$23,1),MATCH(D170,[2]Sheet1!$C$3:$Q$3,1))
+ (K170 - INDEX([2]Sheet1!$B$4:$B$23,MATCH(K170,[2]Sheet1!$B$4:$B$23,1),1))/(INDEX([2]Sheet1!$B$4:$B$23,MATCH(K170,[2]Sheet1!$B$4:$B$23,1)+1,1) - INDEX([2]Sheet1!$B$4:$B$23,MATCH(K170,[2]Sheet1!$B$4:$B$23,1),1))*(INDEX([2]Sheet1!$C$4:$Q$23,MATCH(K170,[2]Sheet1!$B$4:$B$23,1)+1,MATCH(D170,[2]Sheet1!$C$3:$Q$3,1)) - INDEX([2]Sheet1!$C$4:$Q$23,MATCH(K170,[2]Sheet1!$B$4:$B$23,1),MATCH(D170,[2]Sheet1!$C$3:$Q$3,1)))
+ (D170 - INDEX([2]Sheet1!$C$3:$Q$3,1,MATCH(D170,[2]Sheet1!$C$3:$Q$3)))/(INDEX([2]Sheet1!$C$3:$Q$3,1,MATCH(D170,[2]Sheet1!$C$3:$Q$3)+1) - INDEX([2]Sheet1!$C$3:$Q$3,1,MATCH(D170,[2]Sheet1!$C$3:$Q$3)))*(
INDEX([2]Sheet1!$C$4:$Q$23,MATCH(K170,[2]Sheet1!$B$4:$B$23,1),MATCH(D170,[2]Sheet1!$C$3:$Q$3,1)+1) - INDEX([2]Sheet1!$C$4:$Q$23,MATCH(K170,[2]Sheet1!$B$4:$B$23,1),MATCH(D170,[2]Sheet1!$C$3:$Q$3,1)))))</f>
        <v>0</v>
      </c>
      <c r="N170">
        <f t="shared" si="62"/>
        <v>12</v>
      </c>
      <c r="O170">
        <v>9.315060008541852E-2</v>
      </c>
      <c r="P170" t="e">
        <f t="shared" si="63"/>
        <v>#DIV/0!</v>
      </c>
      <c r="Q170">
        <f t="shared" si="50"/>
        <v>0</v>
      </c>
      <c r="R170">
        <f t="shared" si="64"/>
        <v>741.9099431943954</v>
      </c>
      <c r="T170" t="e">
        <f t="shared" si="53"/>
        <v>#DIV/0!</v>
      </c>
      <c r="U170" t="e">
        <f t="shared" si="54"/>
        <v>#DIV/0!</v>
      </c>
      <c r="V170">
        <f t="shared" si="55"/>
        <v>0</v>
      </c>
      <c r="W170" t="e">
        <f t="shared" si="51"/>
        <v>#DIV/0!</v>
      </c>
    </row>
    <row r="171" spans="1:23" x14ac:dyDescent="0.55000000000000004">
      <c r="A171">
        <f t="shared" si="52"/>
        <v>13.699999999999967</v>
      </c>
      <c r="B171">
        <f t="shared" si="56"/>
        <v>0.316</v>
      </c>
      <c r="C171">
        <f t="shared" si="57"/>
        <v>-3.934782608695631</v>
      </c>
      <c r="D171">
        <v>2.4659943736347771</v>
      </c>
      <c r="E171">
        <f t="shared" si="47"/>
        <v>0</v>
      </c>
      <c r="F171">
        <f t="shared" si="58"/>
        <v>4.8605058816845369E-2</v>
      </c>
      <c r="G171">
        <f t="shared" si="59"/>
        <v>39.513748498891111</v>
      </c>
      <c r="H171">
        <f t="shared" si="60"/>
        <v>0</v>
      </c>
      <c r="I171" s="1">
        <f t="shared" si="48"/>
        <v>0</v>
      </c>
      <c r="J171">
        <f t="shared" si="61"/>
        <v>0</v>
      </c>
      <c r="K171">
        <f t="shared" si="49"/>
        <v>0</v>
      </c>
      <c r="L171" cm="1">
        <f t="array" ref="L171">IF(E171*J171=0,0,$C$21*INDEX([3]Sheet1!$C$4:$Q$23,MATCH(K171,[3]Sheet1!$B$4:$B$23,1),MATCH(D171,[3]Sheet1!$C$3:$Q$3,1))
+(K171-INDEX([3]Sheet1!$B$4:$B$23,MATCH(K171,[3]Sheet1!$B$4:$B$23,1),1))/(INDEX([3]Sheet1!$B$4:$B$23,MATCH(K171,[3]Sheet1!$B$4:$B$23,1)+1,1)-INDEX([3]Sheet1!$B$4:$B$23,
MATCH(K171,[3]Sheet1!$B$4:$B$23,1),1))*(INDEX([3]Sheet1!$C$4:$Q$23,MATCH(K171,[3]Sheet1!$B$4:$B$23,1)+1,MATCH(D171,[3]Sheet1!$C$3:$Q$3,1))-INDEX([3]Sheet1!$C$4:$Q$23,
MATCH(K171,[3]Sheet1!$B$4:$B$23,1),MATCH(D171,[3]Sheet1!$C$3:$Q$3,1)))
+(D171-INDEX([3]Sheet1!$C$3:$Q$3,1,MATCH(D171,[3]Sheet1!$C$3:$Q$3)))/(INDEX([3]Sheet1!$C$3:$Q$3,1,MATCH(D171,[3]Sheet1!$C$3:$Q$3)+1)-INDEX([3]Sheet1!$C$3:$Q$3,1,MATCH(
D171,[3]Sheet1!$C$3:$Q$3)))*(INDEX([3]Sheet1!$C$4:$Q$23,MATCH(K171,[3]Sheet1!$B$4:$B$23,1),MATCH(D171,[3]Sheet1!$C$3:$Q$3,1)+1)-INDEX([3]Sheet1!$C$4:$Q$23,MATCH(K171,[3]Sheet1!$B$4:$B$23,1),MATCH(D171,[3]Sheet1!$C$3:$Q$3,1))))</f>
        <v>0</v>
      </c>
      <c r="M171" cm="1">
        <f t="array" ref="M171" xml:space="preserve"> IF(E171*J171=0,0,(INDEX([2]Sheet1!$C$4:$Q$23,MATCH(K171,[2]Sheet1!$B$4:$B$23,1),MATCH(D171,[2]Sheet1!$C$3:$Q$3,1))
+ (K171 - INDEX([2]Sheet1!$B$4:$B$23,MATCH(K171,[2]Sheet1!$B$4:$B$23,1),1))/(INDEX([2]Sheet1!$B$4:$B$23,MATCH(K171,[2]Sheet1!$B$4:$B$23,1)+1,1) - INDEX([2]Sheet1!$B$4:$B$23,MATCH(K171,[2]Sheet1!$B$4:$B$23,1),1))*(INDEX([2]Sheet1!$C$4:$Q$23,MATCH(K171,[2]Sheet1!$B$4:$B$23,1)+1,MATCH(D171,[2]Sheet1!$C$3:$Q$3,1)) - INDEX([2]Sheet1!$C$4:$Q$23,MATCH(K171,[2]Sheet1!$B$4:$B$23,1),MATCH(D171,[2]Sheet1!$C$3:$Q$3,1)))
+ (D171 - INDEX([2]Sheet1!$C$3:$Q$3,1,MATCH(D171,[2]Sheet1!$C$3:$Q$3)))/(INDEX([2]Sheet1!$C$3:$Q$3,1,MATCH(D171,[2]Sheet1!$C$3:$Q$3)+1) - INDEX([2]Sheet1!$C$3:$Q$3,1,MATCH(D171,[2]Sheet1!$C$3:$Q$3)))*(
INDEX([2]Sheet1!$C$4:$Q$23,MATCH(K171,[2]Sheet1!$B$4:$B$23,1),MATCH(D171,[2]Sheet1!$C$3:$Q$3,1)+1) - INDEX([2]Sheet1!$C$4:$Q$23,MATCH(K171,[2]Sheet1!$B$4:$B$23,1),MATCH(D171,[2]Sheet1!$C$3:$Q$3,1)))))</f>
        <v>0</v>
      </c>
      <c r="N171">
        <f t="shared" si="62"/>
        <v>12</v>
      </c>
      <c r="O171">
        <v>9.3118288614113406E-2</v>
      </c>
      <c r="P171" t="e">
        <f t="shared" si="63"/>
        <v>#DIV/0!</v>
      </c>
      <c r="Q171">
        <f t="shared" si="50"/>
        <v>0</v>
      </c>
      <c r="R171">
        <f t="shared" si="64"/>
        <v>741.9099431943954</v>
      </c>
      <c r="T171" t="e">
        <f t="shared" si="53"/>
        <v>#DIV/0!</v>
      </c>
      <c r="U171" t="e">
        <f t="shared" si="54"/>
        <v>#DIV/0!</v>
      </c>
      <c r="V171">
        <f t="shared" si="55"/>
        <v>0</v>
      </c>
      <c r="W171" t="e">
        <f t="shared" si="51"/>
        <v>#DIV/0!</v>
      </c>
    </row>
    <row r="172" spans="1:23" x14ac:dyDescent="0.55000000000000004">
      <c r="A172">
        <f t="shared" si="52"/>
        <v>13.799999999999967</v>
      </c>
      <c r="B172">
        <f t="shared" si="56"/>
        <v>0.316</v>
      </c>
      <c r="C172">
        <f t="shared" si="57"/>
        <v>-3.9999999999999787</v>
      </c>
      <c r="D172">
        <v>2.4658383164548279</v>
      </c>
      <c r="E172">
        <f t="shared" si="47"/>
        <v>0</v>
      </c>
      <c r="F172">
        <f t="shared" si="58"/>
        <v>4.8605058816845369E-2</v>
      </c>
      <c r="G172">
        <f t="shared" si="59"/>
        <v>39.513748498891111</v>
      </c>
      <c r="H172">
        <f t="shared" si="60"/>
        <v>0</v>
      </c>
      <c r="I172" s="1">
        <f t="shared" si="48"/>
        <v>0</v>
      </c>
      <c r="J172">
        <f t="shared" si="61"/>
        <v>0</v>
      </c>
      <c r="K172">
        <f t="shared" si="49"/>
        <v>0</v>
      </c>
      <c r="L172" cm="1">
        <f t="array" ref="L172">IF(E172*J172=0,0,$C$21*INDEX([3]Sheet1!$C$4:$Q$23,MATCH(K172,[3]Sheet1!$B$4:$B$23,1),MATCH(D172,[3]Sheet1!$C$3:$Q$3,1))
+(K172-INDEX([3]Sheet1!$B$4:$B$23,MATCH(K172,[3]Sheet1!$B$4:$B$23,1),1))/(INDEX([3]Sheet1!$B$4:$B$23,MATCH(K172,[3]Sheet1!$B$4:$B$23,1)+1,1)-INDEX([3]Sheet1!$B$4:$B$23,
MATCH(K172,[3]Sheet1!$B$4:$B$23,1),1))*(INDEX([3]Sheet1!$C$4:$Q$23,MATCH(K172,[3]Sheet1!$B$4:$B$23,1)+1,MATCH(D172,[3]Sheet1!$C$3:$Q$3,1))-INDEX([3]Sheet1!$C$4:$Q$23,
MATCH(K172,[3]Sheet1!$B$4:$B$23,1),MATCH(D172,[3]Sheet1!$C$3:$Q$3,1)))
+(D172-INDEX([3]Sheet1!$C$3:$Q$3,1,MATCH(D172,[3]Sheet1!$C$3:$Q$3)))/(INDEX([3]Sheet1!$C$3:$Q$3,1,MATCH(D172,[3]Sheet1!$C$3:$Q$3)+1)-INDEX([3]Sheet1!$C$3:$Q$3,1,MATCH(
D172,[3]Sheet1!$C$3:$Q$3)))*(INDEX([3]Sheet1!$C$4:$Q$23,MATCH(K172,[3]Sheet1!$B$4:$B$23,1),MATCH(D172,[3]Sheet1!$C$3:$Q$3,1)+1)-INDEX([3]Sheet1!$C$4:$Q$23,MATCH(K172,[3]Sheet1!$B$4:$B$23,1),MATCH(D172,[3]Sheet1!$C$3:$Q$3,1))))</f>
        <v>0</v>
      </c>
      <c r="M172" cm="1">
        <f t="array" ref="M172" xml:space="preserve"> IF(E172*J172=0,0,(INDEX([2]Sheet1!$C$4:$Q$23,MATCH(K172,[2]Sheet1!$B$4:$B$23,1),MATCH(D172,[2]Sheet1!$C$3:$Q$3,1))
+ (K172 - INDEX([2]Sheet1!$B$4:$B$23,MATCH(K172,[2]Sheet1!$B$4:$B$23,1),1))/(INDEX([2]Sheet1!$B$4:$B$23,MATCH(K172,[2]Sheet1!$B$4:$B$23,1)+1,1) - INDEX([2]Sheet1!$B$4:$B$23,MATCH(K172,[2]Sheet1!$B$4:$B$23,1),1))*(INDEX([2]Sheet1!$C$4:$Q$23,MATCH(K172,[2]Sheet1!$B$4:$B$23,1)+1,MATCH(D172,[2]Sheet1!$C$3:$Q$3,1)) - INDEX([2]Sheet1!$C$4:$Q$23,MATCH(K172,[2]Sheet1!$B$4:$B$23,1),MATCH(D172,[2]Sheet1!$C$3:$Q$3,1)))
+ (D172 - INDEX([2]Sheet1!$C$3:$Q$3,1,MATCH(D172,[2]Sheet1!$C$3:$Q$3)))/(INDEX([2]Sheet1!$C$3:$Q$3,1,MATCH(D172,[2]Sheet1!$C$3:$Q$3)+1) - INDEX([2]Sheet1!$C$3:$Q$3,1,MATCH(D172,[2]Sheet1!$C$3:$Q$3)))*(
INDEX([2]Sheet1!$C$4:$Q$23,MATCH(K172,[2]Sheet1!$B$4:$B$23,1),MATCH(D172,[2]Sheet1!$C$3:$Q$3,1)+1) - INDEX([2]Sheet1!$C$4:$Q$23,MATCH(K172,[2]Sheet1!$B$4:$B$23,1),MATCH(D172,[2]Sheet1!$C$3:$Q$3,1)))))</f>
        <v>0</v>
      </c>
      <c r="N172">
        <f t="shared" si="62"/>
        <v>12</v>
      </c>
      <c r="O172">
        <v>9.3086080206529878E-2</v>
      </c>
      <c r="P172" t="e">
        <f t="shared" si="63"/>
        <v>#DIV/0!</v>
      </c>
      <c r="Q172">
        <f t="shared" si="50"/>
        <v>0</v>
      </c>
      <c r="R172">
        <f t="shared" si="64"/>
        <v>741.9099431943954</v>
      </c>
      <c r="T172" t="e">
        <f t="shared" si="53"/>
        <v>#DIV/0!</v>
      </c>
      <c r="U172" t="e">
        <f t="shared" si="54"/>
        <v>#DIV/0!</v>
      </c>
      <c r="V172">
        <f t="shared" si="55"/>
        <v>0</v>
      </c>
      <c r="W172" t="e">
        <f t="shared" si="51"/>
        <v>#DIV/0!</v>
      </c>
    </row>
    <row r="173" spans="1:23" x14ac:dyDescent="0.55000000000000004">
      <c r="A173">
        <f t="shared" si="52"/>
        <v>13.899999999999967</v>
      </c>
      <c r="B173">
        <f t="shared" si="56"/>
        <v>0.316</v>
      </c>
      <c r="C173">
        <f t="shared" si="57"/>
        <v>-4.0652173913043281</v>
      </c>
      <c r="D173">
        <v>2.4656827003434705</v>
      </c>
      <c r="E173">
        <f t="shared" si="47"/>
        <v>0</v>
      </c>
      <c r="F173">
        <f t="shared" si="58"/>
        <v>4.8605058816845369E-2</v>
      </c>
      <c r="G173">
        <f t="shared" si="59"/>
        <v>39.513748498891111</v>
      </c>
      <c r="H173">
        <f t="shared" si="60"/>
        <v>0</v>
      </c>
      <c r="I173" s="1">
        <f t="shared" si="48"/>
        <v>0</v>
      </c>
      <c r="J173">
        <f t="shared" si="61"/>
        <v>0</v>
      </c>
      <c r="K173">
        <f t="shared" si="49"/>
        <v>0</v>
      </c>
      <c r="L173" cm="1">
        <f t="array" ref="L173">IF(E173*J173=0,0,$C$21*INDEX([3]Sheet1!$C$4:$Q$23,MATCH(K173,[3]Sheet1!$B$4:$B$23,1),MATCH(D173,[3]Sheet1!$C$3:$Q$3,1))
+(K173-INDEX([3]Sheet1!$B$4:$B$23,MATCH(K173,[3]Sheet1!$B$4:$B$23,1),1))/(INDEX([3]Sheet1!$B$4:$B$23,MATCH(K173,[3]Sheet1!$B$4:$B$23,1)+1,1)-INDEX([3]Sheet1!$B$4:$B$23,
MATCH(K173,[3]Sheet1!$B$4:$B$23,1),1))*(INDEX([3]Sheet1!$C$4:$Q$23,MATCH(K173,[3]Sheet1!$B$4:$B$23,1)+1,MATCH(D173,[3]Sheet1!$C$3:$Q$3,1))-INDEX([3]Sheet1!$C$4:$Q$23,
MATCH(K173,[3]Sheet1!$B$4:$B$23,1),MATCH(D173,[3]Sheet1!$C$3:$Q$3,1)))
+(D173-INDEX([3]Sheet1!$C$3:$Q$3,1,MATCH(D173,[3]Sheet1!$C$3:$Q$3)))/(INDEX([3]Sheet1!$C$3:$Q$3,1,MATCH(D173,[3]Sheet1!$C$3:$Q$3)+1)-INDEX([3]Sheet1!$C$3:$Q$3,1,MATCH(
D173,[3]Sheet1!$C$3:$Q$3)))*(INDEX([3]Sheet1!$C$4:$Q$23,MATCH(K173,[3]Sheet1!$B$4:$B$23,1),MATCH(D173,[3]Sheet1!$C$3:$Q$3,1)+1)-INDEX([3]Sheet1!$C$4:$Q$23,MATCH(K173,[3]Sheet1!$B$4:$B$23,1),MATCH(D173,[3]Sheet1!$C$3:$Q$3,1))))</f>
        <v>0</v>
      </c>
      <c r="M173" cm="1">
        <f t="array" ref="M173" xml:space="preserve"> IF(E173*J173=0,0,(INDEX([2]Sheet1!$C$4:$Q$23,MATCH(K173,[2]Sheet1!$B$4:$B$23,1),MATCH(D173,[2]Sheet1!$C$3:$Q$3,1))
+ (K173 - INDEX([2]Sheet1!$B$4:$B$23,MATCH(K173,[2]Sheet1!$B$4:$B$23,1),1))/(INDEX([2]Sheet1!$B$4:$B$23,MATCH(K173,[2]Sheet1!$B$4:$B$23,1)+1,1) - INDEX([2]Sheet1!$B$4:$B$23,MATCH(K173,[2]Sheet1!$B$4:$B$23,1),1))*(INDEX([2]Sheet1!$C$4:$Q$23,MATCH(K173,[2]Sheet1!$B$4:$B$23,1)+1,MATCH(D173,[2]Sheet1!$C$3:$Q$3,1)) - INDEX([2]Sheet1!$C$4:$Q$23,MATCH(K173,[2]Sheet1!$B$4:$B$23,1),MATCH(D173,[2]Sheet1!$C$3:$Q$3,1)))
+ (D173 - INDEX([2]Sheet1!$C$3:$Q$3,1,MATCH(D173,[2]Sheet1!$C$3:$Q$3)))/(INDEX([2]Sheet1!$C$3:$Q$3,1,MATCH(D173,[2]Sheet1!$C$3:$Q$3)+1) - INDEX([2]Sheet1!$C$3:$Q$3,1,MATCH(D173,[2]Sheet1!$C$3:$Q$3)))*(
INDEX([2]Sheet1!$C$4:$Q$23,MATCH(K173,[2]Sheet1!$B$4:$B$23,1),MATCH(D173,[2]Sheet1!$C$3:$Q$3,1)+1) - INDEX([2]Sheet1!$C$4:$Q$23,MATCH(K173,[2]Sheet1!$B$4:$B$23,1),MATCH(D173,[2]Sheet1!$C$3:$Q$3,1)))))</f>
        <v>0</v>
      </c>
      <c r="N173">
        <f t="shared" si="62"/>
        <v>12</v>
      </c>
      <c r="O173">
        <v>9.3053974228630501E-2</v>
      </c>
      <c r="P173" t="e">
        <f t="shared" si="63"/>
        <v>#DIV/0!</v>
      </c>
      <c r="Q173">
        <f t="shared" si="50"/>
        <v>0</v>
      </c>
      <c r="R173">
        <f t="shared" si="64"/>
        <v>741.9099431943954</v>
      </c>
      <c r="T173" t="e">
        <f t="shared" si="53"/>
        <v>#DIV/0!</v>
      </c>
      <c r="U173" t="e">
        <f t="shared" si="54"/>
        <v>#DIV/0!</v>
      </c>
      <c r="V173">
        <f t="shared" si="55"/>
        <v>0</v>
      </c>
      <c r="W173" t="e">
        <f t="shared" si="51"/>
        <v>#DIV/0!</v>
      </c>
    </row>
    <row r="174" spans="1:23" x14ac:dyDescent="0.55000000000000004">
      <c r="A174">
        <f t="shared" si="52"/>
        <v>13.999999999999966</v>
      </c>
      <c r="B174">
        <f t="shared" si="56"/>
        <v>0.316</v>
      </c>
      <c r="C174">
        <f t="shared" si="57"/>
        <v>-4.130434782608674</v>
      </c>
      <c r="D174">
        <v>2.465527522739229</v>
      </c>
      <c r="E174">
        <f t="shared" si="47"/>
        <v>0</v>
      </c>
      <c r="F174">
        <f t="shared" si="58"/>
        <v>4.8605058816845369E-2</v>
      </c>
      <c r="G174">
        <f t="shared" si="59"/>
        <v>39.513748498891111</v>
      </c>
      <c r="H174">
        <f t="shared" si="60"/>
        <v>0</v>
      </c>
      <c r="I174" s="1">
        <f t="shared" si="48"/>
        <v>0</v>
      </c>
      <c r="J174">
        <f t="shared" si="61"/>
        <v>0</v>
      </c>
      <c r="K174">
        <f t="shared" si="49"/>
        <v>0</v>
      </c>
      <c r="L174" cm="1">
        <f t="array" ref="L174">IF(E174*J174=0,0,$C$21*INDEX([3]Sheet1!$C$4:$Q$23,MATCH(K174,[3]Sheet1!$B$4:$B$23,1),MATCH(D174,[3]Sheet1!$C$3:$Q$3,1))
+(K174-INDEX([3]Sheet1!$B$4:$B$23,MATCH(K174,[3]Sheet1!$B$4:$B$23,1),1))/(INDEX([3]Sheet1!$B$4:$B$23,MATCH(K174,[3]Sheet1!$B$4:$B$23,1)+1,1)-INDEX([3]Sheet1!$B$4:$B$23,
MATCH(K174,[3]Sheet1!$B$4:$B$23,1),1))*(INDEX([3]Sheet1!$C$4:$Q$23,MATCH(K174,[3]Sheet1!$B$4:$B$23,1)+1,MATCH(D174,[3]Sheet1!$C$3:$Q$3,1))-INDEX([3]Sheet1!$C$4:$Q$23,
MATCH(K174,[3]Sheet1!$B$4:$B$23,1),MATCH(D174,[3]Sheet1!$C$3:$Q$3,1)))
+(D174-INDEX([3]Sheet1!$C$3:$Q$3,1,MATCH(D174,[3]Sheet1!$C$3:$Q$3)))/(INDEX([3]Sheet1!$C$3:$Q$3,1,MATCH(D174,[3]Sheet1!$C$3:$Q$3)+1)-INDEX([3]Sheet1!$C$3:$Q$3,1,MATCH(
D174,[3]Sheet1!$C$3:$Q$3)))*(INDEX([3]Sheet1!$C$4:$Q$23,MATCH(K174,[3]Sheet1!$B$4:$B$23,1),MATCH(D174,[3]Sheet1!$C$3:$Q$3,1)+1)-INDEX([3]Sheet1!$C$4:$Q$23,MATCH(K174,[3]Sheet1!$B$4:$B$23,1),MATCH(D174,[3]Sheet1!$C$3:$Q$3,1))))</f>
        <v>0</v>
      </c>
      <c r="M174" cm="1">
        <f t="array" ref="M174" xml:space="preserve"> IF(E174*J174=0,0,(INDEX([2]Sheet1!$C$4:$Q$23,MATCH(K174,[2]Sheet1!$B$4:$B$23,1),MATCH(D174,[2]Sheet1!$C$3:$Q$3,1))
+ (K174 - INDEX([2]Sheet1!$B$4:$B$23,MATCH(K174,[2]Sheet1!$B$4:$B$23,1),1))/(INDEX([2]Sheet1!$B$4:$B$23,MATCH(K174,[2]Sheet1!$B$4:$B$23,1)+1,1) - INDEX([2]Sheet1!$B$4:$B$23,MATCH(K174,[2]Sheet1!$B$4:$B$23,1),1))*(INDEX([2]Sheet1!$C$4:$Q$23,MATCH(K174,[2]Sheet1!$B$4:$B$23,1)+1,MATCH(D174,[2]Sheet1!$C$3:$Q$3,1)) - INDEX([2]Sheet1!$C$4:$Q$23,MATCH(K174,[2]Sheet1!$B$4:$B$23,1),MATCH(D174,[2]Sheet1!$C$3:$Q$3,1)))
+ (D174 - INDEX([2]Sheet1!$C$3:$Q$3,1,MATCH(D174,[2]Sheet1!$C$3:$Q$3)))/(INDEX([2]Sheet1!$C$3:$Q$3,1,MATCH(D174,[2]Sheet1!$C$3:$Q$3)+1) - INDEX([2]Sheet1!$C$3:$Q$3,1,MATCH(D174,[2]Sheet1!$C$3:$Q$3)))*(
INDEX([2]Sheet1!$C$4:$Q$23,MATCH(K174,[2]Sheet1!$B$4:$B$23,1),MATCH(D174,[2]Sheet1!$C$3:$Q$3,1)+1) - INDEX([2]Sheet1!$C$4:$Q$23,MATCH(K174,[2]Sheet1!$B$4:$B$23,1),MATCH(D174,[2]Sheet1!$C$3:$Q$3,1)))))</f>
        <v>0</v>
      </c>
      <c r="N174">
        <f t="shared" si="62"/>
        <v>12</v>
      </c>
      <c r="O174">
        <v>9.302197005214291E-2</v>
      </c>
      <c r="P174" t="e">
        <f t="shared" si="63"/>
        <v>#DIV/0!</v>
      </c>
      <c r="Q174">
        <f t="shared" si="50"/>
        <v>0</v>
      </c>
      <c r="R174">
        <f t="shared" si="64"/>
        <v>741.9099431943954</v>
      </c>
      <c r="T174" t="e">
        <f t="shared" si="53"/>
        <v>#DIV/0!</v>
      </c>
      <c r="U174" t="e">
        <f t="shared" si="54"/>
        <v>#DIV/0!</v>
      </c>
      <c r="V174">
        <f t="shared" si="55"/>
        <v>0</v>
      </c>
      <c r="W174" t="e">
        <f t="shared" si="51"/>
        <v>#DIV/0!</v>
      </c>
    </row>
    <row r="175" spans="1:23" x14ac:dyDescent="0.55000000000000004">
      <c r="A175">
        <f t="shared" si="52"/>
        <v>14.099999999999966</v>
      </c>
      <c r="B175">
        <f t="shared" si="56"/>
        <v>0.316</v>
      </c>
      <c r="C175">
        <f t="shared" si="57"/>
        <v>-4.1956521739130217</v>
      </c>
      <c r="D175">
        <v>2.4653727811030017</v>
      </c>
      <c r="E175">
        <f t="shared" si="47"/>
        <v>0</v>
      </c>
      <c r="F175">
        <f t="shared" si="58"/>
        <v>4.8605058816845369E-2</v>
      </c>
      <c r="G175">
        <f t="shared" si="59"/>
        <v>39.513748498891111</v>
      </c>
      <c r="H175">
        <f t="shared" si="60"/>
        <v>0</v>
      </c>
      <c r="I175" s="1">
        <f t="shared" si="48"/>
        <v>0</v>
      </c>
      <c r="J175">
        <f t="shared" si="61"/>
        <v>0</v>
      </c>
      <c r="K175">
        <f t="shared" si="49"/>
        <v>0</v>
      </c>
      <c r="L175" cm="1">
        <f t="array" ref="L175">IF(E175*J175=0,0,$C$21*INDEX([3]Sheet1!$C$4:$Q$23,MATCH(K175,[3]Sheet1!$B$4:$B$23,1),MATCH(D175,[3]Sheet1!$C$3:$Q$3,1))
+(K175-INDEX([3]Sheet1!$B$4:$B$23,MATCH(K175,[3]Sheet1!$B$4:$B$23,1),1))/(INDEX([3]Sheet1!$B$4:$B$23,MATCH(K175,[3]Sheet1!$B$4:$B$23,1)+1,1)-INDEX([3]Sheet1!$B$4:$B$23,
MATCH(K175,[3]Sheet1!$B$4:$B$23,1),1))*(INDEX([3]Sheet1!$C$4:$Q$23,MATCH(K175,[3]Sheet1!$B$4:$B$23,1)+1,MATCH(D175,[3]Sheet1!$C$3:$Q$3,1))-INDEX([3]Sheet1!$C$4:$Q$23,
MATCH(K175,[3]Sheet1!$B$4:$B$23,1),MATCH(D175,[3]Sheet1!$C$3:$Q$3,1)))
+(D175-INDEX([3]Sheet1!$C$3:$Q$3,1,MATCH(D175,[3]Sheet1!$C$3:$Q$3)))/(INDEX([3]Sheet1!$C$3:$Q$3,1,MATCH(D175,[3]Sheet1!$C$3:$Q$3)+1)-INDEX([3]Sheet1!$C$3:$Q$3,1,MATCH(
D175,[3]Sheet1!$C$3:$Q$3)))*(INDEX([3]Sheet1!$C$4:$Q$23,MATCH(K175,[3]Sheet1!$B$4:$B$23,1),MATCH(D175,[3]Sheet1!$C$3:$Q$3,1)+1)-INDEX([3]Sheet1!$C$4:$Q$23,MATCH(K175,[3]Sheet1!$B$4:$B$23,1),MATCH(D175,[3]Sheet1!$C$3:$Q$3,1))))</f>
        <v>0</v>
      </c>
      <c r="M175" cm="1">
        <f t="array" ref="M175" xml:space="preserve"> IF(E175*J175=0,0,(INDEX([2]Sheet1!$C$4:$Q$23,MATCH(K175,[2]Sheet1!$B$4:$B$23,1),MATCH(D175,[2]Sheet1!$C$3:$Q$3,1))
+ (K175 - INDEX([2]Sheet1!$B$4:$B$23,MATCH(K175,[2]Sheet1!$B$4:$B$23,1),1))/(INDEX([2]Sheet1!$B$4:$B$23,MATCH(K175,[2]Sheet1!$B$4:$B$23,1)+1,1) - INDEX([2]Sheet1!$B$4:$B$23,MATCH(K175,[2]Sheet1!$B$4:$B$23,1),1))*(INDEX([2]Sheet1!$C$4:$Q$23,MATCH(K175,[2]Sheet1!$B$4:$B$23,1)+1,MATCH(D175,[2]Sheet1!$C$3:$Q$3,1)) - INDEX([2]Sheet1!$C$4:$Q$23,MATCH(K175,[2]Sheet1!$B$4:$B$23,1),MATCH(D175,[2]Sheet1!$C$3:$Q$3,1)))
+ (D175 - INDEX([2]Sheet1!$C$3:$Q$3,1,MATCH(D175,[2]Sheet1!$C$3:$Q$3)))/(INDEX([2]Sheet1!$C$3:$Q$3,1,MATCH(D175,[2]Sheet1!$C$3:$Q$3)+1) - INDEX([2]Sheet1!$C$3:$Q$3,1,MATCH(D175,[2]Sheet1!$C$3:$Q$3)))*(
INDEX([2]Sheet1!$C$4:$Q$23,MATCH(K175,[2]Sheet1!$B$4:$B$23,1),MATCH(D175,[2]Sheet1!$C$3:$Q$3,1)+1) - INDEX([2]Sheet1!$C$4:$Q$23,MATCH(K175,[2]Sheet1!$B$4:$B$23,1),MATCH(D175,[2]Sheet1!$C$3:$Q$3,1)))))</f>
        <v>0</v>
      </c>
      <c r="N175">
        <f t="shared" si="62"/>
        <v>12</v>
      </c>
      <c r="O175">
        <v>9.2990067054495681E-2</v>
      </c>
      <c r="P175" t="e">
        <f t="shared" si="63"/>
        <v>#DIV/0!</v>
      </c>
      <c r="Q175">
        <f t="shared" si="50"/>
        <v>0</v>
      </c>
      <c r="R175">
        <f t="shared" si="64"/>
        <v>741.9099431943954</v>
      </c>
      <c r="T175" t="e">
        <f t="shared" si="53"/>
        <v>#DIV/0!</v>
      </c>
      <c r="U175" t="e">
        <f t="shared" si="54"/>
        <v>#DIV/0!</v>
      </c>
      <c r="V175">
        <f t="shared" si="55"/>
        <v>0</v>
      </c>
      <c r="W175" t="e">
        <f t="shared" si="51"/>
        <v>#DIV/0!</v>
      </c>
    </row>
    <row r="176" spans="1:23" x14ac:dyDescent="0.55000000000000004">
      <c r="A176">
        <f t="shared" si="52"/>
        <v>14.199999999999966</v>
      </c>
      <c r="B176">
        <f t="shared" si="56"/>
        <v>0.316</v>
      </c>
      <c r="C176">
        <f t="shared" si="57"/>
        <v>-4.2608695652173694</v>
      </c>
      <c r="D176">
        <v>2.4652184729178006</v>
      </c>
      <c r="E176">
        <f t="shared" si="47"/>
        <v>0</v>
      </c>
      <c r="F176">
        <f t="shared" si="58"/>
        <v>4.8605058816845369E-2</v>
      </c>
      <c r="G176">
        <f t="shared" si="59"/>
        <v>39.513748498891111</v>
      </c>
      <c r="H176">
        <f t="shared" si="60"/>
        <v>0</v>
      </c>
      <c r="I176" s="1">
        <f t="shared" si="48"/>
        <v>0</v>
      </c>
      <c r="J176">
        <f t="shared" si="61"/>
        <v>0</v>
      </c>
      <c r="K176">
        <f t="shared" si="49"/>
        <v>0</v>
      </c>
      <c r="L176" cm="1">
        <f t="array" ref="L176">IF(E176*J176=0,0,$C$21*INDEX([3]Sheet1!$C$4:$Q$23,MATCH(K176,[3]Sheet1!$B$4:$B$23,1),MATCH(D176,[3]Sheet1!$C$3:$Q$3,1))
+(K176-INDEX([3]Sheet1!$B$4:$B$23,MATCH(K176,[3]Sheet1!$B$4:$B$23,1),1))/(INDEX([3]Sheet1!$B$4:$B$23,MATCH(K176,[3]Sheet1!$B$4:$B$23,1)+1,1)-INDEX([3]Sheet1!$B$4:$B$23,
MATCH(K176,[3]Sheet1!$B$4:$B$23,1),1))*(INDEX([3]Sheet1!$C$4:$Q$23,MATCH(K176,[3]Sheet1!$B$4:$B$23,1)+1,MATCH(D176,[3]Sheet1!$C$3:$Q$3,1))-INDEX([3]Sheet1!$C$4:$Q$23,
MATCH(K176,[3]Sheet1!$B$4:$B$23,1),MATCH(D176,[3]Sheet1!$C$3:$Q$3,1)))
+(D176-INDEX([3]Sheet1!$C$3:$Q$3,1,MATCH(D176,[3]Sheet1!$C$3:$Q$3)))/(INDEX([3]Sheet1!$C$3:$Q$3,1,MATCH(D176,[3]Sheet1!$C$3:$Q$3)+1)-INDEX([3]Sheet1!$C$3:$Q$3,1,MATCH(
D176,[3]Sheet1!$C$3:$Q$3)))*(INDEX([3]Sheet1!$C$4:$Q$23,MATCH(K176,[3]Sheet1!$B$4:$B$23,1),MATCH(D176,[3]Sheet1!$C$3:$Q$3,1)+1)-INDEX([3]Sheet1!$C$4:$Q$23,MATCH(K176,[3]Sheet1!$B$4:$B$23,1),MATCH(D176,[3]Sheet1!$C$3:$Q$3,1))))</f>
        <v>0</v>
      </c>
      <c r="M176" cm="1">
        <f t="array" ref="M176" xml:space="preserve"> IF(E176*J176=0,0,(INDEX([2]Sheet1!$C$4:$Q$23,MATCH(K176,[2]Sheet1!$B$4:$B$23,1),MATCH(D176,[2]Sheet1!$C$3:$Q$3,1))
+ (K176 - INDEX([2]Sheet1!$B$4:$B$23,MATCH(K176,[2]Sheet1!$B$4:$B$23,1),1))/(INDEX([2]Sheet1!$B$4:$B$23,MATCH(K176,[2]Sheet1!$B$4:$B$23,1)+1,1) - INDEX([2]Sheet1!$B$4:$B$23,MATCH(K176,[2]Sheet1!$B$4:$B$23,1),1))*(INDEX([2]Sheet1!$C$4:$Q$23,MATCH(K176,[2]Sheet1!$B$4:$B$23,1)+1,MATCH(D176,[2]Sheet1!$C$3:$Q$3,1)) - INDEX([2]Sheet1!$C$4:$Q$23,MATCH(K176,[2]Sheet1!$B$4:$B$23,1),MATCH(D176,[2]Sheet1!$C$3:$Q$3,1)))
+ (D176 - INDEX([2]Sheet1!$C$3:$Q$3,1,MATCH(D176,[2]Sheet1!$C$3:$Q$3)))/(INDEX([2]Sheet1!$C$3:$Q$3,1,MATCH(D176,[2]Sheet1!$C$3:$Q$3)+1) - INDEX([2]Sheet1!$C$3:$Q$3,1,MATCH(D176,[2]Sheet1!$C$3:$Q$3)))*(
INDEX([2]Sheet1!$C$4:$Q$23,MATCH(K176,[2]Sheet1!$B$4:$B$23,1),MATCH(D176,[2]Sheet1!$C$3:$Q$3,1)+1) - INDEX([2]Sheet1!$C$4:$Q$23,MATCH(K176,[2]Sheet1!$B$4:$B$23,1),MATCH(D176,[2]Sheet1!$C$3:$Q$3,1)))))</f>
        <v>0</v>
      </c>
      <c r="N176">
        <f t="shared" si="62"/>
        <v>12</v>
      </c>
      <c r="O176">
        <v>9.2958264618746109E-2</v>
      </c>
      <c r="P176" t="e">
        <f t="shared" si="63"/>
        <v>#DIV/0!</v>
      </c>
      <c r="Q176">
        <f t="shared" si="50"/>
        <v>0</v>
      </c>
      <c r="R176">
        <f t="shared" si="64"/>
        <v>741.9099431943954</v>
      </c>
      <c r="T176" t="e">
        <f t="shared" si="53"/>
        <v>#DIV/0!</v>
      </c>
      <c r="U176" t="e">
        <f t="shared" si="54"/>
        <v>#DIV/0!</v>
      </c>
      <c r="V176">
        <f t="shared" si="55"/>
        <v>0</v>
      </c>
      <c r="W176" t="e">
        <f t="shared" si="51"/>
        <v>#DIV/0!</v>
      </c>
    </row>
    <row r="177" spans="1:23" x14ac:dyDescent="0.55000000000000004">
      <c r="A177">
        <f t="shared" si="52"/>
        <v>14.299999999999965</v>
      </c>
      <c r="B177">
        <f t="shared" si="56"/>
        <v>0.316</v>
      </c>
      <c r="C177">
        <f t="shared" si="57"/>
        <v>-4.326086956521717</v>
      </c>
      <c r="D177">
        <v>2.4650645956884931</v>
      </c>
      <c r="E177">
        <f t="shared" si="47"/>
        <v>0</v>
      </c>
      <c r="F177">
        <f t="shared" si="58"/>
        <v>4.8605058816845369E-2</v>
      </c>
      <c r="G177">
        <f t="shared" si="59"/>
        <v>39.513748498891111</v>
      </c>
      <c r="H177">
        <f t="shared" si="60"/>
        <v>0</v>
      </c>
      <c r="I177" s="1">
        <f t="shared" si="48"/>
        <v>0</v>
      </c>
      <c r="J177">
        <f t="shared" si="61"/>
        <v>0</v>
      </c>
      <c r="K177">
        <f t="shared" si="49"/>
        <v>0</v>
      </c>
      <c r="L177" cm="1">
        <f t="array" ref="L177">IF(E177*J177=0,0,$C$21*INDEX([3]Sheet1!$C$4:$Q$23,MATCH(K177,[3]Sheet1!$B$4:$B$23,1),MATCH(D177,[3]Sheet1!$C$3:$Q$3,1))
+(K177-INDEX([3]Sheet1!$B$4:$B$23,MATCH(K177,[3]Sheet1!$B$4:$B$23,1),1))/(INDEX([3]Sheet1!$B$4:$B$23,MATCH(K177,[3]Sheet1!$B$4:$B$23,1)+1,1)-INDEX([3]Sheet1!$B$4:$B$23,
MATCH(K177,[3]Sheet1!$B$4:$B$23,1),1))*(INDEX([3]Sheet1!$C$4:$Q$23,MATCH(K177,[3]Sheet1!$B$4:$B$23,1)+1,MATCH(D177,[3]Sheet1!$C$3:$Q$3,1))-INDEX([3]Sheet1!$C$4:$Q$23,
MATCH(K177,[3]Sheet1!$B$4:$B$23,1),MATCH(D177,[3]Sheet1!$C$3:$Q$3,1)))
+(D177-INDEX([3]Sheet1!$C$3:$Q$3,1,MATCH(D177,[3]Sheet1!$C$3:$Q$3)))/(INDEX([3]Sheet1!$C$3:$Q$3,1,MATCH(D177,[3]Sheet1!$C$3:$Q$3)+1)-INDEX([3]Sheet1!$C$3:$Q$3,1,MATCH(
D177,[3]Sheet1!$C$3:$Q$3)))*(INDEX([3]Sheet1!$C$4:$Q$23,MATCH(K177,[3]Sheet1!$B$4:$B$23,1),MATCH(D177,[3]Sheet1!$C$3:$Q$3,1)+1)-INDEX([3]Sheet1!$C$4:$Q$23,MATCH(K177,[3]Sheet1!$B$4:$B$23,1),MATCH(D177,[3]Sheet1!$C$3:$Q$3,1))))</f>
        <v>0</v>
      </c>
      <c r="M177" cm="1">
        <f t="array" ref="M177" xml:space="preserve"> IF(E177*J177=0,0,(INDEX([2]Sheet1!$C$4:$Q$23,MATCH(K177,[2]Sheet1!$B$4:$B$23,1),MATCH(D177,[2]Sheet1!$C$3:$Q$3,1))
+ (K177 - INDEX([2]Sheet1!$B$4:$B$23,MATCH(K177,[2]Sheet1!$B$4:$B$23,1),1))/(INDEX([2]Sheet1!$B$4:$B$23,MATCH(K177,[2]Sheet1!$B$4:$B$23,1)+1,1) - INDEX([2]Sheet1!$B$4:$B$23,MATCH(K177,[2]Sheet1!$B$4:$B$23,1),1))*(INDEX([2]Sheet1!$C$4:$Q$23,MATCH(K177,[2]Sheet1!$B$4:$B$23,1)+1,MATCH(D177,[2]Sheet1!$C$3:$Q$3,1)) - INDEX([2]Sheet1!$C$4:$Q$23,MATCH(K177,[2]Sheet1!$B$4:$B$23,1),MATCH(D177,[2]Sheet1!$C$3:$Q$3,1)))
+ (D177 - INDEX([2]Sheet1!$C$3:$Q$3,1,MATCH(D177,[2]Sheet1!$C$3:$Q$3)))/(INDEX([2]Sheet1!$C$3:$Q$3,1,MATCH(D177,[2]Sheet1!$C$3:$Q$3)+1) - INDEX([2]Sheet1!$C$3:$Q$3,1,MATCH(D177,[2]Sheet1!$C$3:$Q$3)))*(
INDEX([2]Sheet1!$C$4:$Q$23,MATCH(K177,[2]Sheet1!$B$4:$B$23,1),MATCH(D177,[2]Sheet1!$C$3:$Q$3,1)+1) - INDEX([2]Sheet1!$C$4:$Q$23,MATCH(K177,[2]Sheet1!$B$4:$B$23,1),MATCH(D177,[2]Sheet1!$C$3:$Q$3,1)))))</f>
        <v>0</v>
      </c>
      <c r="N177">
        <f t="shared" si="62"/>
        <v>12</v>
      </c>
      <c r="O177">
        <v>9.2926562133514953E-2</v>
      </c>
      <c r="P177" t="e">
        <f t="shared" si="63"/>
        <v>#DIV/0!</v>
      </c>
      <c r="Q177">
        <f t="shared" si="50"/>
        <v>0</v>
      </c>
      <c r="R177">
        <f t="shared" si="64"/>
        <v>741.9099431943954</v>
      </c>
      <c r="T177" t="e">
        <f t="shared" si="53"/>
        <v>#DIV/0!</v>
      </c>
      <c r="U177" t="e">
        <f t="shared" si="54"/>
        <v>#DIV/0!</v>
      </c>
      <c r="V177">
        <f t="shared" si="55"/>
        <v>0</v>
      </c>
      <c r="W177" t="e">
        <f t="shared" si="51"/>
        <v>#DIV/0!</v>
      </c>
    </row>
    <row r="178" spans="1:23" x14ac:dyDescent="0.55000000000000004">
      <c r="A178">
        <f t="shared" si="52"/>
        <v>14.399999999999965</v>
      </c>
      <c r="B178">
        <f t="shared" si="56"/>
        <v>0.316</v>
      </c>
      <c r="C178">
        <f t="shared" si="57"/>
        <v>-4.3913043478260647</v>
      </c>
      <c r="D178">
        <v>2.4649111469415503</v>
      </c>
      <c r="E178">
        <f t="shared" si="47"/>
        <v>0</v>
      </c>
      <c r="F178">
        <f>F177+(J177+J176)*(A178-A177)/2</f>
        <v>4.8605058816845369E-2</v>
      </c>
      <c r="G178">
        <f>IF(SQRT(4*F178/($C$15*PI()*$C$11*$C$12*0.001)+($C$13*0.001)^2)*1000&lt;$C$14,SQRT(4*F178/($C$15*PI()*$C$11*$C$12*0.001)+($C$13*0.001)^2)*1000,$C$14)</f>
        <v>39.513748498891111</v>
      </c>
      <c r="H178">
        <f>4*E178/($C$15*PI()*(G178*0.001)^2)</f>
        <v>0</v>
      </c>
      <c r="I178" s="1">
        <f t="shared" si="48"/>
        <v>0</v>
      </c>
      <c r="J178">
        <f t="shared" si="61"/>
        <v>0</v>
      </c>
      <c r="K178">
        <f t="shared" si="49"/>
        <v>0</v>
      </c>
      <c r="L178" cm="1">
        <f t="array" ref="L178">IF(E178*J178=0,0,$C$21*INDEX([3]Sheet1!$C$4:$Q$23,MATCH(K178,[3]Sheet1!$B$4:$B$23,1),MATCH(D178,[3]Sheet1!$C$3:$Q$3,1))
+(K178-INDEX([3]Sheet1!$B$4:$B$23,MATCH(K178,[3]Sheet1!$B$4:$B$23,1),1))/(INDEX([3]Sheet1!$B$4:$B$23,MATCH(K178,[3]Sheet1!$B$4:$B$23,1)+1,1)-INDEX([3]Sheet1!$B$4:$B$23,
MATCH(K178,[3]Sheet1!$B$4:$B$23,1),1))*(INDEX([3]Sheet1!$C$4:$Q$23,MATCH(K178,[3]Sheet1!$B$4:$B$23,1)+1,MATCH(D178,[3]Sheet1!$C$3:$Q$3,1))-INDEX([3]Sheet1!$C$4:$Q$23,
MATCH(K178,[3]Sheet1!$B$4:$B$23,1),MATCH(D178,[3]Sheet1!$C$3:$Q$3,1)))
+(D178-INDEX([3]Sheet1!$C$3:$Q$3,1,MATCH(D178,[3]Sheet1!$C$3:$Q$3)))/(INDEX([3]Sheet1!$C$3:$Q$3,1,MATCH(D178,[3]Sheet1!$C$3:$Q$3)+1)-INDEX([3]Sheet1!$C$3:$Q$3,1,MATCH(
D178,[3]Sheet1!$C$3:$Q$3)))*(INDEX([3]Sheet1!$C$4:$Q$23,MATCH(K178,[3]Sheet1!$B$4:$B$23,1),MATCH(D178,[3]Sheet1!$C$3:$Q$3,1)+1)-INDEX([3]Sheet1!$C$4:$Q$23,MATCH(K178,[3]Sheet1!$B$4:$B$23,1),MATCH(D178,[3]Sheet1!$C$3:$Q$3,1))))</f>
        <v>0</v>
      </c>
      <c r="M178" cm="1">
        <f t="array" ref="M178" xml:space="preserve"> IF(E178*J178=0,0,(INDEX([2]Sheet1!$C$4:$Q$23,MATCH(K178,[2]Sheet1!$B$4:$B$23,1),MATCH(D178,[2]Sheet1!$C$3:$Q$3,1))
+ (K178 - INDEX([2]Sheet1!$B$4:$B$23,MATCH(K178,[2]Sheet1!$B$4:$B$23,1),1))/(INDEX([2]Sheet1!$B$4:$B$23,MATCH(K178,[2]Sheet1!$B$4:$B$23,1)+1,1) - INDEX([2]Sheet1!$B$4:$B$23,MATCH(K178,[2]Sheet1!$B$4:$B$23,1),1))*(INDEX([2]Sheet1!$C$4:$Q$23,MATCH(K178,[2]Sheet1!$B$4:$B$23,1)+1,MATCH(D178,[2]Sheet1!$C$3:$Q$3,1)) - INDEX([2]Sheet1!$C$4:$Q$23,MATCH(K178,[2]Sheet1!$B$4:$B$23,1),MATCH(D178,[2]Sheet1!$C$3:$Q$3,1)))
+ (D178 - INDEX([2]Sheet1!$C$3:$Q$3,1,MATCH(D178,[2]Sheet1!$C$3:$Q$3)))/(INDEX([2]Sheet1!$C$3:$Q$3,1,MATCH(D178,[2]Sheet1!$C$3:$Q$3)+1) - INDEX([2]Sheet1!$C$3:$Q$3,1,MATCH(D178,[2]Sheet1!$C$3:$Q$3)))*(
INDEX([2]Sheet1!$C$4:$Q$23,MATCH(K178,[2]Sheet1!$B$4:$B$23,1),MATCH(D178,[2]Sheet1!$C$3:$Q$3,1)+1) - INDEX([2]Sheet1!$C$4:$Q$23,MATCH(K178,[2]Sheet1!$B$4:$B$23,1),MATCH(D178,[2]Sheet1!$C$3:$Q$3,1)))))</f>
        <v>0</v>
      </c>
      <c r="N178">
        <f t="shared" si="62"/>
        <v>12</v>
      </c>
      <c r="O178">
        <v>9.2894958992920051E-2</v>
      </c>
      <c r="P178" t="e">
        <f t="shared" si="63"/>
        <v>#DIV/0!</v>
      </c>
      <c r="Q178">
        <f t="shared" si="50"/>
        <v>0</v>
      </c>
      <c r="R178">
        <f t="shared" si="64"/>
        <v>741.9099431943954</v>
      </c>
      <c r="T178" t="e">
        <f t="shared" si="53"/>
        <v>#DIV/0!</v>
      </c>
      <c r="U178" t="e">
        <f t="shared" si="54"/>
        <v>#DIV/0!</v>
      </c>
      <c r="V178">
        <f t="shared" si="55"/>
        <v>0</v>
      </c>
      <c r="W178" t="e">
        <f t="shared" si="51"/>
        <v>#DIV/0!</v>
      </c>
    </row>
    <row r="179" spans="1:23" x14ac:dyDescent="0.55000000000000004">
      <c r="A179">
        <f t="shared" si="52"/>
        <v>14.499999999999964</v>
      </c>
      <c r="B179">
        <f t="shared" si="56"/>
        <v>0.316</v>
      </c>
      <c r="C179">
        <f t="shared" si="57"/>
        <v>-4.4565217391304124</v>
      </c>
      <c r="D179">
        <v>2.4647581242247987</v>
      </c>
      <c r="E179">
        <f t="shared" si="47"/>
        <v>0</v>
      </c>
      <c r="F179">
        <f t="shared" si="58"/>
        <v>4.8605058816845369E-2</v>
      </c>
      <c r="G179">
        <f t="shared" si="59"/>
        <v>39.513748498891111</v>
      </c>
      <c r="H179">
        <f t="shared" si="60"/>
        <v>0</v>
      </c>
      <c r="I179" s="1">
        <f t="shared" si="48"/>
        <v>0</v>
      </c>
      <c r="J179">
        <f t="shared" si="61"/>
        <v>0</v>
      </c>
      <c r="K179">
        <f t="shared" si="49"/>
        <v>0</v>
      </c>
      <c r="L179" cm="1">
        <f t="array" ref="L179">IF(E179*J179=0,0,$C$21*INDEX([3]Sheet1!$C$4:$Q$23,MATCH(K179,[3]Sheet1!$B$4:$B$23,1),MATCH(D179,[3]Sheet1!$C$3:$Q$3,1))
+(K179-INDEX([3]Sheet1!$B$4:$B$23,MATCH(K179,[3]Sheet1!$B$4:$B$23,1),1))/(INDEX([3]Sheet1!$B$4:$B$23,MATCH(K179,[3]Sheet1!$B$4:$B$23,1)+1,1)-INDEX([3]Sheet1!$B$4:$B$23,
MATCH(K179,[3]Sheet1!$B$4:$B$23,1),1))*(INDEX([3]Sheet1!$C$4:$Q$23,MATCH(K179,[3]Sheet1!$B$4:$B$23,1)+1,MATCH(D179,[3]Sheet1!$C$3:$Q$3,1))-INDEX([3]Sheet1!$C$4:$Q$23,
MATCH(K179,[3]Sheet1!$B$4:$B$23,1),MATCH(D179,[3]Sheet1!$C$3:$Q$3,1)))
+(D179-INDEX([3]Sheet1!$C$3:$Q$3,1,MATCH(D179,[3]Sheet1!$C$3:$Q$3)))/(INDEX([3]Sheet1!$C$3:$Q$3,1,MATCH(D179,[3]Sheet1!$C$3:$Q$3)+1)-INDEX([3]Sheet1!$C$3:$Q$3,1,MATCH(
D179,[3]Sheet1!$C$3:$Q$3)))*(INDEX([3]Sheet1!$C$4:$Q$23,MATCH(K179,[3]Sheet1!$B$4:$B$23,1),MATCH(D179,[3]Sheet1!$C$3:$Q$3,1)+1)-INDEX([3]Sheet1!$C$4:$Q$23,MATCH(K179,[3]Sheet1!$B$4:$B$23,1),MATCH(D179,[3]Sheet1!$C$3:$Q$3,1))))</f>
        <v>0</v>
      </c>
      <c r="M179" cm="1">
        <f t="array" ref="M179" xml:space="preserve"> IF(E179*J179=0,0,(INDEX([2]Sheet1!$C$4:$Q$23,MATCH(K179,[2]Sheet1!$B$4:$B$23,1),MATCH(D179,[2]Sheet1!$C$3:$Q$3,1))
+ (K179 - INDEX([2]Sheet1!$B$4:$B$23,MATCH(K179,[2]Sheet1!$B$4:$B$23,1),1))/(INDEX([2]Sheet1!$B$4:$B$23,MATCH(K179,[2]Sheet1!$B$4:$B$23,1)+1,1) - INDEX([2]Sheet1!$B$4:$B$23,MATCH(K179,[2]Sheet1!$B$4:$B$23,1),1))*(INDEX([2]Sheet1!$C$4:$Q$23,MATCH(K179,[2]Sheet1!$B$4:$B$23,1)+1,MATCH(D179,[2]Sheet1!$C$3:$Q$3,1)) - INDEX([2]Sheet1!$C$4:$Q$23,MATCH(K179,[2]Sheet1!$B$4:$B$23,1),MATCH(D179,[2]Sheet1!$C$3:$Q$3,1)))
+ (D179 - INDEX([2]Sheet1!$C$3:$Q$3,1,MATCH(D179,[2]Sheet1!$C$3:$Q$3)))/(INDEX([2]Sheet1!$C$3:$Q$3,1,MATCH(D179,[2]Sheet1!$C$3:$Q$3)+1) - INDEX([2]Sheet1!$C$3:$Q$3,1,MATCH(D179,[2]Sheet1!$C$3:$Q$3)))*(
INDEX([2]Sheet1!$C$4:$Q$23,MATCH(K179,[2]Sheet1!$B$4:$B$23,1),MATCH(D179,[2]Sheet1!$C$3:$Q$3,1)+1) - INDEX([2]Sheet1!$C$4:$Q$23,MATCH(K179,[2]Sheet1!$B$4:$B$23,1),MATCH(D179,[2]Sheet1!$C$3:$Q$3,1)))))</f>
        <v>0</v>
      </c>
      <c r="N179">
        <f t="shared" si="62"/>
        <v>12</v>
      </c>
      <c r="O179">
        <v>9.2863454596510867E-2</v>
      </c>
      <c r="P179" t="e">
        <f t="shared" si="63"/>
        <v>#DIV/0!</v>
      </c>
      <c r="Q179">
        <f t="shared" si="50"/>
        <v>0</v>
      </c>
      <c r="R179">
        <f t="shared" si="64"/>
        <v>741.9099431943954</v>
      </c>
      <c r="T179" t="e">
        <f t="shared" si="53"/>
        <v>#DIV/0!</v>
      </c>
      <c r="U179" t="e">
        <f t="shared" si="54"/>
        <v>#DIV/0!</v>
      </c>
      <c r="V179">
        <f t="shared" si="55"/>
        <v>0</v>
      </c>
      <c r="W179" t="e">
        <f t="shared" si="51"/>
        <v>#DIV/0!</v>
      </c>
    </row>
    <row r="180" spans="1:23" x14ac:dyDescent="0.55000000000000004">
      <c r="A180">
        <f t="shared" si="52"/>
        <v>14.599999999999964</v>
      </c>
      <c r="B180">
        <f t="shared" si="56"/>
        <v>0.316</v>
      </c>
      <c r="C180">
        <f t="shared" si="57"/>
        <v>-4.5217391304347601</v>
      </c>
      <c r="D180">
        <v>2.4646055251071726</v>
      </c>
      <c r="E180">
        <f t="shared" si="47"/>
        <v>0</v>
      </c>
      <c r="F180">
        <f t="shared" si="58"/>
        <v>4.8605058816845369E-2</v>
      </c>
      <c r="G180">
        <f t="shared" si="59"/>
        <v>39.513748498891111</v>
      </c>
      <c r="H180">
        <f t="shared" si="60"/>
        <v>0</v>
      </c>
      <c r="I180" s="1">
        <f t="shared" si="48"/>
        <v>0</v>
      </c>
      <c r="J180">
        <f t="shared" si="61"/>
        <v>0</v>
      </c>
      <c r="K180">
        <f t="shared" si="49"/>
        <v>0</v>
      </c>
      <c r="L180" cm="1">
        <f t="array" ref="L180">IF(E180*J180=0,0,$C$21*INDEX([3]Sheet1!$C$4:$Q$23,MATCH(K180,[3]Sheet1!$B$4:$B$23,1),MATCH(D180,[3]Sheet1!$C$3:$Q$3,1))
+(K180-INDEX([3]Sheet1!$B$4:$B$23,MATCH(K180,[3]Sheet1!$B$4:$B$23,1),1))/(INDEX([3]Sheet1!$B$4:$B$23,MATCH(K180,[3]Sheet1!$B$4:$B$23,1)+1,1)-INDEX([3]Sheet1!$B$4:$B$23,
MATCH(K180,[3]Sheet1!$B$4:$B$23,1),1))*(INDEX([3]Sheet1!$C$4:$Q$23,MATCH(K180,[3]Sheet1!$B$4:$B$23,1)+1,MATCH(D180,[3]Sheet1!$C$3:$Q$3,1))-INDEX([3]Sheet1!$C$4:$Q$23,
MATCH(K180,[3]Sheet1!$B$4:$B$23,1),MATCH(D180,[3]Sheet1!$C$3:$Q$3,1)))
+(D180-INDEX([3]Sheet1!$C$3:$Q$3,1,MATCH(D180,[3]Sheet1!$C$3:$Q$3)))/(INDEX([3]Sheet1!$C$3:$Q$3,1,MATCH(D180,[3]Sheet1!$C$3:$Q$3)+1)-INDEX([3]Sheet1!$C$3:$Q$3,1,MATCH(
D180,[3]Sheet1!$C$3:$Q$3)))*(INDEX([3]Sheet1!$C$4:$Q$23,MATCH(K180,[3]Sheet1!$B$4:$B$23,1),MATCH(D180,[3]Sheet1!$C$3:$Q$3,1)+1)-INDEX([3]Sheet1!$C$4:$Q$23,MATCH(K180,[3]Sheet1!$B$4:$B$23,1),MATCH(D180,[3]Sheet1!$C$3:$Q$3,1))))</f>
        <v>0</v>
      </c>
      <c r="M180" cm="1">
        <f t="array" ref="M180" xml:space="preserve"> IF(E180*J180=0,0,(INDEX([2]Sheet1!$C$4:$Q$23,MATCH(K180,[2]Sheet1!$B$4:$B$23,1),MATCH(D180,[2]Sheet1!$C$3:$Q$3,1))
+ (K180 - INDEX([2]Sheet1!$B$4:$B$23,MATCH(K180,[2]Sheet1!$B$4:$B$23,1),1))/(INDEX([2]Sheet1!$B$4:$B$23,MATCH(K180,[2]Sheet1!$B$4:$B$23,1)+1,1) - INDEX([2]Sheet1!$B$4:$B$23,MATCH(K180,[2]Sheet1!$B$4:$B$23,1),1))*(INDEX([2]Sheet1!$C$4:$Q$23,MATCH(K180,[2]Sheet1!$B$4:$B$23,1)+1,MATCH(D180,[2]Sheet1!$C$3:$Q$3,1)) - INDEX([2]Sheet1!$C$4:$Q$23,MATCH(K180,[2]Sheet1!$B$4:$B$23,1),MATCH(D180,[2]Sheet1!$C$3:$Q$3,1)))
+ (D180 - INDEX([2]Sheet1!$C$3:$Q$3,1,MATCH(D180,[2]Sheet1!$C$3:$Q$3)))/(INDEX([2]Sheet1!$C$3:$Q$3,1,MATCH(D180,[2]Sheet1!$C$3:$Q$3)+1) - INDEX([2]Sheet1!$C$3:$Q$3,1,MATCH(D180,[2]Sheet1!$C$3:$Q$3)))*(
INDEX([2]Sheet1!$C$4:$Q$23,MATCH(K180,[2]Sheet1!$B$4:$B$23,1),MATCH(D180,[2]Sheet1!$C$3:$Q$3,1)+1) - INDEX([2]Sheet1!$C$4:$Q$23,MATCH(K180,[2]Sheet1!$B$4:$B$23,1),MATCH(D180,[2]Sheet1!$C$3:$Q$3,1)))))</f>
        <v>0</v>
      </c>
      <c r="N180">
        <f t="shared" si="62"/>
        <v>12</v>
      </c>
      <c r="O180">
        <v>9.2832048349203958E-2</v>
      </c>
      <c r="P180" t="e">
        <f t="shared" si="63"/>
        <v>#DIV/0!</v>
      </c>
      <c r="Q180">
        <f t="shared" si="50"/>
        <v>0</v>
      </c>
      <c r="R180">
        <f t="shared" si="64"/>
        <v>741.9099431943954</v>
      </c>
      <c r="T180" t="e">
        <f t="shared" si="53"/>
        <v>#DIV/0!</v>
      </c>
      <c r="U180" t="e">
        <f t="shared" si="54"/>
        <v>#DIV/0!</v>
      </c>
      <c r="V180">
        <f t="shared" si="55"/>
        <v>0</v>
      </c>
      <c r="W180" t="e">
        <f t="shared" si="51"/>
        <v>#DIV/0!</v>
      </c>
    </row>
    <row r="181" spans="1:23" x14ac:dyDescent="0.55000000000000004">
      <c r="A181">
        <f t="shared" si="52"/>
        <v>14.699999999999964</v>
      </c>
      <c r="B181">
        <f t="shared" si="56"/>
        <v>0.316</v>
      </c>
      <c r="C181">
        <f t="shared" si="57"/>
        <v>-4.5869565217391077</v>
      </c>
      <c r="D181">
        <v>2.4644533471784751</v>
      </c>
      <c r="E181">
        <f t="shared" si="47"/>
        <v>0</v>
      </c>
      <c r="F181">
        <f t="shared" si="58"/>
        <v>4.8605058816845369E-2</v>
      </c>
      <c r="G181">
        <f t="shared" si="59"/>
        <v>39.513748498891111</v>
      </c>
      <c r="H181">
        <f t="shared" si="60"/>
        <v>0</v>
      </c>
      <c r="I181" s="1">
        <f t="shared" si="48"/>
        <v>0</v>
      </c>
      <c r="J181">
        <f t="shared" si="61"/>
        <v>0</v>
      </c>
      <c r="K181">
        <f t="shared" si="49"/>
        <v>0</v>
      </c>
      <c r="L181" cm="1">
        <f t="array" ref="L181">IF(E181*J181=0,0,$C$21*INDEX([3]Sheet1!$C$4:$Q$23,MATCH(K181,[3]Sheet1!$B$4:$B$23,1),MATCH(D181,[3]Sheet1!$C$3:$Q$3,1))
+(K181-INDEX([3]Sheet1!$B$4:$B$23,MATCH(K181,[3]Sheet1!$B$4:$B$23,1),1))/(INDEX([3]Sheet1!$B$4:$B$23,MATCH(K181,[3]Sheet1!$B$4:$B$23,1)+1,1)-INDEX([3]Sheet1!$B$4:$B$23,
MATCH(K181,[3]Sheet1!$B$4:$B$23,1),1))*(INDEX([3]Sheet1!$C$4:$Q$23,MATCH(K181,[3]Sheet1!$B$4:$B$23,1)+1,MATCH(D181,[3]Sheet1!$C$3:$Q$3,1))-INDEX([3]Sheet1!$C$4:$Q$23,
MATCH(K181,[3]Sheet1!$B$4:$B$23,1),MATCH(D181,[3]Sheet1!$C$3:$Q$3,1)))
+(D181-INDEX([3]Sheet1!$C$3:$Q$3,1,MATCH(D181,[3]Sheet1!$C$3:$Q$3)))/(INDEX([3]Sheet1!$C$3:$Q$3,1,MATCH(D181,[3]Sheet1!$C$3:$Q$3)+1)-INDEX([3]Sheet1!$C$3:$Q$3,1,MATCH(
D181,[3]Sheet1!$C$3:$Q$3)))*(INDEX([3]Sheet1!$C$4:$Q$23,MATCH(K181,[3]Sheet1!$B$4:$B$23,1),MATCH(D181,[3]Sheet1!$C$3:$Q$3,1)+1)-INDEX([3]Sheet1!$C$4:$Q$23,MATCH(K181,[3]Sheet1!$B$4:$B$23,1),MATCH(D181,[3]Sheet1!$C$3:$Q$3,1))))</f>
        <v>0</v>
      </c>
      <c r="M181" cm="1">
        <f t="array" ref="M181" xml:space="preserve"> IF(E181*J181=0,0,(INDEX([2]Sheet1!$C$4:$Q$23,MATCH(K181,[2]Sheet1!$B$4:$B$23,1),MATCH(D181,[2]Sheet1!$C$3:$Q$3,1))
+ (K181 - INDEX([2]Sheet1!$B$4:$B$23,MATCH(K181,[2]Sheet1!$B$4:$B$23,1),1))/(INDEX([2]Sheet1!$B$4:$B$23,MATCH(K181,[2]Sheet1!$B$4:$B$23,1)+1,1) - INDEX([2]Sheet1!$B$4:$B$23,MATCH(K181,[2]Sheet1!$B$4:$B$23,1),1))*(INDEX([2]Sheet1!$C$4:$Q$23,MATCH(K181,[2]Sheet1!$B$4:$B$23,1)+1,MATCH(D181,[2]Sheet1!$C$3:$Q$3,1)) - INDEX([2]Sheet1!$C$4:$Q$23,MATCH(K181,[2]Sheet1!$B$4:$B$23,1),MATCH(D181,[2]Sheet1!$C$3:$Q$3,1)))
+ (D181 - INDEX([2]Sheet1!$C$3:$Q$3,1,MATCH(D181,[2]Sheet1!$C$3:$Q$3)))/(INDEX([2]Sheet1!$C$3:$Q$3,1,MATCH(D181,[2]Sheet1!$C$3:$Q$3)+1) - INDEX([2]Sheet1!$C$3:$Q$3,1,MATCH(D181,[2]Sheet1!$C$3:$Q$3)))*(
INDEX([2]Sheet1!$C$4:$Q$23,MATCH(K181,[2]Sheet1!$B$4:$B$23,1),MATCH(D181,[2]Sheet1!$C$3:$Q$3,1)+1) - INDEX([2]Sheet1!$C$4:$Q$23,MATCH(K181,[2]Sheet1!$B$4:$B$23,1),MATCH(D181,[2]Sheet1!$C$3:$Q$3,1)))))</f>
        <v>0</v>
      </c>
      <c r="N181">
        <f t="shared" si="62"/>
        <v>12</v>
      </c>
      <c r="O181">
        <v>9.280073966122053E-2</v>
      </c>
      <c r="P181" t="e">
        <f t="shared" si="63"/>
        <v>#DIV/0!</v>
      </c>
      <c r="Q181">
        <f t="shared" si="50"/>
        <v>0</v>
      </c>
      <c r="R181">
        <f t="shared" si="64"/>
        <v>741.9099431943954</v>
      </c>
      <c r="T181" t="e">
        <f t="shared" si="53"/>
        <v>#DIV/0!</v>
      </c>
      <c r="U181" t="e">
        <f t="shared" si="54"/>
        <v>#DIV/0!</v>
      </c>
      <c r="V181">
        <f t="shared" si="55"/>
        <v>0</v>
      </c>
      <c r="W181" t="e">
        <f t="shared" si="51"/>
        <v>#DIV/0!</v>
      </c>
    </row>
    <row r="182" spans="1:23" x14ac:dyDescent="0.55000000000000004">
      <c r="A182">
        <f t="shared" si="52"/>
        <v>14.799999999999963</v>
      </c>
      <c r="B182">
        <f t="shared" si="56"/>
        <v>0.316</v>
      </c>
      <c r="C182">
        <f t="shared" si="57"/>
        <v>-4.6521739130434554</v>
      </c>
      <c r="D182">
        <v>2.4643015880491377</v>
      </c>
      <c r="E182">
        <f t="shared" si="47"/>
        <v>0</v>
      </c>
      <c r="F182">
        <f t="shared" si="58"/>
        <v>4.8605058816845369E-2</v>
      </c>
      <c r="G182">
        <f t="shared" si="59"/>
        <v>39.513748498891111</v>
      </c>
      <c r="H182">
        <f t="shared" si="60"/>
        <v>0</v>
      </c>
      <c r="I182" s="1">
        <f t="shared" si="48"/>
        <v>0</v>
      </c>
      <c r="J182">
        <f t="shared" si="61"/>
        <v>0</v>
      </c>
      <c r="K182">
        <f t="shared" si="49"/>
        <v>0</v>
      </c>
      <c r="L182" cm="1">
        <f t="array" ref="L182">IF(E182*J182=0,0,$C$21*INDEX([3]Sheet1!$C$4:$Q$23,MATCH(K182,[3]Sheet1!$B$4:$B$23,1),MATCH(D182,[3]Sheet1!$C$3:$Q$3,1))
+(K182-INDEX([3]Sheet1!$B$4:$B$23,MATCH(K182,[3]Sheet1!$B$4:$B$23,1),1))/(INDEX([3]Sheet1!$B$4:$B$23,MATCH(K182,[3]Sheet1!$B$4:$B$23,1)+1,1)-INDEX([3]Sheet1!$B$4:$B$23,
MATCH(K182,[3]Sheet1!$B$4:$B$23,1),1))*(INDEX([3]Sheet1!$C$4:$Q$23,MATCH(K182,[3]Sheet1!$B$4:$B$23,1)+1,MATCH(D182,[3]Sheet1!$C$3:$Q$3,1))-INDEX([3]Sheet1!$C$4:$Q$23,
MATCH(K182,[3]Sheet1!$B$4:$B$23,1),MATCH(D182,[3]Sheet1!$C$3:$Q$3,1)))
+(D182-INDEX([3]Sheet1!$C$3:$Q$3,1,MATCH(D182,[3]Sheet1!$C$3:$Q$3)))/(INDEX([3]Sheet1!$C$3:$Q$3,1,MATCH(D182,[3]Sheet1!$C$3:$Q$3)+1)-INDEX([3]Sheet1!$C$3:$Q$3,1,MATCH(
D182,[3]Sheet1!$C$3:$Q$3)))*(INDEX([3]Sheet1!$C$4:$Q$23,MATCH(K182,[3]Sheet1!$B$4:$B$23,1),MATCH(D182,[3]Sheet1!$C$3:$Q$3,1)+1)-INDEX([3]Sheet1!$C$4:$Q$23,MATCH(K182,[3]Sheet1!$B$4:$B$23,1),MATCH(D182,[3]Sheet1!$C$3:$Q$3,1))))</f>
        <v>0</v>
      </c>
      <c r="M182" cm="1">
        <f t="array" ref="M182" xml:space="preserve"> IF(E182*J182=0,0,(INDEX([2]Sheet1!$C$4:$Q$23,MATCH(K182,[2]Sheet1!$B$4:$B$23,1),MATCH(D182,[2]Sheet1!$C$3:$Q$3,1))
+ (K182 - INDEX([2]Sheet1!$B$4:$B$23,MATCH(K182,[2]Sheet1!$B$4:$B$23,1),1))/(INDEX([2]Sheet1!$B$4:$B$23,MATCH(K182,[2]Sheet1!$B$4:$B$23,1)+1,1) - INDEX([2]Sheet1!$B$4:$B$23,MATCH(K182,[2]Sheet1!$B$4:$B$23,1),1))*(INDEX([2]Sheet1!$C$4:$Q$23,MATCH(K182,[2]Sheet1!$B$4:$B$23,1)+1,MATCH(D182,[2]Sheet1!$C$3:$Q$3,1)) - INDEX([2]Sheet1!$C$4:$Q$23,MATCH(K182,[2]Sheet1!$B$4:$B$23,1),MATCH(D182,[2]Sheet1!$C$3:$Q$3,1)))
+ (D182 - INDEX([2]Sheet1!$C$3:$Q$3,1,MATCH(D182,[2]Sheet1!$C$3:$Q$3)))/(INDEX([2]Sheet1!$C$3:$Q$3,1,MATCH(D182,[2]Sheet1!$C$3:$Q$3)+1) - INDEX([2]Sheet1!$C$3:$Q$3,1,MATCH(D182,[2]Sheet1!$C$3:$Q$3)))*(
INDEX([2]Sheet1!$C$4:$Q$23,MATCH(K182,[2]Sheet1!$B$4:$B$23,1),MATCH(D182,[2]Sheet1!$C$3:$Q$3,1)+1) - INDEX([2]Sheet1!$C$4:$Q$23,MATCH(K182,[2]Sheet1!$B$4:$B$23,1),MATCH(D182,[2]Sheet1!$C$3:$Q$3,1)))))</f>
        <v>0</v>
      </c>
      <c r="N182">
        <f t="shared" si="62"/>
        <v>12</v>
      </c>
      <c r="O182">
        <v>9.2769527948023262E-2</v>
      </c>
      <c r="P182" t="e">
        <f t="shared" si="63"/>
        <v>#DIV/0!</v>
      </c>
      <c r="Q182">
        <f t="shared" si="50"/>
        <v>0</v>
      </c>
      <c r="R182">
        <f t="shared" si="64"/>
        <v>741.9099431943954</v>
      </c>
      <c r="T182" t="e">
        <f t="shared" si="53"/>
        <v>#DIV/0!</v>
      </c>
      <c r="U182" t="e">
        <f t="shared" si="54"/>
        <v>#DIV/0!</v>
      </c>
      <c r="V182">
        <f t="shared" si="55"/>
        <v>0</v>
      </c>
      <c r="W182" t="e">
        <f t="shared" si="51"/>
        <v>#DIV/0!</v>
      </c>
    </row>
    <row r="183" spans="1:23" x14ac:dyDescent="0.55000000000000004">
      <c r="A183">
        <f t="shared" si="52"/>
        <v>14.899999999999963</v>
      </c>
      <c r="B183">
        <f t="shared" si="56"/>
        <v>0.316</v>
      </c>
      <c r="C183">
        <f t="shared" si="57"/>
        <v>-4.7173913043478031</v>
      </c>
      <c r="D183">
        <v>2.4641502453499826</v>
      </c>
      <c r="E183">
        <f t="shared" si="47"/>
        <v>0</v>
      </c>
      <c r="F183">
        <f t="shared" si="58"/>
        <v>4.8605058816845369E-2</v>
      </c>
      <c r="G183">
        <f t="shared" si="59"/>
        <v>39.513748498891111</v>
      </c>
      <c r="H183">
        <f t="shared" si="60"/>
        <v>0</v>
      </c>
      <c r="I183" s="1">
        <f t="shared" si="48"/>
        <v>0</v>
      </c>
      <c r="J183">
        <f t="shared" si="61"/>
        <v>0</v>
      </c>
      <c r="K183">
        <f t="shared" si="49"/>
        <v>0</v>
      </c>
      <c r="L183" cm="1">
        <f t="array" ref="L183">IF(E183*J183=0,0,$C$21*INDEX([3]Sheet1!$C$4:$Q$23,MATCH(K183,[3]Sheet1!$B$4:$B$23,1),MATCH(D183,[3]Sheet1!$C$3:$Q$3,1))
+(K183-INDEX([3]Sheet1!$B$4:$B$23,MATCH(K183,[3]Sheet1!$B$4:$B$23,1),1))/(INDEX([3]Sheet1!$B$4:$B$23,MATCH(K183,[3]Sheet1!$B$4:$B$23,1)+1,1)-INDEX([3]Sheet1!$B$4:$B$23,
MATCH(K183,[3]Sheet1!$B$4:$B$23,1),1))*(INDEX([3]Sheet1!$C$4:$Q$23,MATCH(K183,[3]Sheet1!$B$4:$B$23,1)+1,MATCH(D183,[3]Sheet1!$C$3:$Q$3,1))-INDEX([3]Sheet1!$C$4:$Q$23,
MATCH(K183,[3]Sheet1!$B$4:$B$23,1),MATCH(D183,[3]Sheet1!$C$3:$Q$3,1)))
+(D183-INDEX([3]Sheet1!$C$3:$Q$3,1,MATCH(D183,[3]Sheet1!$C$3:$Q$3)))/(INDEX([3]Sheet1!$C$3:$Q$3,1,MATCH(D183,[3]Sheet1!$C$3:$Q$3)+1)-INDEX([3]Sheet1!$C$3:$Q$3,1,MATCH(
D183,[3]Sheet1!$C$3:$Q$3)))*(INDEX([3]Sheet1!$C$4:$Q$23,MATCH(K183,[3]Sheet1!$B$4:$B$23,1),MATCH(D183,[3]Sheet1!$C$3:$Q$3,1)+1)-INDEX([3]Sheet1!$C$4:$Q$23,MATCH(K183,[3]Sheet1!$B$4:$B$23,1),MATCH(D183,[3]Sheet1!$C$3:$Q$3,1))))</f>
        <v>0</v>
      </c>
      <c r="M183" cm="1">
        <f t="array" ref="M183" xml:space="preserve"> IF(E183*J183=0,0,(INDEX([2]Sheet1!$C$4:$Q$23,MATCH(K183,[2]Sheet1!$B$4:$B$23,1),MATCH(D183,[2]Sheet1!$C$3:$Q$3,1))
+ (K183 - INDEX([2]Sheet1!$B$4:$B$23,MATCH(K183,[2]Sheet1!$B$4:$B$23,1),1))/(INDEX([2]Sheet1!$B$4:$B$23,MATCH(K183,[2]Sheet1!$B$4:$B$23,1)+1,1) - INDEX([2]Sheet1!$B$4:$B$23,MATCH(K183,[2]Sheet1!$B$4:$B$23,1),1))*(INDEX([2]Sheet1!$C$4:$Q$23,MATCH(K183,[2]Sheet1!$B$4:$B$23,1)+1,MATCH(D183,[2]Sheet1!$C$3:$Q$3,1)) - INDEX([2]Sheet1!$C$4:$Q$23,MATCH(K183,[2]Sheet1!$B$4:$B$23,1),MATCH(D183,[2]Sheet1!$C$3:$Q$3,1)))
+ (D183 - INDEX([2]Sheet1!$C$3:$Q$3,1,MATCH(D183,[2]Sheet1!$C$3:$Q$3)))/(INDEX([2]Sheet1!$C$3:$Q$3,1,MATCH(D183,[2]Sheet1!$C$3:$Q$3)+1) - INDEX([2]Sheet1!$C$3:$Q$3,1,MATCH(D183,[2]Sheet1!$C$3:$Q$3)))*(
INDEX([2]Sheet1!$C$4:$Q$23,MATCH(K183,[2]Sheet1!$B$4:$B$23,1),MATCH(D183,[2]Sheet1!$C$3:$Q$3,1)+1) - INDEX([2]Sheet1!$C$4:$Q$23,MATCH(K183,[2]Sheet1!$B$4:$B$23,1),MATCH(D183,[2]Sheet1!$C$3:$Q$3,1)))))</f>
        <v>0</v>
      </c>
      <c r="N183">
        <f t="shared" si="62"/>
        <v>12</v>
      </c>
      <c r="O183">
        <v>9.2738412630254993E-2</v>
      </c>
      <c r="P183" t="e">
        <f t="shared" si="63"/>
        <v>#DIV/0!</v>
      </c>
      <c r="Q183">
        <f t="shared" si="50"/>
        <v>0</v>
      </c>
      <c r="R183">
        <f t="shared" si="64"/>
        <v>741.9099431943954</v>
      </c>
      <c r="T183" t="e">
        <f t="shared" si="53"/>
        <v>#DIV/0!</v>
      </c>
      <c r="U183" t="e">
        <f t="shared" si="54"/>
        <v>#DIV/0!</v>
      </c>
      <c r="V183">
        <f t="shared" si="55"/>
        <v>0</v>
      </c>
      <c r="W183" t="e">
        <f t="shared" si="51"/>
        <v>#DIV/0!</v>
      </c>
    </row>
    <row r="184" spans="1:23" x14ac:dyDescent="0.55000000000000004">
      <c r="A184">
        <f t="shared" si="52"/>
        <v>14.999999999999963</v>
      </c>
      <c r="B184">
        <f t="shared" si="56"/>
        <v>0.316</v>
      </c>
      <c r="C184">
        <f t="shared" si="57"/>
        <v>-4.7826086956521507</v>
      </c>
      <c r="D184">
        <v>2.4639993167319947</v>
      </c>
      <c r="E184">
        <f t="shared" si="47"/>
        <v>0</v>
      </c>
      <c r="F184">
        <f t="shared" si="58"/>
        <v>4.8605058816845369E-2</v>
      </c>
      <c r="G184">
        <f t="shared" si="59"/>
        <v>39.513748498891111</v>
      </c>
      <c r="H184">
        <f t="shared" si="60"/>
        <v>0</v>
      </c>
      <c r="I184" s="1">
        <f t="shared" si="48"/>
        <v>0</v>
      </c>
      <c r="J184">
        <f t="shared" si="61"/>
        <v>0</v>
      </c>
      <c r="K184">
        <f t="shared" si="49"/>
        <v>0</v>
      </c>
      <c r="L184" cm="1">
        <f t="array" ref="L184">IF(E184*J184=0,0,$C$21*INDEX([3]Sheet1!$C$4:$Q$23,MATCH(K184,[3]Sheet1!$B$4:$B$23,1),MATCH(D184,[3]Sheet1!$C$3:$Q$3,1))
+(K184-INDEX([3]Sheet1!$B$4:$B$23,MATCH(K184,[3]Sheet1!$B$4:$B$23,1),1))/(INDEX([3]Sheet1!$B$4:$B$23,MATCH(K184,[3]Sheet1!$B$4:$B$23,1)+1,1)-INDEX([3]Sheet1!$B$4:$B$23,
MATCH(K184,[3]Sheet1!$B$4:$B$23,1),1))*(INDEX([3]Sheet1!$C$4:$Q$23,MATCH(K184,[3]Sheet1!$B$4:$B$23,1)+1,MATCH(D184,[3]Sheet1!$C$3:$Q$3,1))-INDEX([3]Sheet1!$C$4:$Q$23,
MATCH(K184,[3]Sheet1!$B$4:$B$23,1),MATCH(D184,[3]Sheet1!$C$3:$Q$3,1)))
+(D184-INDEX([3]Sheet1!$C$3:$Q$3,1,MATCH(D184,[3]Sheet1!$C$3:$Q$3)))/(INDEX([3]Sheet1!$C$3:$Q$3,1,MATCH(D184,[3]Sheet1!$C$3:$Q$3)+1)-INDEX([3]Sheet1!$C$3:$Q$3,1,MATCH(
D184,[3]Sheet1!$C$3:$Q$3)))*(INDEX([3]Sheet1!$C$4:$Q$23,MATCH(K184,[3]Sheet1!$B$4:$B$23,1),MATCH(D184,[3]Sheet1!$C$3:$Q$3,1)+1)-INDEX([3]Sheet1!$C$4:$Q$23,MATCH(K184,[3]Sheet1!$B$4:$B$23,1),MATCH(D184,[3]Sheet1!$C$3:$Q$3,1))))</f>
        <v>0</v>
      </c>
      <c r="M184" cm="1">
        <f t="array" ref="M184" xml:space="preserve"> IF(E184*J184=0,0,(INDEX([2]Sheet1!$C$4:$Q$23,MATCH(K184,[2]Sheet1!$B$4:$B$23,1),MATCH(D184,[2]Sheet1!$C$3:$Q$3,1))
+ (K184 - INDEX([2]Sheet1!$B$4:$B$23,MATCH(K184,[2]Sheet1!$B$4:$B$23,1),1))/(INDEX([2]Sheet1!$B$4:$B$23,MATCH(K184,[2]Sheet1!$B$4:$B$23,1)+1,1) - INDEX([2]Sheet1!$B$4:$B$23,MATCH(K184,[2]Sheet1!$B$4:$B$23,1),1))*(INDEX([2]Sheet1!$C$4:$Q$23,MATCH(K184,[2]Sheet1!$B$4:$B$23,1)+1,MATCH(D184,[2]Sheet1!$C$3:$Q$3,1)) - INDEX([2]Sheet1!$C$4:$Q$23,MATCH(K184,[2]Sheet1!$B$4:$B$23,1),MATCH(D184,[2]Sheet1!$C$3:$Q$3,1)))
+ (D184 - INDEX([2]Sheet1!$C$3:$Q$3,1,MATCH(D184,[2]Sheet1!$C$3:$Q$3)))/(INDEX([2]Sheet1!$C$3:$Q$3,1,MATCH(D184,[2]Sheet1!$C$3:$Q$3)+1) - INDEX([2]Sheet1!$C$3:$Q$3,1,MATCH(D184,[2]Sheet1!$C$3:$Q$3)))*(
INDEX([2]Sheet1!$C$4:$Q$23,MATCH(K184,[2]Sheet1!$B$4:$B$23,1),MATCH(D184,[2]Sheet1!$C$3:$Q$3,1)+1) - INDEX([2]Sheet1!$C$4:$Q$23,MATCH(K184,[2]Sheet1!$B$4:$B$23,1),MATCH(D184,[2]Sheet1!$C$3:$Q$3,1)))))</f>
        <v>0</v>
      </c>
      <c r="N184">
        <f t="shared" si="62"/>
        <v>12</v>
      </c>
      <c r="O184">
        <v>9.2707393133677846E-2</v>
      </c>
      <c r="P184" t="e">
        <f t="shared" si="63"/>
        <v>#DIV/0!</v>
      </c>
      <c r="Q184">
        <f t="shared" si="50"/>
        <v>0</v>
      </c>
      <c r="R184">
        <f t="shared" si="64"/>
        <v>741.9099431943954</v>
      </c>
      <c r="T184" t="e">
        <f t="shared" si="53"/>
        <v>#DIV/0!</v>
      </c>
      <c r="U184" t="e">
        <f t="shared" si="54"/>
        <v>#DIV/0!</v>
      </c>
      <c r="V184">
        <f t="shared" si="55"/>
        <v>0</v>
      </c>
      <c r="W184" t="e">
        <f t="shared" si="51"/>
        <v>#DIV/0!</v>
      </c>
    </row>
    <row r="185" spans="1:23" x14ac:dyDescent="0.55000000000000004">
      <c r="A185">
        <f t="shared" si="52"/>
        <v>15.099999999999962</v>
      </c>
      <c r="B185">
        <f t="shared" si="56"/>
        <v>0.316</v>
      </c>
      <c r="C185">
        <f t="shared" si="57"/>
        <v>-4.8478260869564966</v>
      </c>
      <c r="D185">
        <v>2.4638487998660947</v>
      </c>
      <c r="E185">
        <f t="shared" si="47"/>
        <v>0</v>
      </c>
      <c r="F185">
        <f t="shared" si="58"/>
        <v>4.8605058816845369E-2</v>
      </c>
      <c r="G185">
        <f t="shared" si="59"/>
        <v>39.513748498891111</v>
      </c>
      <c r="H185">
        <f t="shared" si="60"/>
        <v>0</v>
      </c>
      <c r="I185" s="1">
        <f t="shared" si="48"/>
        <v>0</v>
      </c>
      <c r="J185">
        <f t="shared" si="61"/>
        <v>0</v>
      </c>
      <c r="K185">
        <f t="shared" si="49"/>
        <v>0</v>
      </c>
      <c r="L185" cm="1">
        <f t="array" ref="L185">IF(E185*J185=0,0,$C$21*INDEX([3]Sheet1!$C$4:$Q$23,MATCH(K185,[3]Sheet1!$B$4:$B$23,1),MATCH(D185,[3]Sheet1!$C$3:$Q$3,1))
+(K185-INDEX([3]Sheet1!$B$4:$B$23,MATCH(K185,[3]Sheet1!$B$4:$B$23,1),1))/(INDEX([3]Sheet1!$B$4:$B$23,MATCH(K185,[3]Sheet1!$B$4:$B$23,1)+1,1)-INDEX([3]Sheet1!$B$4:$B$23,
MATCH(K185,[3]Sheet1!$B$4:$B$23,1),1))*(INDEX([3]Sheet1!$C$4:$Q$23,MATCH(K185,[3]Sheet1!$B$4:$B$23,1)+1,MATCH(D185,[3]Sheet1!$C$3:$Q$3,1))-INDEX([3]Sheet1!$C$4:$Q$23,
MATCH(K185,[3]Sheet1!$B$4:$B$23,1),MATCH(D185,[3]Sheet1!$C$3:$Q$3,1)))
+(D185-INDEX([3]Sheet1!$C$3:$Q$3,1,MATCH(D185,[3]Sheet1!$C$3:$Q$3)))/(INDEX([3]Sheet1!$C$3:$Q$3,1,MATCH(D185,[3]Sheet1!$C$3:$Q$3)+1)-INDEX([3]Sheet1!$C$3:$Q$3,1,MATCH(
D185,[3]Sheet1!$C$3:$Q$3)))*(INDEX([3]Sheet1!$C$4:$Q$23,MATCH(K185,[3]Sheet1!$B$4:$B$23,1),MATCH(D185,[3]Sheet1!$C$3:$Q$3,1)+1)-INDEX([3]Sheet1!$C$4:$Q$23,MATCH(K185,[3]Sheet1!$B$4:$B$23,1),MATCH(D185,[3]Sheet1!$C$3:$Q$3,1))))</f>
        <v>0</v>
      </c>
      <c r="M185" cm="1">
        <f t="array" ref="M185" xml:space="preserve"> IF(E185*J185=0,0,(INDEX([2]Sheet1!$C$4:$Q$23,MATCH(K185,[2]Sheet1!$B$4:$B$23,1),MATCH(D185,[2]Sheet1!$C$3:$Q$3,1))
+ (K185 - INDEX([2]Sheet1!$B$4:$B$23,MATCH(K185,[2]Sheet1!$B$4:$B$23,1),1))/(INDEX([2]Sheet1!$B$4:$B$23,MATCH(K185,[2]Sheet1!$B$4:$B$23,1)+1,1) - INDEX([2]Sheet1!$B$4:$B$23,MATCH(K185,[2]Sheet1!$B$4:$B$23,1),1))*(INDEX([2]Sheet1!$C$4:$Q$23,MATCH(K185,[2]Sheet1!$B$4:$B$23,1)+1,MATCH(D185,[2]Sheet1!$C$3:$Q$3,1)) - INDEX([2]Sheet1!$C$4:$Q$23,MATCH(K185,[2]Sheet1!$B$4:$B$23,1),MATCH(D185,[2]Sheet1!$C$3:$Q$3,1)))
+ (D185 - INDEX([2]Sheet1!$C$3:$Q$3,1,MATCH(D185,[2]Sheet1!$C$3:$Q$3)))/(INDEX([2]Sheet1!$C$3:$Q$3,1,MATCH(D185,[2]Sheet1!$C$3:$Q$3)+1) - INDEX([2]Sheet1!$C$3:$Q$3,1,MATCH(D185,[2]Sheet1!$C$3:$Q$3)))*(
INDEX([2]Sheet1!$C$4:$Q$23,MATCH(K185,[2]Sheet1!$B$4:$B$23,1),MATCH(D185,[2]Sheet1!$C$3:$Q$3,1)+1) - INDEX([2]Sheet1!$C$4:$Q$23,MATCH(K185,[2]Sheet1!$B$4:$B$23,1),MATCH(D185,[2]Sheet1!$C$3:$Q$3,1)))))</f>
        <v>0</v>
      </c>
      <c r="N185">
        <f t="shared" si="62"/>
        <v>12</v>
      </c>
      <c r="O185">
        <v>9.2676468889115238E-2</v>
      </c>
      <c r="P185" t="e">
        <f t="shared" si="63"/>
        <v>#DIV/0!</v>
      </c>
      <c r="Q185">
        <f t="shared" si="50"/>
        <v>0</v>
      </c>
      <c r="R185">
        <f t="shared" si="64"/>
        <v>741.9099431943954</v>
      </c>
      <c r="T185" t="e">
        <f t="shared" si="53"/>
        <v>#DIV/0!</v>
      </c>
      <c r="U185" t="e">
        <f t="shared" si="54"/>
        <v>#DIV/0!</v>
      </c>
      <c r="V185">
        <f t="shared" si="55"/>
        <v>0</v>
      </c>
      <c r="W185" t="e">
        <f t="shared" si="51"/>
        <v>#DIV/0!</v>
      </c>
    </row>
    <row r="186" spans="1:23" x14ac:dyDescent="0.55000000000000004">
      <c r="A186">
        <f t="shared" si="52"/>
        <v>15.199999999999962</v>
      </c>
      <c r="B186">
        <f t="shared" si="56"/>
        <v>0.316</v>
      </c>
      <c r="C186">
        <f t="shared" si="57"/>
        <v>-4.9130434782608461</v>
      </c>
      <c r="D186">
        <v>2.463698692442907</v>
      </c>
      <c r="E186">
        <f t="shared" si="47"/>
        <v>0</v>
      </c>
      <c r="F186">
        <f t="shared" si="58"/>
        <v>4.8605058816845369E-2</v>
      </c>
      <c r="G186">
        <f t="shared" si="59"/>
        <v>39.513748498891111</v>
      </c>
      <c r="H186">
        <f t="shared" si="60"/>
        <v>0</v>
      </c>
      <c r="I186" s="1">
        <f t="shared" si="48"/>
        <v>0</v>
      </c>
      <c r="J186">
        <f t="shared" si="61"/>
        <v>0</v>
      </c>
      <c r="K186">
        <f t="shared" si="49"/>
        <v>0</v>
      </c>
      <c r="L186" cm="1">
        <f t="array" ref="L186">IF(E186*J186=0,0,$C$21*INDEX([3]Sheet1!$C$4:$Q$23,MATCH(K186,[3]Sheet1!$B$4:$B$23,1),MATCH(D186,[3]Sheet1!$C$3:$Q$3,1))
+(K186-INDEX([3]Sheet1!$B$4:$B$23,MATCH(K186,[3]Sheet1!$B$4:$B$23,1),1))/(INDEX([3]Sheet1!$B$4:$B$23,MATCH(K186,[3]Sheet1!$B$4:$B$23,1)+1,1)-INDEX([3]Sheet1!$B$4:$B$23,
MATCH(K186,[3]Sheet1!$B$4:$B$23,1),1))*(INDEX([3]Sheet1!$C$4:$Q$23,MATCH(K186,[3]Sheet1!$B$4:$B$23,1)+1,MATCH(D186,[3]Sheet1!$C$3:$Q$3,1))-INDEX([3]Sheet1!$C$4:$Q$23,
MATCH(K186,[3]Sheet1!$B$4:$B$23,1),MATCH(D186,[3]Sheet1!$C$3:$Q$3,1)))
+(D186-INDEX([3]Sheet1!$C$3:$Q$3,1,MATCH(D186,[3]Sheet1!$C$3:$Q$3)))/(INDEX([3]Sheet1!$C$3:$Q$3,1,MATCH(D186,[3]Sheet1!$C$3:$Q$3)+1)-INDEX([3]Sheet1!$C$3:$Q$3,1,MATCH(
D186,[3]Sheet1!$C$3:$Q$3)))*(INDEX([3]Sheet1!$C$4:$Q$23,MATCH(K186,[3]Sheet1!$B$4:$B$23,1),MATCH(D186,[3]Sheet1!$C$3:$Q$3,1)+1)-INDEX([3]Sheet1!$C$4:$Q$23,MATCH(K186,[3]Sheet1!$B$4:$B$23,1),MATCH(D186,[3]Sheet1!$C$3:$Q$3,1))))</f>
        <v>0</v>
      </c>
      <c r="M186" cm="1">
        <f t="array" ref="M186" xml:space="preserve"> IF(E186*J186=0,0,(INDEX([2]Sheet1!$C$4:$Q$23,MATCH(K186,[2]Sheet1!$B$4:$B$23,1),MATCH(D186,[2]Sheet1!$C$3:$Q$3,1))
+ (K186 - INDEX([2]Sheet1!$B$4:$B$23,MATCH(K186,[2]Sheet1!$B$4:$B$23,1),1))/(INDEX([2]Sheet1!$B$4:$B$23,MATCH(K186,[2]Sheet1!$B$4:$B$23,1)+1,1) - INDEX([2]Sheet1!$B$4:$B$23,MATCH(K186,[2]Sheet1!$B$4:$B$23,1),1))*(INDEX([2]Sheet1!$C$4:$Q$23,MATCH(K186,[2]Sheet1!$B$4:$B$23,1)+1,MATCH(D186,[2]Sheet1!$C$3:$Q$3,1)) - INDEX([2]Sheet1!$C$4:$Q$23,MATCH(K186,[2]Sheet1!$B$4:$B$23,1),MATCH(D186,[2]Sheet1!$C$3:$Q$3,1)))
+ (D186 - INDEX([2]Sheet1!$C$3:$Q$3,1,MATCH(D186,[2]Sheet1!$C$3:$Q$3)))/(INDEX([2]Sheet1!$C$3:$Q$3,1,MATCH(D186,[2]Sheet1!$C$3:$Q$3)+1) - INDEX([2]Sheet1!$C$3:$Q$3,1,MATCH(D186,[2]Sheet1!$C$3:$Q$3)))*(
INDEX([2]Sheet1!$C$4:$Q$23,MATCH(K186,[2]Sheet1!$B$4:$B$23,1),MATCH(D186,[2]Sheet1!$C$3:$Q$3,1)+1) - INDEX([2]Sheet1!$C$4:$Q$23,MATCH(K186,[2]Sheet1!$B$4:$B$23,1),MATCH(D186,[2]Sheet1!$C$3:$Q$3,1)))))</f>
        <v>0</v>
      </c>
      <c r="N186">
        <f t="shared" si="62"/>
        <v>12</v>
      </c>
      <c r="O186">
        <v>9.2645639332389854E-2</v>
      </c>
      <c r="P186" t="e">
        <f t="shared" si="63"/>
        <v>#DIV/0!</v>
      </c>
      <c r="Q186">
        <f t="shared" si="50"/>
        <v>0</v>
      </c>
      <c r="R186">
        <f t="shared" si="64"/>
        <v>741.9099431943954</v>
      </c>
      <c r="T186" t="e">
        <f t="shared" si="53"/>
        <v>#DIV/0!</v>
      </c>
      <c r="U186" t="e">
        <f t="shared" si="54"/>
        <v>#DIV/0!</v>
      </c>
      <c r="V186">
        <f t="shared" si="55"/>
        <v>0</v>
      </c>
      <c r="W186" t="e">
        <f t="shared" si="51"/>
        <v>#DIV/0!</v>
      </c>
    </row>
    <row r="187" spans="1:23" x14ac:dyDescent="0.55000000000000004">
      <c r="A187">
        <f t="shared" si="52"/>
        <v>15.299999999999962</v>
      </c>
      <c r="B187">
        <f t="shared" si="56"/>
        <v>0.316</v>
      </c>
      <c r="C187">
        <f t="shared" si="57"/>
        <v>-4.9782608695651938</v>
      </c>
      <c r="D187">
        <v>2.4635489921725431</v>
      </c>
      <c r="E187">
        <f t="shared" si="47"/>
        <v>0</v>
      </c>
      <c r="F187">
        <f t="shared" si="58"/>
        <v>4.8605058816845369E-2</v>
      </c>
      <c r="G187">
        <f t="shared" si="59"/>
        <v>39.513748498891111</v>
      </c>
      <c r="H187">
        <f t="shared" si="60"/>
        <v>0</v>
      </c>
      <c r="I187" s="1">
        <f t="shared" si="48"/>
        <v>0</v>
      </c>
      <c r="J187">
        <f t="shared" si="61"/>
        <v>0</v>
      </c>
      <c r="K187">
        <f t="shared" si="49"/>
        <v>0</v>
      </c>
      <c r="L187" cm="1">
        <f t="array" ref="L187">IF(E187*J187=0,0,$C$21*INDEX([3]Sheet1!$C$4:$Q$23,MATCH(K187,[3]Sheet1!$B$4:$B$23,1),MATCH(D187,[3]Sheet1!$C$3:$Q$3,1))
+(K187-INDEX([3]Sheet1!$B$4:$B$23,MATCH(K187,[3]Sheet1!$B$4:$B$23,1),1))/(INDEX([3]Sheet1!$B$4:$B$23,MATCH(K187,[3]Sheet1!$B$4:$B$23,1)+1,1)-INDEX([3]Sheet1!$B$4:$B$23,
MATCH(K187,[3]Sheet1!$B$4:$B$23,1),1))*(INDEX([3]Sheet1!$C$4:$Q$23,MATCH(K187,[3]Sheet1!$B$4:$B$23,1)+1,MATCH(D187,[3]Sheet1!$C$3:$Q$3,1))-INDEX([3]Sheet1!$C$4:$Q$23,
MATCH(K187,[3]Sheet1!$B$4:$B$23,1),MATCH(D187,[3]Sheet1!$C$3:$Q$3,1)))
+(D187-INDEX([3]Sheet1!$C$3:$Q$3,1,MATCH(D187,[3]Sheet1!$C$3:$Q$3)))/(INDEX([3]Sheet1!$C$3:$Q$3,1,MATCH(D187,[3]Sheet1!$C$3:$Q$3)+1)-INDEX([3]Sheet1!$C$3:$Q$3,1,MATCH(
D187,[3]Sheet1!$C$3:$Q$3)))*(INDEX([3]Sheet1!$C$4:$Q$23,MATCH(K187,[3]Sheet1!$B$4:$B$23,1),MATCH(D187,[3]Sheet1!$C$3:$Q$3,1)+1)-INDEX([3]Sheet1!$C$4:$Q$23,MATCH(K187,[3]Sheet1!$B$4:$B$23,1),MATCH(D187,[3]Sheet1!$C$3:$Q$3,1))))</f>
        <v>0</v>
      </c>
      <c r="M187" cm="1">
        <f t="array" ref="M187" xml:space="preserve"> IF(E187*J187=0,0,(INDEX([2]Sheet1!$C$4:$Q$23,MATCH(K187,[2]Sheet1!$B$4:$B$23,1),MATCH(D187,[2]Sheet1!$C$3:$Q$3,1))
+ (K187 - INDEX([2]Sheet1!$B$4:$B$23,MATCH(K187,[2]Sheet1!$B$4:$B$23,1),1))/(INDEX([2]Sheet1!$B$4:$B$23,MATCH(K187,[2]Sheet1!$B$4:$B$23,1)+1,1) - INDEX([2]Sheet1!$B$4:$B$23,MATCH(K187,[2]Sheet1!$B$4:$B$23,1),1))*(INDEX([2]Sheet1!$C$4:$Q$23,MATCH(K187,[2]Sheet1!$B$4:$B$23,1)+1,MATCH(D187,[2]Sheet1!$C$3:$Q$3,1)) - INDEX([2]Sheet1!$C$4:$Q$23,MATCH(K187,[2]Sheet1!$B$4:$B$23,1),MATCH(D187,[2]Sheet1!$C$3:$Q$3,1)))
+ (D187 - INDEX([2]Sheet1!$C$3:$Q$3,1,MATCH(D187,[2]Sheet1!$C$3:$Q$3)))/(INDEX([2]Sheet1!$C$3:$Q$3,1,MATCH(D187,[2]Sheet1!$C$3:$Q$3)+1) - INDEX([2]Sheet1!$C$3:$Q$3,1,MATCH(D187,[2]Sheet1!$C$3:$Q$3)))*(
INDEX([2]Sheet1!$C$4:$Q$23,MATCH(K187,[2]Sheet1!$B$4:$B$23,1),MATCH(D187,[2]Sheet1!$C$3:$Q$3,1)+1) - INDEX([2]Sheet1!$C$4:$Q$23,MATCH(K187,[2]Sheet1!$B$4:$B$23,1),MATCH(D187,[2]Sheet1!$C$3:$Q$3,1)))))</f>
        <v>0</v>
      </c>
      <c r="N187">
        <f t="shared" si="62"/>
        <v>12</v>
      </c>
      <c r="O187">
        <v>9.2614903904269588E-2</v>
      </c>
      <c r="P187" t="e">
        <f t="shared" si="63"/>
        <v>#DIV/0!</v>
      </c>
      <c r="Q187">
        <f t="shared" si="50"/>
        <v>0</v>
      </c>
      <c r="R187">
        <f t="shared" si="64"/>
        <v>741.9099431943954</v>
      </c>
      <c r="T187" t="e">
        <f t="shared" si="53"/>
        <v>#DIV/0!</v>
      </c>
      <c r="U187" t="e">
        <f t="shared" si="54"/>
        <v>#DIV/0!</v>
      </c>
      <c r="V187">
        <f t="shared" si="55"/>
        <v>0</v>
      </c>
      <c r="W187" t="e">
        <f t="shared" si="51"/>
        <v>#DIV/0!</v>
      </c>
    </row>
    <row r="188" spans="1:23" x14ac:dyDescent="0.55000000000000004">
      <c r="A188">
        <f t="shared" si="52"/>
        <v>15.399999999999961</v>
      </c>
      <c r="B188">
        <f t="shared" si="56"/>
        <v>0.316</v>
      </c>
      <c r="C188">
        <f t="shared" si="57"/>
        <v>-5.0434782608695397</v>
      </c>
      <c r="D188">
        <v>2.4633996967843799</v>
      </c>
      <c r="E188">
        <f t="shared" si="47"/>
        <v>0</v>
      </c>
      <c r="F188">
        <f t="shared" si="58"/>
        <v>4.8605058816845369E-2</v>
      </c>
      <c r="G188">
        <f t="shared" si="59"/>
        <v>39.513748498891111</v>
      </c>
      <c r="H188">
        <f t="shared" si="60"/>
        <v>0</v>
      </c>
      <c r="I188" s="1">
        <f t="shared" si="48"/>
        <v>0</v>
      </c>
      <c r="J188">
        <f t="shared" si="61"/>
        <v>0</v>
      </c>
      <c r="K188">
        <f t="shared" si="49"/>
        <v>0</v>
      </c>
      <c r="L188" cm="1">
        <f t="array" ref="L188">IF(E188*J188=0,0,$C$21*INDEX([3]Sheet1!$C$4:$Q$23,MATCH(K188,[3]Sheet1!$B$4:$B$23,1),MATCH(D188,[3]Sheet1!$C$3:$Q$3,1))
+(K188-INDEX([3]Sheet1!$B$4:$B$23,MATCH(K188,[3]Sheet1!$B$4:$B$23,1),1))/(INDEX([3]Sheet1!$B$4:$B$23,MATCH(K188,[3]Sheet1!$B$4:$B$23,1)+1,1)-INDEX([3]Sheet1!$B$4:$B$23,
MATCH(K188,[3]Sheet1!$B$4:$B$23,1),1))*(INDEX([3]Sheet1!$C$4:$Q$23,MATCH(K188,[3]Sheet1!$B$4:$B$23,1)+1,MATCH(D188,[3]Sheet1!$C$3:$Q$3,1))-INDEX([3]Sheet1!$C$4:$Q$23,
MATCH(K188,[3]Sheet1!$B$4:$B$23,1),MATCH(D188,[3]Sheet1!$C$3:$Q$3,1)))
+(D188-INDEX([3]Sheet1!$C$3:$Q$3,1,MATCH(D188,[3]Sheet1!$C$3:$Q$3)))/(INDEX([3]Sheet1!$C$3:$Q$3,1,MATCH(D188,[3]Sheet1!$C$3:$Q$3)+1)-INDEX([3]Sheet1!$C$3:$Q$3,1,MATCH(
D188,[3]Sheet1!$C$3:$Q$3)))*(INDEX([3]Sheet1!$C$4:$Q$23,MATCH(K188,[3]Sheet1!$B$4:$B$23,1),MATCH(D188,[3]Sheet1!$C$3:$Q$3,1)+1)-INDEX([3]Sheet1!$C$4:$Q$23,MATCH(K188,[3]Sheet1!$B$4:$B$23,1),MATCH(D188,[3]Sheet1!$C$3:$Q$3,1))))</f>
        <v>0</v>
      </c>
      <c r="M188" cm="1">
        <f t="array" ref="M188" xml:space="preserve"> IF(E188*J188=0,0,(INDEX([2]Sheet1!$C$4:$Q$23,MATCH(K188,[2]Sheet1!$B$4:$B$23,1),MATCH(D188,[2]Sheet1!$C$3:$Q$3,1))
+ (K188 - INDEX([2]Sheet1!$B$4:$B$23,MATCH(K188,[2]Sheet1!$B$4:$B$23,1),1))/(INDEX([2]Sheet1!$B$4:$B$23,MATCH(K188,[2]Sheet1!$B$4:$B$23,1)+1,1) - INDEX([2]Sheet1!$B$4:$B$23,MATCH(K188,[2]Sheet1!$B$4:$B$23,1),1))*(INDEX([2]Sheet1!$C$4:$Q$23,MATCH(K188,[2]Sheet1!$B$4:$B$23,1)+1,MATCH(D188,[2]Sheet1!$C$3:$Q$3,1)) - INDEX([2]Sheet1!$C$4:$Q$23,MATCH(K188,[2]Sheet1!$B$4:$B$23,1),MATCH(D188,[2]Sheet1!$C$3:$Q$3,1)))
+ (D188 - INDEX([2]Sheet1!$C$3:$Q$3,1,MATCH(D188,[2]Sheet1!$C$3:$Q$3)))/(INDEX([2]Sheet1!$C$3:$Q$3,1,MATCH(D188,[2]Sheet1!$C$3:$Q$3)+1) - INDEX([2]Sheet1!$C$3:$Q$3,1,MATCH(D188,[2]Sheet1!$C$3:$Q$3)))*(
INDEX([2]Sheet1!$C$4:$Q$23,MATCH(K188,[2]Sheet1!$B$4:$B$23,1),MATCH(D188,[2]Sheet1!$C$3:$Q$3,1)+1) - INDEX([2]Sheet1!$C$4:$Q$23,MATCH(K188,[2]Sheet1!$B$4:$B$23,1),MATCH(D188,[2]Sheet1!$C$3:$Q$3,1)))))</f>
        <v>0</v>
      </c>
      <c r="N188">
        <f t="shared" si="62"/>
        <v>12</v>
      </c>
      <c r="O188">
        <v>9.2584262050405944E-2</v>
      </c>
      <c r="P188" t="e">
        <f t="shared" si="63"/>
        <v>#DIV/0!</v>
      </c>
      <c r="Q188">
        <f t="shared" si="50"/>
        <v>0</v>
      </c>
      <c r="R188">
        <f t="shared" si="64"/>
        <v>741.9099431943954</v>
      </c>
      <c r="T188" t="e">
        <f t="shared" si="53"/>
        <v>#DIV/0!</v>
      </c>
      <c r="U188" t="e">
        <f t="shared" si="54"/>
        <v>#DIV/0!</v>
      </c>
      <c r="V188">
        <f t="shared" si="55"/>
        <v>0</v>
      </c>
      <c r="W188" t="e">
        <f t="shared" si="51"/>
        <v>#DIV/0!</v>
      </c>
    </row>
    <row r="189" spans="1:23" x14ac:dyDescent="0.55000000000000004">
      <c r="A189">
        <f t="shared" si="52"/>
        <v>15.499999999999961</v>
      </c>
      <c r="B189">
        <f t="shared" si="56"/>
        <v>0.316</v>
      </c>
      <c r="C189">
        <f t="shared" si="57"/>
        <v>-5.1086956521738891</v>
      </c>
      <c r="D189">
        <v>2.4632508040268459</v>
      </c>
      <c r="E189">
        <f t="shared" si="47"/>
        <v>0</v>
      </c>
      <c r="F189">
        <f t="shared" si="58"/>
        <v>4.8605058816845369E-2</v>
      </c>
      <c r="G189">
        <f t="shared" si="59"/>
        <v>39.513748498891111</v>
      </c>
      <c r="H189">
        <f t="shared" si="60"/>
        <v>0</v>
      </c>
      <c r="I189" s="1">
        <f t="shared" si="48"/>
        <v>0</v>
      </c>
      <c r="J189">
        <f t="shared" si="61"/>
        <v>0</v>
      </c>
      <c r="K189">
        <f t="shared" si="49"/>
        <v>0</v>
      </c>
      <c r="L189" cm="1">
        <f t="array" ref="L189">IF(E189*J189=0,0,$C$21*INDEX([3]Sheet1!$C$4:$Q$23,MATCH(K189,[3]Sheet1!$B$4:$B$23,1),MATCH(D189,[3]Sheet1!$C$3:$Q$3,1))
+(K189-INDEX([3]Sheet1!$B$4:$B$23,MATCH(K189,[3]Sheet1!$B$4:$B$23,1),1))/(INDEX([3]Sheet1!$B$4:$B$23,MATCH(K189,[3]Sheet1!$B$4:$B$23,1)+1,1)-INDEX([3]Sheet1!$B$4:$B$23,
MATCH(K189,[3]Sheet1!$B$4:$B$23,1),1))*(INDEX([3]Sheet1!$C$4:$Q$23,MATCH(K189,[3]Sheet1!$B$4:$B$23,1)+1,MATCH(D189,[3]Sheet1!$C$3:$Q$3,1))-INDEX([3]Sheet1!$C$4:$Q$23,
MATCH(K189,[3]Sheet1!$B$4:$B$23,1),MATCH(D189,[3]Sheet1!$C$3:$Q$3,1)))
+(D189-INDEX([3]Sheet1!$C$3:$Q$3,1,MATCH(D189,[3]Sheet1!$C$3:$Q$3)))/(INDEX([3]Sheet1!$C$3:$Q$3,1,MATCH(D189,[3]Sheet1!$C$3:$Q$3)+1)-INDEX([3]Sheet1!$C$3:$Q$3,1,MATCH(
D189,[3]Sheet1!$C$3:$Q$3)))*(INDEX([3]Sheet1!$C$4:$Q$23,MATCH(K189,[3]Sheet1!$B$4:$B$23,1),MATCH(D189,[3]Sheet1!$C$3:$Q$3,1)+1)-INDEX([3]Sheet1!$C$4:$Q$23,MATCH(K189,[3]Sheet1!$B$4:$B$23,1),MATCH(D189,[3]Sheet1!$C$3:$Q$3,1))))</f>
        <v>0</v>
      </c>
      <c r="M189" cm="1">
        <f t="array" ref="M189" xml:space="preserve"> IF(E189*J189=0,0,(INDEX([2]Sheet1!$C$4:$Q$23,MATCH(K189,[2]Sheet1!$B$4:$B$23,1),MATCH(D189,[2]Sheet1!$C$3:$Q$3,1))
+ (K189 - INDEX([2]Sheet1!$B$4:$B$23,MATCH(K189,[2]Sheet1!$B$4:$B$23,1),1))/(INDEX([2]Sheet1!$B$4:$B$23,MATCH(K189,[2]Sheet1!$B$4:$B$23,1)+1,1) - INDEX([2]Sheet1!$B$4:$B$23,MATCH(K189,[2]Sheet1!$B$4:$B$23,1),1))*(INDEX([2]Sheet1!$C$4:$Q$23,MATCH(K189,[2]Sheet1!$B$4:$B$23,1)+1,MATCH(D189,[2]Sheet1!$C$3:$Q$3,1)) - INDEX([2]Sheet1!$C$4:$Q$23,MATCH(K189,[2]Sheet1!$B$4:$B$23,1),MATCH(D189,[2]Sheet1!$C$3:$Q$3,1)))
+ (D189 - INDEX([2]Sheet1!$C$3:$Q$3,1,MATCH(D189,[2]Sheet1!$C$3:$Q$3)))/(INDEX([2]Sheet1!$C$3:$Q$3,1,MATCH(D189,[2]Sheet1!$C$3:$Q$3)+1) - INDEX([2]Sheet1!$C$3:$Q$3,1,MATCH(D189,[2]Sheet1!$C$3:$Q$3)))*(
INDEX([2]Sheet1!$C$4:$Q$23,MATCH(K189,[2]Sheet1!$B$4:$B$23,1),MATCH(D189,[2]Sheet1!$C$3:$Q$3,1)+1) - INDEX([2]Sheet1!$C$4:$Q$23,MATCH(K189,[2]Sheet1!$B$4:$B$23,1),MATCH(D189,[2]Sheet1!$C$3:$Q$3,1)))))</f>
        <v>0</v>
      </c>
      <c r="N189">
        <f t="shared" si="62"/>
        <v>12</v>
      </c>
      <c r="O189">
        <v>9.2553713221281642E-2</v>
      </c>
      <c r="P189" t="e">
        <f t="shared" si="63"/>
        <v>#DIV/0!</v>
      </c>
      <c r="Q189">
        <f t="shared" si="50"/>
        <v>0</v>
      </c>
      <c r="R189">
        <f t="shared" si="64"/>
        <v>741.9099431943954</v>
      </c>
      <c r="T189" t="e">
        <f t="shared" si="53"/>
        <v>#DIV/0!</v>
      </c>
      <c r="U189" t="e">
        <f t="shared" si="54"/>
        <v>#DIV/0!</v>
      </c>
      <c r="V189">
        <f t="shared" si="55"/>
        <v>0</v>
      </c>
      <c r="W189" t="e">
        <f t="shared" si="51"/>
        <v>#DIV/0!</v>
      </c>
    </row>
    <row r="190" spans="1:23" x14ac:dyDescent="0.55000000000000004">
      <c r="A190">
        <f t="shared" si="52"/>
        <v>15.599999999999961</v>
      </c>
      <c r="B190">
        <f t="shared" si="56"/>
        <v>0.316</v>
      </c>
      <c r="C190">
        <f t="shared" si="57"/>
        <v>-5.1739130434782368</v>
      </c>
      <c r="D190">
        <v>2.4631023116672077</v>
      </c>
      <c r="E190">
        <f t="shared" si="47"/>
        <v>0</v>
      </c>
      <c r="F190">
        <f t="shared" si="58"/>
        <v>4.8605058816845369E-2</v>
      </c>
      <c r="G190">
        <f t="shared" si="59"/>
        <v>39.513748498891111</v>
      </c>
      <c r="H190">
        <f t="shared" si="60"/>
        <v>0</v>
      </c>
      <c r="I190" s="1">
        <f t="shared" si="48"/>
        <v>0</v>
      </c>
      <c r="J190">
        <f t="shared" si="61"/>
        <v>0</v>
      </c>
      <c r="K190">
        <f t="shared" si="49"/>
        <v>0</v>
      </c>
      <c r="L190" cm="1">
        <f t="array" ref="L190">IF(E190*J190=0,0,$C$21*INDEX([3]Sheet1!$C$4:$Q$23,MATCH(K190,[3]Sheet1!$B$4:$B$23,1),MATCH(D190,[3]Sheet1!$C$3:$Q$3,1))
+(K190-INDEX([3]Sheet1!$B$4:$B$23,MATCH(K190,[3]Sheet1!$B$4:$B$23,1),1))/(INDEX([3]Sheet1!$B$4:$B$23,MATCH(K190,[3]Sheet1!$B$4:$B$23,1)+1,1)-INDEX([3]Sheet1!$B$4:$B$23,
MATCH(K190,[3]Sheet1!$B$4:$B$23,1),1))*(INDEX([3]Sheet1!$C$4:$Q$23,MATCH(K190,[3]Sheet1!$B$4:$B$23,1)+1,MATCH(D190,[3]Sheet1!$C$3:$Q$3,1))-INDEX([3]Sheet1!$C$4:$Q$23,
MATCH(K190,[3]Sheet1!$B$4:$B$23,1),MATCH(D190,[3]Sheet1!$C$3:$Q$3,1)))
+(D190-INDEX([3]Sheet1!$C$3:$Q$3,1,MATCH(D190,[3]Sheet1!$C$3:$Q$3)))/(INDEX([3]Sheet1!$C$3:$Q$3,1,MATCH(D190,[3]Sheet1!$C$3:$Q$3)+1)-INDEX([3]Sheet1!$C$3:$Q$3,1,MATCH(
D190,[3]Sheet1!$C$3:$Q$3)))*(INDEX([3]Sheet1!$C$4:$Q$23,MATCH(K190,[3]Sheet1!$B$4:$B$23,1),MATCH(D190,[3]Sheet1!$C$3:$Q$3,1)+1)-INDEX([3]Sheet1!$C$4:$Q$23,MATCH(K190,[3]Sheet1!$B$4:$B$23,1),MATCH(D190,[3]Sheet1!$C$3:$Q$3,1))))</f>
        <v>0</v>
      </c>
      <c r="M190" cm="1">
        <f t="array" ref="M190" xml:space="preserve"> IF(E190*J190=0,0,(INDEX([2]Sheet1!$C$4:$Q$23,MATCH(K190,[2]Sheet1!$B$4:$B$23,1),MATCH(D190,[2]Sheet1!$C$3:$Q$3,1))
+ (K190 - INDEX([2]Sheet1!$B$4:$B$23,MATCH(K190,[2]Sheet1!$B$4:$B$23,1),1))/(INDEX([2]Sheet1!$B$4:$B$23,MATCH(K190,[2]Sheet1!$B$4:$B$23,1)+1,1) - INDEX([2]Sheet1!$B$4:$B$23,MATCH(K190,[2]Sheet1!$B$4:$B$23,1),1))*(INDEX([2]Sheet1!$C$4:$Q$23,MATCH(K190,[2]Sheet1!$B$4:$B$23,1)+1,MATCH(D190,[2]Sheet1!$C$3:$Q$3,1)) - INDEX([2]Sheet1!$C$4:$Q$23,MATCH(K190,[2]Sheet1!$B$4:$B$23,1),MATCH(D190,[2]Sheet1!$C$3:$Q$3,1)))
+ (D190 - INDEX([2]Sheet1!$C$3:$Q$3,1,MATCH(D190,[2]Sheet1!$C$3:$Q$3)))/(INDEX([2]Sheet1!$C$3:$Q$3,1,MATCH(D190,[2]Sheet1!$C$3:$Q$3)+1) - INDEX([2]Sheet1!$C$3:$Q$3,1,MATCH(D190,[2]Sheet1!$C$3:$Q$3)))*(
INDEX([2]Sheet1!$C$4:$Q$23,MATCH(K190,[2]Sheet1!$B$4:$B$23,1),MATCH(D190,[2]Sheet1!$C$3:$Q$3,1)+1) - INDEX([2]Sheet1!$C$4:$Q$23,MATCH(K190,[2]Sheet1!$B$4:$B$23,1),MATCH(D190,[2]Sheet1!$C$3:$Q$3,1)))))</f>
        <v>0</v>
      </c>
      <c r="N190">
        <f t="shared" si="62"/>
        <v>12</v>
      </c>
      <c r="O190">
        <v>9.252325687215357E-2</v>
      </c>
      <c r="P190" t="e">
        <f t="shared" si="63"/>
        <v>#DIV/0!</v>
      </c>
      <c r="Q190">
        <f t="shared" si="50"/>
        <v>0</v>
      </c>
      <c r="R190">
        <f t="shared" si="64"/>
        <v>741.9099431943954</v>
      </c>
      <c r="T190" t="e">
        <f t="shared" si="53"/>
        <v>#DIV/0!</v>
      </c>
      <c r="U190" t="e">
        <f t="shared" si="54"/>
        <v>#DIV/0!</v>
      </c>
      <c r="V190">
        <f t="shared" si="55"/>
        <v>0</v>
      </c>
      <c r="W190" t="e">
        <f t="shared" si="51"/>
        <v>#DIV/0!</v>
      </c>
    </row>
    <row r="191" spans="1:23" x14ac:dyDescent="0.55000000000000004">
      <c r="A191">
        <f t="shared" si="52"/>
        <v>15.69999999999996</v>
      </c>
      <c r="B191">
        <f t="shared" si="56"/>
        <v>0.316</v>
      </c>
      <c r="C191">
        <f t="shared" si="57"/>
        <v>-5.2391304347825827</v>
      </c>
      <c r="D191">
        <v>2.4629542174913581</v>
      </c>
      <c r="E191">
        <f t="shared" si="47"/>
        <v>0</v>
      </c>
      <c r="F191">
        <f t="shared" si="58"/>
        <v>4.8605058816845369E-2</v>
      </c>
      <c r="G191">
        <f t="shared" si="59"/>
        <v>39.513748498891111</v>
      </c>
      <c r="H191">
        <f t="shared" si="60"/>
        <v>0</v>
      </c>
      <c r="I191" s="1">
        <f t="shared" si="48"/>
        <v>0</v>
      </c>
      <c r="J191">
        <f t="shared" si="61"/>
        <v>0</v>
      </c>
      <c r="K191">
        <f t="shared" si="49"/>
        <v>0</v>
      </c>
      <c r="L191" cm="1">
        <f t="array" ref="L191">IF(E191*J191=0,0,$C$21*INDEX([3]Sheet1!$C$4:$Q$23,MATCH(K191,[3]Sheet1!$B$4:$B$23,1),MATCH(D191,[3]Sheet1!$C$3:$Q$3,1))
+(K191-INDEX([3]Sheet1!$B$4:$B$23,MATCH(K191,[3]Sheet1!$B$4:$B$23,1),1))/(INDEX([3]Sheet1!$B$4:$B$23,MATCH(K191,[3]Sheet1!$B$4:$B$23,1)+1,1)-INDEX([3]Sheet1!$B$4:$B$23,
MATCH(K191,[3]Sheet1!$B$4:$B$23,1),1))*(INDEX([3]Sheet1!$C$4:$Q$23,MATCH(K191,[3]Sheet1!$B$4:$B$23,1)+1,MATCH(D191,[3]Sheet1!$C$3:$Q$3,1))-INDEX([3]Sheet1!$C$4:$Q$23,
MATCH(K191,[3]Sheet1!$B$4:$B$23,1),MATCH(D191,[3]Sheet1!$C$3:$Q$3,1)))
+(D191-INDEX([3]Sheet1!$C$3:$Q$3,1,MATCH(D191,[3]Sheet1!$C$3:$Q$3)))/(INDEX([3]Sheet1!$C$3:$Q$3,1,MATCH(D191,[3]Sheet1!$C$3:$Q$3)+1)-INDEX([3]Sheet1!$C$3:$Q$3,1,MATCH(
D191,[3]Sheet1!$C$3:$Q$3)))*(INDEX([3]Sheet1!$C$4:$Q$23,MATCH(K191,[3]Sheet1!$B$4:$B$23,1),MATCH(D191,[3]Sheet1!$C$3:$Q$3,1)+1)-INDEX([3]Sheet1!$C$4:$Q$23,MATCH(K191,[3]Sheet1!$B$4:$B$23,1),MATCH(D191,[3]Sheet1!$C$3:$Q$3,1))))</f>
        <v>0</v>
      </c>
      <c r="M191" cm="1">
        <f t="array" ref="M191" xml:space="preserve"> IF(E191*J191=0,0,(INDEX([2]Sheet1!$C$4:$Q$23,MATCH(K191,[2]Sheet1!$B$4:$B$23,1),MATCH(D191,[2]Sheet1!$C$3:$Q$3,1))
+ (K191 - INDEX([2]Sheet1!$B$4:$B$23,MATCH(K191,[2]Sheet1!$B$4:$B$23,1),1))/(INDEX([2]Sheet1!$B$4:$B$23,MATCH(K191,[2]Sheet1!$B$4:$B$23,1)+1,1) - INDEX([2]Sheet1!$B$4:$B$23,MATCH(K191,[2]Sheet1!$B$4:$B$23,1),1))*(INDEX([2]Sheet1!$C$4:$Q$23,MATCH(K191,[2]Sheet1!$B$4:$B$23,1)+1,MATCH(D191,[2]Sheet1!$C$3:$Q$3,1)) - INDEX([2]Sheet1!$C$4:$Q$23,MATCH(K191,[2]Sheet1!$B$4:$B$23,1),MATCH(D191,[2]Sheet1!$C$3:$Q$3,1)))
+ (D191 - INDEX([2]Sheet1!$C$3:$Q$3,1,MATCH(D191,[2]Sheet1!$C$3:$Q$3)))/(INDEX([2]Sheet1!$C$3:$Q$3,1,MATCH(D191,[2]Sheet1!$C$3:$Q$3)+1) - INDEX([2]Sheet1!$C$3:$Q$3,1,MATCH(D191,[2]Sheet1!$C$3:$Q$3)))*(
INDEX([2]Sheet1!$C$4:$Q$23,MATCH(K191,[2]Sheet1!$B$4:$B$23,1),MATCH(D191,[2]Sheet1!$C$3:$Q$3,1)+1) - INDEX([2]Sheet1!$C$4:$Q$23,MATCH(K191,[2]Sheet1!$B$4:$B$23,1),MATCH(D191,[2]Sheet1!$C$3:$Q$3,1)))))</f>
        <v>0</v>
      </c>
      <c r="N191">
        <f t="shared" si="62"/>
        <v>12</v>
      </c>
      <c r="O191">
        <v>9.2492892462997522E-2</v>
      </c>
      <c r="P191" t="e">
        <f t="shared" si="63"/>
        <v>#DIV/0!</v>
      </c>
      <c r="Q191">
        <f t="shared" si="50"/>
        <v>0</v>
      </c>
      <c r="R191">
        <f t="shared" si="64"/>
        <v>741.9099431943954</v>
      </c>
      <c r="T191" t="e">
        <f t="shared" si="53"/>
        <v>#DIV/0!</v>
      </c>
      <c r="U191" t="e">
        <f t="shared" si="54"/>
        <v>#DIV/0!</v>
      </c>
      <c r="V191">
        <f t="shared" si="55"/>
        <v>0</v>
      </c>
      <c r="W191" t="e">
        <f t="shared" si="51"/>
        <v>#DIV/0!</v>
      </c>
    </row>
    <row r="192" spans="1:23" x14ac:dyDescent="0.55000000000000004">
      <c r="A192">
        <f t="shared" si="52"/>
        <v>15.79999999999996</v>
      </c>
      <c r="B192">
        <f t="shared" si="56"/>
        <v>0.316</v>
      </c>
      <c r="C192">
        <f t="shared" si="57"/>
        <v>-5.3043478260869303</v>
      </c>
      <c r="D192">
        <v>2.4628065193036122</v>
      </c>
      <c r="E192">
        <f t="shared" si="47"/>
        <v>0</v>
      </c>
      <c r="F192">
        <f t="shared" si="58"/>
        <v>4.8605058816845369E-2</v>
      </c>
      <c r="G192">
        <f t="shared" si="59"/>
        <v>39.513748498891111</v>
      </c>
      <c r="H192">
        <f t="shared" si="60"/>
        <v>0</v>
      </c>
      <c r="I192" s="1">
        <f t="shared" si="48"/>
        <v>0</v>
      </c>
      <c r="J192">
        <f t="shared" si="61"/>
        <v>0</v>
      </c>
      <c r="K192">
        <f t="shared" si="49"/>
        <v>0</v>
      </c>
      <c r="L192" cm="1">
        <f t="array" ref="L192">IF(E192*J192=0,0,$C$21*INDEX([3]Sheet1!$C$4:$Q$23,MATCH(K192,[3]Sheet1!$B$4:$B$23,1),MATCH(D192,[3]Sheet1!$C$3:$Q$3,1))
+(K192-INDEX([3]Sheet1!$B$4:$B$23,MATCH(K192,[3]Sheet1!$B$4:$B$23,1),1))/(INDEX([3]Sheet1!$B$4:$B$23,MATCH(K192,[3]Sheet1!$B$4:$B$23,1)+1,1)-INDEX([3]Sheet1!$B$4:$B$23,
MATCH(K192,[3]Sheet1!$B$4:$B$23,1),1))*(INDEX([3]Sheet1!$C$4:$Q$23,MATCH(K192,[3]Sheet1!$B$4:$B$23,1)+1,MATCH(D192,[3]Sheet1!$C$3:$Q$3,1))-INDEX([3]Sheet1!$C$4:$Q$23,
MATCH(K192,[3]Sheet1!$B$4:$B$23,1),MATCH(D192,[3]Sheet1!$C$3:$Q$3,1)))
+(D192-INDEX([3]Sheet1!$C$3:$Q$3,1,MATCH(D192,[3]Sheet1!$C$3:$Q$3)))/(INDEX([3]Sheet1!$C$3:$Q$3,1,MATCH(D192,[3]Sheet1!$C$3:$Q$3)+1)-INDEX([3]Sheet1!$C$3:$Q$3,1,MATCH(
D192,[3]Sheet1!$C$3:$Q$3)))*(INDEX([3]Sheet1!$C$4:$Q$23,MATCH(K192,[3]Sheet1!$B$4:$B$23,1),MATCH(D192,[3]Sheet1!$C$3:$Q$3,1)+1)-INDEX([3]Sheet1!$C$4:$Q$23,MATCH(K192,[3]Sheet1!$B$4:$B$23,1),MATCH(D192,[3]Sheet1!$C$3:$Q$3,1))))</f>
        <v>0</v>
      </c>
      <c r="M192" cm="1">
        <f t="array" ref="M192" xml:space="preserve"> IF(E192*J192=0,0,(INDEX([2]Sheet1!$C$4:$Q$23,MATCH(K192,[2]Sheet1!$B$4:$B$23,1),MATCH(D192,[2]Sheet1!$C$3:$Q$3,1))
+ (K192 - INDEX([2]Sheet1!$B$4:$B$23,MATCH(K192,[2]Sheet1!$B$4:$B$23,1),1))/(INDEX([2]Sheet1!$B$4:$B$23,MATCH(K192,[2]Sheet1!$B$4:$B$23,1)+1,1) - INDEX([2]Sheet1!$B$4:$B$23,MATCH(K192,[2]Sheet1!$B$4:$B$23,1),1))*(INDEX([2]Sheet1!$C$4:$Q$23,MATCH(K192,[2]Sheet1!$B$4:$B$23,1)+1,MATCH(D192,[2]Sheet1!$C$3:$Q$3,1)) - INDEX([2]Sheet1!$C$4:$Q$23,MATCH(K192,[2]Sheet1!$B$4:$B$23,1),MATCH(D192,[2]Sheet1!$C$3:$Q$3,1)))
+ (D192 - INDEX([2]Sheet1!$C$3:$Q$3,1,MATCH(D192,[2]Sheet1!$C$3:$Q$3)))/(INDEX([2]Sheet1!$C$3:$Q$3,1,MATCH(D192,[2]Sheet1!$C$3:$Q$3)+1) - INDEX([2]Sheet1!$C$3:$Q$3,1,MATCH(D192,[2]Sheet1!$C$3:$Q$3)))*(
INDEX([2]Sheet1!$C$4:$Q$23,MATCH(K192,[2]Sheet1!$B$4:$B$23,1),MATCH(D192,[2]Sheet1!$C$3:$Q$3,1)+1) - INDEX([2]Sheet1!$C$4:$Q$23,MATCH(K192,[2]Sheet1!$B$4:$B$23,1),MATCH(D192,[2]Sheet1!$C$3:$Q$3,1)))))</f>
        <v>0</v>
      </c>
      <c r="N192">
        <f t="shared" si="62"/>
        <v>12</v>
      </c>
      <c r="O192">
        <v>9.2462619458454381E-2</v>
      </c>
      <c r="P192" t="e">
        <f t="shared" si="63"/>
        <v>#DIV/0!</v>
      </c>
      <c r="Q192">
        <f t="shared" si="50"/>
        <v>0</v>
      </c>
      <c r="R192">
        <f t="shared" si="64"/>
        <v>741.9099431943954</v>
      </c>
      <c r="T192" t="e">
        <f t="shared" si="53"/>
        <v>#DIV/0!</v>
      </c>
      <c r="U192" t="e">
        <f t="shared" si="54"/>
        <v>#DIV/0!</v>
      </c>
      <c r="V192">
        <f t="shared" si="55"/>
        <v>0</v>
      </c>
      <c r="W192" t="e">
        <f t="shared" si="51"/>
        <v>#DIV/0!</v>
      </c>
    </row>
    <row r="193" spans="1:23" x14ac:dyDescent="0.55000000000000004">
      <c r="A193">
        <f t="shared" si="52"/>
        <v>15.899999999999959</v>
      </c>
      <c r="B193">
        <f t="shared" si="56"/>
        <v>0.316</v>
      </c>
      <c r="C193">
        <f t="shared" si="57"/>
        <v>-5.369565217391278</v>
      </c>
      <c r="D193">
        <v>2.4626592149264983</v>
      </c>
      <c r="E193">
        <f t="shared" si="47"/>
        <v>0</v>
      </c>
      <c r="F193">
        <f t="shared" si="58"/>
        <v>4.8605058816845369E-2</v>
      </c>
      <c r="G193">
        <f t="shared" si="59"/>
        <v>39.513748498891111</v>
      </c>
      <c r="H193">
        <f t="shared" si="60"/>
        <v>0</v>
      </c>
      <c r="I193" s="1">
        <f t="shared" si="48"/>
        <v>0</v>
      </c>
      <c r="J193">
        <f t="shared" si="61"/>
        <v>0</v>
      </c>
      <c r="K193">
        <f t="shared" si="49"/>
        <v>0</v>
      </c>
      <c r="L193" cm="1">
        <f t="array" ref="L193">IF(E193*J193=0,0,$C$21*INDEX([3]Sheet1!$C$4:$Q$23,MATCH(K193,[3]Sheet1!$B$4:$B$23,1),MATCH(D193,[3]Sheet1!$C$3:$Q$3,1))
+(K193-INDEX([3]Sheet1!$B$4:$B$23,MATCH(K193,[3]Sheet1!$B$4:$B$23,1),1))/(INDEX([3]Sheet1!$B$4:$B$23,MATCH(K193,[3]Sheet1!$B$4:$B$23,1)+1,1)-INDEX([3]Sheet1!$B$4:$B$23,
MATCH(K193,[3]Sheet1!$B$4:$B$23,1),1))*(INDEX([3]Sheet1!$C$4:$Q$23,MATCH(K193,[3]Sheet1!$B$4:$B$23,1)+1,MATCH(D193,[3]Sheet1!$C$3:$Q$3,1))-INDEX([3]Sheet1!$C$4:$Q$23,
MATCH(K193,[3]Sheet1!$B$4:$B$23,1),MATCH(D193,[3]Sheet1!$C$3:$Q$3,1)))
+(D193-INDEX([3]Sheet1!$C$3:$Q$3,1,MATCH(D193,[3]Sheet1!$C$3:$Q$3)))/(INDEX([3]Sheet1!$C$3:$Q$3,1,MATCH(D193,[3]Sheet1!$C$3:$Q$3)+1)-INDEX([3]Sheet1!$C$3:$Q$3,1,MATCH(
D193,[3]Sheet1!$C$3:$Q$3)))*(INDEX([3]Sheet1!$C$4:$Q$23,MATCH(K193,[3]Sheet1!$B$4:$B$23,1),MATCH(D193,[3]Sheet1!$C$3:$Q$3,1)+1)-INDEX([3]Sheet1!$C$4:$Q$23,MATCH(K193,[3]Sheet1!$B$4:$B$23,1),MATCH(D193,[3]Sheet1!$C$3:$Q$3,1))))</f>
        <v>0</v>
      </c>
      <c r="M193" cm="1">
        <f t="array" ref="M193" xml:space="preserve"> IF(E193*J193=0,0,(INDEX([2]Sheet1!$C$4:$Q$23,MATCH(K193,[2]Sheet1!$B$4:$B$23,1),MATCH(D193,[2]Sheet1!$C$3:$Q$3,1))
+ (K193 - INDEX([2]Sheet1!$B$4:$B$23,MATCH(K193,[2]Sheet1!$B$4:$B$23,1),1))/(INDEX([2]Sheet1!$B$4:$B$23,MATCH(K193,[2]Sheet1!$B$4:$B$23,1)+1,1) - INDEX([2]Sheet1!$B$4:$B$23,MATCH(K193,[2]Sheet1!$B$4:$B$23,1),1))*(INDEX([2]Sheet1!$C$4:$Q$23,MATCH(K193,[2]Sheet1!$B$4:$B$23,1)+1,MATCH(D193,[2]Sheet1!$C$3:$Q$3,1)) - INDEX([2]Sheet1!$C$4:$Q$23,MATCH(K193,[2]Sheet1!$B$4:$B$23,1),MATCH(D193,[2]Sheet1!$C$3:$Q$3,1)))
+ (D193 - INDEX([2]Sheet1!$C$3:$Q$3,1,MATCH(D193,[2]Sheet1!$C$3:$Q$3)))/(INDEX([2]Sheet1!$C$3:$Q$3,1,MATCH(D193,[2]Sheet1!$C$3:$Q$3)+1) - INDEX([2]Sheet1!$C$3:$Q$3,1,MATCH(D193,[2]Sheet1!$C$3:$Q$3)))*(
INDEX([2]Sheet1!$C$4:$Q$23,MATCH(K193,[2]Sheet1!$B$4:$B$23,1),MATCH(D193,[2]Sheet1!$C$3:$Q$3,1)+1) - INDEX([2]Sheet1!$C$4:$Q$23,MATCH(K193,[2]Sheet1!$B$4:$B$23,1),MATCH(D193,[2]Sheet1!$C$3:$Q$3,1)))))</f>
        <v>0</v>
      </c>
      <c r="N193">
        <f t="shared" si="62"/>
        <v>12</v>
      </c>
      <c r="O193">
        <v>9.243243732777745E-2</v>
      </c>
      <c r="P193" t="e">
        <f t="shared" si="63"/>
        <v>#DIV/0!</v>
      </c>
      <c r="Q193">
        <f t="shared" si="50"/>
        <v>0</v>
      </c>
      <c r="R193">
        <f t="shared" si="64"/>
        <v>741.9099431943954</v>
      </c>
      <c r="T193" t="e">
        <f t="shared" si="53"/>
        <v>#DIV/0!</v>
      </c>
      <c r="U193" t="e">
        <f t="shared" si="54"/>
        <v>#DIV/0!</v>
      </c>
      <c r="V193">
        <f t="shared" si="55"/>
        <v>0</v>
      </c>
      <c r="W193" t="e">
        <f t="shared" si="51"/>
        <v>#DIV/0!</v>
      </c>
    </row>
    <row r="194" spans="1:23" x14ac:dyDescent="0.55000000000000004">
      <c r="A194">
        <f t="shared" si="52"/>
        <v>15.999999999999959</v>
      </c>
      <c r="B194">
        <f t="shared" si="56"/>
        <v>0.316</v>
      </c>
      <c r="C194">
        <f t="shared" si="57"/>
        <v>-5.4347826086956275</v>
      </c>
      <c r="D194">
        <v>2.4625123022005635</v>
      </c>
      <c r="E194">
        <f t="shared" si="47"/>
        <v>0</v>
      </c>
      <c r="F194">
        <f t="shared" si="58"/>
        <v>4.8605058816845369E-2</v>
      </c>
      <c r="G194">
        <f t="shared" si="59"/>
        <v>39.513748498891111</v>
      </c>
      <c r="H194">
        <f t="shared" si="60"/>
        <v>0</v>
      </c>
      <c r="I194" s="1">
        <f t="shared" si="48"/>
        <v>0</v>
      </c>
      <c r="J194">
        <f t="shared" si="61"/>
        <v>0</v>
      </c>
      <c r="K194">
        <f t="shared" si="49"/>
        <v>0</v>
      </c>
      <c r="L194" cm="1">
        <f t="array" ref="L194">IF(E194*J194=0,0,$C$21*INDEX([3]Sheet1!$C$4:$Q$23,MATCH(K194,[3]Sheet1!$B$4:$B$23,1),MATCH(D194,[3]Sheet1!$C$3:$Q$3,1))
+(K194-INDEX([3]Sheet1!$B$4:$B$23,MATCH(K194,[3]Sheet1!$B$4:$B$23,1),1))/(INDEX([3]Sheet1!$B$4:$B$23,MATCH(K194,[3]Sheet1!$B$4:$B$23,1)+1,1)-INDEX([3]Sheet1!$B$4:$B$23,
MATCH(K194,[3]Sheet1!$B$4:$B$23,1),1))*(INDEX([3]Sheet1!$C$4:$Q$23,MATCH(K194,[3]Sheet1!$B$4:$B$23,1)+1,MATCH(D194,[3]Sheet1!$C$3:$Q$3,1))-INDEX([3]Sheet1!$C$4:$Q$23,
MATCH(K194,[3]Sheet1!$B$4:$B$23,1),MATCH(D194,[3]Sheet1!$C$3:$Q$3,1)))
+(D194-INDEX([3]Sheet1!$C$3:$Q$3,1,MATCH(D194,[3]Sheet1!$C$3:$Q$3)))/(INDEX([3]Sheet1!$C$3:$Q$3,1,MATCH(D194,[3]Sheet1!$C$3:$Q$3)+1)-INDEX([3]Sheet1!$C$3:$Q$3,1,MATCH(
D194,[3]Sheet1!$C$3:$Q$3)))*(INDEX([3]Sheet1!$C$4:$Q$23,MATCH(K194,[3]Sheet1!$B$4:$B$23,1),MATCH(D194,[3]Sheet1!$C$3:$Q$3,1)+1)-INDEX([3]Sheet1!$C$4:$Q$23,MATCH(K194,[3]Sheet1!$B$4:$B$23,1),MATCH(D194,[3]Sheet1!$C$3:$Q$3,1))))</f>
        <v>0</v>
      </c>
      <c r="M194" cm="1">
        <f t="array" ref="M194" xml:space="preserve"> IF(E194*J194=0,0,(INDEX([2]Sheet1!$C$4:$Q$23,MATCH(K194,[2]Sheet1!$B$4:$B$23,1),MATCH(D194,[2]Sheet1!$C$3:$Q$3,1))
+ (K194 - INDEX([2]Sheet1!$B$4:$B$23,MATCH(K194,[2]Sheet1!$B$4:$B$23,1),1))/(INDEX([2]Sheet1!$B$4:$B$23,MATCH(K194,[2]Sheet1!$B$4:$B$23,1)+1,1) - INDEX([2]Sheet1!$B$4:$B$23,MATCH(K194,[2]Sheet1!$B$4:$B$23,1),1))*(INDEX([2]Sheet1!$C$4:$Q$23,MATCH(K194,[2]Sheet1!$B$4:$B$23,1)+1,MATCH(D194,[2]Sheet1!$C$3:$Q$3,1)) - INDEX([2]Sheet1!$C$4:$Q$23,MATCH(K194,[2]Sheet1!$B$4:$B$23,1),MATCH(D194,[2]Sheet1!$C$3:$Q$3,1)))
+ (D194 - INDEX([2]Sheet1!$C$3:$Q$3,1,MATCH(D194,[2]Sheet1!$C$3:$Q$3)))/(INDEX([2]Sheet1!$C$3:$Q$3,1,MATCH(D194,[2]Sheet1!$C$3:$Q$3)+1) - INDEX([2]Sheet1!$C$3:$Q$3,1,MATCH(D194,[2]Sheet1!$C$3:$Q$3)))*(
INDEX([2]Sheet1!$C$4:$Q$23,MATCH(K194,[2]Sheet1!$B$4:$B$23,1),MATCH(D194,[2]Sheet1!$C$3:$Q$3,1)+1) - INDEX([2]Sheet1!$C$4:$Q$23,MATCH(K194,[2]Sheet1!$B$4:$B$23,1),MATCH(D194,[2]Sheet1!$C$3:$Q$3,1)))))</f>
        <v>0</v>
      </c>
      <c r="N194">
        <f t="shared" si="62"/>
        <v>12</v>
      </c>
      <c r="O194">
        <v>9.2402345544780218E-2</v>
      </c>
      <c r="P194" t="e">
        <f t="shared" si="63"/>
        <v>#DIV/0!</v>
      </c>
      <c r="Q194">
        <f t="shared" si="50"/>
        <v>0</v>
      </c>
      <c r="R194">
        <f t="shared" si="64"/>
        <v>741.9099431943954</v>
      </c>
      <c r="T194" t="e">
        <f t="shared" si="53"/>
        <v>#DIV/0!</v>
      </c>
      <c r="U194" t="e">
        <f t="shared" si="54"/>
        <v>#DIV/0!</v>
      </c>
      <c r="V194">
        <f t="shared" si="55"/>
        <v>0</v>
      </c>
      <c r="W194" t="e">
        <f t="shared" si="51"/>
        <v>#DIV/0!</v>
      </c>
    </row>
    <row r="195" spans="1:23" x14ac:dyDescent="0.55000000000000004">
      <c r="A195">
        <f t="shared" si="52"/>
        <v>16.099999999999959</v>
      </c>
      <c r="B195">
        <f t="shared" si="56"/>
        <v>0.316</v>
      </c>
      <c r="C195">
        <f t="shared" si="57"/>
        <v>-5.4999999999999734</v>
      </c>
      <c r="D195">
        <v>2.4623657789841698</v>
      </c>
      <c r="E195">
        <f t="shared" si="47"/>
        <v>0</v>
      </c>
      <c r="F195">
        <f t="shared" si="58"/>
        <v>4.8605058816845369E-2</v>
      </c>
      <c r="G195">
        <f t="shared" si="59"/>
        <v>39.513748498891111</v>
      </c>
      <c r="H195">
        <f t="shared" si="60"/>
        <v>0</v>
      </c>
      <c r="I195" s="1">
        <f t="shared" si="48"/>
        <v>0</v>
      </c>
      <c r="J195">
        <f t="shared" si="61"/>
        <v>0</v>
      </c>
      <c r="K195">
        <f t="shared" si="49"/>
        <v>0</v>
      </c>
      <c r="L195" cm="1">
        <f t="array" ref="L195">IF(E195*J195=0,0,$C$21*INDEX([3]Sheet1!$C$4:$Q$23,MATCH(K195,[3]Sheet1!$B$4:$B$23,1),MATCH(D195,[3]Sheet1!$C$3:$Q$3,1))
+(K195-INDEX([3]Sheet1!$B$4:$B$23,MATCH(K195,[3]Sheet1!$B$4:$B$23,1),1))/(INDEX([3]Sheet1!$B$4:$B$23,MATCH(K195,[3]Sheet1!$B$4:$B$23,1)+1,1)-INDEX([3]Sheet1!$B$4:$B$23,
MATCH(K195,[3]Sheet1!$B$4:$B$23,1),1))*(INDEX([3]Sheet1!$C$4:$Q$23,MATCH(K195,[3]Sheet1!$B$4:$B$23,1)+1,MATCH(D195,[3]Sheet1!$C$3:$Q$3,1))-INDEX([3]Sheet1!$C$4:$Q$23,
MATCH(K195,[3]Sheet1!$B$4:$B$23,1),MATCH(D195,[3]Sheet1!$C$3:$Q$3,1)))
+(D195-INDEX([3]Sheet1!$C$3:$Q$3,1,MATCH(D195,[3]Sheet1!$C$3:$Q$3)))/(INDEX([3]Sheet1!$C$3:$Q$3,1,MATCH(D195,[3]Sheet1!$C$3:$Q$3)+1)-INDEX([3]Sheet1!$C$3:$Q$3,1,MATCH(
D195,[3]Sheet1!$C$3:$Q$3)))*(INDEX([3]Sheet1!$C$4:$Q$23,MATCH(K195,[3]Sheet1!$B$4:$B$23,1),MATCH(D195,[3]Sheet1!$C$3:$Q$3,1)+1)-INDEX([3]Sheet1!$C$4:$Q$23,MATCH(K195,[3]Sheet1!$B$4:$B$23,1),MATCH(D195,[3]Sheet1!$C$3:$Q$3,1))))</f>
        <v>0</v>
      </c>
      <c r="M195" cm="1">
        <f t="array" ref="M195" xml:space="preserve"> IF(E195*J195=0,0,(INDEX([2]Sheet1!$C$4:$Q$23,MATCH(K195,[2]Sheet1!$B$4:$B$23,1),MATCH(D195,[2]Sheet1!$C$3:$Q$3,1))
+ (K195 - INDEX([2]Sheet1!$B$4:$B$23,MATCH(K195,[2]Sheet1!$B$4:$B$23,1),1))/(INDEX([2]Sheet1!$B$4:$B$23,MATCH(K195,[2]Sheet1!$B$4:$B$23,1)+1,1) - INDEX([2]Sheet1!$B$4:$B$23,MATCH(K195,[2]Sheet1!$B$4:$B$23,1),1))*(INDEX([2]Sheet1!$C$4:$Q$23,MATCH(K195,[2]Sheet1!$B$4:$B$23,1)+1,MATCH(D195,[2]Sheet1!$C$3:$Q$3,1)) - INDEX([2]Sheet1!$C$4:$Q$23,MATCH(K195,[2]Sheet1!$B$4:$B$23,1),MATCH(D195,[2]Sheet1!$C$3:$Q$3,1)))
+ (D195 - INDEX([2]Sheet1!$C$3:$Q$3,1,MATCH(D195,[2]Sheet1!$C$3:$Q$3)))/(INDEX([2]Sheet1!$C$3:$Q$3,1,MATCH(D195,[2]Sheet1!$C$3:$Q$3)+1) - INDEX([2]Sheet1!$C$3:$Q$3,1,MATCH(D195,[2]Sheet1!$C$3:$Q$3)))*(
INDEX([2]Sheet1!$C$4:$Q$23,MATCH(K195,[2]Sheet1!$B$4:$B$23,1),MATCH(D195,[2]Sheet1!$C$3:$Q$3,1)+1) - INDEX([2]Sheet1!$C$4:$Q$23,MATCH(K195,[2]Sheet1!$B$4:$B$23,1),MATCH(D195,[2]Sheet1!$C$3:$Q$3,1)))))</f>
        <v>0</v>
      </c>
      <c r="N195">
        <f t="shared" si="62"/>
        <v>12</v>
      </c>
      <c r="O195">
        <v>9.2372343587783637E-2</v>
      </c>
      <c r="P195" t="e">
        <f t="shared" si="63"/>
        <v>#DIV/0!</v>
      </c>
      <c r="Q195">
        <f t="shared" si="50"/>
        <v>0</v>
      </c>
      <c r="R195">
        <f t="shared" si="64"/>
        <v>741.9099431943954</v>
      </c>
      <c r="T195" t="e">
        <f t="shared" si="53"/>
        <v>#DIV/0!</v>
      </c>
      <c r="U195" t="e">
        <f t="shared" si="54"/>
        <v>#DIV/0!</v>
      </c>
      <c r="V195">
        <f t="shared" si="55"/>
        <v>0</v>
      </c>
      <c r="W195" t="e">
        <f t="shared" si="51"/>
        <v>#DIV/0!</v>
      </c>
    </row>
    <row r="196" spans="1:23" x14ac:dyDescent="0.55000000000000004">
      <c r="A196">
        <f t="shared" si="52"/>
        <v>16.19999999999996</v>
      </c>
      <c r="B196">
        <f t="shared" si="56"/>
        <v>0.316</v>
      </c>
      <c r="C196">
        <f t="shared" si="57"/>
        <v>-5.5652173913043228</v>
      </c>
      <c r="D196">
        <v>2.4622196431533006</v>
      </c>
      <c r="E196">
        <f t="shared" si="47"/>
        <v>0</v>
      </c>
      <c r="F196">
        <f t="shared" si="58"/>
        <v>4.8605058816845369E-2</v>
      </c>
      <c r="G196">
        <f t="shared" si="59"/>
        <v>39.513748498891111</v>
      </c>
      <c r="H196">
        <f t="shared" si="60"/>
        <v>0</v>
      </c>
      <c r="I196" s="1">
        <f t="shared" si="48"/>
        <v>0</v>
      </c>
      <c r="J196">
        <f t="shared" si="61"/>
        <v>0</v>
      </c>
      <c r="K196">
        <f t="shared" si="49"/>
        <v>0</v>
      </c>
      <c r="L196" cm="1">
        <f t="array" ref="L196">IF(E196*J196=0,0,$C$21*INDEX([3]Sheet1!$C$4:$Q$23,MATCH(K196,[3]Sheet1!$B$4:$B$23,1),MATCH(D196,[3]Sheet1!$C$3:$Q$3,1))
+(K196-INDEX([3]Sheet1!$B$4:$B$23,MATCH(K196,[3]Sheet1!$B$4:$B$23,1),1))/(INDEX([3]Sheet1!$B$4:$B$23,MATCH(K196,[3]Sheet1!$B$4:$B$23,1)+1,1)-INDEX([3]Sheet1!$B$4:$B$23,
MATCH(K196,[3]Sheet1!$B$4:$B$23,1),1))*(INDEX([3]Sheet1!$C$4:$Q$23,MATCH(K196,[3]Sheet1!$B$4:$B$23,1)+1,MATCH(D196,[3]Sheet1!$C$3:$Q$3,1))-INDEX([3]Sheet1!$C$4:$Q$23,
MATCH(K196,[3]Sheet1!$B$4:$B$23,1),MATCH(D196,[3]Sheet1!$C$3:$Q$3,1)))
+(D196-INDEX([3]Sheet1!$C$3:$Q$3,1,MATCH(D196,[3]Sheet1!$C$3:$Q$3)))/(INDEX([3]Sheet1!$C$3:$Q$3,1,MATCH(D196,[3]Sheet1!$C$3:$Q$3)+1)-INDEX([3]Sheet1!$C$3:$Q$3,1,MATCH(
D196,[3]Sheet1!$C$3:$Q$3)))*(INDEX([3]Sheet1!$C$4:$Q$23,MATCH(K196,[3]Sheet1!$B$4:$B$23,1),MATCH(D196,[3]Sheet1!$C$3:$Q$3,1)+1)-INDEX([3]Sheet1!$C$4:$Q$23,MATCH(K196,[3]Sheet1!$B$4:$B$23,1),MATCH(D196,[3]Sheet1!$C$3:$Q$3,1))))</f>
        <v>0</v>
      </c>
      <c r="M196" cm="1">
        <f t="array" ref="M196" xml:space="preserve"> IF(E196*J196=0,0,(INDEX([2]Sheet1!$C$4:$Q$23,MATCH(K196,[2]Sheet1!$B$4:$B$23,1),MATCH(D196,[2]Sheet1!$C$3:$Q$3,1))
+ (K196 - INDEX([2]Sheet1!$B$4:$B$23,MATCH(K196,[2]Sheet1!$B$4:$B$23,1),1))/(INDEX([2]Sheet1!$B$4:$B$23,MATCH(K196,[2]Sheet1!$B$4:$B$23,1)+1,1) - INDEX([2]Sheet1!$B$4:$B$23,MATCH(K196,[2]Sheet1!$B$4:$B$23,1),1))*(INDEX([2]Sheet1!$C$4:$Q$23,MATCH(K196,[2]Sheet1!$B$4:$B$23,1)+1,MATCH(D196,[2]Sheet1!$C$3:$Q$3,1)) - INDEX([2]Sheet1!$C$4:$Q$23,MATCH(K196,[2]Sheet1!$B$4:$B$23,1),MATCH(D196,[2]Sheet1!$C$3:$Q$3,1)))
+ (D196 - INDEX([2]Sheet1!$C$3:$Q$3,1,MATCH(D196,[2]Sheet1!$C$3:$Q$3)))/(INDEX([2]Sheet1!$C$3:$Q$3,1,MATCH(D196,[2]Sheet1!$C$3:$Q$3)+1) - INDEX([2]Sheet1!$C$3:$Q$3,1,MATCH(D196,[2]Sheet1!$C$3:$Q$3)))*(
INDEX([2]Sheet1!$C$4:$Q$23,MATCH(K196,[2]Sheet1!$B$4:$B$23,1),MATCH(D196,[2]Sheet1!$C$3:$Q$3,1)+1) - INDEX([2]Sheet1!$C$4:$Q$23,MATCH(K196,[2]Sheet1!$B$4:$B$23,1),MATCH(D196,[2]Sheet1!$C$3:$Q$3,1)))))</f>
        <v>0</v>
      </c>
      <c r="N196">
        <f t="shared" si="62"/>
        <v>12</v>
      </c>
      <c r="O196">
        <v>9.2342430939565998E-2</v>
      </c>
      <c r="P196" t="e">
        <f t="shared" si="63"/>
        <v>#DIV/0!</v>
      </c>
      <c r="Q196">
        <f t="shared" si="50"/>
        <v>0</v>
      </c>
      <c r="R196">
        <f t="shared" si="64"/>
        <v>741.9099431943954</v>
      </c>
      <c r="T196" t="e">
        <f t="shared" si="53"/>
        <v>#DIV/0!</v>
      </c>
      <c r="U196" t="e">
        <f t="shared" si="54"/>
        <v>#DIV/0!</v>
      </c>
      <c r="V196">
        <f t="shared" si="55"/>
        <v>0</v>
      </c>
      <c r="W196" t="e">
        <f t="shared" si="51"/>
        <v>#DIV/0!</v>
      </c>
    </row>
    <row r="197" spans="1:23" x14ac:dyDescent="0.55000000000000004">
      <c r="A197">
        <f t="shared" si="52"/>
        <v>16.299999999999962</v>
      </c>
      <c r="B197">
        <f t="shared" si="56"/>
        <v>0.316</v>
      </c>
      <c r="C197">
        <f t="shared" si="57"/>
        <v>-5.6304347826086723</v>
      </c>
      <c r="D197">
        <v>2.462073892601365</v>
      </c>
      <c r="E197">
        <f t="shared" si="47"/>
        <v>0</v>
      </c>
      <c r="F197">
        <f t="shared" si="58"/>
        <v>4.8605058816845369E-2</v>
      </c>
      <c r="G197">
        <f t="shared" si="59"/>
        <v>39.513748498891111</v>
      </c>
      <c r="H197">
        <f t="shared" si="60"/>
        <v>0</v>
      </c>
      <c r="I197" s="1">
        <f t="shared" si="48"/>
        <v>0</v>
      </c>
      <c r="J197">
        <f t="shared" si="61"/>
        <v>0</v>
      </c>
      <c r="K197">
        <f t="shared" si="49"/>
        <v>0</v>
      </c>
      <c r="L197" cm="1">
        <f t="array" ref="L197">IF(E197*J197=0,0,$C$21*INDEX([3]Sheet1!$C$4:$Q$23,MATCH(K197,[3]Sheet1!$B$4:$B$23,1),MATCH(D197,[3]Sheet1!$C$3:$Q$3,1))
+(K197-INDEX([3]Sheet1!$B$4:$B$23,MATCH(K197,[3]Sheet1!$B$4:$B$23,1),1))/(INDEX([3]Sheet1!$B$4:$B$23,MATCH(K197,[3]Sheet1!$B$4:$B$23,1)+1,1)-INDEX([3]Sheet1!$B$4:$B$23,
MATCH(K197,[3]Sheet1!$B$4:$B$23,1),1))*(INDEX([3]Sheet1!$C$4:$Q$23,MATCH(K197,[3]Sheet1!$B$4:$B$23,1)+1,MATCH(D197,[3]Sheet1!$C$3:$Q$3,1))-INDEX([3]Sheet1!$C$4:$Q$23,
MATCH(K197,[3]Sheet1!$B$4:$B$23,1),MATCH(D197,[3]Sheet1!$C$3:$Q$3,1)))
+(D197-INDEX([3]Sheet1!$C$3:$Q$3,1,MATCH(D197,[3]Sheet1!$C$3:$Q$3)))/(INDEX([3]Sheet1!$C$3:$Q$3,1,MATCH(D197,[3]Sheet1!$C$3:$Q$3)+1)-INDEX([3]Sheet1!$C$3:$Q$3,1,MATCH(
D197,[3]Sheet1!$C$3:$Q$3)))*(INDEX([3]Sheet1!$C$4:$Q$23,MATCH(K197,[3]Sheet1!$B$4:$B$23,1),MATCH(D197,[3]Sheet1!$C$3:$Q$3,1)+1)-INDEX([3]Sheet1!$C$4:$Q$23,MATCH(K197,[3]Sheet1!$B$4:$B$23,1),MATCH(D197,[3]Sheet1!$C$3:$Q$3,1))))</f>
        <v>0</v>
      </c>
      <c r="M197" cm="1">
        <f t="array" ref="M197" xml:space="preserve"> IF(E197*J197=0,0,(INDEX([2]Sheet1!$C$4:$Q$23,MATCH(K197,[2]Sheet1!$B$4:$B$23,1),MATCH(D197,[2]Sheet1!$C$3:$Q$3,1))
+ (K197 - INDEX([2]Sheet1!$B$4:$B$23,MATCH(K197,[2]Sheet1!$B$4:$B$23,1),1))/(INDEX([2]Sheet1!$B$4:$B$23,MATCH(K197,[2]Sheet1!$B$4:$B$23,1)+1,1) - INDEX([2]Sheet1!$B$4:$B$23,MATCH(K197,[2]Sheet1!$B$4:$B$23,1),1))*(INDEX([2]Sheet1!$C$4:$Q$23,MATCH(K197,[2]Sheet1!$B$4:$B$23,1)+1,MATCH(D197,[2]Sheet1!$C$3:$Q$3,1)) - INDEX([2]Sheet1!$C$4:$Q$23,MATCH(K197,[2]Sheet1!$B$4:$B$23,1),MATCH(D197,[2]Sheet1!$C$3:$Q$3,1)))
+ (D197 - INDEX([2]Sheet1!$C$3:$Q$3,1,MATCH(D197,[2]Sheet1!$C$3:$Q$3)))/(INDEX([2]Sheet1!$C$3:$Q$3,1,MATCH(D197,[2]Sheet1!$C$3:$Q$3)+1) - INDEX([2]Sheet1!$C$3:$Q$3,1,MATCH(D197,[2]Sheet1!$C$3:$Q$3)))*(
INDEX([2]Sheet1!$C$4:$Q$23,MATCH(K197,[2]Sheet1!$B$4:$B$23,1),MATCH(D197,[2]Sheet1!$C$3:$Q$3,1)+1) - INDEX([2]Sheet1!$C$4:$Q$23,MATCH(K197,[2]Sheet1!$B$4:$B$23,1),MATCH(D197,[2]Sheet1!$C$3:$Q$3,1)))))</f>
        <v>0</v>
      </c>
      <c r="N197">
        <f t="shared" si="62"/>
        <v>12</v>
      </c>
      <c r="O197">
        <v>9.2312607087312593E-2</v>
      </c>
      <c r="P197" t="e">
        <f t="shared" si="63"/>
        <v>#DIV/0!</v>
      </c>
      <c r="Q197">
        <f t="shared" si="50"/>
        <v>0</v>
      </c>
      <c r="R197">
        <f t="shared" si="64"/>
        <v>741.9099431943954</v>
      </c>
      <c r="T197" t="e">
        <f t="shared" si="53"/>
        <v>#DIV/0!</v>
      </c>
      <c r="U197" t="e">
        <f t="shared" si="54"/>
        <v>#DIV/0!</v>
      </c>
      <c r="V197">
        <f t="shared" si="55"/>
        <v>0</v>
      </c>
      <c r="W197" t="e">
        <f t="shared" si="51"/>
        <v>#DIV/0!</v>
      </c>
    </row>
    <row r="198" spans="1:23" x14ac:dyDescent="0.55000000000000004">
      <c r="A198">
        <f t="shared" si="52"/>
        <v>16.399999999999963</v>
      </c>
      <c r="B198">
        <f t="shared" si="56"/>
        <v>0.316</v>
      </c>
      <c r="C198">
        <f t="shared" si="57"/>
        <v>-5.6956521739130199</v>
      </c>
      <c r="D198">
        <v>2.4619285252390117</v>
      </c>
      <c r="E198">
        <f t="shared" si="47"/>
        <v>0</v>
      </c>
      <c r="F198">
        <f t="shared" si="58"/>
        <v>4.8605058816845369E-2</v>
      </c>
      <c r="G198">
        <f t="shared" si="59"/>
        <v>39.513748498891111</v>
      </c>
      <c r="H198">
        <f t="shared" si="60"/>
        <v>0</v>
      </c>
      <c r="I198" s="1">
        <f t="shared" si="48"/>
        <v>0</v>
      </c>
      <c r="J198">
        <f t="shared" si="61"/>
        <v>0</v>
      </c>
      <c r="K198">
        <f t="shared" si="49"/>
        <v>0</v>
      </c>
      <c r="L198" cm="1">
        <f t="array" ref="L198">IF(E198*J198=0,0,$C$21*INDEX([3]Sheet1!$C$4:$Q$23,MATCH(K198,[3]Sheet1!$B$4:$B$23,1),MATCH(D198,[3]Sheet1!$C$3:$Q$3,1))
+(K198-INDEX([3]Sheet1!$B$4:$B$23,MATCH(K198,[3]Sheet1!$B$4:$B$23,1),1))/(INDEX([3]Sheet1!$B$4:$B$23,MATCH(K198,[3]Sheet1!$B$4:$B$23,1)+1,1)-INDEX([3]Sheet1!$B$4:$B$23,
MATCH(K198,[3]Sheet1!$B$4:$B$23,1),1))*(INDEX([3]Sheet1!$C$4:$Q$23,MATCH(K198,[3]Sheet1!$B$4:$B$23,1)+1,MATCH(D198,[3]Sheet1!$C$3:$Q$3,1))-INDEX([3]Sheet1!$C$4:$Q$23,
MATCH(K198,[3]Sheet1!$B$4:$B$23,1),MATCH(D198,[3]Sheet1!$C$3:$Q$3,1)))
+(D198-INDEX([3]Sheet1!$C$3:$Q$3,1,MATCH(D198,[3]Sheet1!$C$3:$Q$3)))/(INDEX([3]Sheet1!$C$3:$Q$3,1,MATCH(D198,[3]Sheet1!$C$3:$Q$3)+1)-INDEX([3]Sheet1!$C$3:$Q$3,1,MATCH(
D198,[3]Sheet1!$C$3:$Q$3)))*(INDEX([3]Sheet1!$C$4:$Q$23,MATCH(K198,[3]Sheet1!$B$4:$B$23,1),MATCH(D198,[3]Sheet1!$C$3:$Q$3,1)+1)-INDEX([3]Sheet1!$C$4:$Q$23,MATCH(K198,[3]Sheet1!$B$4:$B$23,1),MATCH(D198,[3]Sheet1!$C$3:$Q$3,1))))</f>
        <v>0</v>
      </c>
      <c r="M198" cm="1">
        <f t="array" ref="M198" xml:space="preserve"> IF(E198*J198=0,0,(INDEX([2]Sheet1!$C$4:$Q$23,MATCH(K198,[2]Sheet1!$B$4:$B$23,1),MATCH(D198,[2]Sheet1!$C$3:$Q$3,1))
+ (K198 - INDEX([2]Sheet1!$B$4:$B$23,MATCH(K198,[2]Sheet1!$B$4:$B$23,1),1))/(INDEX([2]Sheet1!$B$4:$B$23,MATCH(K198,[2]Sheet1!$B$4:$B$23,1)+1,1) - INDEX([2]Sheet1!$B$4:$B$23,MATCH(K198,[2]Sheet1!$B$4:$B$23,1),1))*(INDEX([2]Sheet1!$C$4:$Q$23,MATCH(K198,[2]Sheet1!$B$4:$B$23,1)+1,MATCH(D198,[2]Sheet1!$C$3:$Q$3,1)) - INDEX([2]Sheet1!$C$4:$Q$23,MATCH(K198,[2]Sheet1!$B$4:$B$23,1),MATCH(D198,[2]Sheet1!$C$3:$Q$3,1)))
+ (D198 - INDEX([2]Sheet1!$C$3:$Q$3,1,MATCH(D198,[2]Sheet1!$C$3:$Q$3)))/(INDEX([2]Sheet1!$C$3:$Q$3,1,MATCH(D198,[2]Sheet1!$C$3:$Q$3)+1) - INDEX([2]Sheet1!$C$3:$Q$3,1,MATCH(D198,[2]Sheet1!$C$3:$Q$3)))*(
INDEX([2]Sheet1!$C$4:$Q$23,MATCH(K198,[2]Sheet1!$B$4:$B$23,1),MATCH(D198,[2]Sheet1!$C$3:$Q$3,1)+1) - INDEX([2]Sheet1!$C$4:$Q$23,MATCH(K198,[2]Sheet1!$B$4:$B$23,1),MATCH(D198,[2]Sheet1!$C$3:$Q$3,1)))))</f>
        <v>0</v>
      </c>
      <c r="N198">
        <f t="shared" si="62"/>
        <v>12</v>
      </c>
      <c r="O198">
        <v>9.2282871522565743E-2</v>
      </c>
      <c r="P198" t="e">
        <f t="shared" si="63"/>
        <v>#DIV/0!</v>
      </c>
      <c r="Q198">
        <f t="shared" si="50"/>
        <v>0</v>
      </c>
      <c r="R198">
        <f t="shared" si="64"/>
        <v>741.9099431943954</v>
      </c>
      <c r="T198" t="e">
        <f t="shared" si="53"/>
        <v>#DIV/0!</v>
      </c>
      <c r="U198" t="e">
        <f t="shared" si="54"/>
        <v>#DIV/0!</v>
      </c>
      <c r="V198">
        <f t="shared" si="55"/>
        <v>0</v>
      </c>
      <c r="W198" t="e">
        <f t="shared" si="51"/>
        <v>#DIV/0!</v>
      </c>
    </row>
    <row r="199" spans="1:23" x14ac:dyDescent="0.55000000000000004">
      <c r="A199">
        <f t="shared" si="52"/>
        <v>16.499999999999964</v>
      </c>
      <c r="B199">
        <f t="shared" si="56"/>
        <v>0.316</v>
      </c>
      <c r="C199">
        <f t="shared" si="57"/>
        <v>-5.7608695652173694</v>
      </c>
      <c r="D199">
        <v>2.4617835389939362</v>
      </c>
      <c r="E199">
        <f t="shared" si="47"/>
        <v>0</v>
      </c>
      <c r="F199">
        <f t="shared" si="58"/>
        <v>4.8605058816845369E-2</v>
      </c>
      <c r="G199">
        <f t="shared" si="59"/>
        <v>39.513748498891111</v>
      </c>
      <c r="H199">
        <f t="shared" si="60"/>
        <v>0</v>
      </c>
      <c r="I199" s="1">
        <f t="shared" si="48"/>
        <v>0</v>
      </c>
      <c r="J199">
        <f t="shared" si="61"/>
        <v>0</v>
      </c>
      <c r="K199">
        <f t="shared" si="49"/>
        <v>0</v>
      </c>
      <c r="L199" cm="1">
        <f t="array" ref="L199">IF(E199*J199=0,0,$C$21*INDEX([3]Sheet1!$C$4:$Q$23,MATCH(K199,[3]Sheet1!$B$4:$B$23,1),MATCH(D199,[3]Sheet1!$C$3:$Q$3,1))
+(K199-INDEX([3]Sheet1!$B$4:$B$23,MATCH(K199,[3]Sheet1!$B$4:$B$23,1),1))/(INDEX([3]Sheet1!$B$4:$B$23,MATCH(K199,[3]Sheet1!$B$4:$B$23,1)+1,1)-INDEX([3]Sheet1!$B$4:$B$23,
MATCH(K199,[3]Sheet1!$B$4:$B$23,1),1))*(INDEX([3]Sheet1!$C$4:$Q$23,MATCH(K199,[3]Sheet1!$B$4:$B$23,1)+1,MATCH(D199,[3]Sheet1!$C$3:$Q$3,1))-INDEX([3]Sheet1!$C$4:$Q$23,
MATCH(K199,[3]Sheet1!$B$4:$B$23,1),MATCH(D199,[3]Sheet1!$C$3:$Q$3,1)))
+(D199-INDEX([3]Sheet1!$C$3:$Q$3,1,MATCH(D199,[3]Sheet1!$C$3:$Q$3)))/(INDEX([3]Sheet1!$C$3:$Q$3,1,MATCH(D199,[3]Sheet1!$C$3:$Q$3)+1)-INDEX([3]Sheet1!$C$3:$Q$3,1,MATCH(
D199,[3]Sheet1!$C$3:$Q$3)))*(INDEX([3]Sheet1!$C$4:$Q$23,MATCH(K199,[3]Sheet1!$B$4:$B$23,1),MATCH(D199,[3]Sheet1!$C$3:$Q$3,1)+1)-INDEX([3]Sheet1!$C$4:$Q$23,MATCH(K199,[3]Sheet1!$B$4:$B$23,1),MATCH(D199,[3]Sheet1!$C$3:$Q$3,1))))</f>
        <v>0</v>
      </c>
      <c r="M199" cm="1">
        <f t="array" ref="M199" xml:space="preserve"> IF(E199*J199=0,0,(INDEX([2]Sheet1!$C$4:$Q$23,MATCH(K199,[2]Sheet1!$B$4:$B$23,1),MATCH(D199,[2]Sheet1!$C$3:$Q$3,1))
+ (K199 - INDEX([2]Sheet1!$B$4:$B$23,MATCH(K199,[2]Sheet1!$B$4:$B$23,1),1))/(INDEX([2]Sheet1!$B$4:$B$23,MATCH(K199,[2]Sheet1!$B$4:$B$23,1)+1,1) - INDEX([2]Sheet1!$B$4:$B$23,MATCH(K199,[2]Sheet1!$B$4:$B$23,1),1))*(INDEX([2]Sheet1!$C$4:$Q$23,MATCH(K199,[2]Sheet1!$B$4:$B$23,1)+1,MATCH(D199,[2]Sheet1!$C$3:$Q$3,1)) - INDEX([2]Sheet1!$C$4:$Q$23,MATCH(K199,[2]Sheet1!$B$4:$B$23,1),MATCH(D199,[2]Sheet1!$C$3:$Q$3,1)))
+ (D199 - INDEX([2]Sheet1!$C$3:$Q$3,1,MATCH(D199,[2]Sheet1!$C$3:$Q$3)))/(INDEX([2]Sheet1!$C$3:$Q$3,1,MATCH(D199,[2]Sheet1!$C$3:$Q$3)+1) - INDEX([2]Sheet1!$C$3:$Q$3,1,MATCH(D199,[2]Sheet1!$C$3:$Q$3)))*(
INDEX([2]Sheet1!$C$4:$Q$23,MATCH(K199,[2]Sheet1!$B$4:$B$23,1),MATCH(D199,[2]Sheet1!$C$3:$Q$3,1)+1) - INDEX([2]Sheet1!$C$4:$Q$23,MATCH(K199,[2]Sheet1!$B$4:$B$23,1),MATCH(D199,[2]Sheet1!$C$3:$Q$3,1)))))</f>
        <v>0</v>
      </c>
      <c r="N199">
        <f t="shared" si="62"/>
        <v>12</v>
      </c>
      <c r="O199">
        <v>9.2253223741176033E-2</v>
      </c>
      <c r="P199" t="e">
        <f t="shared" si="63"/>
        <v>#DIV/0!</v>
      </c>
      <c r="Q199">
        <f t="shared" si="50"/>
        <v>0</v>
      </c>
      <c r="R199">
        <f t="shared" si="64"/>
        <v>741.9099431943954</v>
      </c>
      <c r="T199" t="e">
        <f t="shared" si="53"/>
        <v>#DIV/0!</v>
      </c>
      <c r="U199" t="e">
        <f t="shared" si="54"/>
        <v>#DIV/0!</v>
      </c>
      <c r="V199">
        <f t="shared" si="55"/>
        <v>0</v>
      </c>
      <c r="W199" t="e">
        <f t="shared" si="51"/>
        <v>#DIV/0!</v>
      </c>
    </row>
    <row r="200" spans="1:23" x14ac:dyDescent="0.55000000000000004">
      <c r="A200">
        <f t="shared" si="52"/>
        <v>16.599999999999966</v>
      </c>
      <c r="B200">
        <f t="shared" si="56"/>
        <v>0.316</v>
      </c>
      <c r="C200">
        <f t="shared" si="57"/>
        <v>-5.826086956521717</v>
      </c>
      <c r="D200">
        <v>2.4616389318107004</v>
      </c>
      <c r="E200">
        <f t="shared" si="47"/>
        <v>0</v>
      </c>
      <c r="F200">
        <f t="shared" si="58"/>
        <v>4.8605058816845369E-2</v>
      </c>
      <c r="G200">
        <f t="shared" si="59"/>
        <v>39.513748498891111</v>
      </c>
      <c r="H200">
        <f t="shared" si="60"/>
        <v>0</v>
      </c>
      <c r="I200" s="1">
        <f t="shared" si="48"/>
        <v>0</v>
      </c>
      <c r="J200">
        <f t="shared" si="61"/>
        <v>0</v>
      </c>
      <c r="K200">
        <f t="shared" si="49"/>
        <v>0</v>
      </c>
      <c r="L200" cm="1">
        <f t="array" ref="L200">IF(E200*J200=0,0,$C$21*INDEX([3]Sheet1!$C$4:$Q$23,MATCH(K200,[3]Sheet1!$B$4:$B$23,1),MATCH(D200,[3]Sheet1!$C$3:$Q$3,1))
+(K200-INDEX([3]Sheet1!$B$4:$B$23,MATCH(K200,[3]Sheet1!$B$4:$B$23,1),1))/(INDEX([3]Sheet1!$B$4:$B$23,MATCH(K200,[3]Sheet1!$B$4:$B$23,1)+1,1)-INDEX([3]Sheet1!$B$4:$B$23,
MATCH(K200,[3]Sheet1!$B$4:$B$23,1),1))*(INDEX([3]Sheet1!$C$4:$Q$23,MATCH(K200,[3]Sheet1!$B$4:$B$23,1)+1,MATCH(D200,[3]Sheet1!$C$3:$Q$3,1))-INDEX([3]Sheet1!$C$4:$Q$23,
MATCH(K200,[3]Sheet1!$B$4:$B$23,1),MATCH(D200,[3]Sheet1!$C$3:$Q$3,1)))
+(D200-INDEX([3]Sheet1!$C$3:$Q$3,1,MATCH(D200,[3]Sheet1!$C$3:$Q$3)))/(INDEX([3]Sheet1!$C$3:$Q$3,1,MATCH(D200,[3]Sheet1!$C$3:$Q$3)+1)-INDEX([3]Sheet1!$C$3:$Q$3,1,MATCH(
D200,[3]Sheet1!$C$3:$Q$3)))*(INDEX([3]Sheet1!$C$4:$Q$23,MATCH(K200,[3]Sheet1!$B$4:$B$23,1),MATCH(D200,[3]Sheet1!$C$3:$Q$3,1)+1)-INDEX([3]Sheet1!$C$4:$Q$23,MATCH(K200,[3]Sheet1!$B$4:$B$23,1),MATCH(D200,[3]Sheet1!$C$3:$Q$3,1))))</f>
        <v>0</v>
      </c>
      <c r="M200" cm="1">
        <f t="array" ref="M200" xml:space="preserve"> IF(E200*J200=0,0,(INDEX([2]Sheet1!$C$4:$Q$23,MATCH(K200,[2]Sheet1!$B$4:$B$23,1),MATCH(D200,[2]Sheet1!$C$3:$Q$3,1))
+ (K200 - INDEX([2]Sheet1!$B$4:$B$23,MATCH(K200,[2]Sheet1!$B$4:$B$23,1),1))/(INDEX([2]Sheet1!$B$4:$B$23,MATCH(K200,[2]Sheet1!$B$4:$B$23,1)+1,1) - INDEX([2]Sheet1!$B$4:$B$23,MATCH(K200,[2]Sheet1!$B$4:$B$23,1),1))*(INDEX([2]Sheet1!$C$4:$Q$23,MATCH(K200,[2]Sheet1!$B$4:$B$23,1)+1,MATCH(D200,[2]Sheet1!$C$3:$Q$3,1)) - INDEX([2]Sheet1!$C$4:$Q$23,MATCH(K200,[2]Sheet1!$B$4:$B$23,1),MATCH(D200,[2]Sheet1!$C$3:$Q$3,1)))
+ (D200 - INDEX([2]Sheet1!$C$3:$Q$3,1,MATCH(D200,[2]Sheet1!$C$3:$Q$3)))/(INDEX([2]Sheet1!$C$3:$Q$3,1,MATCH(D200,[2]Sheet1!$C$3:$Q$3)+1) - INDEX([2]Sheet1!$C$3:$Q$3,1,MATCH(D200,[2]Sheet1!$C$3:$Q$3)))*(
INDEX([2]Sheet1!$C$4:$Q$23,MATCH(K200,[2]Sheet1!$B$4:$B$23,1),MATCH(D200,[2]Sheet1!$C$3:$Q$3,1)+1) - INDEX([2]Sheet1!$C$4:$Q$23,MATCH(K200,[2]Sheet1!$B$4:$B$23,1),MATCH(D200,[2]Sheet1!$C$3:$Q$3,1)))))</f>
        <v>0</v>
      </c>
      <c r="N200">
        <f t="shared" si="62"/>
        <v>12</v>
      </c>
      <c r="O200">
        <v>9.2223663243254483E-2</v>
      </c>
      <c r="P200" t="e">
        <f t="shared" si="63"/>
        <v>#DIV/0!</v>
      </c>
      <c r="Q200">
        <f t="shared" si="50"/>
        <v>0</v>
      </c>
      <c r="R200">
        <f t="shared" si="64"/>
        <v>741.9099431943954</v>
      </c>
      <c r="T200" t="e">
        <f t="shared" si="53"/>
        <v>#DIV/0!</v>
      </c>
      <c r="U200" t="e">
        <f t="shared" si="54"/>
        <v>#DIV/0!</v>
      </c>
      <c r="V200">
        <f t="shared" si="55"/>
        <v>0</v>
      </c>
      <c r="W200" t="e">
        <f t="shared" si="51"/>
        <v>#DIV/0!</v>
      </c>
    </row>
    <row r="201" spans="1:23" x14ac:dyDescent="0.55000000000000004">
      <c r="A201">
        <f t="shared" si="52"/>
        <v>16.699999999999967</v>
      </c>
      <c r="B201">
        <f t="shared" si="56"/>
        <v>0.316</v>
      </c>
      <c r="C201">
        <f t="shared" si="57"/>
        <v>-5.8913043478260665</v>
      </c>
      <c r="D201">
        <v>2.4614947016505453</v>
      </c>
      <c r="E201">
        <f t="shared" si="47"/>
        <v>0</v>
      </c>
      <c r="F201">
        <f t="shared" si="58"/>
        <v>4.8605058816845369E-2</v>
      </c>
      <c r="G201">
        <f t="shared" si="59"/>
        <v>39.513748498891111</v>
      </c>
      <c r="H201">
        <f t="shared" si="60"/>
        <v>0</v>
      </c>
      <c r="I201" s="1">
        <f t="shared" si="48"/>
        <v>0</v>
      </c>
      <c r="J201">
        <f t="shared" si="61"/>
        <v>0</v>
      </c>
      <c r="K201">
        <f t="shared" si="49"/>
        <v>0</v>
      </c>
      <c r="L201" cm="1">
        <f t="array" ref="L201">IF(E201*J201=0,0,$C$21*INDEX([3]Sheet1!$C$4:$Q$23,MATCH(K201,[3]Sheet1!$B$4:$B$23,1),MATCH(D201,[3]Sheet1!$C$3:$Q$3,1))
+(K201-INDEX([3]Sheet1!$B$4:$B$23,MATCH(K201,[3]Sheet1!$B$4:$B$23,1),1))/(INDEX([3]Sheet1!$B$4:$B$23,MATCH(K201,[3]Sheet1!$B$4:$B$23,1)+1,1)-INDEX([3]Sheet1!$B$4:$B$23,
MATCH(K201,[3]Sheet1!$B$4:$B$23,1),1))*(INDEX([3]Sheet1!$C$4:$Q$23,MATCH(K201,[3]Sheet1!$B$4:$B$23,1)+1,MATCH(D201,[3]Sheet1!$C$3:$Q$3,1))-INDEX([3]Sheet1!$C$4:$Q$23,
MATCH(K201,[3]Sheet1!$B$4:$B$23,1),MATCH(D201,[3]Sheet1!$C$3:$Q$3,1)))
+(D201-INDEX([3]Sheet1!$C$3:$Q$3,1,MATCH(D201,[3]Sheet1!$C$3:$Q$3)))/(INDEX([3]Sheet1!$C$3:$Q$3,1,MATCH(D201,[3]Sheet1!$C$3:$Q$3)+1)-INDEX([3]Sheet1!$C$3:$Q$3,1,MATCH(
D201,[3]Sheet1!$C$3:$Q$3)))*(INDEX([3]Sheet1!$C$4:$Q$23,MATCH(K201,[3]Sheet1!$B$4:$B$23,1),MATCH(D201,[3]Sheet1!$C$3:$Q$3,1)+1)-INDEX([3]Sheet1!$C$4:$Q$23,MATCH(K201,[3]Sheet1!$B$4:$B$23,1),MATCH(D201,[3]Sheet1!$C$3:$Q$3,1))))</f>
        <v>0</v>
      </c>
      <c r="M201" cm="1">
        <f t="array" ref="M201" xml:space="preserve"> IF(E201*J201=0,0,(INDEX([2]Sheet1!$C$4:$Q$23,MATCH(K201,[2]Sheet1!$B$4:$B$23,1),MATCH(D201,[2]Sheet1!$C$3:$Q$3,1))
+ (K201 - INDEX([2]Sheet1!$B$4:$B$23,MATCH(K201,[2]Sheet1!$B$4:$B$23,1),1))/(INDEX([2]Sheet1!$B$4:$B$23,MATCH(K201,[2]Sheet1!$B$4:$B$23,1)+1,1) - INDEX([2]Sheet1!$B$4:$B$23,MATCH(K201,[2]Sheet1!$B$4:$B$23,1),1))*(INDEX([2]Sheet1!$C$4:$Q$23,MATCH(K201,[2]Sheet1!$B$4:$B$23,1)+1,MATCH(D201,[2]Sheet1!$C$3:$Q$3,1)) - INDEX([2]Sheet1!$C$4:$Q$23,MATCH(K201,[2]Sheet1!$B$4:$B$23,1),MATCH(D201,[2]Sheet1!$C$3:$Q$3,1)))
+ (D201 - INDEX([2]Sheet1!$C$3:$Q$3,1,MATCH(D201,[2]Sheet1!$C$3:$Q$3)))/(INDEX([2]Sheet1!$C$3:$Q$3,1,MATCH(D201,[2]Sheet1!$C$3:$Q$3)+1) - INDEX([2]Sheet1!$C$3:$Q$3,1,MATCH(D201,[2]Sheet1!$C$3:$Q$3)))*(
INDEX([2]Sheet1!$C$4:$Q$23,MATCH(K201,[2]Sheet1!$B$4:$B$23,1),MATCH(D201,[2]Sheet1!$C$3:$Q$3,1)+1) - INDEX([2]Sheet1!$C$4:$Q$23,MATCH(K201,[2]Sheet1!$B$4:$B$23,1),MATCH(D201,[2]Sheet1!$C$3:$Q$3,1)))))</f>
        <v>0</v>
      </c>
      <c r="N201">
        <f t="shared" si="62"/>
        <v>12</v>
      </c>
      <c r="O201">
        <v>9.2194189533124235E-2</v>
      </c>
      <c r="P201" t="e">
        <f t="shared" si="63"/>
        <v>#DIV/0!</v>
      </c>
      <c r="Q201">
        <f t="shared" si="50"/>
        <v>0</v>
      </c>
      <c r="R201">
        <f t="shared" si="64"/>
        <v>741.9099431943954</v>
      </c>
      <c r="T201" t="e">
        <f t="shared" si="53"/>
        <v>#DIV/0!</v>
      </c>
      <c r="U201" t="e">
        <f t="shared" si="54"/>
        <v>#DIV/0!</v>
      </c>
      <c r="V201">
        <f t="shared" si="55"/>
        <v>0</v>
      </c>
      <c r="W201" t="e">
        <f t="shared" si="51"/>
        <v>#DIV/0!</v>
      </c>
    </row>
    <row r="202" spans="1:23" x14ac:dyDescent="0.55000000000000004">
      <c r="A202">
        <f t="shared" si="52"/>
        <v>16.799999999999969</v>
      </c>
      <c r="B202">
        <f t="shared" si="56"/>
        <v>0.316</v>
      </c>
      <c r="C202">
        <f t="shared" si="57"/>
        <v>-5.9565217391304159</v>
      </c>
      <c r="D202">
        <v>2.4613508464912113</v>
      </c>
      <c r="E202">
        <f t="shared" si="47"/>
        <v>0</v>
      </c>
      <c r="F202">
        <f t="shared" si="58"/>
        <v>4.8605058816845369E-2</v>
      </c>
      <c r="G202">
        <f t="shared" si="59"/>
        <v>39.513748498891111</v>
      </c>
      <c r="H202">
        <f t="shared" si="60"/>
        <v>0</v>
      </c>
      <c r="I202" s="1">
        <f t="shared" si="48"/>
        <v>0</v>
      </c>
      <c r="J202">
        <f t="shared" si="61"/>
        <v>0</v>
      </c>
      <c r="K202">
        <f t="shared" si="49"/>
        <v>0</v>
      </c>
      <c r="L202" cm="1">
        <f t="array" ref="L202">IF(E202*J202=0,0,$C$21*INDEX([3]Sheet1!$C$4:$Q$23,MATCH(K202,[3]Sheet1!$B$4:$B$23,1),MATCH(D202,[3]Sheet1!$C$3:$Q$3,1))
+(K202-INDEX([3]Sheet1!$B$4:$B$23,MATCH(K202,[3]Sheet1!$B$4:$B$23,1),1))/(INDEX([3]Sheet1!$B$4:$B$23,MATCH(K202,[3]Sheet1!$B$4:$B$23,1)+1,1)-INDEX([3]Sheet1!$B$4:$B$23,
MATCH(K202,[3]Sheet1!$B$4:$B$23,1),1))*(INDEX([3]Sheet1!$C$4:$Q$23,MATCH(K202,[3]Sheet1!$B$4:$B$23,1)+1,MATCH(D202,[3]Sheet1!$C$3:$Q$3,1))-INDEX([3]Sheet1!$C$4:$Q$23,
MATCH(K202,[3]Sheet1!$B$4:$B$23,1),MATCH(D202,[3]Sheet1!$C$3:$Q$3,1)))
+(D202-INDEX([3]Sheet1!$C$3:$Q$3,1,MATCH(D202,[3]Sheet1!$C$3:$Q$3)))/(INDEX([3]Sheet1!$C$3:$Q$3,1,MATCH(D202,[3]Sheet1!$C$3:$Q$3)+1)-INDEX([3]Sheet1!$C$3:$Q$3,1,MATCH(
D202,[3]Sheet1!$C$3:$Q$3)))*(INDEX([3]Sheet1!$C$4:$Q$23,MATCH(K202,[3]Sheet1!$B$4:$B$23,1),MATCH(D202,[3]Sheet1!$C$3:$Q$3,1)+1)-INDEX([3]Sheet1!$C$4:$Q$23,MATCH(K202,[3]Sheet1!$B$4:$B$23,1),MATCH(D202,[3]Sheet1!$C$3:$Q$3,1))))</f>
        <v>0</v>
      </c>
      <c r="M202" cm="1">
        <f t="array" ref="M202" xml:space="preserve"> IF(E202*J202=0,0,(INDEX([2]Sheet1!$C$4:$Q$23,MATCH(K202,[2]Sheet1!$B$4:$B$23,1),MATCH(D202,[2]Sheet1!$C$3:$Q$3,1))
+ (K202 - INDEX([2]Sheet1!$B$4:$B$23,MATCH(K202,[2]Sheet1!$B$4:$B$23,1),1))/(INDEX([2]Sheet1!$B$4:$B$23,MATCH(K202,[2]Sheet1!$B$4:$B$23,1)+1,1) - INDEX([2]Sheet1!$B$4:$B$23,MATCH(K202,[2]Sheet1!$B$4:$B$23,1),1))*(INDEX([2]Sheet1!$C$4:$Q$23,MATCH(K202,[2]Sheet1!$B$4:$B$23,1)+1,MATCH(D202,[2]Sheet1!$C$3:$Q$3,1)) - INDEX([2]Sheet1!$C$4:$Q$23,MATCH(K202,[2]Sheet1!$B$4:$B$23,1),MATCH(D202,[2]Sheet1!$C$3:$Q$3,1)))
+ (D202 - INDEX([2]Sheet1!$C$3:$Q$3,1,MATCH(D202,[2]Sheet1!$C$3:$Q$3)))/(INDEX([2]Sheet1!$C$3:$Q$3,1,MATCH(D202,[2]Sheet1!$C$3:$Q$3)+1) - INDEX([2]Sheet1!$C$3:$Q$3,1,MATCH(D202,[2]Sheet1!$C$3:$Q$3)))*(
INDEX([2]Sheet1!$C$4:$Q$23,MATCH(K202,[2]Sheet1!$B$4:$B$23,1),MATCH(D202,[2]Sheet1!$C$3:$Q$3,1)+1) - INDEX([2]Sheet1!$C$4:$Q$23,MATCH(K202,[2]Sheet1!$B$4:$B$23,1),MATCH(D202,[2]Sheet1!$C$3:$Q$3,1)))))</f>
        <v>0</v>
      </c>
      <c r="N202">
        <f t="shared" si="62"/>
        <v>12</v>
      </c>
      <c r="O202">
        <v>9.216480211927551E-2</v>
      </c>
      <c r="P202" t="e">
        <f t="shared" si="63"/>
        <v>#DIV/0!</v>
      </c>
      <c r="Q202">
        <f t="shared" si="50"/>
        <v>0</v>
      </c>
      <c r="R202">
        <f t="shared" si="64"/>
        <v>741.9099431943954</v>
      </c>
      <c r="T202" t="e">
        <f t="shared" si="53"/>
        <v>#DIV/0!</v>
      </c>
      <c r="U202" t="e">
        <f t="shared" si="54"/>
        <v>#DIV/0!</v>
      </c>
      <c r="V202">
        <f t="shared" si="55"/>
        <v>0</v>
      </c>
      <c r="W202" t="e">
        <f t="shared" si="51"/>
        <v>#DIV/0!</v>
      </c>
    </row>
    <row r="203" spans="1:23" x14ac:dyDescent="0.55000000000000004">
      <c r="A203">
        <f t="shared" si="52"/>
        <v>16.89999999999997</v>
      </c>
      <c r="B203">
        <f t="shared" si="56"/>
        <v>0.316</v>
      </c>
      <c r="C203">
        <f t="shared" si="57"/>
        <v>-6.0217391304347636</v>
      </c>
      <c r="D203">
        <v>2.461207364326766</v>
      </c>
      <c r="E203">
        <f t="shared" si="47"/>
        <v>0</v>
      </c>
      <c r="F203">
        <f t="shared" si="58"/>
        <v>4.8605058816845369E-2</v>
      </c>
      <c r="G203">
        <f t="shared" si="59"/>
        <v>39.513748498891111</v>
      </c>
      <c r="H203">
        <f t="shared" si="60"/>
        <v>0</v>
      </c>
      <c r="I203" s="1">
        <f t="shared" si="48"/>
        <v>0</v>
      </c>
      <c r="J203">
        <f t="shared" si="61"/>
        <v>0</v>
      </c>
      <c r="K203">
        <f t="shared" si="49"/>
        <v>0</v>
      </c>
      <c r="L203" cm="1">
        <f t="array" ref="L203">IF(E203*J203=0,0,$C$21*INDEX([3]Sheet1!$C$4:$Q$23,MATCH(K203,[3]Sheet1!$B$4:$B$23,1),MATCH(D203,[3]Sheet1!$C$3:$Q$3,1))
+(K203-INDEX([3]Sheet1!$B$4:$B$23,MATCH(K203,[3]Sheet1!$B$4:$B$23,1),1))/(INDEX([3]Sheet1!$B$4:$B$23,MATCH(K203,[3]Sheet1!$B$4:$B$23,1)+1,1)-INDEX([3]Sheet1!$B$4:$B$23,
MATCH(K203,[3]Sheet1!$B$4:$B$23,1),1))*(INDEX([3]Sheet1!$C$4:$Q$23,MATCH(K203,[3]Sheet1!$B$4:$B$23,1)+1,MATCH(D203,[3]Sheet1!$C$3:$Q$3,1))-INDEX([3]Sheet1!$C$4:$Q$23,
MATCH(K203,[3]Sheet1!$B$4:$B$23,1),MATCH(D203,[3]Sheet1!$C$3:$Q$3,1)))
+(D203-INDEX([3]Sheet1!$C$3:$Q$3,1,MATCH(D203,[3]Sheet1!$C$3:$Q$3)))/(INDEX([3]Sheet1!$C$3:$Q$3,1,MATCH(D203,[3]Sheet1!$C$3:$Q$3)+1)-INDEX([3]Sheet1!$C$3:$Q$3,1,MATCH(
D203,[3]Sheet1!$C$3:$Q$3)))*(INDEX([3]Sheet1!$C$4:$Q$23,MATCH(K203,[3]Sheet1!$B$4:$B$23,1),MATCH(D203,[3]Sheet1!$C$3:$Q$3,1)+1)-INDEX([3]Sheet1!$C$4:$Q$23,MATCH(K203,[3]Sheet1!$B$4:$B$23,1),MATCH(D203,[3]Sheet1!$C$3:$Q$3,1))))</f>
        <v>0</v>
      </c>
      <c r="M203" cm="1">
        <f t="array" ref="M203" xml:space="preserve"> IF(E203*J203=0,0,(INDEX([2]Sheet1!$C$4:$Q$23,MATCH(K203,[2]Sheet1!$B$4:$B$23,1),MATCH(D203,[2]Sheet1!$C$3:$Q$3,1))
+ (K203 - INDEX([2]Sheet1!$B$4:$B$23,MATCH(K203,[2]Sheet1!$B$4:$B$23,1),1))/(INDEX([2]Sheet1!$B$4:$B$23,MATCH(K203,[2]Sheet1!$B$4:$B$23,1)+1,1) - INDEX([2]Sheet1!$B$4:$B$23,MATCH(K203,[2]Sheet1!$B$4:$B$23,1),1))*(INDEX([2]Sheet1!$C$4:$Q$23,MATCH(K203,[2]Sheet1!$B$4:$B$23,1)+1,MATCH(D203,[2]Sheet1!$C$3:$Q$3,1)) - INDEX([2]Sheet1!$C$4:$Q$23,MATCH(K203,[2]Sheet1!$B$4:$B$23,1),MATCH(D203,[2]Sheet1!$C$3:$Q$3,1)))
+ (D203 - INDEX([2]Sheet1!$C$3:$Q$3,1,MATCH(D203,[2]Sheet1!$C$3:$Q$3)))/(INDEX([2]Sheet1!$C$3:$Q$3,1,MATCH(D203,[2]Sheet1!$C$3:$Q$3)+1) - INDEX([2]Sheet1!$C$3:$Q$3,1,MATCH(D203,[2]Sheet1!$C$3:$Q$3)))*(
INDEX([2]Sheet1!$C$4:$Q$23,MATCH(K203,[2]Sheet1!$B$4:$B$23,1),MATCH(D203,[2]Sheet1!$C$3:$Q$3,1)+1) - INDEX([2]Sheet1!$C$4:$Q$23,MATCH(K203,[2]Sheet1!$B$4:$B$23,1),MATCH(D203,[2]Sheet1!$C$3:$Q$3,1)))))</f>
        <v>0</v>
      </c>
      <c r="N203">
        <f t="shared" si="62"/>
        <v>12</v>
      </c>
      <c r="O203">
        <v>9.213550051431664E-2</v>
      </c>
      <c r="P203" t="e">
        <f t="shared" si="63"/>
        <v>#DIV/0!</v>
      </c>
      <c r="Q203">
        <f t="shared" si="50"/>
        <v>0</v>
      </c>
      <c r="R203">
        <f t="shared" si="64"/>
        <v>741.9099431943954</v>
      </c>
      <c r="T203" t="e">
        <f t="shared" si="53"/>
        <v>#DIV/0!</v>
      </c>
      <c r="U203" t="e">
        <f t="shared" si="54"/>
        <v>#DIV/0!</v>
      </c>
      <c r="V203">
        <f t="shared" si="55"/>
        <v>0</v>
      </c>
      <c r="W203" t="e">
        <f t="shared" si="51"/>
        <v>#DIV/0!</v>
      </c>
    </row>
    <row r="204" spans="1:23" x14ac:dyDescent="0.55000000000000004">
      <c r="A204">
        <f t="shared" si="52"/>
        <v>16.999999999999972</v>
      </c>
      <c r="B204">
        <f t="shared" si="56"/>
        <v>0.316</v>
      </c>
      <c r="C204">
        <f t="shared" si="57"/>
        <v>-6.0869565217391131</v>
      </c>
      <c r="D204">
        <v>2.4610642531674189</v>
      </c>
      <c r="E204">
        <f t="shared" si="47"/>
        <v>0</v>
      </c>
      <c r="F204">
        <f t="shared" si="58"/>
        <v>4.8605058816845369E-2</v>
      </c>
      <c r="G204">
        <f t="shared" si="59"/>
        <v>39.513748498891111</v>
      </c>
      <c r="H204">
        <f t="shared" si="60"/>
        <v>0</v>
      </c>
      <c r="I204" s="1">
        <f t="shared" si="48"/>
        <v>0</v>
      </c>
      <c r="J204">
        <f t="shared" si="61"/>
        <v>0</v>
      </c>
      <c r="K204">
        <f t="shared" si="49"/>
        <v>0</v>
      </c>
      <c r="L204" cm="1">
        <f t="array" ref="L204">IF(E204*J204=0,0,$C$21*INDEX([3]Sheet1!$C$4:$Q$23,MATCH(K204,[3]Sheet1!$B$4:$B$23,1),MATCH(D204,[3]Sheet1!$C$3:$Q$3,1))
+(K204-INDEX([3]Sheet1!$B$4:$B$23,MATCH(K204,[3]Sheet1!$B$4:$B$23,1),1))/(INDEX([3]Sheet1!$B$4:$B$23,MATCH(K204,[3]Sheet1!$B$4:$B$23,1)+1,1)-INDEX([3]Sheet1!$B$4:$B$23,
MATCH(K204,[3]Sheet1!$B$4:$B$23,1),1))*(INDEX([3]Sheet1!$C$4:$Q$23,MATCH(K204,[3]Sheet1!$B$4:$B$23,1)+1,MATCH(D204,[3]Sheet1!$C$3:$Q$3,1))-INDEX([3]Sheet1!$C$4:$Q$23,
MATCH(K204,[3]Sheet1!$B$4:$B$23,1),MATCH(D204,[3]Sheet1!$C$3:$Q$3,1)))
+(D204-INDEX([3]Sheet1!$C$3:$Q$3,1,MATCH(D204,[3]Sheet1!$C$3:$Q$3)))/(INDEX([3]Sheet1!$C$3:$Q$3,1,MATCH(D204,[3]Sheet1!$C$3:$Q$3)+1)-INDEX([3]Sheet1!$C$3:$Q$3,1,MATCH(
D204,[3]Sheet1!$C$3:$Q$3)))*(INDEX([3]Sheet1!$C$4:$Q$23,MATCH(K204,[3]Sheet1!$B$4:$B$23,1),MATCH(D204,[3]Sheet1!$C$3:$Q$3,1)+1)-INDEX([3]Sheet1!$C$4:$Q$23,MATCH(K204,[3]Sheet1!$B$4:$B$23,1),MATCH(D204,[3]Sheet1!$C$3:$Q$3,1))))</f>
        <v>0</v>
      </c>
      <c r="M204" cm="1">
        <f t="array" ref="M204" xml:space="preserve"> IF(E204*J204=0,0,(INDEX([2]Sheet1!$C$4:$Q$23,MATCH(K204,[2]Sheet1!$B$4:$B$23,1),MATCH(D204,[2]Sheet1!$C$3:$Q$3,1))
+ (K204 - INDEX([2]Sheet1!$B$4:$B$23,MATCH(K204,[2]Sheet1!$B$4:$B$23,1),1))/(INDEX([2]Sheet1!$B$4:$B$23,MATCH(K204,[2]Sheet1!$B$4:$B$23,1)+1,1) - INDEX([2]Sheet1!$B$4:$B$23,MATCH(K204,[2]Sheet1!$B$4:$B$23,1),1))*(INDEX([2]Sheet1!$C$4:$Q$23,MATCH(K204,[2]Sheet1!$B$4:$B$23,1)+1,MATCH(D204,[2]Sheet1!$C$3:$Q$3,1)) - INDEX([2]Sheet1!$C$4:$Q$23,MATCH(K204,[2]Sheet1!$B$4:$B$23,1),MATCH(D204,[2]Sheet1!$C$3:$Q$3,1)))
+ (D204 - INDEX([2]Sheet1!$C$3:$Q$3,1,MATCH(D204,[2]Sheet1!$C$3:$Q$3)))/(INDEX([2]Sheet1!$C$3:$Q$3,1,MATCH(D204,[2]Sheet1!$C$3:$Q$3)+1) - INDEX([2]Sheet1!$C$3:$Q$3,1,MATCH(D204,[2]Sheet1!$C$3:$Q$3)))*(
INDEX([2]Sheet1!$C$4:$Q$23,MATCH(K204,[2]Sheet1!$B$4:$B$23,1),MATCH(D204,[2]Sheet1!$C$3:$Q$3,1)+1) - INDEX([2]Sheet1!$C$4:$Q$23,MATCH(K204,[2]Sheet1!$B$4:$B$23,1),MATCH(D204,[2]Sheet1!$C$3:$Q$3,1)))))</f>
        <v>0</v>
      </c>
      <c r="N204">
        <f t="shared" si="62"/>
        <v>12</v>
      </c>
      <c r="O204">
        <v>9.2106284234930669E-2</v>
      </c>
      <c r="P204" t="e">
        <f t="shared" si="63"/>
        <v>#DIV/0!</v>
      </c>
      <c r="Q204">
        <f t="shared" si="50"/>
        <v>0</v>
      </c>
      <c r="R204">
        <f t="shared" si="64"/>
        <v>741.9099431943954</v>
      </c>
      <c r="T204" t="e">
        <f t="shared" si="53"/>
        <v>#DIV/0!</v>
      </c>
      <c r="U204" t="e">
        <f t="shared" si="54"/>
        <v>#DIV/0!</v>
      </c>
      <c r="V204">
        <f t="shared" si="55"/>
        <v>0</v>
      </c>
      <c r="W204" t="e">
        <f t="shared" si="51"/>
        <v>#DIV/0!</v>
      </c>
    </row>
    <row r="205" spans="1:23" x14ac:dyDescent="0.55000000000000004">
      <c r="A205">
        <f t="shared" si="52"/>
        <v>17.099999999999973</v>
      </c>
      <c r="B205">
        <f t="shared" si="56"/>
        <v>0.316</v>
      </c>
      <c r="C205">
        <f t="shared" si="57"/>
        <v>-6.1521739130434607</v>
      </c>
      <c r="D205">
        <v>2.460921511039357</v>
      </c>
      <c r="E205">
        <f t="shared" si="47"/>
        <v>0</v>
      </c>
      <c r="F205">
        <f t="shared" si="58"/>
        <v>4.8605058816845369E-2</v>
      </c>
      <c r="G205">
        <f t="shared" si="59"/>
        <v>39.513748498891111</v>
      </c>
      <c r="H205">
        <f t="shared" si="60"/>
        <v>0</v>
      </c>
      <c r="I205" s="1">
        <f t="shared" si="48"/>
        <v>0</v>
      </c>
      <c r="J205">
        <f t="shared" si="61"/>
        <v>0</v>
      </c>
      <c r="K205">
        <f t="shared" si="49"/>
        <v>0</v>
      </c>
      <c r="L205" cm="1">
        <f t="array" ref="L205">IF(E205*J205=0,0,$C$21*INDEX([3]Sheet1!$C$4:$Q$23,MATCH(K205,[3]Sheet1!$B$4:$B$23,1),MATCH(D205,[3]Sheet1!$C$3:$Q$3,1))
+(K205-INDEX([3]Sheet1!$B$4:$B$23,MATCH(K205,[3]Sheet1!$B$4:$B$23,1),1))/(INDEX([3]Sheet1!$B$4:$B$23,MATCH(K205,[3]Sheet1!$B$4:$B$23,1)+1,1)-INDEX([3]Sheet1!$B$4:$B$23,
MATCH(K205,[3]Sheet1!$B$4:$B$23,1),1))*(INDEX([3]Sheet1!$C$4:$Q$23,MATCH(K205,[3]Sheet1!$B$4:$B$23,1)+1,MATCH(D205,[3]Sheet1!$C$3:$Q$3,1))-INDEX([3]Sheet1!$C$4:$Q$23,
MATCH(K205,[3]Sheet1!$B$4:$B$23,1),MATCH(D205,[3]Sheet1!$C$3:$Q$3,1)))
+(D205-INDEX([3]Sheet1!$C$3:$Q$3,1,MATCH(D205,[3]Sheet1!$C$3:$Q$3)))/(INDEX([3]Sheet1!$C$3:$Q$3,1,MATCH(D205,[3]Sheet1!$C$3:$Q$3)+1)-INDEX([3]Sheet1!$C$3:$Q$3,1,MATCH(
D205,[3]Sheet1!$C$3:$Q$3)))*(INDEX([3]Sheet1!$C$4:$Q$23,MATCH(K205,[3]Sheet1!$B$4:$B$23,1),MATCH(D205,[3]Sheet1!$C$3:$Q$3,1)+1)-INDEX([3]Sheet1!$C$4:$Q$23,MATCH(K205,[3]Sheet1!$B$4:$B$23,1),MATCH(D205,[3]Sheet1!$C$3:$Q$3,1))))</f>
        <v>0</v>
      </c>
      <c r="M205" cm="1">
        <f t="array" ref="M205" xml:space="preserve"> IF(E205*J205=0,0,(INDEX([2]Sheet1!$C$4:$Q$23,MATCH(K205,[2]Sheet1!$B$4:$B$23,1),MATCH(D205,[2]Sheet1!$C$3:$Q$3,1))
+ (K205 - INDEX([2]Sheet1!$B$4:$B$23,MATCH(K205,[2]Sheet1!$B$4:$B$23,1),1))/(INDEX([2]Sheet1!$B$4:$B$23,MATCH(K205,[2]Sheet1!$B$4:$B$23,1)+1,1) - INDEX([2]Sheet1!$B$4:$B$23,MATCH(K205,[2]Sheet1!$B$4:$B$23,1),1))*(INDEX([2]Sheet1!$C$4:$Q$23,MATCH(K205,[2]Sheet1!$B$4:$B$23,1)+1,MATCH(D205,[2]Sheet1!$C$3:$Q$3,1)) - INDEX([2]Sheet1!$C$4:$Q$23,MATCH(K205,[2]Sheet1!$B$4:$B$23,1),MATCH(D205,[2]Sheet1!$C$3:$Q$3,1)))
+ (D205 - INDEX([2]Sheet1!$C$3:$Q$3,1,MATCH(D205,[2]Sheet1!$C$3:$Q$3)))/(INDEX([2]Sheet1!$C$3:$Q$3,1,MATCH(D205,[2]Sheet1!$C$3:$Q$3)+1) - INDEX([2]Sheet1!$C$3:$Q$3,1,MATCH(D205,[2]Sheet1!$C$3:$Q$3)))*(
INDEX([2]Sheet1!$C$4:$Q$23,MATCH(K205,[2]Sheet1!$B$4:$B$23,1),MATCH(D205,[2]Sheet1!$C$3:$Q$3,1)+1) - INDEX([2]Sheet1!$C$4:$Q$23,MATCH(K205,[2]Sheet1!$B$4:$B$23,1),MATCH(D205,[2]Sheet1!$C$3:$Q$3,1)))))</f>
        <v>0</v>
      </c>
      <c r="N205">
        <f t="shared" si="62"/>
        <v>12</v>
      </c>
      <c r="O205">
        <v>9.2077152801830223E-2</v>
      </c>
      <c r="P205" t="e">
        <f t="shared" si="63"/>
        <v>#DIV/0!</v>
      </c>
      <c r="Q205">
        <f t="shared" si="50"/>
        <v>0</v>
      </c>
      <c r="R205">
        <f t="shared" si="64"/>
        <v>741.9099431943954</v>
      </c>
      <c r="T205" t="e">
        <f t="shared" si="53"/>
        <v>#DIV/0!</v>
      </c>
      <c r="U205" t="e">
        <f t="shared" si="54"/>
        <v>#DIV/0!</v>
      </c>
      <c r="V205">
        <f t="shared" si="55"/>
        <v>0</v>
      </c>
      <c r="W205" t="e">
        <f t="shared" si="51"/>
        <v>#DIV/0!</v>
      </c>
    </row>
    <row r="206" spans="1:23" x14ac:dyDescent="0.55000000000000004">
      <c r="A206">
        <f t="shared" si="52"/>
        <v>17.199999999999974</v>
      </c>
      <c r="B206">
        <f t="shared" si="56"/>
        <v>0.316</v>
      </c>
      <c r="C206">
        <f t="shared" si="57"/>
        <v>-6.2173913043478102</v>
      </c>
      <c r="D206">
        <v>2.4607791359674618</v>
      </c>
      <c r="E206">
        <f t="shared" si="47"/>
        <v>0</v>
      </c>
      <c r="F206">
        <f t="shared" si="58"/>
        <v>4.8605058816845369E-2</v>
      </c>
      <c r="G206">
        <f t="shared" si="59"/>
        <v>39.513748498891111</v>
      </c>
      <c r="H206">
        <f t="shared" si="60"/>
        <v>0</v>
      </c>
      <c r="I206" s="1">
        <f t="shared" si="48"/>
        <v>0</v>
      </c>
      <c r="J206">
        <f t="shared" si="61"/>
        <v>0</v>
      </c>
      <c r="K206">
        <f t="shared" si="49"/>
        <v>0</v>
      </c>
      <c r="L206" cm="1">
        <f t="array" ref="L206">IF(E206*J206=0,0,$C$21*INDEX([3]Sheet1!$C$4:$Q$23,MATCH(K206,[3]Sheet1!$B$4:$B$23,1),MATCH(D206,[3]Sheet1!$C$3:$Q$3,1))
+(K206-INDEX([3]Sheet1!$B$4:$B$23,MATCH(K206,[3]Sheet1!$B$4:$B$23,1),1))/(INDEX([3]Sheet1!$B$4:$B$23,MATCH(K206,[3]Sheet1!$B$4:$B$23,1)+1,1)-INDEX([3]Sheet1!$B$4:$B$23,
MATCH(K206,[3]Sheet1!$B$4:$B$23,1),1))*(INDEX([3]Sheet1!$C$4:$Q$23,MATCH(K206,[3]Sheet1!$B$4:$B$23,1)+1,MATCH(D206,[3]Sheet1!$C$3:$Q$3,1))-INDEX([3]Sheet1!$C$4:$Q$23,
MATCH(K206,[3]Sheet1!$B$4:$B$23,1),MATCH(D206,[3]Sheet1!$C$3:$Q$3,1)))
+(D206-INDEX([3]Sheet1!$C$3:$Q$3,1,MATCH(D206,[3]Sheet1!$C$3:$Q$3)))/(INDEX([3]Sheet1!$C$3:$Q$3,1,MATCH(D206,[3]Sheet1!$C$3:$Q$3)+1)-INDEX([3]Sheet1!$C$3:$Q$3,1,MATCH(
D206,[3]Sheet1!$C$3:$Q$3)))*(INDEX([3]Sheet1!$C$4:$Q$23,MATCH(K206,[3]Sheet1!$B$4:$B$23,1),MATCH(D206,[3]Sheet1!$C$3:$Q$3,1)+1)-INDEX([3]Sheet1!$C$4:$Q$23,MATCH(K206,[3]Sheet1!$B$4:$B$23,1),MATCH(D206,[3]Sheet1!$C$3:$Q$3,1))))</f>
        <v>0</v>
      </c>
      <c r="M206" cm="1">
        <f t="array" ref="M206" xml:space="preserve"> IF(E206*J206=0,0,(INDEX([2]Sheet1!$C$4:$Q$23,MATCH(K206,[2]Sheet1!$B$4:$B$23,1),MATCH(D206,[2]Sheet1!$C$3:$Q$3,1))
+ (K206 - INDEX([2]Sheet1!$B$4:$B$23,MATCH(K206,[2]Sheet1!$B$4:$B$23,1),1))/(INDEX([2]Sheet1!$B$4:$B$23,MATCH(K206,[2]Sheet1!$B$4:$B$23,1)+1,1) - INDEX([2]Sheet1!$B$4:$B$23,MATCH(K206,[2]Sheet1!$B$4:$B$23,1),1))*(INDEX([2]Sheet1!$C$4:$Q$23,MATCH(K206,[2]Sheet1!$B$4:$B$23,1)+1,MATCH(D206,[2]Sheet1!$C$3:$Q$3,1)) - INDEX([2]Sheet1!$C$4:$Q$23,MATCH(K206,[2]Sheet1!$B$4:$B$23,1),MATCH(D206,[2]Sheet1!$C$3:$Q$3,1)))
+ (D206 - INDEX([2]Sheet1!$C$3:$Q$3,1,MATCH(D206,[2]Sheet1!$C$3:$Q$3)))/(INDEX([2]Sheet1!$C$3:$Q$3,1,MATCH(D206,[2]Sheet1!$C$3:$Q$3)+1) - INDEX([2]Sheet1!$C$3:$Q$3,1,MATCH(D206,[2]Sheet1!$C$3:$Q$3)))*(
INDEX([2]Sheet1!$C$4:$Q$23,MATCH(K206,[2]Sheet1!$B$4:$B$23,1),MATCH(D206,[2]Sheet1!$C$3:$Q$3,1)+1) - INDEX([2]Sheet1!$C$4:$Q$23,MATCH(K206,[2]Sheet1!$B$4:$B$23,1),MATCH(D206,[2]Sheet1!$C$3:$Q$3,1)))))</f>
        <v>0</v>
      </c>
      <c r="N206">
        <f t="shared" si="62"/>
        <v>12</v>
      </c>
      <c r="O206">
        <v>9.2048105736302482E-2</v>
      </c>
      <c r="P206" t="e">
        <f t="shared" si="63"/>
        <v>#DIV/0!</v>
      </c>
      <c r="Q206">
        <f t="shared" si="50"/>
        <v>0</v>
      </c>
      <c r="R206">
        <f t="shared" si="64"/>
        <v>741.9099431943954</v>
      </c>
      <c r="T206" t="e">
        <f t="shared" si="53"/>
        <v>#DIV/0!</v>
      </c>
      <c r="U206" t="e">
        <f t="shared" si="54"/>
        <v>#DIV/0!</v>
      </c>
      <c r="V206">
        <f t="shared" si="55"/>
        <v>0</v>
      </c>
      <c r="W206" t="e">
        <f t="shared" si="51"/>
        <v>#DIV/0!</v>
      </c>
    </row>
    <row r="207" spans="1:23" x14ac:dyDescent="0.55000000000000004">
      <c r="A207">
        <f t="shared" si="52"/>
        <v>17.299999999999976</v>
      </c>
      <c r="B207">
        <f t="shared" si="56"/>
        <v>0.316</v>
      </c>
      <c r="C207">
        <f t="shared" si="57"/>
        <v>-6.2826086956521596</v>
      </c>
      <c r="D207">
        <v>2.4606371260172848</v>
      </c>
      <c r="E207">
        <f t="shared" si="47"/>
        <v>0</v>
      </c>
      <c r="F207">
        <f t="shared" si="58"/>
        <v>4.8605058816845369E-2</v>
      </c>
      <c r="G207">
        <f t="shared" si="59"/>
        <v>39.513748498891111</v>
      </c>
      <c r="H207">
        <f t="shared" si="60"/>
        <v>0</v>
      </c>
      <c r="I207" s="1">
        <f t="shared" si="48"/>
        <v>0</v>
      </c>
      <c r="J207">
        <f t="shared" si="61"/>
        <v>0</v>
      </c>
      <c r="K207">
        <f t="shared" si="49"/>
        <v>0</v>
      </c>
      <c r="L207" cm="1">
        <f t="array" ref="L207">IF(E207*J207=0,0,$C$21*INDEX([3]Sheet1!$C$4:$Q$23,MATCH(K207,[3]Sheet1!$B$4:$B$23,1),MATCH(D207,[3]Sheet1!$C$3:$Q$3,1))
+(K207-INDEX([3]Sheet1!$B$4:$B$23,MATCH(K207,[3]Sheet1!$B$4:$B$23,1),1))/(INDEX([3]Sheet1!$B$4:$B$23,MATCH(K207,[3]Sheet1!$B$4:$B$23,1)+1,1)-INDEX([3]Sheet1!$B$4:$B$23,
MATCH(K207,[3]Sheet1!$B$4:$B$23,1),1))*(INDEX([3]Sheet1!$C$4:$Q$23,MATCH(K207,[3]Sheet1!$B$4:$B$23,1)+1,MATCH(D207,[3]Sheet1!$C$3:$Q$3,1))-INDEX([3]Sheet1!$C$4:$Q$23,
MATCH(K207,[3]Sheet1!$B$4:$B$23,1),MATCH(D207,[3]Sheet1!$C$3:$Q$3,1)))
+(D207-INDEX([3]Sheet1!$C$3:$Q$3,1,MATCH(D207,[3]Sheet1!$C$3:$Q$3)))/(INDEX([3]Sheet1!$C$3:$Q$3,1,MATCH(D207,[3]Sheet1!$C$3:$Q$3)+1)-INDEX([3]Sheet1!$C$3:$Q$3,1,MATCH(
D207,[3]Sheet1!$C$3:$Q$3)))*(INDEX([3]Sheet1!$C$4:$Q$23,MATCH(K207,[3]Sheet1!$B$4:$B$23,1),MATCH(D207,[3]Sheet1!$C$3:$Q$3,1)+1)-INDEX([3]Sheet1!$C$4:$Q$23,MATCH(K207,[3]Sheet1!$B$4:$B$23,1),MATCH(D207,[3]Sheet1!$C$3:$Q$3,1))))</f>
        <v>0</v>
      </c>
      <c r="M207" cm="1">
        <f t="array" ref="M207" xml:space="preserve"> IF(E207*J207=0,0,(INDEX([2]Sheet1!$C$4:$Q$23,MATCH(K207,[2]Sheet1!$B$4:$B$23,1),MATCH(D207,[2]Sheet1!$C$3:$Q$3,1))
+ (K207 - INDEX([2]Sheet1!$B$4:$B$23,MATCH(K207,[2]Sheet1!$B$4:$B$23,1),1))/(INDEX([2]Sheet1!$B$4:$B$23,MATCH(K207,[2]Sheet1!$B$4:$B$23,1)+1,1) - INDEX([2]Sheet1!$B$4:$B$23,MATCH(K207,[2]Sheet1!$B$4:$B$23,1),1))*(INDEX([2]Sheet1!$C$4:$Q$23,MATCH(K207,[2]Sheet1!$B$4:$B$23,1)+1,MATCH(D207,[2]Sheet1!$C$3:$Q$3,1)) - INDEX([2]Sheet1!$C$4:$Q$23,MATCH(K207,[2]Sheet1!$B$4:$B$23,1),MATCH(D207,[2]Sheet1!$C$3:$Q$3,1)))
+ (D207 - INDEX([2]Sheet1!$C$3:$Q$3,1,MATCH(D207,[2]Sheet1!$C$3:$Q$3)))/(INDEX([2]Sheet1!$C$3:$Q$3,1,MATCH(D207,[2]Sheet1!$C$3:$Q$3)+1) - INDEX([2]Sheet1!$C$3:$Q$3,1,MATCH(D207,[2]Sheet1!$C$3:$Q$3)))*(
INDEX([2]Sheet1!$C$4:$Q$23,MATCH(K207,[2]Sheet1!$B$4:$B$23,1),MATCH(D207,[2]Sheet1!$C$3:$Q$3,1)+1) - INDEX([2]Sheet1!$C$4:$Q$23,MATCH(K207,[2]Sheet1!$B$4:$B$23,1),MATCH(D207,[2]Sheet1!$C$3:$Q$3,1)))))</f>
        <v>0</v>
      </c>
      <c r="N207">
        <f t="shared" si="62"/>
        <v>12</v>
      </c>
      <c r="O207">
        <v>9.2019142568568107E-2</v>
      </c>
      <c r="P207" t="e">
        <f t="shared" si="63"/>
        <v>#DIV/0!</v>
      </c>
      <c r="Q207">
        <f t="shared" si="50"/>
        <v>0</v>
      </c>
      <c r="R207">
        <f t="shared" si="64"/>
        <v>741.9099431943954</v>
      </c>
      <c r="T207" t="e">
        <f t="shared" si="53"/>
        <v>#DIV/0!</v>
      </c>
      <c r="U207" t="e">
        <f t="shared" si="54"/>
        <v>#DIV/0!</v>
      </c>
      <c r="V207">
        <f t="shared" si="55"/>
        <v>0</v>
      </c>
      <c r="W207" t="e">
        <f t="shared" si="51"/>
        <v>#DIV/0!</v>
      </c>
    </row>
    <row r="208" spans="1:23" x14ac:dyDescent="0.55000000000000004">
      <c r="A208">
        <f t="shared" si="52"/>
        <v>17.399999999999977</v>
      </c>
      <c r="B208">
        <f t="shared" si="56"/>
        <v>0.316</v>
      </c>
      <c r="C208">
        <f t="shared" si="57"/>
        <v>-6.3478260869565073</v>
      </c>
      <c r="D208">
        <v>2.4604954792711529</v>
      </c>
      <c r="E208">
        <f t="shared" si="47"/>
        <v>0</v>
      </c>
      <c r="F208">
        <f t="shared" si="58"/>
        <v>4.8605058816845369E-2</v>
      </c>
      <c r="G208">
        <f t="shared" si="59"/>
        <v>39.513748498891111</v>
      </c>
      <c r="H208">
        <f t="shared" si="60"/>
        <v>0</v>
      </c>
      <c r="I208" s="1">
        <f t="shared" si="48"/>
        <v>0</v>
      </c>
      <c r="J208">
        <f t="shared" si="61"/>
        <v>0</v>
      </c>
      <c r="K208">
        <f t="shared" si="49"/>
        <v>0</v>
      </c>
      <c r="L208" cm="1">
        <f t="array" ref="L208">IF(E208*J208=0,0,$C$21*INDEX([3]Sheet1!$C$4:$Q$23,MATCH(K208,[3]Sheet1!$B$4:$B$23,1),MATCH(D208,[3]Sheet1!$C$3:$Q$3,1))
+(K208-INDEX([3]Sheet1!$B$4:$B$23,MATCH(K208,[3]Sheet1!$B$4:$B$23,1),1))/(INDEX([3]Sheet1!$B$4:$B$23,MATCH(K208,[3]Sheet1!$B$4:$B$23,1)+1,1)-INDEX([3]Sheet1!$B$4:$B$23,
MATCH(K208,[3]Sheet1!$B$4:$B$23,1),1))*(INDEX([3]Sheet1!$C$4:$Q$23,MATCH(K208,[3]Sheet1!$B$4:$B$23,1)+1,MATCH(D208,[3]Sheet1!$C$3:$Q$3,1))-INDEX([3]Sheet1!$C$4:$Q$23,
MATCH(K208,[3]Sheet1!$B$4:$B$23,1),MATCH(D208,[3]Sheet1!$C$3:$Q$3,1)))
+(D208-INDEX([3]Sheet1!$C$3:$Q$3,1,MATCH(D208,[3]Sheet1!$C$3:$Q$3)))/(INDEX([3]Sheet1!$C$3:$Q$3,1,MATCH(D208,[3]Sheet1!$C$3:$Q$3)+1)-INDEX([3]Sheet1!$C$3:$Q$3,1,MATCH(
D208,[3]Sheet1!$C$3:$Q$3)))*(INDEX([3]Sheet1!$C$4:$Q$23,MATCH(K208,[3]Sheet1!$B$4:$B$23,1),MATCH(D208,[3]Sheet1!$C$3:$Q$3,1)+1)-INDEX([3]Sheet1!$C$4:$Q$23,MATCH(K208,[3]Sheet1!$B$4:$B$23,1),MATCH(D208,[3]Sheet1!$C$3:$Q$3,1))))</f>
        <v>0</v>
      </c>
      <c r="M208" cm="1">
        <f t="array" ref="M208" xml:space="preserve"> IF(E208*J208=0,0,(INDEX([2]Sheet1!$C$4:$Q$23,MATCH(K208,[2]Sheet1!$B$4:$B$23,1),MATCH(D208,[2]Sheet1!$C$3:$Q$3,1))
+ (K208 - INDEX([2]Sheet1!$B$4:$B$23,MATCH(K208,[2]Sheet1!$B$4:$B$23,1),1))/(INDEX([2]Sheet1!$B$4:$B$23,MATCH(K208,[2]Sheet1!$B$4:$B$23,1)+1,1) - INDEX([2]Sheet1!$B$4:$B$23,MATCH(K208,[2]Sheet1!$B$4:$B$23,1),1))*(INDEX([2]Sheet1!$C$4:$Q$23,MATCH(K208,[2]Sheet1!$B$4:$B$23,1)+1,MATCH(D208,[2]Sheet1!$C$3:$Q$3,1)) - INDEX([2]Sheet1!$C$4:$Q$23,MATCH(K208,[2]Sheet1!$B$4:$B$23,1),MATCH(D208,[2]Sheet1!$C$3:$Q$3,1)))
+ (D208 - INDEX([2]Sheet1!$C$3:$Q$3,1,MATCH(D208,[2]Sheet1!$C$3:$Q$3)))/(INDEX([2]Sheet1!$C$3:$Q$3,1,MATCH(D208,[2]Sheet1!$C$3:$Q$3)+1) - INDEX([2]Sheet1!$C$3:$Q$3,1,MATCH(D208,[2]Sheet1!$C$3:$Q$3)))*(
INDEX([2]Sheet1!$C$4:$Q$23,MATCH(K208,[2]Sheet1!$B$4:$B$23,1),MATCH(D208,[2]Sheet1!$C$3:$Q$3,1)+1) - INDEX([2]Sheet1!$C$4:$Q$23,MATCH(K208,[2]Sheet1!$B$4:$B$23,1),MATCH(D208,[2]Sheet1!$C$3:$Q$3,1)))))</f>
        <v>0</v>
      </c>
      <c r="N208">
        <f t="shared" si="62"/>
        <v>12</v>
      </c>
      <c r="O208">
        <v>9.1990262833003794E-2</v>
      </c>
      <c r="P208" t="e">
        <f t="shared" si="63"/>
        <v>#DIV/0!</v>
      </c>
      <c r="Q208">
        <f t="shared" si="50"/>
        <v>0</v>
      </c>
      <c r="R208">
        <f t="shared" si="64"/>
        <v>741.9099431943954</v>
      </c>
      <c r="T208" t="e">
        <f t="shared" si="53"/>
        <v>#DIV/0!</v>
      </c>
      <c r="U208" t="e">
        <f t="shared" si="54"/>
        <v>#DIV/0!</v>
      </c>
      <c r="V208">
        <f t="shared" si="55"/>
        <v>0</v>
      </c>
      <c r="W208" t="e">
        <f t="shared" si="51"/>
        <v>#DIV/0!</v>
      </c>
    </row>
    <row r="209" spans="1:23" x14ac:dyDescent="0.55000000000000004">
      <c r="A209">
        <f t="shared" si="52"/>
        <v>17.499999999999979</v>
      </c>
      <c r="B209">
        <f t="shared" si="56"/>
        <v>0.316</v>
      </c>
      <c r="C209">
        <f t="shared" si="57"/>
        <v>-6.4130434782608567</v>
      </c>
      <c r="D209">
        <v>2.4603541938174618</v>
      </c>
      <c r="E209">
        <f t="shared" si="47"/>
        <v>0</v>
      </c>
      <c r="F209">
        <f t="shared" si="58"/>
        <v>4.8605058816845369E-2</v>
      </c>
      <c r="G209">
        <f t="shared" si="59"/>
        <v>39.513748498891111</v>
      </c>
      <c r="H209">
        <f t="shared" si="60"/>
        <v>0</v>
      </c>
      <c r="I209" s="1">
        <f t="shared" si="48"/>
        <v>0</v>
      </c>
      <c r="J209">
        <f t="shared" si="61"/>
        <v>0</v>
      </c>
      <c r="K209">
        <f t="shared" si="49"/>
        <v>0</v>
      </c>
      <c r="L209" cm="1">
        <f t="array" ref="L209">IF(E209*J209=0,0,$C$21*INDEX([3]Sheet1!$C$4:$Q$23,MATCH(K209,[3]Sheet1!$B$4:$B$23,1),MATCH(D209,[3]Sheet1!$C$3:$Q$3,1))
+(K209-INDEX([3]Sheet1!$B$4:$B$23,MATCH(K209,[3]Sheet1!$B$4:$B$23,1),1))/(INDEX([3]Sheet1!$B$4:$B$23,MATCH(K209,[3]Sheet1!$B$4:$B$23,1)+1,1)-INDEX([3]Sheet1!$B$4:$B$23,
MATCH(K209,[3]Sheet1!$B$4:$B$23,1),1))*(INDEX([3]Sheet1!$C$4:$Q$23,MATCH(K209,[3]Sheet1!$B$4:$B$23,1)+1,MATCH(D209,[3]Sheet1!$C$3:$Q$3,1))-INDEX([3]Sheet1!$C$4:$Q$23,
MATCH(K209,[3]Sheet1!$B$4:$B$23,1),MATCH(D209,[3]Sheet1!$C$3:$Q$3,1)))
+(D209-INDEX([3]Sheet1!$C$3:$Q$3,1,MATCH(D209,[3]Sheet1!$C$3:$Q$3)))/(INDEX([3]Sheet1!$C$3:$Q$3,1,MATCH(D209,[3]Sheet1!$C$3:$Q$3)+1)-INDEX([3]Sheet1!$C$3:$Q$3,1,MATCH(
D209,[3]Sheet1!$C$3:$Q$3)))*(INDEX([3]Sheet1!$C$4:$Q$23,MATCH(K209,[3]Sheet1!$B$4:$B$23,1),MATCH(D209,[3]Sheet1!$C$3:$Q$3,1)+1)-INDEX([3]Sheet1!$C$4:$Q$23,MATCH(K209,[3]Sheet1!$B$4:$B$23,1),MATCH(D209,[3]Sheet1!$C$3:$Q$3,1))))</f>
        <v>0</v>
      </c>
      <c r="M209" cm="1">
        <f t="array" ref="M209" xml:space="preserve"> IF(E209*J209=0,0,(INDEX([2]Sheet1!$C$4:$Q$23,MATCH(K209,[2]Sheet1!$B$4:$B$23,1),MATCH(D209,[2]Sheet1!$C$3:$Q$3,1))
+ (K209 - INDEX([2]Sheet1!$B$4:$B$23,MATCH(K209,[2]Sheet1!$B$4:$B$23,1),1))/(INDEX([2]Sheet1!$B$4:$B$23,MATCH(K209,[2]Sheet1!$B$4:$B$23,1)+1,1) - INDEX([2]Sheet1!$B$4:$B$23,MATCH(K209,[2]Sheet1!$B$4:$B$23,1),1))*(INDEX([2]Sheet1!$C$4:$Q$23,MATCH(K209,[2]Sheet1!$B$4:$B$23,1)+1,MATCH(D209,[2]Sheet1!$C$3:$Q$3,1)) - INDEX([2]Sheet1!$C$4:$Q$23,MATCH(K209,[2]Sheet1!$B$4:$B$23,1),MATCH(D209,[2]Sheet1!$C$3:$Q$3,1)))
+ (D209 - INDEX([2]Sheet1!$C$3:$Q$3,1,MATCH(D209,[2]Sheet1!$C$3:$Q$3)))/(INDEX([2]Sheet1!$C$3:$Q$3,1,MATCH(D209,[2]Sheet1!$C$3:$Q$3)+1) - INDEX([2]Sheet1!$C$3:$Q$3,1,MATCH(D209,[2]Sheet1!$C$3:$Q$3)))*(
INDEX([2]Sheet1!$C$4:$Q$23,MATCH(K209,[2]Sheet1!$B$4:$B$23,1),MATCH(D209,[2]Sheet1!$C$3:$Q$3,1)+1) - INDEX([2]Sheet1!$C$4:$Q$23,MATCH(K209,[2]Sheet1!$B$4:$B$23,1),MATCH(D209,[2]Sheet1!$C$3:$Q$3,1)))))</f>
        <v>0</v>
      </c>
      <c r="N209">
        <f t="shared" si="62"/>
        <v>12</v>
      </c>
      <c r="O209">
        <v>9.1961466066000377E-2</v>
      </c>
      <c r="P209" t="e">
        <f t="shared" si="63"/>
        <v>#DIV/0!</v>
      </c>
      <c r="Q209">
        <f t="shared" si="50"/>
        <v>0</v>
      </c>
      <c r="R209">
        <f t="shared" si="64"/>
        <v>741.9099431943954</v>
      </c>
      <c r="T209" t="e">
        <f t="shared" si="53"/>
        <v>#DIV/0!</v>
      </c>
      <c r="U209" t="e">
        <f t="shared" si="54"/>
        <v>#DIV/0!</v>
      </c>
      <c r="V209">
        <f t="shared" si="55"/>
        <v>0</v>
      </c>
      <c r="W209" t="e">
        <f t="shared" si="51"/>
        <v>#DIV/0!</v>
      </c>
    </row>
    <row r="210" spans="1:23" x14ac:dyDescent="0.55000000000000004">
      <c r="A210">
        <f t="shared" si="52"/>
        <v>17.59999999999998</v>
      </c>
      <c r="B210">
        <f t="shared" si="56"/>
        <v>0.316</v>
      </c>
      <c r="C210">
        <f t="shared" si="57"/>
        <v>-6.4782608695652044</v>
      </c>
      <c r="D210">
        <v>2.4602132677597481</v>
      </c>
      <c r="E210">
        <f t="shared" si="47"/>
        <v>0</v>
      </c>
      <c r="F210">
        <f t="shared" si="58"/>
        <v>4.8605058816845369E-2</v>
      </c>
      <c r="G210">
        <f t="shared" si="59"/>
        <v>39.513748498891111</v>
      </c>
      <c r="H210">
        <f t="shared" si="60"/>
        <v>0</v>
      </c>
      <c r="I210" s="1">
        <f t="shared" si="48"/>
        <v>0</v>
      </c>
      <c r="J210">
        <f t="shared" si="61"/>
        <v>0</v>
      </c>
      <c r="K210">
        <f t="shared" si="49"/>
        <v>0</v>
      </c>
      <c r="L210" cm="1">
        <f t="array" ref="L210">IF(E210*J210=0,0,$C$21*INDEX([3]Sheet1!$C$4:$Q$23,MATCH(K210,[3]Sheet1!$B$4:$B$23,1),MATCH(D210,[3]Sheet1!$C$3:$Q$3,1))
+(K210-INDEX([3]Sheet1!$B$4:$B$23,MATCH(K210,[3]Sheet1!$B$4:$B$23,1),1))/(INDEX([3]Sheet1!$B$4:$B$23,MATCH(K210,[3]Sheet1!$B$4:$B$23,1)+1,1)-INDEX([3]Sheet1!$B$4:$B$23,
MATCH(K210,[3]Sheet1!$B$4:$B$23,1),1))*(INDEX([3]Sheet1!$C$4:$Q$23,MATCH(K210,[3]Sheet1!$B$4:$B$23,1)+1,MATCH(D210,[3]Sheet1!$C$3:$Q$3,1))-INDEX([3]Sheet1!$C$4:$Q$23,
MATCH(K210,[3]Sheet1!$B$4:$B$23,1),MATCH(D210,[3]Sheet1!$C$3:$Q$3,1)))
+(D210-INDEX([3]Sheet1!$C$3:$Q$3,1,MATCH(D210,[3]Sheet1!$C$3:$Q$3)))/(INDEX([3]Sheet1!$C$3:$Q$3,1,MATCH(D210,[3]Sheet1!$C$3:$Q$3)+1)-INDEX([3]Sheet1!$C$3:$Q$3,1,MATCH(
D210,[3]Sheet1!$C$3:$Q$3)))*(INDEX([3]Sheet1!$C$4:$Q$23,MATCH(K210,[3]Sheet1!$B$4:$B$23,1),MATCH(D210,[3]Sheet1!$C$3:$Q$3,1)+1)-INDEX([3]Sheet1!$C$4:$Q$23,MATCH(K210,[3]Sheet1!$B$4:$B$23,1),MATCH(D210,[3]Sheet1!$C$3:$Q$3,1))))</f>
        <v>0</v>
      </c>
      <c r="M210" cm="1">
        <f t="array" ref="M210" xml:space="preserve"> IF(E210*J210=0,0,(INDEX([2]Sheet1!$C$4:$Q$23,MATCH(K210,[2]Sheet1!$B$4:$B$23,1),MATCH(D210,[2]Sheet1!$C$3:$Q$3,1))
+ (K210 - INDEX([2]Sheet1!$B$4:$B$23,MATCH(K210,[2]Sheet1!$B$4:$B$23,1),1))/(INDEX([2]Sheet1!$B$4:$B$23,MATCH(K210,[2]Sheet1!$B$4:$B$23,1)+1,1) - INDEX([2]Sheet1!$B$4:$B$23,MATCH(K210,[2]Sheet1!$B$4:$B$23,1),1))*(INDEX([2]Sheet1!$C$4:$Q$23,MATCH(K210,[2]Sheet1!$B$4:$B$23,1)+1,MATCH(D210,[2]Sheet1!$C$3:$Q$3,1)) - INDEX([2]Sheet1!$C$4:$Q$23,MATCH(K210,[2]Sheet1!$B$4:$B$23,1),MATCH(D210,[2]Sheet1!$C$3:$Q$3,1)))
+ (D210 - INDEX([2]Sheet1!$C$3:$Q$3,1,MATCH(D210,[2]Sheet1!$C$3:$Q$3)))/(INDEX([2]Sheet1!$C$3:$Q$3,1,MATCH(D210,[2]Sheet1!$C$3:$Q$3)+1) - INDEX([2]Sheet1!$C$3:$Q$3,1,MATCH(D210,[2]Sheet1!$C$3:$Q$3)))*(
INDEX([2]Sheet1!$C$4:$Q$23,MATCH(K210,[2]Sheet1!$B$4:$B$23,1),MATCH(D210,[2]Sheet1!$C$3:$Q$3,1)+1) - INDEX([2]Sheet1!$C$4:$Q$23,MATCH(K210,[2]Sheet1!$B$4:$B$23,1),MATCH(D210,[2]Sheet1!$C$3:$Q$3,1)))))</f>
        <v>0</v>
      </c>
      <c r="N210">
        <f t="shared" si="62"/>
        <v>12</v>
      </c>
      <c r="O210">
        <v>9.1932751807762475E-2</v>
      </c>
      <c r="P210" t="e">
        <f t="shared" si="63"/>
        <v>#DIV/0!</v>
      </c>
      <c r="Q210">
        <f t="shared" si="50"/>
        <v>0</v>
      </c>
      <c r="R210">
        <f t="shared" si="64"/>
        <v>741.9099431943954</v>
      </c>
      <c r="T210" t="e">
        <f t="shared" si="53"/>
        <v>#DIV/0!</v>
      </c>
      <c r="U210" t="e">
        <f t="shared" si="54"/>
        <v>#DIV/0!</v>
      </c>
      <c r="V210">
        <f t="shared" si="55"/>
        <v>0</v>
      </c>
      <c r="W210" t="e">
        <f t="shared" si="51"/>
        <v>#DIV/0!</v>
      </c>
    </row>
    <row r="211" spans="1:23" x14ac:dyDescent="0.55000000000000004">
      <c r="A211">
        <f t="shared" si="52"/>
        <v>17.699999999999982</v>
      </c>
      <c r="B211">
        <f t="shared" si="56"/>
        <v>0.316</v>
      </c>
      <c r="C211">
        <f t="shared" si="57"/>
        <v>-6.5434782608695539</v>
      </c>
      <c r="D211">
        <v>2.460072699216532</v>
      </c>
      <c r="E211">
        <f t="shared" si="47"/>
        <v>0</v>
      </c>
      <c r="F211">
        <f t="shared" si="58"/>
        <v>4.8605058816845369E-2</v>
      </c>
      <c r="G211">
        <f t="shared" si="59"/>
        <v>39.513748498891111</v>
      </c>
      <c r="H211">
        <f t="shared" si="60"/>
        <v>0</v>
      </c>
      <c r="I211" s="1">
        <f t="shared" si="48"/>
        <v>0</v>
      </c>
      <c r="J211">
        <f t="shared" si="61"/>
        <v>0</v>
      </c>
      <c r="K211">
        <f t="shared" si="49"/>
        <v>0</v>
      </c>
      <c r="L211" cm="1">
        <f t="array" ref="L211">IF(E211*J211=0,0,$C$21*INDEX([3]Sheet1!$C$4:$Q$23,MATCH(K211,[3]Sheet1!$B$4:$B$23,1),MATCH(D211,[3]Sheet1!$C$3:$Q$3,1))
+(K211-INDEX([3]Sheet1!$B$4:$B$23,MATCH(K211,[3]Sheet1!$B$4:$B$23,1),1))/(INDEX([3]Sheet1!$B$4:$B$23,MATCH(K211,[3]Sheet1!$B$4:$B$23,1)+1,1)-INDEX([3]Sheet1!$B$4:$B$23,
MATCH(K211,[3]Sheet1!$B$4:$B$23,1),1))*(INDEX([3]Sheet1!$C$4:$Q$23,MATCH(K211,[3]Sheet1!$B$4:$B$23,1)+1,MATCH(D211,[3]Sheet1!$C$3:$Q$3,1))-INDEX([3]Sheet1!$C$4:$Q$23,
MATCH(K211,[3]Sheet1!$B$4:$B$23,1),MATCH(D211,[3]Sheet1!$C$3:$Q$3,1)))
+(D211-INDEX([3]Sheet1!$C$3:$Q$3,1,MATCH(D211,[3]Sheet1!$C$3:$Q$3)))/(INDEX([3]Sheet1!$C$3:$Q$3,1,MATCH(D211,[3]Sheet1!$C$3:$Q$3)+1)-INDEX([3]Sheet1!$C$3:$Q$3,1,MATCH(
D211,[3]Sheet1!$C$3:$Q$3)))*(INDEX([3]Sheet1!$C$4:$Q$23,MATCH(K211,[3]Sheet1!$B$4:$B$23,1),MATCH(D211,[3]Sheet1!$C$3:$Q$3,1)+1)-INDEX([3]Sheet1!$C$4:$Q$23,MATCH(K211,[3]Sheet1!$B$4:$B$23,1),MATCH(D211,[3]Sheet1!$C$3:$Q$3,1))))</f>
        <v>0</v>
      </c>
      <c r="M211" cm="1">
        <f t="array" ref="M211" xml:space="preserve"> IF(E211*J211=0,0,(INDEX([2]Sheet1!$C$4:$Q$23,MATCH(K211,[2]Sheet1!$B$4:$B$23,1),MATCH(D211,[2]Sheet1!$C$3:$Q$3,1))
+ (K211 - INDEX([2]Sheet1!$B$4:$B$23,MATCH(K211,[2]Sheet1!$B$4:$B$23,1),1))/(INDEX([2]Sheet1!$B$4:$B$23,MATCH(K211,[2]Sheet1!$B$4:$B$23,1)+1,1) - INDEX([2]Sheet1!$B$4:$B$23,MATCH(K211,[2]Sheet1!$B$4:$B$23,1),1))*(INDEX([2]Sheet1!$C$4:$Q$23,MATCH(K211,[2]Sheet1!$B$4:$B$23,1)+1,MATCH(D211,[2]Sheet1!$C$3:$Q$3,1)) - INDEX([2]Sheet1!$C$4:$Q$23,MATCH(K211,[2]Sheet1!$B$4:$B$23,1),MATCH(D211,[2]Sheet1!$C$3:$Q$3,1)))
+ (D211 - INDEX([2]Sheet1!$C$3:$Q$3,1,MATCH(D211,[2]Sheet1!$C$3:$Q$3)))/(INDEX([2]Sheet1!$C$3:$Q$3,1,MATCH(D211,[2]Sheet1!$C$3:$Q$3)+1) - INDEX([2]Sheet1!$C$3:$Q$3,1,MATCH(D211,[2]Sheet1!$C$3:$Q$3)))*(
INDEX([2]Sheet1!$C$4:$Q$23,MATCH(K211,[2]Sheet1!$B$4:$B$23,1),MATCH(D211,[2]Sheet1!$C$3:$Q$3,1)+1) - INDEX([2]Sheet1!$C$4:$Q$23,MATCH(K211,[2]Sheet1!$B$4:$B$23,1),MATCH(D211,[2]Sheet1!$C$3:$Q$3,1)))))</f>
        <v>0</v>
      </c>
      <c r="N211">
        <f t="shared" si="62"/>
        <v>12</v>
      </c>
      <c r="O211">
        <v>9.1904119602265161E-2</v>
      </c>
      <c r="P211" t="e">
        <f t="shared" si="63"/>
        <v>#DIV/0!</v>
      </c>
      <c r="Q211">
        <f t="shared" si="50"/>
        <v>0</v>
      </c>
      <c r="R211">
        <f t="shared" si="64"/>
        <v>741.9099431943954</v>
      </c>
      <c r="T211" t="e">
        <f t="shared" si="53"/>
        <v>#DIV/0!</v>
      </c>
      <c r="U211" t="e">
        <f t="shared" si="54"/>
        <v>#DIV/0!</v>
      </c>
      <c r="V211">
        <f t="shared" si="55"/>
        <v>0</v>
      </c>
      <c r="W211" t="e">
        <f t="shared" si="51"/>
        <v>#DIV/0!</v>
      </c>
    </row>
    <row r="212" spans="1:23" x14ac:dyDescent="0.55000000000000004">
      <c r="A212">
        <f t="shared" si="52"/>
        <v>17.799999999999983</v>
      </c>
      <c r="B212">
        <f t="shared" si="56"/>
        <v>0.316</v>
      </c>
      <c r="C212">
        <f t="shared" si="57"/>
        <v>-6.6086956521739033</v>
      </c>
      <c r="D212">
        <v>2.4599324863211582</v>
      </c>
      <c r="E212">
        <f t="shared" si="47"/>
        <v>0</v>
      </c>
      <c r="F212">
        <f t="shared" si="58"/>
        <v>4.8605058816845369E-2</v>
      </c>
      <c r="G212">
        <f t="shared" si="59"/>
        <v>39.513748498891111</v>
      </c>
      <c r="H212">
        <f t="shared" si="60"/>
        <v>0</v>
      </c>
      <c r="I212" s="1">
        <f t="shared" si="48"/>
        <v>0</v>
      </c>
      <c r="J212">
        <f t="shared" si="61"/>
        <v>0</v>
      </c>
      <c r="K212">
        <f t="shared" si="49"/>
        <v>0</v>
      </c>
      <c r="L212" cm="1">
        <f t="array" ref="L212">IF(E212*J212=0,0,$C$21*INDEX([3]Sheet1!$C$4:$Q$23,MATCH(K212,[3]Sheet1!$B$4:$B$23,1),MATCH(D212,[3]Sheet1!$C$3:$Q$3,1))
+(K212-INDEX([3]Sheet1!$B$4:$B$23,MATCH(K212,[3]Sheet1!$B$4:$B$23,1),1))/(INDEX([3]Sheet1!$B$4:$B$23,MATCH(K212,[3]Sheet1!$B$4:$B$23,1)+1,1)-INDEX([3]Sheet1!$B$4:$B$23,
MATCH(K212,[3]Sheet1!$B$4:$B$23,1),1))*(INDEX([3]Sheet1!$C$4:$Q$23,MATCH(K212,[3]Sheet1!$B$4:$B$23,1)+1,MATCH(D212,[3]Sheet1!$C$3:$Q$3,1))-INDEX([3]Sheet1!$C$4:$Q$23,
MATCH(K212,[3]Sheet1!$B$4:$B$23,1),MATCH(D212,[3]Sheet1!$C$3:$Q$3,1)))
+(D212-INDEX([3]Sheet1!$C$3:$Q$3,1,MATCH(D212,[3]Sheet1!$C$3:$Q$3)))/(INDEX([3]Sheet1!$C$3:$Q$3,1,MATCH(D212,[3]Sheet1!$C$3:$Q$3)+1)-INDEX([3]Sheet1!$C$3:$Q$3,1,MATCH(
D212,[3]Sheet1!$C$3:$Q$3)))*(INDEX([3]Sheet1!$C$4:$Q$23,MATCH(K212,[3]Sheet1!$B$4:$B$23,1),MATCH(D212,[3]Sheet1!$C$3:$Q$3,1)+1)-INDEX([3]Sheet1!$C$4:$Q$23,MATCH(K212,[3]Sheet1!$B$4:$B$23,1),MATCH(D212,[3]Sheet1!$C$3:$Q$3,1))))</f>
        <v>0</v>
      </c>
      <c r="M212" cm="1">
        <f t="array" ref="M212" xml:space="preserve"> IF(E212*J212=0,0,(INDEX([2]Sheet1!$C$4:$Q$23,MATCH(K212,[2]Sheet1!$B$4:$B$23,1),MATCH(D212,[2]Sheet1!$C$3:$Q$3,1))
+ (K212 - INDEX([2]Sheet1!$B$4:$B$23,MATCH(K212,[2]Sheet1!$B$4:$B$23,1),1))/(INDEX([2]Sheet1!$B$4:$B$23,MATCH(K212,[2]Sheet1!$B$4:$B$23,1)+1,1) - INDEX([2]Sheet1!$B$4:$B$23,MATCH(K212,[2]Sheet1!$B$4:$B$23,1),1))*(INDEX([2]Sheet1!$C$4:$Q$23,MATCH(K212,[2]Sheet1!$B$4:$B$23,1)+1,MATCH(D212,[2]Sheet1!$C$3:$Q$3,1)) - INDEX([2]Sheet1!$C$4:$Q$23,MATCH(K212,[2]Sheet1!$B$4:$B$23,1),MATCH(D212,[2]Sheet1!$C$3:$Q$3,1)))
+ (D212 - INDEX([2]Sheet1!$C$3:$Q$3,1,MATCH(D212,[2]Sheet1!$C$3:$Q$3)))/(INDEX([2]Sheet1!$C$3:$Q$3,1,MATCH(D212,[2]Sheet1!$C$3:$Q$3)+1) - INDEX([2]Sheet1!$C$3:$Q$3,1,MATCH(D212,[2]Sheet1!$C$3:$Q$3)))*(
INDEX([2]Sheet1!$C$4:$Q$23,MATCH(K212,[2]Sheet1!$B$4:$B$23,1),MATCH(D212,[2]Sheet1!$C$3:$Q$3,1)+1) - INDEX([2]Sheet1!$C$4:$Q$23,MATCH(K212,[2]Sheet1!$B$4:$B$23,1),MATCH(D212,[2]Sheet1!$C$3:$Q$3,1)))))</f>
        <v>0</v>
      </c>
      <c r="N212">
        <f t="shared" si="62"/>
        <v>12</v>
      </c>
      <c r="O212">
        <v>9.1875568997216536E-2</v>
      </c>
      <c r="P212" t="e">
        <f t="shared" si="63"/>
        <v>#DIV/0!</v>
      </c>
      <c r="Q212">
        <f t="shared" si="50"/>
        <v>0</v>
      </c>
      <c r="R212">
        <f t="shared" si="64"/>
        <v>741.9099431943954</v>
      </c>
      <c r="T212" t="e">
        <f t="shared" si="53"/>
        <v>#DIV/0!</v>
      </c>
      <c r="U212" t="e">
        <f t="shared" si="54"/>
        <v>#DIV/0!</v>
      </c>
      <c r="V212">
        <f t="shared" si="55"/>
        <v>0</v>
      </c>
      <c r="W212" t="e">
        <f t="shared" si="51"/>
        <v>#DIV/0!</v>
      </c>
    </row>
    <row r="213" spans="1:23" x14ac:dyDescent="0.55000000000000004">
      <c r="A213">
        <f t="shared" si="52"/>
        <v>17.899999999999984</v>
      </c>
      <c r="B213">
        <f t="shared" si="56"/>
        <v>0.316</v>
      </c>
      <c r="C213">
        <f t="shared" si="57"/>
        <v>-6.673913043478251</v>
      </c>
      <c r="D213">
        <v>2.4597926272216393</v>
      </c>
      <c r="E213">
        <f t="shared" si="47"/>
        <v>0</v>
      </c>
      <c r="F213">
        <f t="shared" si="58"/>
        <v>4.8605058816845369E-2</v>
      </c>
      <c r="G213">
        <f t="shared" si="59"/>
        <v>39.513748498891111</v>
      </c>
      <c r="H213">
        <f t="shared" si="60"/>
        <v>0</v>
      </c>
      <c r="I213" s="1">
        <f t="shared" si="48"/>
        <v>0</v>
      </c>
      <c r="J213">
        <f t="shared" si="61"/>
        <v>0</v>
      </c>
      <c r="K213">
        <f t="shared" si="49"/>
        <v>0</v>
      </c>
      <c r="L213" cm="1">
        <f t="array" ref="L213">IF(E213*J213=0,0,$C$21*INDEX([3]Sheet1!$C$4:$Q$23,MATCH(K213,[3]Sheet1!$B$4:$B$23,1),MATCH(D213,[3]Sheet1!$C$3:$Q$3,1))
+(K213-INDEX([3]Sheet1!$B$4:$B$23,MATCH(K213,[3]Sheet1!$B$4:$B$23,1),1))/(INDEX([3]Sheet1!$B$4:$B$23,MATCH(K213,[3]Sheet1!$B$4:$B$23,1)+1,1)-INDEX([3]Sheet1!$B$4:$B$23,
MATCH(K213,[3]Sheet1!$B$4:$B$23,1),1))*(INDEX([3]Sheet1!$C$4:$Q$23,MATCH(K213,[3]Sheet1!$B$4:$B$23,1)+1,MATCH(D213,[3]Sheet1!$C$3:$Q$3,1))-INDEX([3]Sheet1!$C$4:$Q$23,
MATCH(K213,[3]Sheet1!$B$4:$B$23,1),MATCH(D213,[3]Sheet1!$C$3:$Q$3,1)))
+(D213-INDEX([3]Sheet1!$C$3:$Q$3,1,MATCH(D213,[3]Sheet1!$C$3:$Q$3)))/(INDEX([3]Sheet1!$C$3:$Q$3,1,MATCH(D213,[3]Sheet1!$C$3:$Q$3)+1)-INDEX([3]Sheet1!$C$3:$Q$3,1,MATCH(
D213,[3]Sheet1!$C$3:$Q$3)))*(INDEX([3]Sheet1!$C$4:$Q$23,MATCH(K213,[3]Sheet1!$B$4:$B$23,1),MATCH(D213,[3]Sheet1!$C$3:$Q$3,1)+1)-INDEX([3]Sheet1!$C$4:$Q$23,MATCH(K213,[3]Sheet1!$B$4:$B$23,1),MATCH(D213,[3]Sheet1!$C$3:$Q$3,1))))</f>
        <v>0</v>
      </c>
      <c r="M213" cm="1">
        <f t="array" ref="M213" xml:space="preserve"> IF(E213*J213=0,0,(INDEX([2]Sheet1!$C$4:$Q$23,MATCH(K213,[2]Sheet1!$B$4:$B$23,1),MATCH(D213,[2]Sheet1!$C$3:$Q$3,1))
+ (K213 - INDEX([2]Sheet1!$B$4:$B$23,MATCH(K213,[2]Sheet1!$B$4:$B$23,1),1))/(INDEX([2]Sheet1!$B$4:$B$23,MATCH(K213,[2]Sheet1!$B$4:$B$23,1)+1,1) - INDEX([2]Sheet1!$B$4:$B$23,MATCH(K213,[2]Sheet1!$B$4:$B$23,1),1))*(INDEX([2]Sheet1!$C$4:$Q$23,MATCH(K213,[2]Sheet1!$B$4:$B$23,1)+1,MATCH(D213,[2]Sheet1!$C$3:$Q$3,1)) - INDEX([2]Sheet1!$C$4:$Q$23,MATCH(K213,[2]Sheet1!$B$4:$B$23,1),MATCH(D213,[2]Sheet1!$C$3:$Q$3,1)))
+ (D213 - INDEX([2]Sheet1!$C$3:$Q$3,1,MATCH(D213,[2]Sheet1!$C$3:$Q$3)))/(INDEX([2]Sheet1!$C$3:$Q$3,1,MATCH(D213,[2]Sheet1!$C$3:$Q$3)+1) - INDEX([2]Sheet1!$C$3:$Q$3,1,MATCH(D213,[2]Sheet1!$C$3:$Q$3)))*(
INDEX([2]Sheet1!$C$4:$Q$23,MATCH(K213,[2]Sheet1!$B$4:$B$23,1),MATCH(D213,[2]Sheet1!$C$3:$Q$3,1)+1) - INDEX([2]Sheet1!$C$4:$Q$23,MATCH(K213,[2]Sheet1!$B$4:$B$23,1),MATCH(D213,[2]Sheet1!$C$3:$Q$3,1)))))</f>
        <v>0</v>
      </c>
      <c r="N213">
        <f t="shared" si="62"/>
        <v>12</v>
      </c>
      <c r="O213">
        <v>9.1847099544014155E-2</v>
      </c>
      <c r="P213" t="e">
        <f t="shared" si="63"/>
        <v>#DIV/0!</v>
      </c>
      <c r="Q213">
        <f t="shared" si="50"/>
        <v>0</v>
      </c>
      <c r="R213">
        <f t="shared" si="64"/>
        <v>741.9099431943954</v>
      </c>
      <c r="T213" t="e">
        <f t="shared" si="53"/>
        <v>#DIV/0!</v>
      </c>
      <c r="U213" t="e">
        <f t="shared" si="54"/>
        <v>#DIV/0!</v>
      </c>
      <c r="V213">
        <f t="shared" si="55"/>
        <v>0</v>
      </c>
      <c r="W213" t="e">
        <f t="shared" si="51"/>
        <v>#DIV/0!</v>
      </c>
    </row>
    <row r="214" spans="1:23" x14ac:dyDescent="0.55000000000000004">
      <c r="A214">
        <f t="shared" si="52"/>
        <v>17.999999999999986</v>
      </c>
      <c r="B214">
        <f t="shared" si="56"/>
        <v>0.316</v>
      </c>
      <c r="C214">
        <f t="shared" si="57"/>
        <v>-6.7391304347826004</v>
      </c>
      <c r="D214">
        <v>2.4596531200805036</v>
      </c>
      <c r="E214">
        <f t="shared" si="47"/>
        <v>0</v>
      </c>
      <c r="F214">
        <f t="shared" si="58"/>
        <v>4.8605058816845369E-2</v>
      </c>
      <c r="G214">
        <f t="shared" si="59"/>
        <v>39.513748498891111</v>
      </c>
      <c r="H214">
        <f t="shared" si="60"/>
        <v>0</v>
      </c>
      <c r="I214" s="1">
        <f t="shared" si="48"/>
        <v>0</v>
      </c>
      <c r="J214">
        <f t="shared" si="61"/>
        <v>0</v>
      </c>
      <c r="K214">
        <f t="shared" si="49"/>
        <v>0</v>
      </c>
      <c r="L214" cm="1">
        <f t="array" ref="L214">IF(E214*J214=0,0,$C$21*INDEX([3]Sheet1!$C$4:$Q$23,MATCH(K214,[3]Sheet1!$B$4:$B$23,1),MATCH(D214,[3]Sheet1!$C$3:$Q$3,1))
+(K214-INDEX([3]Sheet1!$B$4:$B$23,MATCH(K214,[3]Sheet1!$B$4:$B$23,1),1))/(INDEX([3]Sheet1!$B$4:$B$23,MATCH(K214,[3]Sheet1!$B$4:$B$23,1)+1,1)-INDEX([3]Sheet1!$B$4:$B$23,
MATCH(K214,[3]Sheet1!$B$4:$B$23,1),1))*(INDEX([3]Sheet1!$C$4:$Q$23,MATCH(K214,[3]Sheet1!$B$4:$B$23,1)+1,MATCH(D214,[3]Sheet1!$C$3:$Q$3,1))-INDEX([3]Sheet1!$C$4:$Q$23,
MATCH(K214,[3]Sheet1!$B$4:$B$23,1),MATCH(D214,[3]Sheet1!$C$3:$Q$3,1)))
+(D214-INDEX([3]Sheet1!$C$3:$Q$3,1,MATCH(D214,[3]Sheet1!$C$3:$Q$3)))/(INDEX([3]Sheet1!$C$3:$Q$3,1,MATCH(D214,[3]Sheet1!$C$3:$Q$3)+1)-INDEX([3]Sheet1!$C$3:$Q$3,1,MATCH(
D214,[3]Sheet1!$C$3:$Q$3)))*(INDEX([3]Sheet1!$C$4:$Q$23,MATCH(K214,[3]Sheet1!$B$4:$B$23,1),MATCH(D214,[3]Sheet1!$C$3:$Q$3,1)+1)-INDEX([3]Sheet1!$C$4:$Q$23,MATCH(K214,[3]Sheet1!$B$4:$B$23,1),MATCH(D214,[3]Sheet1!$C$3:$Q$3,1))))</f>
        <v>0</v>
      </c>
      <c r="M214" cm="1">
        <f t="array" ref="M214" xml:space="preserve"> IF(E214*J214=0,0,(INDEX([2]Sheet1!$C$4:$Q$23,MATCH(K214,[2]Sheet1!$B$4:$B$23,1),MATCH(D214,[2]Sheet1!$C$3:$Q$3,1))
+ (K214 - INDEX([2]Sheet1!$B$4:$B$23,MATCH(K214,[2]Sheet1!$B$4:$B$23,1),1))/(INDEX([2]Sheet1!$B$4:$B$23,MATCH(K214,[2]Sheet1!$B$4:$B$23,1)+1,1) - INDEX([2]Sheet1!$B$4:$B$23,MATCH(K214,[2]Sheet1!$B$4:$B$23,1),1))*(INDEX([2]Sheet1!$C$4:$Q$23,MATCH(K214,[2]Sheet1!$B$4:$B$23,1)+1,MATCH(D214,[2]Sheet1!$C$3:$Q$3,1)) - INDEX([2]Sheet1!$C$4:$Q$23,MATCH(K214,[2]Sheet1!$B$4:$B$23,1),MATCH(D214,[2]Sheet1!$C$3:$Q$3,1)))
+ (D214 - INDEX([2]Sheet1!$C$3:$Q$3,1,MATCH(D214,[2]Sheet1!$C$3:$Q$3)))/(INDEX([2]Sheet1!$C$3:$Q$3,1,MATCH(D214,[2]Sheet1!$C$3:$Q$3)+1) - INDEX([2]Sheet1!$C$3:$Q$3,1,MATCH(D214,[2]Sheet1!$C$3:$Q$3)))*(
INDEX([2]Sheet1!$C$4:$Q$23,MATCH(K214,[2]Sheet1!$B$4:$B$23,1),MATCH(D214,[2]Sheet1!$C$3:$Q$3,1)+1) - INDEX([2]Sheet1!$C$4:$Q$23,MATCH(K214,[2]Sheet1!$B$4:$B$23,1),MATCH(D214,[2]Sheet1!$C$3:$Q$3,1)))))</f>
        <v>0</v>
      </c>
      <c r="N214">
        <f t="shared" si="62"/>
        <v>12</v>
      </c>
      <c r="O214">
        <v>9.1818710797707301E-2</v>
      </c>
      <c r="P214" t="e">
        <f t="shared" si="63"/>
        <v>#DIV/0!</v>
      </c>
      <c r="Q214">
        <f t="shared" si="50"/>
        <v>0</v>
      </c>
      <c r="R214">
        <f t="shared" si="64"/>
        <v>741.9099431943954</v>
      </c>
      <c r="T214" t="e">
        <f t="shared" si="53"/>
        <v>#DIV/0!</v>
      </c>
      <c r="U214" t="e">
        <f t="shared" si="54"/>
        <v>#DIV/0!</v>
      </c>
      <c r="V214">
        <f t="shared" si="55"/>
        <v>0</v>
      </c>
      <c r="W214" t="e">
        <f t="shared" si="51"/>
        <v>#DIV/0!</v>
      </c>
    </row>
    <row r="215" spans="1:23" x14ac:dyDescent="0.55000000000000004">
      <c r="A215">
        <f t="shared" si="52"/>
        <v>18.099999999999987</v>
      </c>
      <c r="B215">
        <f t="shared" si="56"/>
        <v>0.316</v>
      </c>
      <c r="C215">
        <f t="shared" si="57"/>
        <v>-6.8043478260869499</v>
      </c>
      <c r="D215">
        <v>2.4595139630746425</v>
      </c>
      <c r="E215">
        <f t="shared" si="47"/>
        <v>0</v>
      </c>
      <c r="F215">
        <f t="shared" si="58"/>
        <v>4.8605058816845369E-2</v>
      </c>
      <c r="G215">
        <f t="shared" si="59"/>
        <v>39.513748498891111</v>
      </c>
      <c r="H215">
        <f t="shared" si="60"/>
        <v>0</v>
      </c>
      <c r="I215" s="1">
        <f t="shared" si="48"/>
        <v>0</v>
      </c>
      <c r="J215">
        <f t="shared" si="61"/>
        <v>0</v>
      </c>
      <c r="K215">
        <f t="shared" si="49"/>
        <v>0</v>
      </c>
      <c r="L215" cm="1">
        <f t="array" ref="L215">IF(E215*J215=0,0,$C$21*INDEX([3]Sheet1!$C$4:$Q$23,MATCH(K215,[3]Sheet1!$B$4:$B$23,1),MATCH(D215,[3]Sheet1!$C$3:$Q$3,1))
+(K215-INDEX([3]Sheet1!$B$4:$B$23,MATCH(K215,[3]Sheet1!$B$4:$B$23,1),1))/(INDEX([3]Sheet1!$B$4:$B$23,MATCH(K215,[3]Sheet1!$B$4:$B$23,1)+1,1)-INDEX([3]Sheet1!$B$4:$B$23,
MATCH(K215,[3]Sheet1!$B$4:$B$23,1),1))*(INDEX([3]Sheet1!$C$4:$Q$23,MATCH(K215,[3]Sheet1!$B$4:$B$23,1)+1,MATCH(D215,[3]Sheet1!$C$3:$Q$3,1))-INDEX([3]Sheet1!$C$4:$Q$23,
MATCH(K215,[3]Sheet1!$B$4:$B$23,1),MATCH(D215,[3]Sheet1!$C$3:$Q$3,1)))
+(D215-INDEX([3]Sheet1!$C$3:$Q$3,1,MATCH(D215,[3]Sheet1!$C$3:$Q$3)))/(INDEX([3]Sheet1!$C$3:$Q$3,1,MATCH(D215,[3]Sheet1!$C$3:$Q$3)+1)-INDEX([3]Sheet1!$C$3:$Q$3,1,MATCH(
D215,[3]Sheet1!$C$3:$Q$3)))*(INDEX([3]Sheet1!$C$4:$Q$23,MATCH(K215,[3]Sheet1!$B$4:$B$23,1),MATCH(D215,[3]Sheet1!$C$3:$Q$3,1)+1)-INDEX([3]Sheet1!$C$4:$Q$23,MATCH(K215,[3]Sheet1!$B$4:$B$23,1),MATCH(D215,[3]Sheet1!$C$3:$Q$3,1))))</f>
        <v>0</v>
      </c>
      <c r="M215" cm="1">
        <f t="array" ref="M215" xml:space="preserve"> IF(E215*J215=0,0,(INDEX([2]Sheet1!$C$4:$Q$23,MATCH(K215,[2]Sheet1!$B$4:$B$23,1),MATCH(D215,[2]Sheet1!$C$3:$Q$3,1))
+ (K215 - INDEX([2]Sheet1!$B$4:$B$23,MATCH(K215,[2]Sheet1!$B$4:$B$23,1),1))/(INDEX([2]Sheet1!$B$4:$B$23,MATCH(K215,[2]Sheet1!$B$4:$B$23,1)+1,1) - INDEX([2]Sheet1!$B$4:$B$23,MATCH(K215,[2]Sheet1!$B$4:$B$23,1),1))*(INDEX([2]Sheet1!$C$4:$Q$23,MATCH(K215,[2]Sheet1!$B$4:$B$23,1)+1,MATCH(D215,[2]Sheet1!$C$3:$Q$3,1)) - INDEX([2]Sheet1!$C$4:$Q$23,MATCH(K215,[2]Sheet1!$B$4:$B$23,1),MATCH(D215,[2]Sheet1!$C$3:$Q$3,1)))
+ (D215 - INDEX([2]Sheet1!$C$3:$Q$3,1,MATCH(D215,[2]Sheet1!$C$3:$Q$3)))/(INDEX([2]Sheet1!$C$3:$Q$3,1,MATCH(D215,[2]Sheet1!$C$3:$Q$3)+1) - INDEX([2]Sheet1!$C$3:$Q$3,1,MATCH(D215,[2]Sheet1!$C$3:$Q$3)))*(
INDEX([2]Sheet1!$C$4:$Q$23,MATCH(K215,[2]Sheet1!$B$4:$B$23,1),MATCH(D215,[2]Sheet1!$C$3:$Q$3,1)+1) - INDEX([2]Sheet1!$C$4:$Q$23,MATCH(K215,[2]Sheet1!$B$4:$B$23,1),MATCH(D215,[2]Sheet1!$C$3:$Q$3,1)))))</f>
        <v>0</v>
      </c>
      <c r="N215">
        <f t="shared" si="62"/>
        <v>12</v>
      </c>
      <c r="O215">
        <v>9.1790402316955941E-2</v>
      </c>
      <c r="P215" t="e">
        <f t="shared" si="63"/>
        <v>#DIV/0!</v>
      </c>
      <c r="Q215">
        <f t="shared" si="50"/>
        <v>0</v>
      </c>
      <c r="R215">
        <f t="shared" si="64"/>
        <v>741.9099431943954</v>
      </c>
      <c r="T215" t="e">
        <f t="shared" si="53"/>
        <v>#DIV/0!</v>
      </c>
      <c r="U215" t="e">
        <f t="shared" si="54"/>
        <v>#DIV/0!</v>
      </c>
      <c r="V215">
        <f t="shared" si="55"/>
        <v>0</v>
      </c>
      <c r="W215" t="e">
        <f t="shared" si="51"/>
        <v>#DIV/0!</v>
      </c>
    </row>
    <row r="216" spans="1:23" x14ac:dyDescent="0.55000000000000004">
      <c r="A216">
        <f t="shared" si="52"/>
        <v>18.199999999999989</v>
      </c>
      <c r="B216">
        <f t="shared" si="56"/>
        <v>0.316</v>
      </c>
      <c r="C216">
        <f t="shared" si="57"/>
        <v>-6.8695652173912976</v>
      </c>
      <c r="D216">
        <v>2.4593751543951643</v>
      </c>
      <c r="E216">
        <f t="shared" si="47"/>
        <v>0</v>
      </c>
      <c r="F216">
        <f t="shared" si="58"/>
        <v>4.8605058816845369E-2</v>
      </c>
      <c r="G216">
        <f t="shared" si="59"/>
        <v>39.513748498891111</v>
      </c>
      <c r="H216">
        <f t="shared" si="60"/>
        <v>0</v>
      </c>
      <c r="I216" s="1">
        <f t="shared" si="48"/>
        <v>0</v>
      </c>
      <c r="J216">
        <f t="shared" si="61"/>
        <v>0</v>
      </c>
      <c r="K216">
        <f t="shared" si="49"/>
        <v>0</v>
      </c>
      <c r="L216" cm="1">
        <f t="array" ref="L216">IF(E216*J216=0,0,$C$21*INDEX([3]Sheet1!$C$4:$Q$23,MATCH(K216,[3]Sheet1!$B$4:$B$23,1),MATCH(D216,[3]Sheet1!$C$3:$Q$3,1))
+(K216-INDEX([3]Sheet1!$B$4:$B$23,MATCH(K216,[3]Sheet1!$B$4:$B$23,1),1))/(INDEX([3]Sheet1!$B$4:$B$23,MATCH(K216,[3]Sheet1!$B$4:$B$23,1)+1,1)-INDEX([3]Sheet1!$B$4:$B$23,
MATCH(K216,[3]Sheet1!$B$4:$B$23,1),1))*(INDEX([3]Sheet1!$C$4:$Q$23,MATCH(K216,[3]Sheet1!$B$4:$B$23,1)+1,MATCH(D216,[3]Sheet1!$C$3:$Q$3,1))-INDEX([3]Sheet1!$C$4:$Q$23,
MATCH(K216,[3]Sheet1!$B$4:$B$23,1),MATCH(D216,[3]Sheet1!$C$3:$Q$3,1)))
+(D216-INDEX([3]Sheet1!$C$3:$Q$3,1,MATCH(D216,[3]Sheet1!$C$3:$Q$3)))/(INDEX([3]Sheet1!$C$3:$Q$3,1,MATCH(D216,[3]Sheet1!$C$3:$Q$3)+1)-INDEX([3]Sheet1!$C$3:$Q$3,1,MATCH(
D216,[3]Sheet1!$C$3:$Q$3)))*(INDEX([3]Sheet1!$C$4:$Q$23,MATCH(K216,[3]Sheet1!$B$4:$B$23,1),MATCH(D216,[3]Sheet1!$C$3:$Q$3,1)+1)-INDEX([3]Sheet1!$C$4:$Q$23,MATCH(K216,[3]Sheet1!$B$4:$B$23,1),MATCH(D216,[3]Sheet1!$C$3:$Q$3,1))))</f>
        <v>0</v>
      </c>
      <c r="M216" cm="1">
        <f t="array" ref="M216" xml:space="preserve"> IF(E216*J216=0,0,(INDEX([2]Sheet1!$C$4:$Q$23,MATCH(K216,[2]Sheet1!$B$4:$B$23,1),MATCH(D216,[2]Sheet1!$C$3:$Q$3,1))
+ (K216 - INDEX([2]Sheet1!$B$4:$B$23,MATCH(K216,[2]Sheet1!$B$4:$B$23,1),1))/(INDEX([2]Sheet1!$B$4:$B$23,MATCH(K216,[2]Sheet1!$B$4:$B$23,1)+1,1) - INDEX([2]Sheet1!$B$4:$B$23,MATCH(K216,[2]Sheet1!$B$4:$B$23,1),1))*(INDEX([2]Sheet1!$C$4:$Q$23,MATCH(K216,[2]Sheet1!$B$4:$B$23,1)+1,MATCH(D216,[2]Sheet1!$C$3:$Q$3,1)) - INDEX([2]Sheet1!$C$4:$Q$23,MATCH(K216,[2]Sheet1!$B$4:$B$23,1),MATCH(D216,[2]Sheet1!$C$3:$Q$3,1)))
+ (D216 - INDEX([2]Sheet1!$C$3:$Q$3,1,MATCH(D216,[2]Sheet1!$C$3:$Q$3)))/(INDEX([2]Sheet1!$C$3:$Q$3,1,MATCH(D216,[2]Sheet1!$C$3:$Q$3)+1) - INDEX([2]Sheet1!$C$3:$Q$3,1,MATCH(D216,[2]Sheet1!$C$3:$Q$3)))*(
INDEX([2]Sheet1!$C$4:$Q$23,MATCH(K216,[2]Sheet1!$B$4:$B$23,1),MATCH(D216,[2]Sheet1!$C$3:$Q$3,1)+1) - INDEX([2]Sheet1!$C$4:$Q$23,MATCH(K216,[2]Sheet1!$B$4:$B$23,1),MATCH(D216,[2]Sheet1!$C$3:$Q$3,1)))))</f>
        <v>0</v>
      </c>
      <c r="N216">
        <f t="shared" si="62"/>
        <v>12</v>
      </c>
      <c r="O216">
        <v>9.1762173663994306E-2</v>
      </c>
      <c r="P216" t="e">
        <f t="shared" si="63"/>
        <v>#DIV/0!</v>
      </c>
      <c r="Q216">
        <f t="shared" si="50"/>
        <v>0</v>
      </c>
      <c r="R216">
        <f t="shared" si="64"/>
        <v>741.9099431943954</v>
      </c>
      <c r="T216" t="e">
        <f t="shared" si="53"/>
        <v>#DIV/0!</v>
      </c>
      <c r="U216" t="e">
        <f t="shared" si="54"/>
        <v>#DIV/0!</v>
      </c>
      <c r="V216">
        <f t="shared" si="55"/>
        <v>0</v>
      </c>
      <c r="W216" t="e">
        <f t="shared" si="51"/>
        <v>#DIV/0!</v>
      </c>
    </row>
    <row r="217" spans="1:23" x14ac:dyDescent="0.55000000000000004">
      <c r="A217">
        <f t="shared" si="52"/>
        <v>18.29999999999999</v>
      </c>
      <c r="B217">
        <f t="shared" si="56"/>
        <v>0.316</v>
      </c>
      <c r="C217">
        <f t="shared" si="57"/>
        <v>-6.934782608695647</v>
      </c>
      <c r="D217">
        <v>2.4592366922472406</v>
      </c>
      <c r="E217">
        <f t="shared" si="47"/>
        <v>0</v>
      </c>
      <c r="F217">
        <f t="shared" si="58"/>
        <v>4.8605058816845369E-2</v>
      </c>
      <c r="G217">
        <f t="shared" si="59"/>
        <v>39.513748498891111</v>
      </c>
      <c r="H217">
        <f t="shared" si="60"/>
        <v>0</v>
      </c>
      <c r="I217" s="1">
        <f t="shared" si="48"/>
        <v>0</v>
      </c>
      <c r="J217">
        <f t="shared" si="61"/>
        <v>0</v>
      </c>
      <c r="K217">
        <f t="shared" si="49"/>
        <v>0</v>
      </c>
      <c r="L217" cm="1">
        <f t="array" ref="L217">IF(E217*J217=0,0,$C$21*INDEX([3]Sheet1!$C$4:$Q$23,MATCH(K217,[3]Sheet1!$B$4:$B$23,1),MATCH(D217,[3]Sheet1!$C$3:$Q$3,1))
+(K217-INDEX([3]Sheet1!$B$4:$B$23,MATCH(K217,[3]Sheet1!$B$4:$B$23,1),1))/(INDEX([3]Sheet1!$B$4:$B$23,MATCH(K217,[3]Sheet1!$B$4:$B$23,1)+1,1)-INDEX([3]Sheet1!$B$4:$B$23,
MATCH(K217,[3]Sheet1!$B$4:$B$23,1),1))*(INDEX([3]Sheet1!$C$4:$Q$23,MATCH(K217,[3]Sheet1!$B$4:$B$23,1)+1,MATCH(D217,[3]Sheet1!$C$3:$Q$3,1))-INDEX([3]Sheet1!$C$4:$Q$23,
MATCH(K217,[3]Sheet1!$B$4:$B$23,1),MATCH(D217,[3]Sheet1!$C$3:$Q$3,1)))
+(D217-INDEX([3]Sheet1!$C$3:$Q$3,1,MATCH(D217,[3]Sheet1!$C$3:$Q$3)))/(INDEX([3]Sheet1!$C$3:$Q$3,1,MATCH(D217,[3]Sheet1!$C$3:$Q$3)+1)-INDEX([3]Sheet1!$C$3:$Q$3,1,MATCH(
D217,[3]Sheet1!$C$3:$Q$3)))*(INDEX([3]Sheet1!$C$4:$Q$23,MATCH(K217,[3]Sheet1!$B$4:$B$23,1),MATCH(D217,[3]Sheet1!$C$3:$Q$3,1)+1)-INDEX([3]Sheet1!$C$4:$Q$23,MATCH(K217,[3]Sheet1!$B$4:$B$23,1),MATCH(D217,[3]Sheet1!$C$3:$Q$3,1))))</f>
        <v>0</v>
      </c>
      <c r="M217" cm="1">
        <f t="array" ref="M217" xml:space="preserve"> IF(E217*J217=0,0,(INDEX([2]Sheet1!$C$4:$Q$23,MATCH(K217,[2]Sheet1!$B$4:$B$23,1),MATCH(D217,[2]Sheet1!$C$3:$Q$3,1))
+ (K217 - INDEX([2]Sheet1!$B$4:$B$23,MATCH(K217,[2]Sheet1!$B$4:$B$23,1),1))/(INDEX([2]Sheet1!$B$4:$B$23,MATCH(K217,[2]Sheet1!$B$4:$B$23,1)+1,1) - INDEX([2]Sheet1!$B$4:$B$23,MATCH(K217,[2]Sheet1!$B$4:$B$23,1),1))*(INDEX([2]Sheet1!$C$4:$Q$23,MATCH(K217,[2]Sheet1!$B$4:$B$23,1)+1,MATCH(D217,[2]Sheet1!$C$3:$Q$3,1)) - INDEX([2]Sheet1!$C$4:$Q$23,MATCH(K217,[2]Sheet1!$B$4:$B$23,1),MATCH(D217,[2]Sheet1!$C$3:$Q$3,1)))
+ (D217 - INDEX([2]Sheet1!$C$3:$Q$3,1,MATCH(D217,[2]Sheet1!$C$3:$Q$3)))/(INDEX([2]Sheet1!$C$3:$Q$3,1,MATCH(D217,[2]Sheet1!$C$3:$Q$3)+1) - INDEX([2]Sheet1!$C$3:$Q$3,1,MATCH(D217,[2]Sheet1!$C$3:$Q$3)))*(
INDEX([2]Sheet1!$C$4:$Q$23,MATCH(K217,[2]Sheet1!$B$4:$B$23,1),MATCH(D217,[2]Sheet1!$C$3:$Q$3,1)+1) - INDEX([2]Sheet1!$C$4:$Q$23,MATCH(K217,[2]Sheet1!$B$4:$B$23,1),MATCH(D217,[2]Sheet1!$C$3:$Q$3,1)))))</f>
        <v>0</v>
      </c>
      <c r="N217">
        <f t="shared" si="62"/>
        <v>12</v>
      </c>
      <c r="O217">
        <v>9.1734024404591746E-2</v>
      </c>
      <c r="P217" t="e">
        <f t="shared" si="63"/>
        <v>#DIV/0!</v>
      </c>
      <c r="Q217">
        <f t="shared" si="50"/>
        <v>0</v>
      </c>
      <c r="R217">
        <f t="shared" si="64"/>
        <v>741.9099431943954</v>
      </c>
      <c r="T217" t="e">
        <f t="shared" si="53"/>
        <v>#DIV/0!</v>
      </c>
      <c r="U217" t="e">
        <f t="shared" si="54"/>
        <v>#DIV/0!</v>
      </c>
      <c r="V217">
        <f t="shared" si="55"/>
        <v>0</v>
      </c>
      <c r="W217" t="e">
        <f t="shared" si="51"/>
        <v>#DIV/0!</v>
      </c>
    </row>
    <row r="218" spans="1:23" x14ac:dyDescent="0.55000000000000004">
      <c r="A218">
        <f t="shared" si="52"/>
        <v>18.399999999999991</v>
      </c>
      <c r="B218">
        <f t="shared" si="56"/>
        <v>0.316</v>
      </c>
      <c r="C218">
        <f t="shared" si="57"/>
        <v>-6.9999999999999947</v>
      </c>
      <c r="D218">
        <v>2.4590985748499641</v>
      </c>
      <c r="E218">
        <f t="shared" si="47"/>
        <v>0</v>
      </c>
      <c r="F218">
        <f t="shared" si="58"/>
        <v>4.8605058816845369E-2</v>
      </c>
      <c r="G218">
        <f t="shared" si="59"/>
        <v>39.513748498891111</v>
      </c>
      <c r="H218">
        <f t="shared" si="60"/>
        <v>0</v>
      </c>
      <c r="I218" s="1">
        <f t="shared" si="48"/>
        <v>0</v>
      </c>
      <c r="J218">
        <f t="shared" si="61"/>
        <v>0</v>
      </c>
      <c r="K218">
        <f t="shared" si="49"/>
        <v>0</v>
      </c>
      <c r="L218" cm="1">
        <f t="array" ref="L218">IF(E218*J218=0,0,$C$21*INDEX([3]Sheet1!$C$4:$Q$23,MATCH(K218,[3]Sheet1!$B$4:$B$23,1),MATCH(D218,[3]Sheet1!$C$3:$Q$3,1))
+(K218-INDEX([3]Sheet1!$B$4:$B$23,MATCH(K218,[3]Sheet1!$B$4:$B$23,1),1))/(INDEX([3]Sheet1!$B$4:$B$23,MATCH(K218,[3]Sheet1!$B$4:$B$23,1)+1,1)-INDEX([3]Sheet1!$B$4:$B$23,
MATCH(K218,[3]Sheet1!$B$4:$B$23,1),1))*(INDEX([3]Sheet1!$C$4:$Q$23,MATCH(K218,[3]Sheet1!$B$4:$B$23,1)+1,MATCH(D218,[3]Sheet1!$C$3:$Q$3,1))-INDEX([3]Sheet1!$C$4:$Q$23,
MATCH(K218,[3]Sheet1!$B$4:$B$23,1),MATCH(D218,[3]Sheet1!$C$3:$Q$3,1)))
+(D218-INDEX([3]Sheet1!$C$3:$Q$3,1,MATCH(D218,[3]Sheet1!$C$3:$Q$3)))/(INDEX([3]Sheet1!$C$3:$Q$3,1,MATCH(D218,[3]Sheet1!$C$3:$Q$3)+1)-INDEX([3]Sheet1!$C$3:$Q$3,1,MATCH(
D218,[3]Sheet1!$C$3:$Q$3)))*(INDEX([3]Sheet1!$C$4:$Q$23,MATCH(K218,[3]Sheet1!$B$4:$B$23,1),MATCH(D218,[3]Sheet1!$C$3:$Q$3,1)+1)-INDEX([3]Sheet1!$C$4:$Q$23,MATCH(K218,[3]Sheet1!$B$4:$B$23,1),MATCH(D218,[3]Sheet1!$C$3:$Q$3,1))))</f>
        <v>0</v>
      </c>
      <c r="M218" cm="1">
        <f t="array" ref="M218" xml:space="preserve"> IF(E218*J218=0,0,(INDEX([2]Sheet1!$C$4:$Q$23,MATCH(K218,[2]Sheet1!$B$4:$B$23,1),MATCH(D218,[2]Sheet1!$C$3:$Q$3,1))
+ (K218 - INDEX([2]Sheet1!$B$4:$B$23,MATCH(K218,[2]Sheet1!$B$4:$B$23,1),1))/(INDEX([2]Sheet1!$B$4:$B$23,MATCH(K218,[2]Sheet1!$B$4:$B$23,1)+1,1) - INDEX([2]Sheet1!$B$4:$B$23,MATCH(K218,[2]Sheet1!$B$4:$B$23,1),1))*(INDEX([2]Sheet1!$C$4:$Q$23,MATCH(K218,[2]Sheet1!$B$4:$B$23,1)+1,MATCH(D218,[2]Sheet1!$C$3:$Q$3,1)) - INDEX([2]Sheet1!$C$4:$Q$23,MATCH(K218,[2]Sheet1!$B$4:$B$23,1),MATCH(D218,[2]Sheet1!$C$3:$Q$3,1)))
+ (D218 - INDEX([2]Sheet1!$C$3:$Q$3,1,MATCH(D218,[2]Sheet1!$C$3:$Q$3)))/(INDEX([2]Sheet1!$C$3:$Q$3,1,MATCH(D218,[2]Sheet1!$C$3:$Q$3)+1) - INDEX([2]Sheet1!$C$3:$Q$3,1,MATCH(D218,[2]Sheet1!$C$3:$Q$3)))*(
INDEX([2]Sheet1!$C$4:$Q$23,MATCH(K218,[2]Sheet1!$B$4:$B$23,1),MATCH(D218,[2]Sheet1!$C$3:$Q$3,1)+1) - INDEX([2]Sheet1!$C$4:$Q$23,MATCH(K218,[2]Sheet1!$B$4:$B$23,1),MATCH(D218,[2]Sheet1!$C$3:$Q$3,1)))))</f>
        <v>0</v>
      </c>
      <c r="N218">
        <f t="shared" si="62"/>
        <v>12</v>
      </c>
      <c r="O218">
        <v>9.1705954108012674E-2</v>
      </c>
      <c r="P218" t="e">
        <f t="shared" si="63"/>
        <v>#DIV/0!</v>
      </c>
      <c r="Q218">
        <f t="shared" si="50"/>
        <v>0</v>
      </c>
      <c r="R218">
        <f t="shared" si="64"/>
        <v>741.9099431943954</v>
      </c>
      <c r="T218" t="e">
        <f t="shared" si="53"/>
        <v>#DIV/0!</v>
      </c>
      <c r="U218" t="e">
        <f t="shared" si="54"/>
        <v>#DIV/0!</v>
      </c>
      <c r="V218">
        <f t="shared" si="55"/>
        <v>0</v>
      </c>
      <c r="W218" t="e">
        <f t="shared" si="51"/>
        <v>#DIV/0!</v>
      </c>
    </row>
    <row r="219" spans="1:23" x14ac:dyDescent="0.55000000000000004">
      <c r="A219">
        <f t="shared" si="52"/>
        <v>18.499999999999993</v>
      </c>
      <c r="B219">
        <f t="shared" si="56"/>
        <v>0.316</v>
      </c>
      <c r="C219">
        <f t="shared" si="57"/>
        <v>-7.0652173913043441</v>
      </c>
      <c r="D219">
        <v>2.4589608004362047</v>
      </c>
      <c r="E219">
        <f t="shared" si="47"/>
        <v>0</v>
      </c>
      <c r="F219">
        <f t="shared" si="58"/>
        <v>4.8605058816845369E-2</v>
      </c>
      <c r="G219">
        <f t="shared" si="59"/>
        <v>39.513748498891111</v>
      </c>
      <c r="H219">
        <f t="shared" si="60"/>
        <v>0</v>
      </c>
      <c r="I219" s="1">
        <f t="shared" si="48"/>
        <v>0</v>
      </c>
      <c r="J219">
        <f t="shared" si="61"/>
        <v>0</v>
      </c>
      <c r="K219">
        <f t="shared" si="49"/>
        <v>0</v>
      </c>
      <c r="L219" cm="1">
        <f t="array" ref="L219">IF(E219*J219=0,0,$C$21*INDEX([3]Sheet1!$C$4:$Q$23,MATCH(K219,[3]Sheet1!$B$4:$B$23,1),MATCH(D219,[3]Sheet1!$C$3:$Q$3,1))
+(K219-INDEX([3]Sheet1!$B$4:$B$23,MATCH(K219,[3]Sheet1!$B$4:$B$23,1),1))/(INDEX([3]Sheet1!$B$4:$B$23,MATCH(K219,[3]Sheet1!$B$4:$B$23,1)+1,1)-INDEX([3]Sheet1!$B$4:$B$23,
MATCH(K219,[3]Sheet1!$B$4:$B$23,1),1))*(INDEX([3]Sheet1!$C$4:$Q$23,MATCH(K219,[3]Sheet1!$B$4:$B$23,1)+1,MATCH(D219,[3]Sheet1!$C$3:$Q$3,1))-INDEX([3]Sheet1!$C$4:$Q$23,
MATCH(K219,[3]Sheet1!$B$4:$B$23,1),MATCH(D219,[3]Sheet1!$C$3:$Q$3,1)))
+(D219-INDEX([3]Sheet1!$C$3:$Q$3,1,MATCH(D219,[3]Sheet1!$C$3:$Q$3)))/(INDEX([3]Sheet1!$C$3:$Q$3,1,MATCH(D219,[3]Sheet1!$C$3:$Q$3)+1)-INDEX([3]Sheet1!$C$3:$Q$3,1,MATCH(
D219,[3]Sheet1!$C$3:$Q$3)))*(INDEX([3]Sheet1!$C$4:$Q$23,MATCH(K219,[3]Sheet1!$B$4:$B$23,1),MATCH(D219,[3]Sheet1!$C$3:$Q$3,1)+1)-INDEX([3]Sheet1!$C$4:$Q$23,MATCH(K219,[3]Sheet1!$B$4:$B$23,1),MATCH(D219,[3]Sheet1!$C$3:$Q$3,1))))</f>
        <v>0</v>
      </c>
      <c r="M219" cm="1">
        <f t="array" ref="M219" xml:space="preserve"> IF(E219*J219=0,0,(INDEX([2]Sheet1!$C$4:$Q$23,MATCH(K219,[2]Sheet1!$B$4:$B$23,1),MATCH(D219,[2]Sheet1!$C$3:$Q$3,1))
+ (K219 - INDEX([2]Sheet1!$B$4:$B$23,MATCH(K219,[2]Sheet1!$B$4:$B$23,1),1))/(INDEX([2]Sheet1!$B$4:$B$23,MATCH(K219,[2]Sheet1!$B$4:$B$23,1)+1,1) - INDEX([2]Sheet1!$B$4:$B$23,MATCH(K219,[2]Sheet1!$B$4:$B$23,1),1))*(INDEX([2]Sheet1!$C$4:$Q$23,MATCH(K219,[2]Sheet1!$B$4:$B$23,1)+1,MATCH(D219,[2]Sheet1!$C$3:$Q$3,1)) - INDEX([2]Sheet1!$C$4:$Q$23,MATCH(K219,[2]Sheet1!$B$4:$B$23,1),MATCH(D219,[2]Sheet1!$C$3:$Q$3,1)))
+ (D219 - INDEX([2]Sheet1!$C$3:$Q$3,1,MATCH(D219,[2]Sheet1!$C$3:$Q$3)))/(INDEX([2]Sheet1!$C$3:$Q$3,1,MATCH(D219,[2]Sheet1!$C$3:$Q$3)+1) - INDEX([2]Sheet1!$C$3:$Q$3,1,MATCH(D219,[2]Sheet1!$C$3:$Q$3)))*(
INDEX([2]Sheet1!$C$4:$Q$23,MATCH(K219,[2]Sheet1!$B$4:$B$23,1),MATCH(D219,[2]Sheet1!$C$3:$Q$3,1)+1) - INDEX([2]Sheet1!$C$4:$Q$23,MATCH(K219,[2]Sheet1!$B$4:$B$23,1),MATCH(D219,[2]Sheet1!$C$3:$Q$3,1)))))</f>
        <v>0</v>
      </c>
      <c r="N219">
        <f t="shared" si="62"/>
        <v>12</v>
      </c>
      <c r="O219">
        <v>9.1677962346983916E-2</v>
      </c>
      <c r="P219" t="e">
        <f t="shared" si="63"/>
        <v>#DIV/0!</v>
      </c>
      <c r="Q219">
        <f t="shared" si="50"/>
        <v>0</v>
      </c>
      <c r="R219">
        <f t="shared" si="64"/>
        <v>741.9099431943954</v>
      </c>
      <c r="T219" t="e">
        <f t="shared" si="53"/>
        <v>#DIV/0!</v>
      </c>
      <c r="U219" t="e">
        <f t="shared" si="54"/>
        <v>#DIV/0!</v>
      </c>
      <c r="V219">
        <f t="shared" si="55"/>
        <v>0</v>
      </c>
      <c r="W219" t="e">
        <f t="shared" si="51"/>
        <v>#DIV/0!</v>
      </c>
    </row>
    <row r="220" spans="1:23" x14ac:dyDescent="0.55000000000000004">
      <c r="A220">
        <f t="shared" si="52"/>
        <v>18.599999999999994</v>
      </c>
      <c r="B220">
        <f t="shared" si="56"/>
        <v>0.316</v>
      </c>
      <c r="C220">
        <f t="shared" si="57"/>
        <v>-7.1304347826086936</v>
      </c>
      <c r="D220">
        <v>2.4588233672524678</v>
      </c>
      <c r="E220">
        <f t="shared" si="47"/>
        <v>0</v>
      </c>
      <c r="F220">
        <f t="shared" si="58"/>
        <v>4.8605058816845369E-2</v>
      </c>
      <c r="G220">
        <f t="shared" si="59"/>
        <v>39.513748498891111</v>
      </c>
      <c r="H220">
        <f t="shared" si="60"/>
        <v>0</v>
      </c>
      <c r="I220" s="1">
        <f t="shared" si="48"/>
        <v>0</v>
      </c>
      <c r="J220">
        <f t="shared" si="61"/>
        <v>0</v>
      </c>
      <c r="K220">
        <f t="shared" si="49"/>
        <v>0</v>
      </c>
      <c r="L220" cm="1">
        <f t="array" ref="L220">IF(E220*J220=0,0,$C$21*INDEX([3]Sheet1!$C$4:$Q$23,MATCH(K220,[3]Sheet1!$B$4:$B$23,1),MATCH(D220,[3]Sheet1!$C$3:$Q$3,1))
+(K220-INDEX([3]Sheet1!$B$4:$B$23,MATCH(K220,[3]Sheet1!$B$4:$B$23,1),1))/(INDEX([3]Sheet1!$B$4:$B$23,MATCH(K220,[3]Sheet1!$B$4:$B$23,1)+1,1)-INDEX([3]Sheet1!$B$4:$B$23,
MATCH(K220,[3]Sheet1!$B$4:$B$23,1),1))*(INDEX([3]Sheet1!$C$4:$Q$23,MATCH(K220,[3]Sheet1!$B$4:$B$23,1)+1,MATCH(D220,[3]Sheet1!$C$3:$Q$3,1))-INDEX([3]Sheet1!$C$4:$Q$23,
MATCH(K220,[3]Sheet1!$B$4:$B$23,1),MATCH(D220,[3]Sheet1!$C$3:$Q$3,1)))
+(D220-INDEX([3]Sheet1!$C$3:$Q$3,1,MATCH(D220,[3]Sheet1!$C$3:$Q$3)))/(INDEX([3]Sheet1!$C$3:$Q$3,1,MATCH(D220,[3]Sheet1!$C$3:$Q$3)+1)-INDEX([3]Sheet1!$C$3:$Q$3,1,MATCH(
D220,[3]Sheet1!$C$3:$Q$3)))*(INDEX([3]Sheet1!$C$4:$Q$23,MATCH(K220,[3]Sheet1!$B$4:$B$23,1),MATCH(D220,[3]Sheet1!$C$3:$Q$3,1)+1)-INDEX([3]Sheet1!$C$4:$Q$23,MATCH(K220,[3]Sheet1!$B$4:$B$23,1),MATCH(D220,[3]Sheet1!$C$3:$Q$3,1))))</f>
        <v>0</v>
      </c>
      <c r="M220" cm="1">
        <f t="array" ref="M220" xml:space="preserve"> IF(E220*J220=0,0,(INDEX([2]Sheet1!$C$4:$Q$23,MATCH(K220,[2]Sheet1!$B$4:$B$23,1),MATCH(D220,[2]Sheet1!$C$3:$Q$3,1))
+ (K220 - INDEX([2]Sheet1!$B$4:$B$23,MATCH(K220,[2]Sheet1!$B$4:$B$23,1),1))/(INDEX([2]Sheet1!$B$4:$B$23,MATCH(K220,[2]Sheet1!$B$4:$B$23,1)+1,1) - INDEX([2]Sheet1!$B$4:$B$23,MATCH(K220,[2]Sheet1!$B$4:$B$23,1),1))*(INDEX([2]Sheet1!$C$4:$Q$23,MATCH(K220,[2]Sheet1!$B$4:$B$23,1)+1,MATCH(D220,[2]Sheet1!$C$3:$Q$3,1)) - INDEX([2]Sheet1!$C$4:$Q$23,MATCH(K220,[2]Sheet1!$B$4:$B$23,1),MATCH(D220,[2]Sheet1!$C$3:$Q$3,1)))
+ (D220 - INDEX([2]Sheet1!$C$3:$Q$3,1,MATCH(D220,[2]Sheet1!$C$3:$Q$3)))/(INDEX([2]Sheet1!$C$3:$Q$3,1,MATCH(D220,[2]Sheet1!$C$3:$Q$3)+1) - INDEX([2]Sheet1!$C$3:$Q$3,1,MATCH(D220,[2]Sheet1!$C$3:$Q$3)))*(
INDEX([2]Sheet1!$C$4:$Q$23,MATCH(K220,[2]Sheet1!$B$4:$B$23,1),MATCH(D220,[2]Sheet1!$C$3:$Q$3,1)+1) - INDEX([2]Sheet1!$C$4:$Q$23,MATCH(K220,[2]Sheet1!$B$4:$B$23,1),MATCH(D220,[2]Sheet1!$C$3:$Q$3,1)))))</f>
        <v>0</v>
      </c>
      <c r="N220">
        <f t="shared" si="62"/>
        <v>12</v>
      </c>
      <c r="O220">
        <v>9.1650048697654335E-2</v>
      </c>
      <c r="P220" t="e">
        <f t="shared" si="63"/>
        <v>#DIV/0!</v>
      </c>
      <c r="Q220">
        <f t="shared" si="50"/>
        <v>0</v>
      </c>
      <c r="R220">
        <f t="shared" si="64"/>
        <v>741.9099431943954</v>
      </c>
      <c r="T220" t="e">
        <f t="shared" si="53"/>
        <v>#DIV/0!</v>
      </c>
      <c r="U220" t="e">
        <f t="shared" si="54"/>
        <v>#DIV/0!</v>
      </c>
      <c r="V220">
        <f t="shared" si="55"/>
        <v>0</v>
      </c>
      <c r="W220" t="e">
        <f t="shared" si="51"/>
        <v>#DIV/0!</v>
      </c>
    </row>
    <row r="221" spans="1:23" x14ac:dyDescent="0.55000000000000004">
      <c r="A221">
        <f t="shared" si="52"/>
        <v>18.699999999999996</v>
      </c>
      <c r="B221">
        <f t="shared" si="56"/>
        <v>0.316</v>
      </c>
      <c r="C221">
        <f t="shared" si="57"/>
        <v>-7.1956521739130412</v>
      </c>
      <c r="D221">
        <v>2.4586862735587522</v>
      </c>
      <c r="E221">
        <f t="shared" si="47"/>
        <v>0</v>
      </c>
      <c r="F221">
        <f t="shared" si="58"/>
        <v>4.8605058816845369E-2</v>
      </c>
      <c r="G221">
        <f t="shared" si="59"/>
        <v>39.513748498891111</v>
      </c>
      <c r="H221">
        <f t="shared" si="60"/>
        <v>0</v>
      </c>
      <c r="I221" s="1">
        <f t="shared" si="48"/>
        <v>0</v>
      </c>
      <c r="J221">
        <f t="shared" si="61"/>
        <v>0</v>
      </c>
      <c r="K221">
        <f t="shared" si="49"/>
        <v>0</v>
      </c>
      <c r="L221" cm="1">
        <f t="array" ref="L221">IF(E221*J221=0,0,$C$21*INDEX([3]Sheet1!$C$4:$Q$23,MATCH(K221,[3]Sheet1!$B$4:$B$23,1),MATCH(D221,[3]Sheet1!$C$3:$Q$3,1))
+(K221-INDEX([3]Sheet1!$B$4:$B$23,MATCH(K221,[3]Sheet1!$B$4:$B$23,1),1))/(INDEX([3]Sheet1!$B$4:$B$23,MATCH(K221,[3]Sheet1!$B$4:$B$23,1)+1,1)-INDEX([3]Sheet1!$B$4:$B$23,
MATCH(K221,[3]Sheet1!$B$4:$B$23,1),1))*(INDEX([3]Sheet1!$C$4:$Q$23,MATCH(K221,[3]Sheet1!$B$4:$B$23,1)+1,MATCH(D221,[3]Sheet1!$C$3:$Q$3,1))-INDEX([3]Sheet1!$C$4:$Q$23,
MATCH(K221,[3]Sheet1!$B$4:$B$23,1),MATCH(D221,[3]Sheet1!$C$3:$Q$3,1)))
+(D221-INDEX([3]Sheet1!$C$3:$Q$3,1,MATCH(D221,[3]Sheet1!$C$3:$Q$3)))/(INDEX([3]Sheet1!$C$3:$Q$3,1,MATCH(D221,[3]Sheet1!$C$3:$Q$3)+1)-INDEX([3]Sheet1!$C$3:$Q$3,1,MATCH(
D221,[3]Sheet1!$C$3:$Q$3)))*(INDEX([3]Sheet1!$C$4:$Q$23,MATCH(K221,[3]Sheet1!$B$4:$B$23,1),MATCH(D221,[3]Sheet1!$C$3:$Q$3,1)+1)-INDEX([3]Sheet1!$C$4:$Q$23,MATCH(K221,[3]Sheet1!$B$4:$B$23,1),MATCH(D221,[3]Sheet1!$C$3:$Q$3,1))))</f>
        <v>0</v>
      </c>
      <c r="M221" cm="1">
        <f t="array" ref="M221" xml:space="preserve"> IF(E221*J221=0,0,(INDEX([2]Sheet1!$C$4:$Q$23,MATCH(K221,[2]Sheet1!$B$4:$B$23,1),MATCH(D221,[2]Sheet1!$C$3:$Q$3,1))
+ (K221 - INDEX([2]Sheet1!$B$4:$B$23,MATCH(K221,[2]Sheet1!$B$4:$B$23,1),1))/(INDEX([2]Sheet1!$B$4:$B$23,MATCH(K221,[2]Sheet1!$B$4:$B$23,1)+1,1) - INDEX([2]Sheet1!$B$4:$B$23,MATCH(K221,[2]Sheet1!$B$4:$B$23,1),1))*(INDEX([2]Sheet1!$C$4:$Q$23,MATCH(K221,[2]Sheet1!$B$4:$B$23,1)+1,MATCH(D221,[2]Sheet1!$C$3:$Q$3,1)) - INDEX([2]Sheet1!$C$4:$Q$23,MATCH(K221,[2]Sheet1!$B$4:$B$23,1),MATCH(D221,[2]Sheet1!$C$3:$Q$3,1)))
+ (D221 - INDEX([2]Sheet1!$C$3:$Q$3,1,MATCH(D221,[2]Sheet1!$C$3:$Q$3)))/(INDEX([2]Sheet1!$C$3:$Q$3,1,MATCH(D221,[2]Sheet1!$C$3:$Q$3)+1) - INDEX([2]Sheet1!$C$3:$Q$3,1,MATCH(D221,[2]Sheet1!$C$3:$Q$3)))*(
INDEX([2]Sheet1!$C$4:$Q$23,MATCH(K221,[2]Sheet1!$B$4:$B$23,1),MATCH(D221,[2]Sheet1!$C$3:$Q$3,1)+1) - INDEX([2]Sheet1!$C$4:$Q$23,MATCH(K221,[2]Sheet1!$B$4:$B$23,1),MATCH(D221,[2]Sheet1!$C$3:$Q$3,1)))))</f>
        <v>0</v>
      </c>
      <c r="N221">
        <f t="shared" si="62"/>
        <v>12</v>
      </c>
      <c r="O221">
        <v>9.1622212739559991E-2</v>
      </c>
      <c r="P221" t="e">
        <f t="shared" si="63"/>
        <v>#DIV/0!</v>
      </c>
      <c r="Q221">
        <f t="shared" si="50"/>
        <v>0</v>
      </c>
      <c r="R221">
        <f t="shared" si="64"/>
        <v>741.9099431943954</v>
      </c>
      <c r="T221" t="e">
        <f t="shared" si="53"/>
        <v>#DIV/0!</v>
      </c>
      <c r="U221" t="e">
        <f t="shared" si="54"/>
        <v>#DIV/0!</v>
      </c>
      <c r="V221">
        <f t="shared" si="55"/>
        <v>0</v>
      </c>
      <c r="W221" t="e">
        <f t="shared" si="51"/>
        <v>#DIV/0!</v>
      </c>
    </row>
    <row r="222" spans="1:23" x14ac:dyDescent="0.55000000000000004">
      <c r="A222">
        <f t="shared" si="52"/>
        <v>18.799999999999997</v>
      </c>
      <c r="B222">
        <f t="shared" si="56"/>
        <v>0.316</v>
      </c>
      <c r="C222">
        <f t="shared" si="57"/>
        <v>-7.2608695652173907</v>
      </c>
      <c r="D222">
        <v>2.4585495176284136</v>
      </c>
      <c r="E222">
        <f t="shared" si="47"/>
        <v>0</v>
      </c>
      <c r="F222">
        <f t="shared" si="58"/>
        <v>4.8605058816845369E-2</v>
      </c>
      <c r="G222">
        <f t="shared" si="59"/>
        <v>39.513748498891111</v>
      </c>
      <c r="H222">
        <f t="shared" si="60"/>
        <v>0</v>
      </c>
      <c r="I222" s="1">
        <f t="shared" si="48"/>
        <v>0</v>
      </c>
      <c r="J222">
        <f t="shared" si="61"/>
        <v>0</v>
      </c>
      <c r="K222">
        <f t="shared" si="49"/>
        <v>0</v>
      </c>
      <c r="L222" cm="1">
        <f t="array" ref="L222">IF(E222*J222=0,0,$C$21*INDEX([3]Sheet1!$C$4:$Q$23,MATCH(K222,[3]Sheet1!$B$4:$B$23,1),MATCH(D222,[3]Sheet1!$C$3:$Q$3,1))
+(K222-INDEX([3]Sheet1!$B$4:$B$23,MATCH(K222,[3]Sheet1!$B$4:$B$23,1),1))/(INDEX([3]Sheet1!$B$4:$B$23,MATCH(K222,[3]Sheet1!$B$4:$B$23,1)+1,1)-INDEX([3]Sheet1!$B$4:$B$23,
MATCH(K222,[3]Sheet1!$B$4:$B$23,1),1))*(INDEX([3]Sheet1!$C$4:$Q$23,MATCH(K222,[3]Sheet1!$B$4:$B$23,1)+1,MATCH(D222,[3]Sheet1!$C$3:$Q$3,1))-INDEX([3]Sheet1!$C$4:$Q$23,
MATCH(K222,[3]Sheet1!$B$4:$B$23,1),MATCH(D222,[3]Sheet1!$C$3:$Q$3,1)))
+(D222-INDEX([3]Sheet1!$C$3:$Q$3,1,MATCH(D222,[3]Sheet1!$C$3:$Q$3)))/(INDEX([3]Sheet1!$C$3:$Q$3,1,MATCH(D222,[3]Sheet1!$C$3:$Q$3)+1)-INDEX([3]Sheet1!$C$3:$Q$3,1,MATCH(
D222,[3]Sheet1!$C$3:$Q$3)))*(INDEX([3]Sheet1!$C$4:$Q$23,MATCH(K222,[3]Sheet1!$B$4:$B$23,1),MATCH(D222,[3]Sheet1!$C$3:$Q$3,1)+1)-INDEX([3]Sheet1!$C$4:$Q$23,MATCH(K222,[3]Sheet1!$B$4:$B$23,1),MATCH(D222,[3]Sheet1!$C$3:$Q$3,1))))</f>
        <v>0</v>
      </c>
      <c r="M222" cm="1">
        <f t="array" ref="M222" xml:space="preserve"> IF(E222*J222=0,0,(INDEX([2]Sheet1!$C$4:$Q$23,MATCH(K222,[2]Sheet1!$B$4:$B$23,1),MATCH(D222,[2]Sheet1!$C$3:$Q$3,1))
+ (K222 - INDEX([2]Sheet1!$B$4:$B$23,MATCH(K222,[2]Sheet1!$B$4:$B$23,1),1))/(INDEX([2]Sheet1!$B$4:$B$23,MATCH(K222,[2]Sheet1!$B$4:$B$23,1)+1,1) - INDEX([2]Sheet1!$B$4:$B$23,MATCH(K222,[2]Sheet1!$B$4:$B$23,1),1))*(INDEX([2]Sheet1!$C$4:$Q$23,MATCH(K222,[2]Sheet1!$B$4:$B$23,1)+1,MATCH(D222,[2]Sheet1!$C$3:$Q$3,1)) - INDEX([2]Sheet1!$C$4:$Q$23,MATCH(K222,[2]Sheet1!$B$4:$B$23,1),MATCH(D222,[2]Sheet1!$C$3:$Q$3,1)))
+ (D222 - INDEX([2]Sheet1!$C$3:$Q$3,1,MATCH(D222,[2]Sheet1!$C$3:$Q$3)))/(INDEX([2]Sheet1!$C$3:$Q$3,1,MATCH(D222,[2]Sheet1!$C$3:$Q$3)+1) - INDEX([2]Sheet1!$C$3:$Q$3,1,MATCH(D222,[2]Sheet1!$C$3:$Q$3)))*(
INDEX([2]Sheet1!$C$4:$Q$23,MATCH(K222,[2]Sheet1!$B$4:$B$23,1),MATCH(D222,[2]Sheet1!$C$3:$Q$3,1)+1) - INDEX([2]Sheet1!$C$4:$Q$23,MATCH(K222,[2]Sheet1!$B$4:$B$23,1),MATCH(D222,[2]Sheet1!$C$3:$Q$3,1)))))</f>
        <v>0</v>
      </c>
      <c r="N222">
        <f t="shared" si="62"/>
        <v>12</v>
      </c>
      <c r="O222">
        <v>9.1594454055588373E-2</v>
      </c>
      <c r="P222" t="e">
        <f t="shared" si="63"/>
        <v>#DIV/0!</v>
      </c>
      <c r="Q222">
        <f t="shared" si="50"/>
        <v>0</v>
      </c>
      <c r="R222">
        <f t="shared" si="64"/>
        <v>741.9099431943954</v>
      </c>
      <c r="T222" t="e">
        <f t="shared" si="53"/>
        <v>#DIV/0!</v>
      </c>
      <c r="U222" t="e">
        <f t="shared" si="54"/>
        <v>#DIV/0!</v>
      </c>
      <c r="V222">
        <f t="shared" si="55"/>
        <v>0</v>
      </c>
      <c r="W222" t="e">
        <f t="shared" si="51"/>
        <v>#DIV/0!</v>
      </c>
    </row>
    <row r="223" spans="1:23" x14ac:dyDescent="0.55000000000000004">
      <c r="A223">
        <f t="shared" si="52"/>
        <v>18.899999999999999</v>
      </c>
      <c r="B223">
        <f t="shared" si="56"/>
        <v>0.316</v>
      </c>
      <c r="C223">
        <f t="shared" si="57"/>
        <v>-7.3260869565217384</v>
      </c>
      <c r="D223">
        <v>2.4584130977480259</v>
      </c>
      <c r="E223">
        <f t="shared" si="47"/>
        <v>0</v>
      </c>
      <c r="F223">
        <f t="shared" si="58"/>
        <v>4.8605058816845369E-2</v>
      </c>
      <c r="G223">
        <f t="shared" si="59"/>
        <v>39.513748498891111</v>
      </c>
      <c r="H223">
        <f t="shared" si="60"/>
        <v>0</v>
      </c>
      <c r="I223" s="1">
        <f t="shared" si="48"/>
        <v>0</v>
      </c>
      <c r="J223">
        <f t="shared" si="61"/>
        <v>0</v>
      </c>
      <c r="K223">
        <f t="shared" si="49"/>
        <v>0</v>
      </c>
      <c r="L223" cm="1">
        <f t="array" ref="L223">IF(E223*J223=0,0,$C$21*INDEX([3]Sheet1!$C$4:$Q$23,MATCH(K223,[3]Sheet1!$B$4:$B$23,1),MATCH(D223,[3]Sheet1!$C$3:$Q$3,1))
+(K223-INDEX([3]Sheet1!$B$4:$B$23,MATCH(K223,[3]Sheet1!$B$4:$B$23,1),1))/(INDEX([3]Sheet1!$B$4:$B$23,MATCH(K223,[3]Sheet1!$B$4:$B$23,1)+1,1)-INDEX([3]Sheet1!$B$4:$B$23,
MATCH(K223,[3]Sheet1!$B$4:$B$23,1),1))*(INDEX([3]Sheet1!$C$4:$Q$23,MATCH(K223,[3]Sheet1!$B$4:$B$23,1)+1,MATCH(D223,[3]Sheet1!$C$3:$Q$3,1))-INDEX([3]Sheet1!$C$4:$Q$23,
MATCH(K223,[3]Sheet1!$B$4:$B$23,1),MATCH(D223,[3]Sheet1!$C$3:$Q$3,1)))
+(D223-INDEX([3]Sheet1!$C$3:$Q$3,1,MATCH(D223,[3]Sheet1!$C$3:$Q$3)))/(INDEX([3]Sheet1!$C$3:$Q$3,1,MATCH(D223,[3]Sheet1!$C$3:$Q$3)+1)-INDEX([3]Sheet1!$C$3:$Q$3,1,MATCH(
D223,[3]Sheet1!$C$3:$Q$3)))*(INDEX([3]Sheet1!$C$4:$Q$23,MATCH(K223,[3]Sheet1!$B$4:$B$23,1),MATCH(D223,[3]Sheet1!$C$3:$Q$3,1)+1)-INDEX([3]Sheet1!$C$4:$Q$23,MATCH(K223,[3]Sheet1!$B$4:$B$23,1),MATCH(D223,[3]Sheet1!$C$3:$Q$3,1))))</f>
        <v>0</v>
      </c>
      <c r="M223" cm="1">
        <f t="array" ref="M223" xml:space="preserve"> IF(E223*J223=0,0,(INDEX([2]Sheet1!$C$4:$Q$23,MATCH(K223,[2]Sheet1!$B$4:$B$23,1),MATCH(D223,[2]Sheet1!$C$3:$Q$3,1))
+ (K223 - INDEX([2]Sheet1!$B$4:$B$23,MATCH(K223,[2]Sheet1!$B$4:$B$23,1),1))/(INDEX([2]Sheet1!$B$4:$B$23,MATCH(K223,[2]Sheet1!$B$4:$B$23,1)+1,1) - INDEX([2]Sheet1!$B$4:$B$23,MATCH(K223,[2]Sheet1!$B$4:$B$23,1),1))*(INDEX([2]Sheet1!$C$4:$Q$23,MATCH(K223,[2]Sheet1!$B$4:$B$23,1)+1,MATCH(D223,[2]Sheet1!$C$3:$Q$3,1)) - INDEX([2]Sheet1!$C$4:$Q$23,MATCH(K223,[2]Sheet1!$B$4:$B$23,1),MATCH(D223,[2]Sheet1!$C$3:$Q$3,1)))
+ (D223 - INDEX([2]Sheet1!$C$3:$Q$3,1,MATCH(D223,[2]Sheet1!$C$3:$Q$3)))/(INDEX([2]Sheet1!$C$3:$Q$3,1,MATCH(D223,[2]Sheet1!$C$3:$Q$3)+1) - INDEX([2]Sheet1!$C$3:$Q$3,1,MATCH(D223,[2]Sheet1!$C$3:$Q$3)))*(
INDEX([2]Sheet1!$C$4:$Q$23,MATCH(K223,[2]Sheet1!$B$4:$B$23,1),MATCH(D223,[2]Sheet1!$C$3:$Q$3,1)+1) - INDEX([2]Sheet1!$C$4:$Q$23,MATCH(K223,[2]Sheet1!$B$4:$B$23,1),MATCH(D223,[2]Sheet1!$C$3:$Q$3,1)))))</f>
        <v>0</v>
      </c>
      <c r="N223">
        <f t="shared" si="62"/>
        <v>12</v>
      </c>
      <c r="O223">
        <v>9.1566772231943025E-2</v>
      </c>
      <c r="P223" t="e">
        <f t="shared" si="63"/>
        <v>#DIV/0!</v>
      </c>
      <c r="Q223">
        <f t="shared" si="50"/>
        <v>0</v>
      </c>
      <c r="R223">
        <f t="shared" si="64"/>
        <v>741.9099431943954</v>
      </c>
      <c r="T223" t="e">
        <f t="shared" si="53"/>
        <v>#DIV/0!</v>
      </c>
      <c r="U223" t="e">
        <f t="shared" si="54"/>
        <v>#DIV/0!</v>
      </c>
      <c r="V223">
        <f t="shared" si="55"/>
        <v>0</v>
      </c>
      <c r="W223" t="e">
        <f t="shared" si="51"/>
        <v>#DIV/0!</v>
      </c>
    </row>
    <row r="224" spans="1:23" x14ac:dyDescent="0.55000000000000004">
      <c r="A224">
        <f t="shared" si="52"/>
        <v>19</v>
      </c>
      <c r="B224">
        <f t="shared" si="56"/>
        <v>0.316</v>
      </c>
      <c r="C224">
        <f t="shared" si="57"/>
        <v>-7.3913043478260878</v>
      </c>
      <c r="D224">
        <v>2.4582770122175179</v>
      </c>
      <c r="E224">
        <f t="shared" si="47"/>
        <v>0</v>
      </c>
      <c r="F224">
        <f t="shared" si="58"/>
        <v>4.8605058816845369E-2</v>
      </c>
      <c r="G224">
        <f t="shared" si="59"/>
        <v>39.513748498891111</v>
      </c>
      <c r="H224">
        <f t="shared" si="60"/>
        <v>0</v>
      </c>
      <c r="I224" s="1">
        <f t="shared" si="48"/>
        <v>0</v>
      </c>
      <c r="J224">
        <f t="shared" si="61"/>
        <v>0</v>
      </c>
      <c r="K224">
        <f t="shared" si="49"/>
        <v>0</v>
      </c>
      <c r="L224" cm="1">
        <f t="array" ref="L224">IF(E224*J224=0,0,$C$21*INDEX([3]Sheet1!$C$4:$Q$23,MATCH(K224,[3]Sheet1!$B$4:$B$23,1),MATCH(D224,[3]Sheet1!$C$3:$Q$3,1))
+(K224-INDEX([3]Sheet1!$B$4:$B$23,MATCH(K224,[3]Sheet1!$B$4:$B$23,1),1))/(INDEX([3]Sheet1!$B$4:$B$23,MATCH(K224,[3]Sheet1!$B$4:$B$23,1)+1,1)-INDEX([3]Sheet1!$B$4:$B$23,
MATCH(K224,[3]Sheet1!$B$4:$B$23,1),1))*(INDEX([3]Sheet1!$C$4:$Q$23,MATCH(K224,[3]Sheet1!$B$4:$B$23,1)+1,MATCH(D224,[3]Sheet1!$C$3:$Q$3,1))-INDEX([3]Sheet1!$C$4:$Q$23,
MATCH(K224,[3]Sheet1!$B$4:$B$23,1),MATCH(D224,[3]Sheet1!$C$3:$Q$3,1)))
+(D224-INDEX([3]Sheet1!$C$3:$Q$3,1,MATCH(D224,[3]Sheet1!$C$3:$Q$3)))/(INDEX([3]Sheet1!$C$3:$Q$3,1,MATCH(D224,[3]Sheet1!$C$3:$Q$3)+1)-INDEX([3]Sheet1!$C$3:$Q$3,1,MATCH(
D224,[3]Sheet1!$C$3:$Q$3)))*(INDEX([3]Sheet1!$C$4:$Q$23,MATCH(K224,[3]Sheet1!$B$4:$B$23,1),MATCH(D224,[3]Sheet1!$C$3:$Q$3,1)+1)-INDEX([3]Sheet1!$C$4:$Q$23,MATCH(K224,[3]Sheet1!$B$4:$B$23,1),MATCH(D224,[3]Sheet1!$C$3:$Q$3,1))))</f>
        <v>0</v>
      </c>
      <c r="M224" cm="1">
        <f t="array" ref="M224" xml:space="preserve"> IF(E224*J224=0,0,(INDEX([2]Sheet1!$C$4:$Q$23,MATCH(K224,[2]Sheet1!$B$4:$B$23,1),MATCH(D224,[2]Sheet1!$C$3:$Q$3,1))
+ (K224 - INDEX([2]Sheet1!$B$4:$B$23,MATCH(K224,[2]Sheet1!$B$4:$B$23,1),1))/(INDEX([2]Sheet1!$B$4:$B$23,MATCH(K224,[2]Sheet1!$B$4:$B$23,1)+1,1) - INDEX([2]Sheet1!$B$4:$B$23,MATCH(K224,[2]Sheet1!$B$4:$B$23,1),1))*(INDEX([2]Sheet1!$C$4:$Q$23,MATCH(K224,[2]Sheet1!$B$4:$B$23,1)+1,MATCH(D224,[2]Sheet1!$C$3:$Q$3,1)) - INDEX([2]Sheet1!$C$4:$Q$23,MATCH(K224,[2]Sheet1!$B$4:$B$23,1),MATCH(D224,[2]Sheet1!$C$3:$Q$3,1)))
+ (D224 - INDEX([2]Sheet1!$C$3:$Q$3,1,MATCH(D224,[2]Sheet1!$C$3:$Q$3)))/(INDEX([2]Sheet1!$C$3:$Q$3,1,MATCH(D224,[2]Sheet1!$C$3:$Q$3)+1) - INDEX([2]Sheet1!$C$3:$Q$3,1,MATCH(D224,[2]Sheet1!$C$3:$Q$3)))*(
INDEX([2]Sheet1!$C$4:$Q$23,MATCH(K224,[2]Sheet1!$B$4:$B$23,1),MATCH(D224,[2]Sheet1!$C$3:$Q$3,1)+1) - INDEX([2]Sheet1!$C$4:$Q$23,MATCH(K224,[2]Sheet1!$B$4:$B$23,1),MATCH(D224,[2]Sheet1!$C$3:$Q$3,1)))))</f>
        <v>0</v>
      </c>
      <c r="N224">
        <f t="shared" si="62"/>
        <v>12</v>
      </c>
      <c r="O224">
        <v>9.1539166858162463E-2</v>
      </c>
      <c r="P224" t="e">
        <f t="shared" si="63"/>
        <v>#DIV/0!</v>
      </c>
      <c r="Q224">
        <f t="shared" si="50"/>
        <v>0</v>
      </c>
      <c r="R224">
        <f t="shared" si="64"/>
        <v>741.9099431943954</v>
      </c>
      <c r="T224" t="e">
        <f t="shared" si="53"/>
        <v>#DIV/0!</v>
      </c>
      <c r="U224" t="e">
        <f t="shared" si="54"/>
        <v>#DIV/0!</v>
      </c>
      <c r="V224">
        <f t="shared" si="55"/>
        <v>0</v>
      </c>
      <c r="W224" t="e">
        <f t="shared" si="51"/>
        <v>#DIV/0!</v>
      </c>
    </row>
    <row r="225" spans="1:23" x14ac:dyDescent="0.55000000000000004">
      <c r="A225">
        <f t="shared" si="52"/>
        <v>19.100000000000001</v>
      </c>
      <c r="B225">
        <f t="shared" si="56"/>
        <v>0.316</v>
      </c>
      <c r="C225">
        <f t="shared" si="57"/>
        <v>-7.4565217391304373</v>
      </c>
      <c r="D225">
        <v>2.4581412593517307</v>
      </c>
      <c r="E225">
        <f t="shared" si="47"/>
        <v>0</v>
      </c>
      <c r="F225">
        <f t="shared" si="58"/>
        <v>4.8605058816845369E-2</v>
      </c>
      <c r="G225">
        <f t="shared" si="59"/>
        <v>39.513748498891111</v>
      </c>
      <c r="H225">
        <f t="shared" si="60"/>
        <v>0</v>
      </c>
      <c r="I225" s="1">
        <f t="shared" si="48"/>
        <v>0</v>
      </c>
      <c r="J225">
        <f t="shared" si="61"/>
        <v>0</v>
      </c>
      <c r="K225">
        <f t="shared" si="49"/>
        <v>0</v>
      </c>
      <c r="L225" cm="1">
        <f t="array" ref="L225">IF(E225*J225=0,0,$C$21*INDEX([3]Sheet1!$C$4:$Q$23,MATCH(K225,[3]Sheet1!$B$4:$B$23,1),MATCH(D225,[3]Sheet1!$C$3:$Q$3,1))
+(K225-INDEX([3]Sheet1!$B$4:$B$23,MATCH(K225,[3]Sheet1!$B$4:$B$23,1),1))/(INDEX([3]Sheet1!$B$4:$B$23,MATCH(K225,[3]Sheet1!$B$4:$B$23,1)+1,1)-INDEX([3]Sheet1!$B$4:$B$23,
MATCH(K225,[3]Sheet1!$B$4:$B$23,1),1))*(INDEX([3]Sheet1!$C$4:$Q$23,MATCH(K225,[3]Sheet1!$B$4:$B$23,1)+1,MATCH(D225,[3]Sheet1!$C$3:$Q$3,1))-INDEX([3]Sheet1!$C$4:$Q$23,
MATCH(K225,[3]Sheet1!$B$4:$B$23,1),MATCH(D225,[3]Sheet1!$C$3:$Q$3,1)))
+(D225-INDEX([3]Sheet1!$C$3:$Q$3,1,MATCH(D225,[3]Sheet1!$C$3:$Q$3)))/(INDEX([3]Sheet1!$C$3:$Q$3,1,MATCH(D225,[3]Sheet1!$C$3:$Q$3)+1)-INDEX([3]Sheet1!$C$3:$Q$3,1,MATCH(
D225,[3]Sheet1!$C$3:$Q$3)))*(INDEX([3]Sheet1!$C$4:$Q$23,MATCH(K225,[3]Sheet1!$B$4:$B$23,1),MATCH(D225,[3]Sheet1!$C$3:$Q$3,1)+1)-INDEX([3]Sheet1!$C$4:$Q$23,MATCH(K225,[3]Sheet1!$B$4:$B$23,1),MATCH(D225,[3]Sheet1!$C$3:$Q$3,1))))</f>
        <v>0</v>
      </c>
      <c r="M225" cm="1">
        <f t="array" ref="M225" xml:space="preserve"> IF(E225*J225=0,0,(INDEX([2]Sheet1!$C$4:$Q$23,MATCH(K225,[2]Sheet1!$B$4:$B$23,1),MATCH(D225,[2]Sheet1!$C$3:$Q$3,1))
+ (K225 - INDEX([2]Sheet1!$B$4:$B$23,MATCH(K225,[2]Sheet1!$B$4:$B$23,1),1))/(INDEX([2]Sheet1!$B$4:$B$23,MATCH(K225,[2]Sheet1!$B$4:$B$23,1)+1,1) - INDEX([2]Sheet1!$B$4:$B$23,MATCH(K225,[2]Sheet1!$B$4:$B$23,1),1))*(INDEX([2]Sheet1!$C$4:$Q$23,MATCH(K225,[2]Sheet1!$B$4:$B$23,1)+1,MATCH(D225,[2]Sheet1!$C$3:$Q$3,1)) - INDEX([2]Sheet1!$C$4:$Q$23,MATCH(K225,[2]Sheet1!$B$4:$B$23,1),MATCH(D225,[2]Sheet1!$C$3:$Q$3,1)))
+ (D225 - INDEX([2]Sheet1!$C$3:$Q$3,1,MATCH(D225,[2]Sheet1!$C$3:$Q$3)))/(INDEX([2]Sheet1!$C$3:$Q$3,1,MATCH(D225,[2]Sheet1!$C$3:$Q$3)+1) - INDEX([2]Sheet1!$C$3:$Q$3,1,MATCH(D225,[2]Sheet1!$C$3:$Q$3)))*(
INDEX([2]Sheet1!$C$4:$Q$23,MATCH(K225,[2]Sheet1!$B$4:$B$23,1),MATCH(D225,[2]Sheet1!$C$3:$Q$3,1)+1) - INDEX([2]Sheet1!$C$4:$Q$23,MATCH(K225,[2]Sheet1!$B$4:$B$23,1),MATCH(D225,[2]Sheet1!$C$3:$Q$3,1)))))</f>
        <v>0</v>
      </c>
      <c r="N225">
        <f t="shared" si="62"/>
        <v>12</v>
      </c>
      <c r="O225">
        <v>9.1511637527419837E-2</v>
      </c>
      <c r="P225" t="e">
        <f t="shared" si="63"/>
        <v>#DIV/0!</v>
      </c>
      <c r="Q225">
        <f t="shared" si="50"/>
        <v>0</v>
      </c>
      <c r="R225">
        <f t="shared" si="64"/>
        <v>741.9099431943954</v>
      </c>
      <c r="T225" t="e">
        <f t="shared" si="53"/>
        <v>#DIV/0!</v>
      </c>
      <c r="U225" t="e">
        <f t="shared" si="54"/>
        <v>#DIV/0!</v>
      </c>
      <c r="V225">
        <f t="shared" si="55"/>
        <v>0</v>
      </c>
      <c r="W225" t="e">
        <f t="shared" si="51"/>
        <v>#DIV/0!</v>
      </c>
    </row>
    <row r="226" spans="1:23" x14ac:dyDescent="0.55000000000000004">
      <c r="A226">
        <f t="shared" si="52"/>
        <v>19.200000000000003</v>
      </c>
      <c r="B226">
        <f t="shared" si="56"/>
        <v>0.316</v>
      </c>
      <c r="C226">
        <f t="shared" si="57"/>
        <v>-7.5217391304347849</v>
      </c>
      <c r="D226">
        <v>2.4580058374735914</v>
      </c>
      <c r="E226">
        <f t="shared" si="47"/>
        <v>0</v>
      </c>
      <c r="F226">
        <f t="shared" si="58"/>
        <v>4.8605058816845369E-2</v>
      </c>
      <c r="G226">
        <f t="shared" si="59"/>
        <v>39.513748498891111</v>
      </c>
      <c r="H226">
        <f t="shared" si="60"/>
        <v>0</v>
      </c>
      <c r="I226" s="1">
        <f t="shared" si="48"/>
        <v>0</v>
      </c>
      <c r="J226">
        <f t="shared" si="61"/>
        <v>0</v>
      </c>
      <c r="K226">
        <f t="shared" si="49"/>
        <v>0</v>
      </c>
      <c r="L226" cm="1">
        <f t="array" ref="L226">IF(E226*J226=0,0,$C$21*INDEX([3]Sheet1!$C$4:$Q$23,MATCH(K226,[3]Sheet1!$B$4:$B$23,1),MATCH(D226,[3]Sheet1!$C$3:$Q$3,1))
+(K226-INDEX([3]Sheet1!$B$4:$B$23,MATCH(K226,[3]Sheet1!$B$4:$B$23,1),1))/(INDEX([3]Sheet1!$B$4:$B$23,MATCH(K226,[3]Sheet1!$B$4:$B$23,1)+1,1)-INDEX([3]Sheet1!$B$4:$B$23,
MATCH(K226,[3]Sheet1!$B$4:$B$23,1),1))*(INDEX([3]Sheet1!$C$4:$Q$23,MATCH(K226,[3]Sheet1!$B$4:$B$23,1)+1,MATCH(D226,[3]Sheet1!$C$3:$Q$3,1))-INDEX([3]Sheet1!$C$4:$Q$23,
MATCH(K226,[3]Sheet1!$B$4:$B$23,1),MATCH(D226,[3]Sheet1!$C$3:$Q$3,1)))
+(D226-INDEX([3]Sheet1!$C$3:$Q$3,1,MATCH(D226,[3]Sheet1!$C$3:$Q$3)))/(INDEX([3]Sheet1!$C$3:$Q$3,1,MATCH(D226,[3]Sheet1!$C$3:$Q$3)+1)-INDEX([3]Sheet1!$C$3:$Q$3,1,MATCH(
D226,[3]Sheet1!$C$3:$Q$3)))*(INDEX([3]Sheet1!$C$4:$Q$23,MATCH(K226,[3]Sheet1!$B$4:$B$23,1),MATCH(D226,[3]Sheet1!$C$3:$Q$3,1)+1)-INDEX([3]Sheet1!$C$4:$Q$23,MATCH(K226,[3]Sheet1!$B$4:$B$23,1),MATCH(D226,[3]Sheet1!$C$3:$Q$3,1))))</f>
        <v>0</v>
      </c>
      <c r="M226" cm="1">
        <f t="array" ref="M226" xml:space="preserve"> IF(E226*J226=0,0,(INDEX([2]Sheet1!$C$4:$Q$23,MATCH(K226,[2]Sheet1!$B$4:$B$23,1),MATCH(D226,[2]Sheet1!$C$3:$Q$3,1))
+ (K226 - INDEX([2]Sheet1!$B$4:$B$23,MATCH(K226,[2]Sheet1!$B$4:$B$23,1),1))/(INDEX([2]Sheet1!$B$4:$B$23,MATCH(K226,[2]Sheet1!$B$4:$B$23,1)+1,1) - INDEX([2]Sheet1!$B$4:$B$23,MATCH(K226,[2]Sheet1!$B$4:$B$23,1),1))*(INDEX([2]Sheet1!$C$4:$Q$23,MATCH(K226,[2]Sheet1!$B$4:$B$23,1)+1,MATCH(D226,[2]Sheet1!$C$3:$Q$3,1)) - INDEX([2]Sheet1!$C$4:$Q$23,MATCH(K226,[2]Sheet1!$B$4:$B$23,1),MATCH(D226,[2]Sheet1!$C$3:$Q$3,1)))
+ (D226 - INDEX([2]Sheet1!$C$3:$Q$3,1,MATCH(D226,[2]Sheet1!$C$3:$Q$3)))/(INDEX([2]Sheet1!$C$3:$Q$3,1,MATCH(D226,[2]Sheet1!$C$3:$Q$3)+1) - INDEX([2]Sheet1!$C$3:$Q$3,1,MATCH(D226,[2]Sheet1!$C$3:$Q$3)))*(
INDEX([2]Sheet1!$C$4:$Q$23,MATCH(K226,[2]Sheet1!$B$4:$B$23,1),MATCH(D226,[2]Sheet1!$C$3:$Q$3,1)+1) - INDEX([2]Sheet1!$C$4:$Q$23,MATCH(K226,[2]Sheet1!$B$4:$B$23,1),MATCH(D226,[2]Sheet1!$C$3:$Q$3,1)))))</f>
        <v>0</v>
      </c>
      <c r="N226">
        <f t="shared" si="62"/>
        <v>12</v>
      </c>
      <c r="O226">
        <v>9.148418383516374E-2</v>
      </c>
      <c r="P226" t="e">
        <f t="shared" si="63"/>
        <v>#DIV/0!</v>
      </c>
      <c r="Q226">
        <f t="shared" si="50"/>
        <v>0</v>
      </c>
      <c r="R226">
        <f t="shared" si="64"/>
        <v>741.9099431943954</v>
      </c>
      <c r="T226" t="e">
        <f t="shared" si="53"/>
        <v>#DIV/0!</v>
      </c>
      <c r="U226" t="e">
        <f t="shared" si="54"/>
        <v>#DIV/0!</v>
      </c>
      <c r="V226">
        <f t="shared" si="55"/>
        <v>0</v>
      </c>
      <c r="W226" t="e">
        <f t="shared" si="51"/>
        <v>#DIV/0!</v>
      </c>
    </row>
    <row r="227" spans="1:23" x14ac:dyDescent="0.55000000000000004">
      <c r="A227">
        <f t="shared" si="52"/>
        <v>19.300000000000004</v>
      </c>
      <c r="B227">
        <f t="shared" si="56"/>
        <v>0.316</v>
      </c>
      <c r="C227">
        <f t="shared" si="57"/>
        <v>-7.5869565217391344</v>
      </c>
      <c r="D227">
        <v>2.4578707449212218</v>
      </c>
      <c r="E227">
        <f t="shared" ref="E227:E290" si="65">IF(B227&lt;($C$5*$C$6*10^-6),$C$9*(PI()/4*($C$8*0.001)^2)*SQRT(2*$C$6*IF(C227&gt;D227,(C227-D227),0)*10^6),0)</f>
        <v>0</v>
      </c>
      <c r="F227">
        <f t="shared" si="58"/>
        <v>4.8605058816845369E-2</v>
      </c>
      <c r="G227">
        <f t="shared" si="59"/>
        <v>39.513748498891111</v>
      </c>
      <c r="H227">
        <f t="shared" si="60"/>
        <v>0</v>
      </c>
      <c r="I227" s="1">
        <f t="shared" ref="I227:I290" si="66">IF(G227=$C$14,0,$C$16*(H227)^$C$17)</f>
        <v>0</v>
      </c>
      <c r="J227">
        <f t="shared" si="61"/>
        <v>0</v>
      </c>
      <c r="K227">
        <f t="shared" ref="K227:K290" si="67">IF(E227*J227=0,0,E227/J227)</f>
        <v>0</v>
      </c>
      <c r="L227" cm="1">
        <f t="array" ref="L227">IF(E227*J227=0,0,$C$21*INDEX([3]Sheet1!$C$4:$Q$23,MATCH(K227,[3]Sheet1!$B$4:$B$23,1),MATCH(D227,[3]Sheet1!$C$3:$Q$3,1))
+(K227-INDEX([3]Sheet1!$B$4:$B$23,MATCH(K227,[3]Sheet1!$B$4:$B$23,1),1))/(INDEX([3]Sheet1!$B$4:$B$23,MATCH(K227,[3]Sheet1!$B$4:$B$23,1)+1,1)-INDEX([3]Sheet1!$B$4:$B$23,
MATCH(K227,[3]Sheet1!$B$4:$B$23,1),1))*(INDEX([3]Sheet1!$C$4:$Q$23,MATCH(K227,[3]Sheet1!$B$4:$B$23,1)+1,MATCH(D227,[3]Sheet1!$C$3:$Q$3,1))-INDEX([3]Sheet1!$C$4:$Q$23,
MATCH(K227,[3]Sheet1!$B$4:$B$23,1),MATCH(D227,[3]Sheet1!$C$3:$Q$3,1)))
+(D227-INDEX([3]Sheet1!$C$3:$Q$3,1,MATCH(D227,[3]Sheet1!$C$3:$Q$3)))/(INDEX([3]Sheet1!$C$3:$Q$3,1,MATCH(D227,[3]Sheet1!$C$3:$Q$3)+1)-INDEX([3]Sheet1!$C$3:$Q$3,1,MATCH(
D227,[3]Sheet1!$C$3:$Q$3)))*(INDEX([3]Sheet1!$C$4:$Q$23,MATCH(K227,[3]Sheet1!$B$4:$B$23,1),MATCH(D227,[3]Sheet1!$C$3:$Q$3,1)+1)-INDEX([3]Sheet1!$C$4:$Q$23,MATCH(K227,[3]Sheet1!$B$4:$B$23,1),MATCH(D227,[3]Sheet1!$C$3:$Q$3,1))))</f>
        <v>0</v>
      </c>
      <c r="M227" cm="1">
        <f t="array" ref="M227" xml:space="preserve"> IF(E227*J227=0,0,(INDEX([2]Sheet1!$C$4:$Q$23,MATCH(K227,[2]Sheet1!$B$4:$B$23,1),MATCH(D227,[2]Sheet1!$C$3:$Q$3,1))
+ (K227 - INDEX([2]Sheet1!$B$4:$B$23,MATCH(K227,[2]Sheet1!$B$4:$B$23,1),1))/(INDEX([2]Sheet1!$B$4:$B$23,MATCH(K227,[2]Sheet1!$B$4:$B$23,1)+1,1) - INDEX([2]Sheet1!$B$4:$B$23,MATCH(K227,[2]Sheet1!$B$4:$B$23,1),1))*(INDEX([2]Sheet1!$C$4:$Q$23,MATCH(K227,[2]Sheet1!$B$4:$B$23,1)+1,MATCH(D227,[2]Sheet1!$C$3:$Q$3,1)) - INDEX([2]Sheet1!$C$4:$Q$23,MATCH(K227,[2]Sheet1!$B$4:$B$23,1),MATCH(D227,[2]Sheet1!$C$3:$Q$3,1)))
+ (D227 - INDEX([2]Sheet1!$C$3:$Q$3,1,MATCH(D227,[2]Sheet1!$C$3:$Q$3)))/(INDEX([2]Sheet1!$C$3:$Q$3,1,MATCH(D227,[2]Sheet1!$C$3:$Q$3)+1) - INDEX([2]Sheet1!$C$3:$Q$3,1,MATCH(D227,[2]Sheet1!$C$3:$Q$3)))*(
INDEX([2]Sheet1!$C$4:$Q$23,MATCH(K227,[2]Sheet1!$B$4:$B$23,1),MATCH(D227,[2]Sheet1!$C$3:$Q$3,1)+1) - INDEX([2]Sheet1!$C$4:$Q$23,MATCH(K227,[2]Sheet1!$B$4:$B$23,1),MATCH(D227,[2]Sheet1!$C$3:$Q$3,1)))))</f>
        <v>0</v>
      </c>
      <c r="N227">
        <f t="shared" si="62"/>
        <v>12</v>
      </c>
      <c r="O227">
        <v>9.1456805380518674E-2</v>
      </c>
      <c r="P227" t="e">
        <f t="shared" si="63"/>
        <v>#DIV/0!</v>
      </c>
      <c r="Q227">
        <f t="shared" ref="Q227:Q290" si="68">IF(E227*J227=0,0,((1+COS(RADIANS($C$25)))/2)*P227*D227*(PI()*($C$23^2)/4))</f>
        <v>0</v>
      </c>
      <c r="R227">
        <f t="shared" si="64"/>
        <v>741.9099431943954</v>
      </c>
      <c r="T227" t="e">
        <f t="shared" si="53"/>
        <v>#DIV/0!</v>
      </c>
      <c r="U227" t="e">
        <f t="shared" si="54"/>
        <v>#DIV/0!</v>
      </c>
      <c r="V227">
        <f t="shared" si="55"/>
        <v>0</v>
      </c>
      <c r="W227" t="e">
        <f t="shared" ref="W227:W290" si="69">(D227-V227)/V227*100</f>
        <v>#DIV/0!</v>
      </c>
    </row>
    <row r="228" spans="1:23" x14ac:dyDescent="0.55000000000000004">
      <c r="A228">
        <f t="shared" ref="A228:A291" si="70">A227+$C$29</f>
        <v>19.400000000000006</v>
      </c>
      <c r="B228">
        <f t="shared" si="56"/>
        <v>0.316</v>
      </c>
      <c r="C228">
        <f t="shared" si="57"/>
        <v>-7.6521739130434838</v>
      </c>
      <c r="D228">
        <v>2.4577359800453054</v>
      </c>
      <c r="E228">
        <f t="shared" si="65"/>
        <v>0</v>
      </c>
      <c r="F228">
        <f t="shared" si="58"/>
        <v>4.8605058816845369E-2</v>
      </c>
      <c r="G228">
        <f t="shared" si="59"/>
        <v>39.513748498891111</v>
      </c>
      <c r="H228">
        <f t="shared" si="60"/>
        <v>0</v>
      </c>
      <c r="I228" s="1">
        <f t="shared" si="66"/>
        <v>0</v>
      </c>
      <c r="J228">
        <f t="shared" si="61"/>
        <v>0</v>
      </c>
      <c r="K228">
        <f t="shared" si="67"/>
        <v>0</v>
      </c>
      <c r="L228" cm="1">
        <f t="array" ref="L228">IF(E228*J228=0,0,$C$21*INDEX([3]Sheet1!$C$4:$Q$23,MATCH(K228,[3]Sheet1!$B$4:$B$23,1),MATCH(D228,[3]Sheet1!$C$3:$Q$3,1))
+(K228-INDEX([3]Sheet1!$B$4:$B$23,MATCH(K228,[3]Sheet1!$B$4:$B$23,1),1))/(INDEX([3]Sheet1!$B$4:$B$23,MATCH(K228,[3]Sheet1!$B$4:$B$23,1)+1,1)-INDEX([3]Sheet1!$B$4:$B$23,
MATCH(K228,[3]Sheet1!$B$4:$B$23,1),1))*(INDEX([3]Sheet1!$C$4:$Q$23,MATCH(K228,[3]Sheet1!$B$4:$B$23,1)+1,MATCH(D228,[3]Sheet1!$C$3:$Q$3,1))-INDEX([3]Sheet1!$C$4:$Q$23,
MATCH(K228,[3]Sheet1!$B$4:$B$23,1),MATCH(D228,[3]Sheet1!$C$3:$Q$3,1)))
+(D228-INDEX([3]Sheet1!$C$3:$Q$3,1,MATCH(D228,[3]Sheet1!$C$3:$Q$3)))/(INDEX([3]Sheet1!$C$3:$Q$3,1,MATCH(D228,[3]Sheet1!$C$3:$Q$3)+1)-INDEX([3]Sheet1!$C$3:$Q$3,1,MATCH(
D228,[3]Sheet1!$C$3:$Q$3)))*(INDEX([3]Sheet1!$C$4:$Q$23,MATCH(K228,[3]Sheet1!$B$4:$B$23,1),MATCH(D228,[3]Sheet1!$C$3:$Q$3,1)+1)-INDEX([3]Sheet1!$C$4:$Q$23,MATCH(K228,[3]Sheet1!$B$4:$B$23,1),MATCH(D228,[3]Sheet1!$C$3:$Q$3,1))))</f>
        <v>0</v>
      </c>
      <c r="M228" cm="1">
        <f t="array" ref="M228" xml:space="preserve"> IF(E228*J228=0,0,(INDEX([2]Sheet1!$C$4:$Q$23,MATCH(K228,[2]Sheet1!$B$4:$B$23,1),MATCH(D228,[2]Sheet1!$C$3:$Q$3,1))
+ (K228 - INDEX([2]Sheet1!$B$4:$B$23,MATCH(K228,[2]Sheet1!$B$4:$B$23,1),1))/(INDEX([2]Sheet1!$B$4:$B$23,MATCH(K228,[2]Sheet1!$B$4:$B$23,1)+1,1) - INDEX([2]Sheet1!$B$4:$B$23,MATCH(K228,[2]Sheet1!$B$4:$B$23,1),1))*(INDEX([2]Sheet1!$C$4:$Q$23,MATCH(K228,[2]Sheet1!$B$4:$B$23,1)+1,MATCH(D228,[2]Sheet1!$C$3:$Q$3,1)) - INDEX([2]Sheet1!$C$4:$Q$23,MATCH(K228,[2]Sheet1!$B$4:$B$23,1),MATCH(D228,[2]Sheet1!$C$3:$Q$3,1)))
+ (D228 - INDEX([2]Sheet1!$C$3:$Q$3,1,MATCH(D228,[2]Sheet1!$C$3:$Q$3)))/(INDEX([2]Sheet1!$C$3:$Q$3,1,MATCH(D228,[2]Sheet1!$C$3:$Q$3)+1) - INDEX([2]Sheet1!$C$3:$Q$3,1,MATCH(D228,[2]Sheet1!$C$3:$Q$3)))*(
INDEX([2]Sheet1!$C$4:$Q$23,MATCH(K228,[2]Sheet1!$B$4:$B$23,1),MATCH(D228,[2]Sheet1!$C$3:$Q$3,1)+1) - INDEX([2]Sheet1!$C$4:$Q$23,MATCH(K228,[2]Sheet1!$B$4:$B$23,1),MATCH(D228,[2]Sheet1!$C$3:$Q$3,1)))))</f>
        <v>0</v>
      </c>
      <c r="N228">
        <f t="shared" si="62"/>
        <v>12</v>
      </c>
      <c r="O228">
        <v>9.1429501765755039E-2</v>
      </c>
      <c r="P228" t="e">
        <f t="shared" si="63"/>
        <v>#DIV/0!</v>
      </c>
      <c r="Q228">
        <f t="shared" si="68"/>
        <v>0</v>
      </c>
      <c r="R228">
        <f t="shared" si="64"/>
        <v>741.9099431943954</v>
      </c>
      <c r="T228" t="e">
        <f t="shared" si="53"/>
        <v>#DIV/0!</v>
      </c>
      <c r="U228" t="e">
        <f t="shared" si="54"/>
        <v>#DIV/0!</v>
      </c>
      <c r="V228">
        <f t="shared" si="55"/>
        <v>0</v>
      </c>
      <c r="W228" t="e">
        <f t="shared" si="69"/>
        <v>#DIV/0!</v>
      </c>
    </row>
    <row r="229" spans="1:23" x14ac:dyDescent="0.55000000000000004">
      <c r="A229">
        <f t="shared" si="70"/>
        <v>19.500000000000007</v>
      </c>
      <c r="B229">
        <f t="shared" si="56"/>
        <v>0.316</v>
      </c>
      <c r="C229">
        <f t="shared" si="57"/>
        <v>-7.7173913043478315</v>
      </c>
      <c r="D229">
        <v>2.4576015412089602</v>
      </c>
      <c r="E229">
        <f t="shared" si="65"/>
        <v>0</v>
      </c>
      <c r="F229">
        <f t="shared" si="58"/>
        <v>4.8605058816845369E-2</v>
      </c>
      <c r="G229">
        <f t="shared" si="59"/>
        <v>39.513748498891111</v>
      </c>
      <c r="H229">
        <f t="shared" si="60"/>
        <v>0</v>
      </c>
      <c r="I229" s="1">
        <f t="shared" si="66"/>
        <v>0</v>
      </c>
      <c r="J229">
        <f t="shared" si="61"/>
        <v>0</v>
      </c>
      <c r="K229">
        <f t="shared" si="67"/>
        <v>0</v>
      </c>
      <c r="L229" cm="1">
        <f t="array" ref="L229">IF(E229*J229=0,0,$C$21*INDEX([3]Sheet1!$C$4:$Q$23,MATCH(K229,[3]Sheet1!$B$4:$B$23,1),MATCH(D229,[3]Sheet1!$C$3:$Q$3,1))
+(K229-INDEX([3]Sheet1!$B$4:$B$23,MATCH(K229,[3]Sheet1!$B$4:$B$23,1),1))/(INDEX([3]Sheet1!$B$4:$B$23,MATCH(K229,[3]Sheet1!$B$4:$B$23,1)+1,1)-INDEX([3]Sheet1!$B$4:$B$23,
MATCH(K229,[3]Sheet1!$B$4:$B$23,1),1))*(INDEX([3]Sheet1!$C$4:$Q$23,MATCH(K229,[3]Sheet1!$B$4:$B$23,1)+1,MATCH(D229,[3]Sheet1!$C$3:$Q$3,1))-INDEX([3]Sheet1!$C$4:$Q$23,
MATCH(K229,[3]Sheet1!$B$4:$B$23,1),MATCH(D229,[3]Sheet1!$C$3:$Q$3,1)))
+(D229-INDEX([3]Sheet1!$C$3:$Q$3,1,MATCH(D229,[3]Sheet1!$C$3:$Q$3)))/(INDEX([3]Sheet1!$C$3:$Q$3,1,MATCH(D229,[3]Sheet1!$C$3:$Q$3)+1)-INDEX([3]Sheet1!$C$3:$Q$3,1,MATCH(
D229,[3]Sheet1!$C$3:$Q$3)))*(INDEX([3]Sheet1!$C$4:$Q$23,MATCH(K229,[3]Sheet1!$B$4:$B$23,1),MATCH(D229,[3]Sheet1!$C$3:$Q$3,1)+1)-INDEX([3]Sheet1!$C$4:$Q$23,MATCH(K229,[3]Sheet1!$B$4:$B$23,1),MATCH(D229,[3]Sheet1!$C$3:$Q$3,1))))</f>
        <v>0</v>
      </c>
      <c r="M229" cm="1">
        <f t="array" ref="M229" xml:space="preserve"> IF(E229*J229=0,0,(INDEX([2]Sheet1!$C$4:$Q$23,MATCH(K229,[2]Sheet1!$B$4:$B$23,1),MATCH(D229,[2]Sheet1!$C$3:$Q$3,1))
+ (K229 - INDEX([2]Sheet1!$B$4:$B$23,MATCH(K229,[2]Sheet1!$B$4:$B$23,1),1))/(INDEX([2]Sheet1!$B$4:$B$23,MATCH(K229,[2]Sheet1!$B$4:$B$23,1)+1,1) - INDEX([2]Sheet1!$B$4:$B$23,MATCH(K229,[2]Sheet1!$B$4:$B$23,1),1))*(INDEX([2]Sheet1!$C$4:$Q$23,MATCH(K229,[2]Sheet1!$B$4:$B$23,1)+1,MATCH(D229,[2]Sheet1!$C$3:$Q$3,1)) - INDEX([2]Sheet1!$C$4:$Q$23,MATCH(K229,[2]Sheet1!$B$4:$B$23,1),MATCH(D229,[2]Sheet1!$C$3:$Q$3,1)))
+ (D229 - INDEX([2]Sheet1!$C$3:$Q$3,1,MATCH(D229,[2]Sheet1!$C$3:$Q$3)))/(INDEX([2]Sheet1!$C$3:$Q$3,1,MATCH(D229,[2]Sheet1!$C$3:$Q$3)+1) - INDEX([2]Sheet1!$C$3:$Q$3,1,MATCH(D229,[2]Sheet1!$C$3:$Q$3)))*(
INDEX([2]Sheet1!$C$4:$Q$23,MATCH(K229,[2]Sheet1!$B$4:$B$23,1),MATCH(D229,[2]Sheet1!$C$3:$Q$3,1)+1) - INDEX([2]Sheet1!$C$4:$Q$23,MATCH(K229,[2]Sheet1!$B$4:$B$23,1),MATCH(D229,[2]Sheet1!$C$3:$Q$3,1)))))</f>
        <v>0</v>
      </c>
      <c r="N229">
        <f t="shared" si="62"/>
        <v>12</v>
      </c>
      <c r="O229">
        <v>9.1402272596257897E-2</v>
      </c>
      <c r="P229" t="e">
        <f t="shared" si="63"/>
        <v>#DIV/0!</v>
      </c>
      <c r="Q229">
        <f t="shared" si="68"/>
        <v>0</v>
      </c>
      <c r="R229">
        <f t="shared" si="64"/>
        <v>741.9099431943954</v>
      </c>
      <c r="T229" t="e">
        <f t="shared" ref="T229:T292" si="71">((2/(M229+1))^(1/(M229-1)))*((D229/O229)^(1/M229))/SQRT(((M229+1)/(M229-1))*(1-(O229/D229)^((M229-1)/M229)))</f>
        <v>#DIV/0!</v>
      </c>
      <c r="U229" t="e">
        <f t="shared" ref="U229:U292" si="72">(T229-(($C$24^2)/(N229^2)))/(($C$24^2)/(N229^2))*100</f>
        <v>#DIV/0!</v>
      </c>
      <c r="V229">
        <f t="shared" ref="V229:V292" si="73">4*L229*(E229+J229)/(PI()*N229^2)</f>
        <v>0</v>
      </c>
      <c r="W229" t="e">
        <f t="shared" si="69"/>
        <v>#DIV/0!</v>
      </c>
    </row>
    <row r="230" spans="1:23" x14ac:dyDescent="0.55000000000000004">
      <c r="A230">
        <f t="shared" si="70"/>
        <v>19.600000000000009</v>
      </c>
      <c r="B230">
        <f t="shared" ref="B230:B293" si="74">IF(B229+(E229+E228)*(A229-A228)/2&lt;$C$5*$C$6*10^-6,B229+(E229+E228)*(A229-A228)/2,$C$5*$C$6*10^-6)</f>
        <v>0.316</v>
      </c>
      <c r="C230">
        <f t="shared" ref="C230:C293" si="75">($C$3-$C$2)*A230/$C$4+$C$2</f>
        <v>-7.7826086956521809</v>
      </c>
      <c r="D230">
        <v>2.4574674267876158</v>
      </c>
      <c r="E230">
        <f t="shared" si="65"/>
        <v>0</v>
      </c>
      <c r="F230">
        <f t="shared" ref="F230:F293" si="76">F229+(J229+J228)*(A230-A229)/2</f>
        <v>4.8605058816845369E-2</v>
      </c>
      <c r="G230">
        <f t="shared" ref="G230:G293" si="77">IF(SQRT(4*F230/($C$15*PI()*$C$11*$C$12*0.001)+($C$13*0.001)^2)*1000&lt;$C$14,SQRT(4*F230/($C$15*PI()*$C$11*$C$12*0.001)+($C$13*0.001)^2)*1000,$C$14)</f>
        <v>39.513748498891111</v>
      </c>
      <c r="H230">
        <f t="shared" ref="H230:H293" si="78">4*E230/($C$15*PI()*(G230*0.001)^2)</f>
        <v>0</v>
      </c>
      <c r="I230" s="1">
        <f t="shared" si="66"/>
        <v>0</v>
      </c>
      <c r="J230">
        <f t="shared" ref="J230:J293" si="79">($C$12*10^-3)*PI()*(G230*10^-3)*$C$11*(I230*10^-3)*$C$15</f>
        <v>0</v>
      </c>
      <c r="K230">
        <f t="shared" si="67"/>
        <v>0</v>
      </c>
      <c r="L230" cm="1">
        <f t="array" ref="L230">IF(E230*J230=0,0,$C$21*INDEX([3]Sheet1!$C$4:$Q$23,MATCH(K230,[3]Sheet1!$B$4:$B$23,1),MATCH(D230,[3]Sheet1!$C$3:$Q$3,1))
+(K230-INDEX([3]Sheet1!$B$4:$B$23,MATCH(K230,[3]Sheet1!$B$4:$B$23,1),1))/(INDEX([3]Sheet1!$B$4:$B$23,MATCH(K230,[3]Sheet1!$B$4:$B$23,1)+1,1)-INDEX([3]Sheet1!$B$4:$B$23,
MATCH(K230,[3]Sheet1!$B$4:$B$23,1),1))*(INDEX([3]Sheet1!$C$4:$Q$23,MATCH(K230,[3]Sheet1!$B$4:$B$23,1)+1,MATCH(D230,[3]Sheet1!$C$3:$Q$3,1))-INDEX([3]Sheet1!$C$4:$Q$23,
MATCH(K230,[3]Sheet1!$B$4:$B$23,1),MATCH(D230,[3]Sheet1!$C$3:$Q$3,1)))
+(D230-INDEX([3]Sheet1!$C$3:$Q$3,1,MATCH(D230,[3]Sheet1!$C$3:$Q$3)))/(INDEX([3]Sheet1!$C$3:$Q$3,1,MATCH(D230,[3]Sheet1!$C$3:$Q$3)+1)-INDEX([3]Sheet1!$C$3:$Q$3,1,MATCH(
D230,[3]Sheet1!$C$3:$Q$3)))*(INDEX([3]Sheet1!$C$4:$Q$23,MATCH(K230,[3]Sheet1!$B$4:$B$23,1),MATCH(D230,[3]Sheet1!$C$3:$Q$3,1)+1)-INDEX([3]Sheet1!$C$4:$Q$23,MATCH(K230,[3]Sheet1!$B$4:$B$23,1),MATCH(D230,[3]Sheet1!$C$3:$Q$3,1))))</f>
        <v>0</v>
      </c>
      <c r="M230" cm="1">
        <f t="array" ref="M230" xml:space="preserve"> IF(E230*J230=0,0,(INDEX([2]Sheet1!$C$4:$Q$23,MATCH(K230,[2]Sheet1!$B$4:$B$23,1),MATCH(D230,[2]Sheet1!$C$3:$Q$3,1))
+ (K230 - INDEX([2]Sheet1!$B$4:$B$23,MATCH(K230,[2]Sheet1!$B$4:$B$23,1),1))/(INDEX([2]Sheet1!$B$4:$B$23,MATCH(K230,[2]Sheet1!$B$4:$B$23,1)+1,1) - INDEX([2]Sheet1!$B$4:$B$23,MATCH(K230,[2]Sheet1!$B$4:$B$23,1),1))*(INDEX([2]Sheet1!$C$4:$Q$23,MATCH(K230,[2]Sheet1!$B$4:$B$23,1)+1,MATCH(D230,[2]Sheet1!$C$3:$Q$3,1)) - INDEX([2]Sheet1!$C$4:$Q$23,MATCH(K230,[2]Sheet1!$B$4:$B$23,1),MATCH(D230,[2]Sheet1!$C$3:$Q$3,1)))
+ (D230 - INDEX([2]Sheet1!$C$3:$Q$3,1,MATCH(D230,[2]Sheet1!$C$3:$Q$3)))/(INDEX([2]Sheet1!$C$3:$Q$3,1,MATCH(D230,[2]Sheet1!$C$3:$Q$3)+1) - INDEX([2]Sheet1!$C$3:$Q$3,1,MATCH(D230,[2]Sheet1!$C$3:$Q$3)))*(
INDEX([2]Sheet1!$C$4:$Q$23,MATCH(K230,[2]Sheet1!$B$4:$B$23,1),MATCH(D230,[2]Sheet1!$C$3:$Q$3,1)+1) - INDEX([2]Sheet1!$C$4:$Q$23,MATCH(K230,[2]Sheet1!$B$4:$B$23,1),MATCH(D230,[2]Sheet1!$C$3:$Q$3,1)))))</f>
        <v>0</v>
      </c>
      <c r="N230">
        <f t="shared" ref="N230:N293" si="80">C$23+$C$26*(A231-A230)</f>
        <v>12</v>
      </c>
      <c r="O230">
        <v>9.1375117480493345E-2</v>
      </c>
      <c r="P230" t="e">
        <f t="shared" ref="P230:P293" si="81">SQRT(2*(M230^2)/(M230-1)*((2/(M230+1))^((M230+1)/(M230-1)))*(1-(O230/D230)^((M230-1)/M230)))+((O230-$C$22)/D230)*(($C$24^2)/($C$23^2))</f>
        <v>#DIV/0!</v>
      </c>
      <c r="Q230">
        <f t="shared" si="68"/>
        <v>0</v>
      </c>
      <c r="R230">
        <f t="shared" ref="R230:R293" si="82">R229+(Q230+Q229)*(A230-A229)/2</f>
        <v>741.9099431943954</v>
      </c>
      <c r="T230" t="e">
        <f t="shared" si="71"/>
        <v>#DIV/0!</v>
      </c>
      <c r="U230" t="e">
        <f t="shared" si="72"/>
        <v>#DIV/0!</v>
      </c>
      <c r="V230">
        <f t="shared" si="73"/>
        <v>0</v>
      </c>
      <c r="W230" t="e">
        <f t="shared" si="69"/>
        <v>#DIV/0!</v>
      </c>
    </row>
    <row r="231" spans="1:23" x14ac:dyDescent="0.55000000000000004">
      <c r="A231">
        <f t="shared" si="70"/>
        <v>19.70000000000001</v>
      </c>
      <c r="B231">
        <f t="shared" si="74"/>
        <v>0.316</v>
      </c>
      <c r="C231">
        <f t="shared" si="75"/>
        <v>-7.8478260869565286</v>
      </c>
      <c r="D231">
        <v>2.4573336351688888</v>
      </c>
      <c r="E231">
        <f t="shared" si="65"/>
        <v>0</v>
      </c>
      <c r="F231">
        <f t="shared" si="76"/>
        <v>4.8605058816845369E-2</v>
      </c>
      <c r="G231">
        <f t="shared" si="77"/>
        <v>39.513748498891111</v>
      </c>
      <c r="H231">
        <f t="shared" si="78"/>
        <v>0</v>
      </c>
      <c r="I231" s="1">
        <f t="shared" si="66"/>
        <v>0</v>
      </c>
      <c r="J231">
        <f t="shared" si="79"/>
        <v>0</v>
      </c>
      <c r="K231">
        <f t="shared" si="67"/>
        <v>0</v>
      </c>
      <c r="L231" cm="1">
        <f t="array" ref="L231">IF(E231*J231=0,0,$C$21*INDEX([3]Sheet1!$C$4:$Q$23,MATCH(K231,[3]Sheet1!$B$4:$B$23,1),MATCH(D231,[3]Sheet1!$C$3:$Q$3,1))
+(K231-INDEX([3]Sheet1!$B$4:$B$23,MATCH(K231,[3]Sheet1!$B$4:$B$23,1),1))/(INDEX([3]Sheet1!$B$4:$B$23,MATCH(K231,[3]Sheet1!$B$4:$B$23,1)+1,1)-INDEX([3]Sheet1!$B$4:$B$23,
MATCH(K231,[3]Sheet1!$B$4:$B$23,1),1))*(INDEX([3]Sheet1!$C$4:$Q$23,MATCH(K231,[3]Sheet1!$B$4:$B$23,1)+1,MATCH(D231,[3]Sheet1!$C$3:$Q$3,1))-INDEX([3]Sheet1!$C$4:$Q$23,
MATCH(K231,[3]Sheet1!$B$4:$B$23,1),MATCH(D231,[3]Sheet1!$C$3:$Q$3,1)))
+(D231-INDEX([3]Sheet1!$C$3:$Q$3,1,MATCH(D231,[3]Sheet1!$C$3:$Q$3)))/(INDEX([3]Sheet1!$C$3:$Q$3,1,MATCH(D231,[3]Sheet1!$C$3:$Q$3)+1)-INDEX([3]Sheet1!$C$3:$Q$3,1,MATCH(
D231,[3]Sheet1!$C$3:$Q$3)))*(INDEX([3]Sheet1!$C$4:$Q$23,MATCH(K231,[3]Sheet1!$B$4:$B$23,1),MATCH(D231,[3]Sheet1!$C$3:$Q$3,1)+1)-INDEX([3]Sheet1!$C$4:$Q$23,MATCH(K231,[3]Sheet1!$B$4:$B$23,1),MATCH(D231,[3]Sheet1!$C$3:$Q$3,1))))</f>
        <v>0</v>
      </c>
      <c r="M231" cm="1">
        <f t="array" ref="M231" xml:space="preserve"> IF(E231*J231=0,0,(INDEX([2]Sheet1!$C$4:$Q$23,MATCH(K231,[2]Sheet1!$B$4:$B$23,1),MATCH(D231,[2]Sheet1!$C$3:$Q$3,1))
+ (K231 - INDEX([2]Sheet1!$B$4:$B$23,MATCH(K231,[2]Sheet1!$B$4:$B$23,1),1))/(INDEX([2]Sheet1!$B$4:$B$23,MATCH(K231,[2]Sheet1!$B$4:$B$23,1)+1,1) - INDEX([2]Sheet1!$B$4:$B$23,MATCH(K231,[2]Sheet1!$B$4:$B$23,1),1))*(INDEX([2]Sheet1!$C$4:$Q$23,MATCH(K231,[2]Sheet1!$B$4:$B$23,1)+1,MATCH(D231,[2]Sheet1!$C$3:$Q$3,1)) - INDEX([2]Sheet1!$C$4:$Q$23,MATCH(K231,[2]Sheet1!$B$4:$B$23,1),MATCH(D231,[2]Sheet1!$C$3:$Q$3,1)))
+ (D231 - INDEX([2]Sheet1!$C$3:$Q$3,1,MATCH(D231,[2]Sheet1!$C$3:$Q$3)))/(INDEX([2]Sheet1!$C$3:$Q$3,1,MATCH(D231,[2]Sheet1!$C$3:$Q$3)+1) - INDEX([2]Sheet1!$C$3:$Q$3,1,MATCH(D231,[2]Sheet1!$C$3:$Q$3)))*(
INDEX([2]Sheet1!$C$4:$Q$23,MATCH(K231,[2]Sheet1!$B$4:$B$23,1),MATCH(D231,[2]Sheet1!$C$3:$Q$3,1)+1) - INDEX([2]Sheet1!$C$4:$Q$23,MATCH(K231,[2]Sheet1!$B$4:$B$23,1),MATCH(D231,[2]Sheet1!$C$3:$Q$3,1)))))</f>
        <v>0</v>
      </c>
      <c r="N231">
        <f t="shared" si="80"/>
        <v>12</v>
      </c>
      <c r="O231">
        <v>9.1348036029978291E-2</v>
      </c>
      <c r="P231" t="e">
        <f t="shared" si="81"/>
        <v>#DIV/0!</v>
      </c>
      <c r="Q231">
        <f t="shared" si="68"/>
        <v>0</v>
      </c>
      <c r="R231">
        <f t="shared" si="82"/>
        <v>741.9099431943954</v>
      </c>
      <c r="T231" t="e">
        <f t="shared" si="71"/>
        <v>#DIV/0!</v>
      </c>
      <c r="U231" t="e">
        <f t="shared" si="72"/>
        <v>#DIV/0!</v>
      </c>
      <c r="V231">
        <f t="shared" si="73"/>
        <v>0</v>
      </c>
      <c r="W231" t="e">
        <f t="shared" si="69"/>
        <v>#DIV/0!</v>
      </c>
    </row>
    <row r="232" spans="1:23" x14ac:dyDescent="0.55000000000000004">
      <c r="A232">
        <f t="shared" si="70"/>
        <v>19.800000000000011</v>
      </c>
      <c r="B232">
        <f t="shared" si="74"/>
        <v>0.316</v>
      </c>
      <c r="C232">
        <f t="shared" si="75"/>
        <v>-7.9130434782608781</v>
      </c>
      <c r="D232">
        <v>2.4572001647524591</v>
      </c>
      <c r="E232">
        <f t="shared" si="65"/>
        <v>0</v>
      </c>
      <c r="F232">
        <f t="shared" si="76"/>
        <v>4.8605058816845369E-2</v>
      </c>
      <c r="G232">
        <f t="shared" si="77"/>
        <v>39.513748498891111</v>
      </c>
      <c r="H232">
        <f t="shared" si="78"/>
        <v>0</v>
      </c>
      <c r="I232" s="1">
        <f t="shared" si="66"/>
        <v>0</v>
      </c>
      <c r="J232">
        <f t="shared" si="79"/>
        <v>0</v>
      </c>
      <c r="K232">
        <f t="shared" si="67"/>
        <v>0</v>
      </c>
      <c r="L232" cm="1">
        <f t="array" ref="L232">IF(E232*J232=0,0,$C$21*INDEX([3]Sheet1!$C$4:$Q$23,MATCH(K232,[3]Sheet1!$B$4:$B$23,1),MATCH(D232,[3]Sheet1!$C$3:$Q$3,1))
+(K232-INDEX([3]Sheet1!$B$4:$B$23,MATCH(K232,[3]Sheet1!$B$4:$B$23,1),1))/(INDEX([3]Sheet1!$B$4:$B$23,MATCH(K232,[3]Sheet1!$B$4:$B$23,1)+1,1)-INDEX([3]Sheet1!$B$4:$B$23,
MATCH(K232,[3]Sheet1!$B$4:$B$23,1),1))*(INDEX([3]Sheet1!$C$4:$Q$23,MATCH(K232,[3]Sheet1!$B$4:$B$23,1)+1,MATCH(D232,[3]Sheet1!$C$3:$Q$3,1))-INDEX([3]Sheet1!$C$4:$Q$23,
MATCH(K232,[3]Sheet1!$B$4:$B$23,1),MATCH(D232,[3]Sheet1!$C$3:$Q$3,1)))
+(D232-INDEX([3]Sheet1!$C$3:$Q$3,1,MATCH(D232,[3]Sheet1!$C$3:$Q$3)))/(INDEX([3]Sheet1!$C$3:$Q$3,1,MATCH(D232,[3]Sheet1!$C$3:$Q$3)+1)-INDEX([3]Sheet1!$C$3:$Q$3,1,MATCH(
D232,[3]Sheet1!$C$3:$Q$3)))*(INDEX([3]Sheet1!$C$4:$Q$23,MATCH(K232,[3]Sheet1!$B$4:$B$23,1),MATCH(D232,[3]Sheet1!$C$3:$Q$3,1)+1)-INDEX([3]Sheet1!$C$4:$Q$23,MATCH(K232,[3]Sheet1!$B$4:$B$23,1),MATCH(D232,[3]Sheet1!$C$3:$Q$3,1))))</f>
        <v>0</v>
      </c>
      <c r="M232" cm="1">
        <f t="array" ref="M232" xml:space="preserve"> IF(E232*J232=0,0,(INDEX([2]Sheet1!$C$4:$Q$23,MATCH(K232,[2]Sheet1!$B$4:$B$23,1),MATCH(D232,[2]Sheet1!$C$3:$Q$3,1))
+ (K232 - INDEX([2]Sheet1!$B$4:$B$23,MATCH(K232,[2]Sheet1!$B$4:$B$23,1),1))/(INDEX([2]Sheet1!$B$4:$B$23,MATCH(K232,[2]Sheet1!$B$4:$B$23,1)+1,1) - INDEX([2]Sheet1!$B$4:$B$23,MATCH(K232,[2]Sheet1!$B$4:$B$23,1),1))*(INDEX([2]Sheet1!$C$4:$Q$23,MATCH(K232,[2]Sheet1!$B$4:$B$23,1)+1,MATCH(D232,[2]Sheet1!$C$3:$Q$3,1)) - INDEX([2]Sheet1!$C$4:$Q$23,MATCH(K232,[2]Sheet1!$B$4:$B$23,1),MATCH(D232,[2]Sheet1!$C$3:$Q$3,1)))
+ (D232 - INDEX([2]Sheet1!$C$3:$Q$3,1,MATCH(D232,[2]Sheet1!$C$3:$Q$3)))/(INDEX([2]Sheet1!$C$3:$Q$3,1,MATCH(D232,[2]Sheet1!$C$3:$Q$3)+1) - INDEX([2]Sheet1!$C$3:$Q$3,1,MATCH(D232,[2]Sheet1!$C$3:$Q$3)))*(
INDEX([2]Sheet1!$C$4:$Q$23,MATCH(K232,[2]Sheet1!$B$4:$B$23,1),MATCH(D232,[2]Sheet1!$C$3:$Q$3,1)+1) - INDEX([2]Sheet1!$C$4:$Q$23,MATCH(K232,[2]Sheet1!$B$4:$B$23,1),MATCH(D232,[2]Sheet1!$C$3:$Q$3,1)))))</f>
        <v>0</v>
      </c>
      <c r="N232">
        <f t="shared" si="80"/>
        <v>12</v>
      </c>
      <c r="O232">
        <v>9.1321027859246146E-2</v>
      </c>
      <c r="P232" t="e">
        <f t="shared" si="81"/>
        <v>#DIV/0!</v>
      </c>
      <c r="Q232">
        <f t="shared" si="68"/>
        <v>0</v>
      </c>
      <c r="R232">
        <f t="shared" si="82"/>
        <v>741.9099431943954</v>
      </c>
      <c r="T232" t="e">
        <f t="shared" si="71"/>
        <v>#DIV/0!</v>
      </c>
      <c r="U232" t="e">
        <f t="shared" si="72"/>
        <v>#DIV/0!</v>
      </c>
      <c r="V232">
        <f t="shared" si="73"/>
        <v>0</v>
      </c>
      <c r="W232" t="e">
        <f t="shared" si="69"/>
        <v>#DIV/0!</v>
      </c>
    </row>
    <row r="233" spans="1:23" x14ac:dyDescent="0.55000000000000004">
      <c r="A233">
        <f t="shared" si="70"/>
        <v>19.900000000000013</v>
      </c>
      <c r="B233">
        <f t="shared" si="74"/>
        <v>0.316</v>
      </c>
      <c r="C233">
        <f t="shared" si="75"/>
        <v>-7.9782608695652275</v>
      </c>
      <c r="D233">
        <v>2.4570670139499549</v>
      </c>
      <c r="E233">
        <f t="shared" si="65"/>
        <v>0</v>
      </c>
      <c r="F233">
        <f t="shared" si="76"/>
        <v>4.8605058816845369E-2</v>
      </c>
      <c r="G233">
        <f t="shared" si="77"/>
        <v>39.513748498891111</v>
      </c>
      <c r="H233">
        <f t="shared" si="78"/>
        <v>0</v>
      </c>
      <c r="I233" s="1">
        <f t="shared" si="66"/>
        <v>0</v>
      </c>
      <c r="J233">
        <f t="shared" si="79"/>
        <v>0</v>
      </c>
      <c r="K233">
        <f t="shared" si="67"/>
        <v>0</v>
      </c>
      <c r="L233" cm="1">
        <f t="array" ref="L233">IF(E233*J233=0,0,$C$21*INDEX([3]Sheet1!$C$4:$Q$23,MATCH(K233,[3]Sheet1!$B$4:$B$23,1),MATCH(D233,[3]Sheet1!$C$3:$Q$3,1))
+(K233-INDEX([3]Sheet1!$B$4:$B$23,MATCH(K233,[3]Sheet1!$B$4:$B$23,1),1))/(INDEX([3]Sheet1!$B$4:$B$23,MATCH(K233,[3]Sheet1!$B$4:$B$23,1)+1,1)-INDEX([3]Sheet1!$B$4:$B$23,
MATCH(K233,[3]Sheet1!$B$4:$B$23,1),1))*(INDEX([3]Sheet1!$C$4:$Q$23,MATCH(K233,[3]Sheet1!$B$4:$B$23,1)+1,MATCH(D233,[3]Sheet1!$C$3:$Q$3,1))-INDEX([3]Sheet1!$C$4:$Q$23,
MATCH(K233,[3]Sheet1!$B$4:$B$23,1),MATCH(D233,[3]Sheet1!$C$3:$Q$3,1)))
+(D233-INDEX([3]Sheet1!$C$3:$Q$3,1,MATCH(D233,[3]Sheet1!$C$3:$Q$3)))/(INDEX([3]Sheet1!$C$3:$Q$3,1,MATCH(D233,[3]Sheet1!$C$3:$Q$3)+1)-INDEX([3]Sheet1!$C$3:$Q$3,1,MATCH(
D233,[3]Sheet1!$C$3:$Q$3)))*(INDEX([3]Sheet1!$C$4:$Q$23,MATCH(K233,[3]Sheet1!$B$4:$B$23,1),MATCH(D233,[3]Sheet1!$C$3:$Q$3,1)+1)-INDEX([3]Sheet1!$C$4:$Q$23,MATCH(K233,[3]Sheet1!$B$4:$B$23,1),MATCH(D233,[3]Sheet1!$C$3:$Q$3,1))))</f>
        <v>0</v>
      </c>
      <c r="M233" cm="1">
        <f t="array" ref="M233" xml:space="preserve"> IF(E233*J233=0,0,(INDEX([2]Sheet1!$C$4:$Q$23,MATCH(K233,[2]Sheet1!$B$4:$B$23,1),MATCH(D233,[2]Sheet1!$C$3:$Q$3,1))
+ (K233 - INDEX([2]Sheet1!$B$4:$B$23,MATCH(K233,[2]Sheet1!$B$4:$B$23,1),1))/(INDEX([2]Sheet1!$B$4:$B$23,MATCH(K233,[2]Sheet1!$B$4:$B$23,1)+1,1) - INDEX([2]Sheet1!$B$4:$B$23,MATCH(K233,[2]Sheet1!$B$4:$B$23,1),1))*(INDEX([2]Sheet1!$C$4:$Q$23,MATCH(K233,[2]Sheet1!$B$4:$B$23,1)+1,MATCH(D233,[2]Sheet1!$C$3:$Q$3,1)) - INDEX([2]Sheet1!$C$4:$Q$23,MATCH(K233,[2]Sheet1!$B$4:$B$23,1),MATCH(D233,[2]Sheet1!$C$3:$Q$3,1)))
+ (D233 - INDEX([2]Sheet1!$C$3:$Q$3,1,MATCH(D233,[2]Sheet1!$C$3:$Q$3)))/(INDEX([2]Sheet1!$C$3:$Q$3,1,MATCH(D233,[2]Sheet1!$C$3:$Q$3)+1) - INDEX([2]Sheet1!$C$3:$Q$3,1,MATCH(D233,[2]Sheet1!$C$3:$Q$3)))*(
INDEX([2]Sheet1!$C$4:$Q$23,MATCH(K233,[2]Sheet1!$B$4:$B$23,1),MATCH(D233,[2]Sheet1!$C$3:$Q$3,1)+1) - INDEX([2]Sheet1!$C$4:$Q$23,MATCH(K233,[2]Sheet1!$B$4:$B$23,1),MATCH(D233,[2]Sheet1!$C$3:$Q$3,1)))))</f>
        <v>0</v>
      </c>
      <c r="N233">
        <f t="shared" si="80"/>
        <v>12</v>
      </c>
      <c r="O233">
        <v>9.1294092585820302E-2</v>
      </c>
      <c r="P233" t="e">
        <f t="shared" si="81"/>
        <v>#DIV/0!</v>
      </c>
      <c r="Q233">
        <f t="shared" si="68"/>
        <v>0</v>
      </c>
      <c r="R233">
        <f t="shared" si="82"/>
        <v>741.9099431943954</v>
      </c>
      <c r="T233" t="e">
        <f t="shared" si="71"/>
        <v>#DIV/0!</v>
      </c>
      <c r="U233" t="e">
        <f t="shared" si="72"/>
        <v>#DIV/0!</v>
      </c>
      <c r="V233">
        <f t="shared" si="73"/>
        <v>0</v>
      </c>
      <c r="W233" t="e">
        <f t="shared" si="69"/>
        <v>#DIV/0!</v>
      </c>
    </row>
    <row r="234" spans="1:23" x14ac:dyDescent="0.55000000000000004">
      <c r="A234">
        <f t="shared" si="70"/>
        <v>20.000000000000014</v>
      </c>
      <c r="B234">
        <f t="shared" si="74"/>
        <v>0.316</v>
      </c>
      <c r="C234">
        <f t="shared" si="75"/>
        <v>-8.0434782608695752</v>
      </c>
      <c r="D234">
        <v>2.456934181184828</v>
      </c>
      <c r="E234">
        <f t="shared" si="65"/>
        <v>0</v>
      </c>
      <c r="F234">
        <f t="shared" si="76"/>
        <v>4.8605058816845369E-2</v>
      </c>
      <c r="G234">
        <f t="shared" si="77"/>
        <v>39.513748498891111</v>
      </c>
      <c r="H234">
        <f t="shared" si="78"/>
        <v>0</v>
      </c>
      <c r="I234" s="1">
        <f t="shared" si="66"/>
        <v>0</v>
      </c>
      <c r="J234">
        <f t="shared" si="79"/>
        <v>0</v>
      </c>
      <c r="K234">
        <f t="shared" si="67"/>
        <v>0</v>
      </c>
      <c r="L234" cm="1">
        <f t="array" ref="L234">IF(E234*J234=0,0,$C$21*INDEX([3]Sheet1!$C$4:$Q$23,MATCH(K234,[3]Sheet1!$B$4:$B$23,1),MATCH(D234,[3]Sheet1!$C$3:$Q$3,1))
+(K234-INDEX([3]Sheet1!$B$4:$B$23,MATCH(K234,[3]Sheet1!$B$4:$B$23,1),1))/(INDEX([3]Sheet1!$B$4:$B$23,MATCH(K234,[3]Sheet1!$B$4:$B$23,1)+1,1)-INDEX([3]Sheet1!$B$4:$B$23,
MATCH(K234,[3]Sheet1!$B$4:$B$23,1),1))*(INDEX([3]Sheet1!$C$4:$Q$23,MATCH(K234,[3]Sheet1!$B$4:$B$23,1)+1,MATCH(D234,[3]Sheet1!$C$3:$Q$3,1))-INDEX([3]Sheet1!$C$4:$Q$23,
MATCH(K234,[3]Sheet1!$B$4:$B$23,1),MATCH(D234,[3]Sheet1!$C$3:$Q$3,1)))
+(D234-INDEX([3]Sheet1!$C$3:$Q$3,1,MATCH(D234,[3]Sheet1!$C$3:$Q$3)))/(INDEX([3]Sheet1!$C$3:$Q$3,1,MATCH(D234,[3]Sheet1!$C$3:$Q$3)+1)-INDEX([3]Sheet1!$C$3:$Q$3,1,MATCH(
D234,[3]Sheet1!$C$3:$Q$3)))*(INDEX([3]Sheet1!$C$4:$Q$23,MATCH(K234,[3]Sheet1!$B$4:$B$23,1),MATCH(D234,[3]Sheet1!$C$3:$Q$3,1)+1)-INDEX([3]Sheet1!$C$4:$Q$23,MATCH(K234,[3]Sheet1!$B$4:$B$23,1),MATCH(D234,[3]Sheet1!$C$3:$Q$3,1))))</f>
        <v>0</v>
      </c>
      <c r="M234" cm="1">
        <f t="array" ref="M234" xml:space="preserve"> IF(E234*J234=0,0,(INDEX([2]Sheet1!$C$4:$Q$23,MATCH(K234,[2]Sheet1!$B$4:$B$23,1),MATCH(D234,[2]Sheet1!$C$3:$Q$3,1))
+ (K234 - INDEX([2]Sheet1!$B$4:$B$23,MATCH(K234,[2]Sheet1!$B$4:$B$23,1),1))/(INDEX([2]Sheet1!$B$4:$B$23,MATCH(K234,[2]Sheet1!$B$4:$B$23,1)+1,1) - INDEX([2]Sheet1!$B$4:$B$23,MATCH(K234,[2]Sheet1!$B$4:$B$23,1),1))*(INDEX([2]Sheet1!$C$4:$Q$23,MATCH(K234,[2]Sheet1!$B$4:$B$23,1)+1,MATCH(D234,[2]Sheet1!$C$3:$Q$3,1)) - INDEX([2]Sheet1!$C$4:$Q$23,MATCH(K234,[2]Sheet1!$B$4:$B$23,1),MATCH(D234,[2]Sheet1!$C$3:$Q$3,1)))
+ (D234 - INDEX([2]Sheet1!$C$3:$Q$3,1,MATCH(D234,[2]Sheet1!$C$3:$Q$3)))/(INDEX([2]Sheet1!$C$3:$Q$3,1,MATCH(D234,[2]Sheet1!$C$3:$Q$3)+1) - INDEX([2]Sheet1!$C$3:$Q$3,1,MATCH(D234,[2]Sheet1!$C$3:$Q$3)))*(
INDEX([2]Sheet1!$C$4:$Q$23,MATCH(K234,[2]Sheet1!$B$4:$B$23,1),MATCH(D234,[2]Sheet1!$C$3:$Q$3,1)+1) - INDEX([2]Sheet1!$C$4:$Q$23,MATCH(K234,[2]Sheet1!$B$4:$B$23,1),MATCH(D234,[2]Sheet1!$C$3:$Q$3,1)))))</f>
        <v>0</v>
      </c>
      <c r="N234">
        <f t="shared" si="80"/>
        <v>12</v>
      </c>
      <c r="O234">
        <v>9.1267229830179597E-2</v>
      </c>
      <c r="P234" t="e">
        <f t="shared" si="81"/>
        <v>#DIV/0!</v>
      </c>
      <c r="Q234">
        <f t="shared" si="68"/>
        <v>0</v>
      </c>
      <c r="R234">
        <f t="shared" si="82"/>
        <v>741.9099431943954</v>
      </c>
      <c r="T234" t="e">
        <f t="shared" si="71"/>
        <v>#DIV/0!</v>
      </c>
      <c r="U234" t="e">
        <f t="shared" si="72"/>
        <v>#DIV/0!</v>
      </c>
      <c r="V234">
        <f t="shared" si="73"/>
        <v>0</v>
      </c>
      <c r="W234" t="e">
        <f t="shared" si="69"/>
        <v>#DIV/0!</v>
      </c>
    </row>
    <row r="235" spans="1:23" x14ac:dyDescent="0.55000000000000004">
      <c r="A235">
        <f t="shared" si="70"/>
        <v>20.100000000000016</v>
      </c>
      <c r="B235">
        <f t="shared" si="74"/>
        <v>0.316</v>
      </c>
      <c r="C235">
        <f t="shared" si="75"/>
        <v>-8.1086956521739246</v>
      </c>
      <c r="D235">
        <v>2.4568016648922391</v>
      </c>
      <c r="E235">
        <f t="shared" si="65"/>
        <v>0</v>
      </c>
      <c r="F235">
        <f t="shared" si="76"/>
        <v>4.8605058816845369E-2</v>
      </c>
      <c r="G235">
        <f t="shared" si="77"/>
        <v>39.513748498891111</v>
      </c>
      <c r="H235">
        <f t="shared" si="78"/>
        <v>0</v>
      </c>
      <c r="I235" s="1">
        <f t="shared" si="66"/>
        <v>0</v>
      </c>
      <c r="J235">
        <f t="shared" si="79"/>
        <v>0</v>
      </c>
      <c r="K235">
        <f t="shared" si="67"/>
        <v>0</v>
      </c>
      <c r="L235" cm="1">
        <f t="array" ref="L235">IF(E235*J235=0,0,$C$21*INDEX([3]Sheet1!$C$4:$Q$23,MATCH(K235,[3]Sheet1!$B$4:$B$23,1),MATCH(D235,[3]Sheet1!$C$3:$Q$3,1))
+(K235-INDEX([3]Sheet1!$B$4:$B$23,MATCH(K235,[3]Sheet1!$B$4:$B$23,1),1))/(INDEX([3]Sheet1!$B$4:$B$23,MATCH(K235,[3]Sheet1!$B$4:$B$23,1)+1,1)-INDEX([3]Sheet1!$B$4:$B$23,
MATCH(K235,[3]Sheet1!$B$4:$B$23,1),1))*(INDEX([3]Sheet1!$C$4:$Q$23,MATCH(K235,[3]Sheet1!$B$4:$B$23,1)+1,MATCH(D235,[3]Sheet1!$C$3:$Q$3,1))-INDEX([3]Sheet1!$C$4:$Q$23,
MATCH(K235,[3]Sheet1!$B$4:$B$23,1),MATCH(D235,[3]Sheet1!$C$3:$Q$3,1)))
+(D235-INDEX([3]Sheet1!$C$3:$Q$3,1,MATCH(D235,[3]Sheet1!$C$3:$Q$3)))/(INDEX([3]Sheet1!$C$3:$Q$3,1,MATCH(D235,[3]Sheet1!$C$3:$Q$3)+1)-INDEX([3]Sheet1!$C$3:$Q$3,1,MATCH(
D235,[3]Sheet1!$C$3:$Q$3)))*(INDEX([3]Sheet1!$C$4:$Q$23,MATCH(K235,[3]Sheet1!$B$4:$B$23,1),MATCH(D235,[3]Sheet1!$C$3:$Q$3,1)+1)-INDEX([3]Sheet1!$C$4:$Q$23,MATCH(K235,[3]Sheet1!$B$4:$B$23,1),MATCH(D235,[3]Sheet1!$C$3:$Q$3,1))))</f>
        <v>0</v>
      </c>
      <c r="M235" cm="1">
        <f t="array" ref="M235" xml:space="preserve"> IF(E235*J235=0,0,(INDEX([2]Sheet1!$C$4:$Q$23,MATCH(K235,[2]Sheet1!$B$4:$B$23,1),MATCH(D235,[2]Sheet1!$C$3:$Q$3,1))
+ (K235 - INDEX([2]Sheet1!$B$4:$B$23,MATCH(K235,[2]Sheet1!$B$4:$B$23,1),1))/(INDEX([2]Sheet1!$B$4:$B$23,MATCH(K235,[2]Sheet1!$B$4:$B$23,1)+1,1) - INDEX([2]Sheet1!$B$4:$B$23,MATCH(K235,[2]Sheet1!$B$4:$B$23,1),1))*(INDEX([2]Sheet1!$C$4:$Q$23,MATCH(K235,[2]Sheet1!$B$4:$B$23,1)+1,MATCH(D235,[2]Sheet1!$C$3:$Q$3,1)) - INDEX([2]Sheet1!$C$4:$Q$23,MATCH(K235,[2]Sheet1!$B$4:$B$23,1),MATCH(D235,[2]Sheet1!$C$3:$Q$3,1)))
+ (D235 - INDEX([2]Sheet1!$C$3:$Q$3,1,MATCH(D235,[2]Sheet1!$C$3:$Q$3)))/(INDEX([2]Sheet1!$C$3:$Q$3,1,MATCH(D235,[2]Sheet1!$C$3:$Q$3)+1) - INDEX([2]Sheet1!$C$3:$Q$3,1,MATCH(D235,[2]Sheet1!$C$3:$Q$3)))*(
INDEX([2]Sheet1!$C$4:$Q$23,MATCH(K235,[2]Sheet1!$B$4:$B$23,1),MATCH(D235,[2]Sheet1!$C$3:$Q$3,1)+1) - INDEX([2]Sheet1!$C$4:$Q$23,MATCH(K235,[2]Sheet1!$B$4:$B$23,1),MATCH(D235,[2]Sheet1!$C$3:$Q$3,1)))))</f>
        <v>0</v>
      </c>
      <c r="N235">
        <f t="shared" si="80"/>
        <v>12</v>
      </c>
      <c r="O235">
        <v>9.1240439215730107E-2</v>
      </c>
      <c r="P235" t="e">
        <f t="shared" si="81"/>
        <v>#DIV/0!</v>
      </c>
      <c r="Q235">
        <f t="shared" si="68"/>
        <v>0</v>
      </c>
      <c r="R235">
        <f t="shared" si="82"/>
        <v>741.9099431943954</v>
      </c>
      <c r="T235" t="e">
        <f t="shared" si="71"/>
        <v>#DIV/0!</v>
      </c>
      <c r="U235" t="e">
        <f t="shared" si="72"/>
        <v>#DIV/0!</v>
      </c>
      <c r="V235">
        <f t="shared" si="73"/>
        <v>0</v>
      </c>
      <c r="W235" t="e">
        <f t="shared" si="69"/>
        <v>#DIV/0!</v>
      </c>
    </row>
    <row r="236" spans="1:23" x14ac:dyDescent="0.55000000000000004">
      <c r="A236">
        <f t="shared" si="70"/>
        <v>20.200000000000017</v>
      </c>
      <c r="B236">
        <f t="shared" si="74"/>
        <v>0.316</v>
      </c>
      <c r="C236">
        <f t="shared" si="75"/>
        <v>-8.1739130434782723</v>
      </c>
      <c r="D236">
        <v>2.4566706399840998</v>
      </c>
      <c r="E236">
        <f t="shared" si="65"/>
        <v>0</v>
      </c>
      <c r="F236">
        <f t="shared" si="76"/>
        <v>4.8605058816845369E-2</v>
      </c>
      <c r="G236">
        <f t="shared" si="77"/>
        <v>39.513748498891111</v>
      </c>
      <c r="H236">
        <f t="shared" si="78"/>
        <v>0</v>
      </c>
      <c r="I236" s="1">
        <f t="shared" si="66"/>
        <v>0</v>
      </c>
      <c r="J236">
        <f t="shared" si="79"/>
        <v>0</v>
      </c>
      <c r="K236">
        <f t="shared" si="67"/>
        <v>0</v>
      </c>
      <c r="L236" cm="1">
        <f t="array" ref="L236">IF(E236*J236=0,0,$C$21*INDEX([3]Sheet1!$C$4:$Q$23,MATCH(K236,[3]Sheet1!$B$4:$B$23,1),MATCH(D236,[3]Sheet1!$C$3:$Q$3,1))
+(K236-INDEX([3]Sheet1!$B$4:$B$23,MATCH(K236,[3]Sheet1!$B$4:$B$23,1),1))/(INDEX([3]Sheet1!$B$4:$B$23,MATCH(K236,[3]Sheet1!$B$4:$B$23,1)+1,1)-INDEX([3]Sheet1!$B$4:$B$23,
MATCH(K236,[3]Sheet1!$B$4:$B$23,1),1))*(INDEX([3]Sheet1!$C$4:$Q$23,MATCH(K236,[3]Sheet1!$B$4:$B$23,1)+1,MATCH(D236,[3]Sheet1!$C$3:$Q$3,1))-INDEX([3]Sheet1!$C$4:$Q$23,
MATCH(K236,[3]Sheet1!$B$4:$B$23,1),MATCH(D236,[3]Sheet1!$C$3:$Q$3,1)))
+(D236-INDEX([3]Sheet1!$C$3:$Q$3,1,MATCH(D236,[3]Sheet1!$C$3:$Q$3)))/(INDEX([3]Sheet1!$C$3:$Q$3,1,MATCH(D236,[3]Sheet1!$C$3:$Q$3)+1)-INDEX([3]Sheet1!$C$3:$Q$3,1,MATCH(
D236,[3]Sheet1!$C$3:$Q$3)))*(INDEX([3]Sheet1!$C$4:$Q$23,MATCH(K236,[3]Sheet1!$B$4:$B$23,1),MATCH(D236,[3]Sheet1!$C$3:$Q$3,1)+1)-INDEX([3]Sheet1!$C$4:$Q$23,MATCH(K236,[3]Sheet1!$B$4:$B$23,1),MATCH(D236,[3]Sheet1!$C$3:$Q$3,1))))</f>
        <v>0</v>
      </c>
      <c r="M236" cm="1">
        <f t="array" ref="M236" xml:space="preserve"> IF(E236*J236=0,0,(INDEX([2]Sheet1!$C$4:$Q$23,MATCH(K236,[2]Sheet1!$B$4:$B$23,1),MATCH(D236,[2]Sheet1!$C$3:$Q$3,1))
+ (K236 - INDEX([2]Sheet1!$B$4:$B$23,MATCH(K236,[2]Sheet1!$B$4:$B$23,1),1))/(INDEX([2]Sheet1!$B$4:$B$23,MATCH(K236,[2]Sheet1!$B$4:$B$23,1)+1,1) - INDEX([2]Sheet1!$B$4:$B$23,MATCH(K236,[2]Sheet1!$B$4:$B$23,1),1))*(INDEX([2]Sheet1!$C$4:$Q$23,MATCH(K236,[2]Sheet1!$B$4:$B$23,1)+1,MATCH(D236,[2]Sheet1!$C$3:$Q$3,1)) - INDEX([2]Sheet1!$C$4:$Q$23,MATCH(K236,[2]Sheet1!$B$4:$B$23,1),MATCH(D236,[2]Sheet1!$C$3:$Q$3,1)))
+ (D236 - INDEX([2]Sheet1!$C$3:$Q$3,1,MATCH(D236,[2]Sheet1!$C$3:$Q$3)))/(INDEX([2]Sheet1!$C$3:$Q$3,1,MATCH(D236,[2]Sheet1!$C$3:$Q$3)+1) - INDEX([2]Sheet1!$C$3:$Q$3,1,MATCH(D236,[2]Sheet1!$C$3:$Q$3)))*(
INDEX([2]Sheet1!$C$4:$Q$23,MATCH(K236,[2]Sheet1!$B$4:$B$23,1),MATCH(D236,[2]Sheet1!$C$3:$Q$3,1)+1) - INDEX([2]Sheet1!$C$4:$Q$23,MATCH(K236,[2]Sheet1!$B$4:$B$23,1),MATCH(D236,[2]Sheet1!$C$3:$Q$3,1)))))</f>
        <v>0</v>
      </c>
      <c r="N236">
        <f t="shared" si="80"/>
        <v>12</v>
      </c>
      <c r="O236">
        <v>9.119449385327473E-2</v>
      </c>
      <c r="P236" t="e">
        <f t="shared" si="81"/>
        <v>#DIV/0!</v>
      </c>
      <c r="Q236">
        <f t="shared" si="68"/>
        <v>0</v>
      </c>
      <c r="R236">
        <f t="shared" si="82"/>
        <v>741.9099431943954</v>
      </c>
      <c r="T236" t="e">
        <f t="shared" si="71"/>
        <v>#DIV/0!</v>
      </c>
      <c r="U236" t="e">
        <f t="shared" si="72"/>
        <v>#DIV/0!</v>
      </c>
      <c r="V236">
        <f t="shared" si="73"/>
        <v>0</v>
      </c>
      <c r="W236" t="e">
        <f t="shared" si="69"/>
        <v>#DIV/0!</v>
      </c>
    </row>
    <row r="237" spans="1:23" x14ac:dyDescent="0.55000000000000004">
      <c r="A237">
        <f t="shared" si="70"/>
        <v>20.300000000000018</v>
      </c>
      <c r="B237">
        <f t="shared" si="74"/>
        <v>0.316</v>
      </c>
      <c r="C237">
        <f t="shared" si="75"/>
        <v>-8.2391304347826217</v>
      </c>
      <c r="D237">
        <v>2.4565441883019847</v>
      </c>
      <c r="E237">
        <f t="shared" si="65"/>
        <v>0</v>
      </c>
      <c r="F237">
        <f t="shared" si="76"/>
        <v>4.8605058816845369E-2</v>
      </c>
      <c r="G237">
        <f t="shared" si="77"/>
        <v>39.513748498891111</v>
      </c>
      <c r="H237">
        <f t="shared" si="78"/>
        <v>0</v>
      </c>
      <c r="I237" s="1">
        <f t="shared" si="66"/>
        <v>0</v>
      </c>
      <c r="J237">
        <f t="shared" si="79"/>
        <v>0</v>
      </c>
      <c r="K237">
        <f t="shared" si="67"/>
        <v>0</v>
      </c>
      <c r="L237" cm="1">
        <f t="array" ref="L237">IF(E237*J237=0,0,$C$21*INDEX([3]Sheet1!$C$4:$Q$23,MATCH(K237,[3]Sheet1!$B$4:$B$23,1),MATCH(D237,[3]Sheet1!$C$3:$Q$3,1))
+(K237-INDEX([3]Sheet1!$B$4:$B$23,MATCH(K237,[3]Sheet1!$B$4:$B$23,1),1))/(INDEX([3]Sheet1!$B$4:$B$23,MATCH(K237,[3]Sheet1!$B$4:$B$23,1)+1,1)-INDEX([3]Sheet1!$B$4:$B$23,
MATCH(K237,[3]Sheet1!$B$4:$B$23,1),1))*(INDEX([3]Sheet1!$C$4:$Q$23,MATCH(K237,[3]Sheet1!$B$4:$B$23,1)+1,MATCH(D237,[3]Sheet1!$C$3:$Q$3,1))-INDEX([3]Sheet1!$C$4:$Q$23,
MATCH(K237,[3]Sheet1!$B$4:$B$23,1),MATCH(D237,[3]Sheet1!$C$3:$Q$3,1)))
+(D237-INDEX([3]Sheet1!$C$3:$Q$3,1,MATCH(D237,[3]Sheet1!$C$3:$Q$3)))/(INDEX([3]Sheet1!$C$3:$Q$3,1,MATCH(D237,[3]Sheet1!$C$3:$Q$3)+1)-INDEX([3]Sheet1!$C$3:$Q$3,1,MATCH(
D237,[3]Sheet1!$C$3:$Q$3)))*(INDEX([3]Sheet1!$C$4:$Q$23,MATCH(K237,[3]Sheet1!$B$4:$B$23,1),MATCH(D237,[3]Sheet1!$C$3:$Q$3,1)+1)-INDEX([3]Sheet1!$C$4:$Q$23,MATCH(K237,[3]Sheet1!$B$4:$B$23,1),MATCH(D237,[3]Sheet1!$C$3:$Q$3,1))))</f>
        <v>0</v>
      </c>
      <c r="M237" cm="1">
        <f t="array" ref="M237" xml:space="preserve"> IF(E237*J237=0,0,(INDEX([2]Sheet1!$C$4:$Q$23,MATCH(K237,[2]Sheet1!$B$4:$B$23,1),MATCH(D237,[2]Sheet1!$C$3:$Q$3,1))
+ (K237 - INDEX([2]Sheet1!$B$4:$B$23,MATCH(K237,[2]Sheet1!$B$4:$B$23,1),1))/(INDEX([2]Sheet1!$B$4:$B$23,MATCH(K237,[2]Sheet1!$B$4:$B$23,1)+1,1) - INDEX([2]Sheet1!$B$4:$B$23,MATCH(K237,[2]Sheet1!$B$4:$B$23,1),1))*(INDEX([2]Sheet1!$C$4:$Q$23,MATCH(K237,[2]Sheet1!$B$4:$B$23,1)+1,MATCH(D237,[2]Sheet1!$C$3:$Q$3,1)) - INDEX([2]Sheet1!$C$4:$Q$23,MATCH(K237,[2]Sheet1!$B$4:$B$23,1),MATCH(D237,[2]Sheet1!$C$3:$Q$3,1)))
+ (D237 - INDEX([2]Sheet1!$C$3:$Q$3,1,MATCH(D237,[2]Sheet1!$C$3:$Q$3)))/(INDEX([2]Sheet1!$C$3:$Q$3,1,MATCH(D237,[2]Sheet1!$C$3:$Q$3)+1) - INDEX([2]Sheet1!$C$3:$Q$3,1,MATCH(D237,[2]Sheet1!$C$3:$Q$3)))*(
INDEX([2]Sheet1!$C$4:$Q$23,MATCH(K237,[2]Sheet1!$B$4:$B$23,1),MATCH(D237,[2]Sheet1!$C$3:$Q$3,1)+1) - INDEX([2]Sheet1!$C$4:$Q$23,MATCH(K237,[2]Sheet1!$B$4:$B$23,1),MATCH(D237,[2]Sheet1!$C$3:$Q$3,1)))))</f>
        <v>0</v>
      </c>
      <c r="N237">
        <f t="shared" si="80"/>
        <v>12</v>
      </c>
      <c r="O237">
        <v>9.1168176145488319E-2</v>
      </c>
      <c r="P237" t="e">
        <f t="shared" si="81"/>
        <v>#DIV/0!</v>
      </c>
      <c r="Q237">
        <f t="shared" si="68"/>
        <v>0</v>
      </c>
      <c r="R237">
        <f t="shared" si="82"/>
        <v>741.9099431943954</v>
      </c>
      <c r="T237" t="e">
        <f t="shared" si="71"/>
        <v>#DIV/0!</v>
      </c>
      <c r="U237" t="e">
        <f t="shared" si="72"/>
        <v>#DIV/0!</v>
      </c>
      <c r="V237">
        <f t="shared" si="73"/>
        <v>0</v>
      </c>
      <c r="W237" t="e">
        <f t="shared" si="69"/>
        <v>#DIV/0!</v>
      </c>
    </row>
    <row r="238" spans="1:23" x14ac:dyDescent="0.55000000000000004">
      <c r="A238">
        <f t="shared" si="70"/>
        <v>20.40000000000002</v>
      </c>
      <c r="B238">
        <f t="shared" si="74"/>
        <v>0.316</v>
      </c>
      <c r="C238">
        <f t="shared" si="75"/>
        <v>-8.3043478260869712</v>
      </c>
      <c r="D238">
        <v>2.4564179975732165</v>
      </c>
      <c r="E238">
        <f t="shared" si="65"/>
        <v>0</v>
      </c>
      <c r="F238">
        <f t="shared" si="76"/>
        <v>4.8605058816845369E-2</v>
      </c>
      <c r="G238">
        <f t="shared" si="77"/>
        <v>39.513748498891111</v>
      </c>
      <c r="H238">
        <f t="shared" si="78"/>
        <v>0</v>
      </c>
      <c r="I238" s="1">
        <f t="shared" si="66"/>
        <v>0</v>
      </c>
      <c r="J238">
        <f t="shared" si="79"/>
        <v>0</v>
      </c>
      <c r="K238">
        <f t="shared" si="67"/>
        <v>0</v>
      </c>
      <c r="L238" cm="1">
        <f t="array" ref="L238">IF(E238*J238=0,0,$C$21*INDEX([3]Sheet1!$C$4:$Q$23,MATCH(K238,[3]Sheet1!$B$4:$B$23,1),MATCH(D238,[3]Sheet1!$C$3:$Q$3,1))
+(K238-INDEX([3]Sheet1!$B$4:$B$23,MATCH(K238,[3]Sheet1!$B$4:$B$23,1),1))/(INDEX([3]Sheet1!$B$4:$B$23,MATCH(K238,[3]Sheet1!$B$4:$B$23,1)+1,1)-INDEX([3]Sheet1!$B$4:$B$23,
MATCH(K238,[3]Sheet1!$B$4:$B$23,1),1))*(INDEX([3]Sheet1!$C$4:$Q$23,MATCH(K238,[3]Sheet1!$B$4:$B$23,1)+1,MATCH(D238,[3]Sheet1!$C$3:$Q$3,1))-INDEX([3]Sheet1!$C$4:$Q$23,
MATCH(K238,[3]Sheet1!$B$4:$B$23,1),MATCH(D238,[3]Sheet1!$C$3:$Q$3,1)))
+(D238-INDEX([3]Sheet1!$C$3:$Q$3,1,MATCH(D238,[3]Sheet1!$C$3:$Q$3)))/(INDEX([3]Sheet1!$C$3:$Q$3,1,MATCH(D238,[3]Sheet1!$C$3:$Q$3)+1)-INDEX([3]Sheet1!$C$3:$Q$3,1,MATCH(
D238,[3]Sheet1!$C$3:$Q$3)))*(INDEX([3]Sheet1!$C$4:$Q$23,MATCH(K238,[3]Sheet1!$B$4:$B$23,1),MATCH(D238,[3]Sheet1!$C$3:$Q$3,1)+1)-INDEX([3]Sheet1!$C$4:$Q$23,MATCH(K238,[3]Sheet1!$B$4:$B$23,1),MATCH(D238,[3]Sheet1!$C$3:$Q$3,1))))</f>
        <v>0</v>
      </c>
      <c r="M238" cm="1">
        <f t="array" ref="M238" xml:space="preserve"> IF(E238*J238=0,0,(INDEX([2]Sheet1!$C$4:$Q$23,MATCH(K238,[2]Sheet1!$B$4:$B$23,1),MATCH(D238,[2]Sheet1!$C$3:$Q$3,1))
+ (K238 - INDEX([2]Sheet1!$B$4:$B$23,MATCH(K238,[2]Sheet1!$B$4:$B$23,1),1))/(INDEX([2]Sheet1!$B$4:$B$23,MATCH(K238,[2]Sheet1!$B$4:$B$23,1)+1,1) - INDEX([2]Sheet1!$B$4:$B$23,MATCH(K238,[2]Sheet1!$B$4:$B$23,1),1))*(INDEX([2]Sheet1!$C$4:$Q$23,MATCH(K238,[2]Sheet1!$B$4:$B$23,1)+1,MATCH(D238,[2]Sheet1!$C$3:$Q$3,1)) - INDEX([2]Sheet1!$C$4:$Q$23,MATCH(K238,[2]Sheet1!$B$4:$B$23,1),MATCH(D238,[2]Sheet1!$C$3:$Q$3,1)))
+ (D238 - INDEX([2]Sheet1!$C$3:$Q$3,1,MATCH(D238,[2]Sheet1!$C$3:$Q$3)))/(INDEX([2]Sheet1!$C$3:$Q$3,1,MATCH(D238,[2]Sheet1!$C$3:$Q$3)+1) - INDEX([2]Sheet1!$C$3:$Q$3,1,MATCH(D238,[2]Sheet1!$C$3:$Q$3)))*(
INDEX([2]Sheet1!$C$4:$Q$23,MATCH(K238,[2]Sheet1!$B$4:$B$23,1),MATCH(D238,[2]Sheet1!$C$3:$Q$3,1)+1) - INDEX([2]Sheet1!$C$4:$Q$23,MATCH(K238,[2]Sheet1!$B$4:$B$23,1),MATCH(D238,[2]Sheet1!$C$3:$Q$3,1)))))</f>
        <v>0</v>
      </c>
      <c r="N238">
        <f t="shared" si="80"/>
        <v>12</v>
      </c>
      <c r="O238">
        <v>9.1141920799860485E-2</v>
      </c>
      <c r="P238" t="e">
        <f t="shared" si="81"/>
        <v>#DIV/0!</v>
      </c>
      <c r="Q238">
        <f t="shared" si="68"/>
        <v>0</v>
      </c>
      <c r="R238">
        <f t="shared" si="82"/>
        <v>741.9099431943954</v>
      </c>
      <c r="T238" t="e">
        <f t="shared" si="71"/>
        <v>#DIV/0!</v>
      </c>
      <c r="U238" t="e">
        <f t="shared" si="72"/>
        <v>#DIV/0!</v>
      </c>
      <c r="V238">
        <f t="shared" si="73"/>
        <v>0</v>
      </c>
      <c r="W238" t="e">
        <f t="shared" si="69"/>
        <v>#DIV/0!</v>
      </c>
    </row>
    <row r="239" spans="1:23" x14ac:dyDescent="0.55000000000000004">
      <c r="A239">
        <f t="shared" si="70"/>
        <v>20.500000000000021</v>
      </c>
      <c r="B239">
        <f t="shared" si="74"/>
        <v>0.316</v>
      </c>
      <c r="C239">
        <f t="shared" si="75"/>
        <v>-8.3695652173913189</v>
      </c>
      <c r="D239">
        <v>2.4562921063289287</v>
      </c>
      <c r="E239">
        <f t="shared" si="65"/>
        <v>0</v>
      </c>
      <c r="F239">
        <f t="shared" si="76"/>
        <v>4.8605058816845369E-2</v>
      </c>
      <c r="G239">
        <f t="shared" si="77"/>
        <v>39.513748498891111</v>
      </c>
      <c r="H239">
        <f t="shared" si="78"/>
        <v>0</v>
      </c>
      <c r="I239" s="1">
        <f t="shared" si="66"/>
        <v>0</v>
      </c>
      <c r="J239">
        <f t="shared" si="79"/>
        <v>0</v>
      </c>
      <c r="K239">
        <f t="shared" si="67"/>
        <v>0</v>
      </c>
      <c r="L239" cm="1">
        <f t="array" ref="L239">IF(E239*J239=0,0,$C$21*INDEX([3]Sheet1!$C$4:$Q$23,MATCH(K239,[3]Sheet1!$B$4:$B$23,1),MATCH(D239,[3]Sheet1!$C$3:$Q$3,1))
+(K239-INDEX([3]Sheet1!$B$4:$B$23,MATCH(K239,[3]Sheet1!$B$4:$B$23,1),1))/(INDEX([3]Sheet1!$B$4:$B$23,MATCH(K239,[3]Sheet1!$B$4:$B$23,1)+1,1)-INDEX([3]Sheet1!$B$4:$B$23,
MATCH(K239,[3]Sheet1!$B$4:$B$23,1),1))*(INDEX([3]Sheet1!$C$4:$Q$23,MATCH(K239,[3]Sheet1!$B$4:$B$23,1)+1,MATCH(D239,[3]Sheet1!$C$3:$Q$3,1))-INDEX([3]Sheet1!$C$4:$Q$23,
MATCH(K239,[3]Sheet1!$B$4:$B$23,1),MATCH(D239,[3]Sheet1!$C$3:$Q$3,1)))
+(D239-INDEX([3]Sheet1!$C$3:$Q$3,1,MATCH(D239,[3]Sheet1!$C$3:$Q$3)))/(INDEX([3]Sheet1!$C$3:$Q$3,1,MATCH(D239,[3]Sheet1!$C$3:$Q$3)+1)-INDEX([3]Sheet1!$C$3:$Q$3,1,MATCH(
D239,[3]Sheet1!$C$3:$Q$3)))*(INDEX([3]Sheet1!$C$4:$Q$23,MATCH(K239,[3]Sheet1!$B$4:$B$23,1),MATCH(D239,[3]Sheet1!$C$3:$Q$3,1)+1)-INDEX([3]Sheet1!$C$4:$Q$23,MATCH(K239,[3]Sheet1!$B$4:$B$23,1),MATCH(D239,[3]Sheet1!$C$3:$Q$3,1))))</f>
        <v>0</v>
      </c>
      <c r="M239" cm="1">
        <f t="array" ref="M239" xml:space="preserve"> IF(E239*J239=0,0,(INDEX([2]Sheet1!$C$4:$Q$23,MATCH(K239,[2]Sheet1!$B$4:$B$23,1),MATCH(D239,[2]Sheet1!$C$3:$Q$3,1))
+ (K239 - INDEX([2]Sheet1!$B$4:$B$23,MATCH(K239,[2]Sheet1!$B$4:$B$23,1),1))/(INDEX([2]Sheet1!$B$4:$B$23,MATCH(K239,[2]Sheet1!$B$4:$B$23,1)+1,1) - INDEX([2]Sheet1!$B$4:$B$23,MATCH(K239,[2]Sheet1!$B$4:$B$23,1),1))*(INDEX([2]Sheet1!$C$4:$Q$23,MATCH(K239,[2]Sheet1!$B$4:$B$23,1)+1,MATCH(D239,[2]Sheet1!$C$3:$Q$3,1)) - INDEX([2]Sheet1!$C$4:$Q$23,MATCH(K239,[2]Sheet1!$B$4:$B$23,1),MATCH(D239,[2]Sheet1!$C$3:$Q$3,1)))
+ (D239 - INDEX([2]Sheet1!$C$3:$Q$3,1,MATCH(D239,[2]Sheet1!$C$3:$Q$3)))/(INDEX([2]Sheet1!$C$3:$Q$3,1,MATCH(D239,[2]Sheet1!$C$3:$Q$3)+1) - INDEX([2]Sheet1!$C$3:$Q$3,1,MATCH(D239,[2]Sheet1!$C$3:$Q$3)))*(
INDEX([2]Sheet1!$C$4:$Q$23,MATCH(K239,[2]Sheet1!$B$4:$B$23,1),MATCH(D239,[2]Sheet1!$C$3:$Q$3,1)+1) - INDEX([2]Sheet1!$C$4:$Q$23,MATCH(K239,[2]Sheet1!$B$4:$B$23,1),MATCH(D239,[2]Sheet1!$C$3:$Q$3,1)))))</f>
        <v>0</v>
      </c>
      <c r="N239">
        <f t="shared" si="80"/>
        <v>12</v>
      </c>
      <c r="O239">
        <v>9.1115735340931939E-2</v>
      </c>
      <c r="P239" t="e">
        <f t="shared" si="81"/>
        <v>#DIV/0!</v>
      </c>
      <c r="Q239">
        <f t="shared" si="68"/>
        <v>0</v>
      </c>
      <c r="R239">
        <f t="shared" si="82"/>
        <v>741.9099431943954</v>
      </c>
      <c r="T239" t="e">
        <f t="shared" si="71"/>
        <v>#DIV/0!</v>
      </c>
      <c r="U239" t="e">
        <f t="shared" si="72"/>
        <v>#DIV/0!</v>
      </c>
      <c r="V239">
        <f t="shared" si="73"/>
        <v>0</v>
      </c>
      <c r="W239" t="e">
        <f t="shared" si="69"/>
        <v>#DIV/0!</v>
      </c>
    </row>
    <row r="240" spans="1:23" x14ac:dyDescent="0.55000000000000004">
      <c r="A240">
        <f t="shared" si="70"/>
        <v>20.600000000000023</v>
      </c>
      <c r="B240">
        <f t="shared" si="74"/>
        <v>0.316</v>
      </c>
      <c r="C240">
        <f t="shared" si="75"/>
        <v>-8.4347826086956683</v>
      </c>
      <c r="D240">
        <v>2.4561665131090868</v>
      </c>
      <c r="E240">
        <f t="shared" si="65"/>
        <v>0</v>
      </c>
      <c r="F240">
        <f t="shared" si="76"/>
        <v>4.8605058816845369E-2</v>
      </c>
      <c r="G240">
        <f t="shared" si="77"/>
        <v>39.513748498891111</v>
      </c>
      <c r="H240">
        <f t="shared" si="78"/>
        <v>0</v>
      </c>
      <c r="I240" s="1">
        <f t="shared" si="66"/>
        <v>0</v>
      </c>
      <c r="J240">
        <f t="shared" si="79"/>
        <v>0</v>
      </c>
      <c r="K240">
        <f t="shared" si="67"/>
        <v>0</v>
      </c>
      <c r="L240" cm="1">
        <f t="array" ref="L240">IF(E240*J240=0,0,$C$21*INDEX([3]Sheet1!$C$4:$Q$23,MATCH(K240,[3]Sheet1!$B$4:$B$23,1),MATCH(D240,[3]Sheet1!$C$3:$Q$3,1))
+(K240-INDEX([3]Sheet1!$B$4:$B$23,MATCH(K240,[3]Sheet1!$B$4:$B$23,1),1))/(INDEX([3]Sheet1!$B$4:$B$23,MATCH(K240,[3]Sheet1!$B$4:$B$23,1)+1,1)-INDEX([3]Sheet1!$B$4:$B$23,
MATCH(K240,[3]Sheet1!$B$4:$B$23,1),1))*(INDEX([3]Sheet1!$C$4:$Q$23,MATCH(K240,[3]Sheet1!$B$4:$B$23,1)+1,MATCH(D240,[3]Sheet1!$C$3:$Q$3,1))-INDEX([3]Sheet1!$C$4:$Q$23,
MATCH(K240,[3]Sheet1!$B$4:$B$23,1),MATCH(D240,[3]Sheet1!$C$3:$Q$3,1)))
+(D240-INDEX([3]Sheet1!$C$3:$Q$3,1,MATCH(D240,[3]Sheet1!$C$3:$Q$3)))/(INDEX([3]Sheet1!$C$3:$Q$3,1,MATCH(D240,[3]Sheet1!$C$3:$Q$3)+1)-INDEX([3]Sheet1!$C$3:$Q$3,1,MATCH(
D240,[3]Sheet1!$C$3:$Q$3)))*(INDEX([3]Sheet1!$C$4:$Q$23,MATCH(K240,[3]Sheet1!$B$4:$B$23,1),MATCH(D240,[3]Sheet1!$C$3:$Q$3,1)+1)-INDEX([3]Sheet1!$C$4:$Q$23,MATCH(K240,[3]Sheet1!$B$4:$B$23,1),MATCH(D240,[3]Sheet1!$C$3:$Q$3,1))))</f>
        <v>0</v>
      </c>
      <c r="M240" cm="1">
        <f t="array" ref="M240" xml:space="preserve"> IF(E240*J240=0,0,(INDEX([2]Sheet1!$C$4:$Q$23,MATCH(K240,[2]Sheet1!$B$4:$B$23,1),MATCH(D240,[2]Sheet1!$C$3:$Q$3,1))
+ (K240 - INDEX([2]Sheet1!$B$4:$B$23,MATCH(K240,[2]Sheet1!$B$4:$B$23,1),1))/(INDEX([2]Sheet1!$B$4:$B$23,MATCH(K240,[2]Sheet1!$B$4:$B$23,1)+1,1) - INDEX([2]Sheet1!$B$4:$B$23,MATCH(K240,[2]Sheet1!$B$4:$B$23,1),1))*(INDEX([2]Sheet1!$C$4:$Q$23,MATCH(K240,[2]Sheet1!$B$4:$B$23,1)+1,MATCH(D240,[2]Sheet1!$C$3:$Q$3,1)) - INDEX([2]Sheet1!$C$4:$Q$23,MATCH(K240,[2]Sheet1!$B$4:$B$23,1),MATCH(D240,[2]Sheet1!$C$3:$Q$3,1)))
+ (D240 - INDEX([2]Sheet1!$C$3:$Q$3,1,MATCH(D240,[2]Sheet1!$C$3:$Q$3)))/(INDEX([2]Sheet1!$C$3:$Q$3,1,MATCH(D240,[2]Sheet1!$C$3:$Q$3)+1) - INDEX([2]Sheet1!$C$3:$Q$3,1,MATCH(D240,[2]Sheet1!$C$3:$Q$3)))*(
INDEX([2]Sheet1!$C$4:$Q$23,MATCH(K240,[2]Sheet1!$B$4:$B$23,1),MATCH(D240,[2]Sheet1!$C$3:$Q$3,1)+1) - INDEX([2]Sheet1!$C$4:$Q$23,MATCH(K240,[2]Sheet1!$B$4:$B$23,1),MATCH(D240,[2]Sheet1!$C$3:$Q$3,1)))))</f>
        <v>0</v>
      </c>
      <c r="N240">
        <f t="shared" si="80"/>
        <v>12</v>
      </c>
      <c r="O240">
        <v>9.108961940997358E-2</v>
      </c>
      <c r="P240" t="e">
        <f t="shared" si="81"/>
        <v>#DIV/0!</v>
      </c>
      <c r="Q240">
        <f t="shared" si="68"/>
        <v>0</v>
      </c>
      <c r="R240">
        <f t="shared" si="82"/>
        <v>741.9099431943954</v>
      </c>
      <c r="T240" t="e">
        <f t="shared" si="71"/>
        <v>#DIV/0!</v>
      </c>
      <c r="U240" t="e">
        <f t="shared" si="72"/>
        <v>#DIV/0!</v>
      </c>
      <c r="V240">
        <f t="shared" si="73"/>
        <v>0</v>
      </c>
      <c r="W240" t="e">
        <f t="shared" si="69"/>
        <v>#DIV/0!</v>
      </c>
    </row>
    <row r="241" spans="1:23" x14ac:dyDescent="0.55000000000000004">
      <c r="A241">
        <f t="shared" si="70"/>
        <v>20.700000000000024</v>
      </c>
      <c r="B241">
        <f t="shared" si="74"/>
        <v>0.316</v>
      </c>
      <c r="C241">
        <f t="shared" si="75"/>
        <v>-8.500000000000016</v>
      </c>
      <c r="D241">
        <v>2.4560412164646901</v>
      </c>
      <c r="E241">
        <f t="shared" si="65"/>
        <v>0</v>
      </c>
      <c r="F241">
        <f t="shared" si="76"/>
        <v>4.8605058816845369E-2</v>
      </c>
      <c r="G241">
        <f t="shared" si="77"/>
        <v>39.513748498891111</v>
      </c>
      <c r="H241">
        <f t="shared" si="78"/>
        <v>0</v>
      </c>
      <c r="I241" s="1">
        <f t="shared" si="66"/>
        <v>0</v>
      </c>
      <c r="J241">
        <f t="shared" si="79"/>
        <v>0</v>
      </c>
      <c r="K241">
        <f t="shared" si="67"/>
        <v>0</v>
      </c>
      <c r="L241" cm="1">
        <f t="array" ref="L241">IF(E241*J241=0,0,$C$21*INDEX([3]Sheet1!$C$4:$Q$23,MATCH(K241,[3]Sheet1!$B$4:$B$23,1),MATCH(D241,[3]Sheet1!$C$3:$Q$3,1))
+(K241-INDEX([3]Sheet1!$B$4:$B$23,MATCH(K241,[3]Sheet1!$B$4:$B$23,1),1))/(INDEX([3]Sheet1!$B$4:$B$23,MATCH(K241,[3]Sheet1!$B$4:$B$23,1)+1,1)-INDEX([3]Sheet1!$B$4:$B$23,
MATCH(K241,[3]Sheet1!$B$4:$B$23,1),1))*(INDEX([3]Sheet1!$C$4:$Q$23,MATCH(K241,[3]Sheet1!$B$4:$B$23,1)+1,MATCH(D241,[3]Sheet1!$C$3:$Q$3,1))-INDEX([3]Sheet1!$C$4:$Q$23,
MATCH(K241,[3]Sheet1!$B$4:$B$23,1),MATCH(D241,[3]Sheet1!$C$3:$Q$3,1)))
+(D241-INDEX([3]Sheet1!$C$3:$Q$3,1,MATCH(D241,[3]Sheet1!$C$3:$Q$3)))/(INDEX([3]Sheet1!$C$3:$Q$3,1,MATCH(D241,[3]Sheet1!$C$3:$Q$3)+1)-INDEX([3]Sheet1!$C$3:$Q$3,1,MATCH(
D241,[3]Sheet1!$C$3:$Q$3)))*(INDEX([3]Sheet1!$C$4:$Q$23,MATCH(K241,[3]Sheet1!$B$4:$B$23,1),MATCH(D241,[3]Sheet1!$C$3:$Q$3,1)+1)-INDEX([3]Sheet1!$C$4:$Q$23,MATCH(K241,[3]Sheet1!$B$4:$B$23,1),MATCH(D241,[3]Sheet1!$C$3:$Q$3,1))))</f>
        <v>0</v>
      </c>
      <c r="M241" cm="1">
        <f t="array" ref="M241" xml:space="preserve"> IF(E241*J241=0,0,(INDEX([2]Sheet1!$C$4:$Q$23,MATCH(K241,[2]Sheet1!$B$4:$B$23,1),MATCH(D241,[2]Sheet1!$C$3:$Q$3,1))
+ (K241 - INDEX([2]Sheet1!$B$4:$B$23,MATCH(K241,[2]Sheet1!$B$4:$B$23,1),1))/(INDEX([2]Sheet1!$B$4:$B$23,MATCH(K241,[2]Sheet1!$B$4:$B$23,1)+1,1) - INDEX([2]Sheet1!$B$4:$B$23,MATCH(K241,[2]Sheet1!$B$4:$B$23,1),1))*(INDEX([2]Sheet1!$C$4:$Q$23,MATCH(K241,[2]Sheet1!$B$4:$B$23,1)+1,MATCH(D241,[2]Sheet1!$C$3:$Q$3,1)) - INDEX([2]Sheet1!$C$4:$Q$23,MATCH(K241,[2]Sheet1!$B$4:$B$23,1),MATCH(D241,[2]Sheet1!$C$3:$Q$3,1)))
+ (D241 - INDEX([2]Sheet1!$C$3:$Q$3,1,MATCH(D241,[2]Sheet1!$C$3:$Q$3)))/(INDEX([2]Sheet1!$C$3:$Q$3,1,MATCH(D241,[2]Sheet1!$C$3:$Q$3)+1) - INDEX([2]Sheet1!$C$3:$Q$3,1,MATCH(D241,[2]Sheet1!$C$3:$Q$3)))*(
INDEX([2]Sheet1!$C$4:$Q$23,MATCH(K241,[2]Sheet1!$B$4:$B$23,1),MATCH(D241,[2]Sheet1!$C$3:$Q$3,1)+1) - INDEX([2]Sheet1!$C$4:$Q$23,MATCH(K241,[2]Sheet1!$B$4:$B$23,1),MATCH(D241,[2]Sheet1!$C$3:$Q$3,1)))))</f>
        <v>0</v>
      </c>
      <c r="N241">
        <f t="shared" si="80"/>
        <v>12</v>
      </c>
      <c r="O241">
        <v>9.1063572651051986E-2</v>
      </c>
      <c r="P241" t="e">
        <f t="shared" si="81"/>
        <v>#DIV/0!</v>
      </c>
      <c r="Q241">
        <f t="shared" si="68"/>
        <v>0</v>
      </c>
      <c r="R241">
        <f t="shared" si="82"/>
        <v>741.9099431943954</v>
      </c>
      <c r="T241" t="e">
        <f t="shared" si="71"/>
        <v>#DIV/0!</v>
      </c>
      <c r="U241" t="e">
        <f t="shared" si="72"/>
        <v>#DIV/0!</v>
      </c>
      <c r="V241">
        <f t="shared" si="73"/>
        <v>0</v>
      </c>
      <c r="W241" t="e">
        <f t="shared" si="69"/>
        <v>#DIV/0!</v>
      </c>
    </row>
    <row r="242" spans="1:23" x14ac:dyDescent="0.55000000000000004">
      <c r="A242">
        <f t="shared" si="70"/>
        <v>20.800000000000026</v>
      </c>
      <c r="B242">
        <f t="shared" si="74"/>
        <v>0.316</v>
      </c>
      <c r="C242">
        <f t="shared" si="75"/>
        <v>-8.5652173913043654</v>
      </c>
      <c r="D242">
        <v>2.4559162149573335</v>
      </c>
      <c r="E242">
        <f t="shared" si="65"/>
        <v>0</v>
      </c>
      <c r="F242">
        <f t="shared" si="76"/>
        <v>4.8605058816845369E-2</v>
      </c>
      <c r="G242">
        <f t="shared" si="77"/>
        <v>39.513748498891111</v>
      </c>
      <c r="H242">
        <f t="shared" si="78"/>
        <v>0</v>
      </c>
      <c r="I242" s="1">
        <f t="shared" si="66"/>
        <v>0</v>
      </c>
      <c r="J242">
        <f t="shared" si="79"/>
        <v>0</v>
      </c>
      <c r="K242">
        <f t="shared" si="67"/>
        <v>0</v>
      </c>
      <c r="L242" cm="1">
        <f t="array" ref="L242">IF(E242*J242=0,0,$C$21*INDEX([3]Sheet1!$C$4:$Q$23,MATCH(K242,[3]Sheet1!$B$4:$B$23,1),MATCH(D242,[3]Sheet1!$C$3:$Q$3,1))
+(K242-INDEX([3]Sheet1!$B$4:$B$23,MATCH(K242,[3]Sheet1!$B$4:$B$23,1),1))/(INDEX([3]Sheet1!$B$4:$B$23,MATCH(K242,[3]Sheet1!$B$4:$B$23,1)+1,1)-INDEX([3]Sheet1!$B$4:$B$23,
MATCH(K242,[3]Sheet1!$B$4:$B$23,1),1))*(INDEX([3]Sheet1!$C$4:$Q$23,MATCH(K242,[3]Sheet1!$B$4:$B$23,1)+1,MATCH(D242,[3]Sheet1!$C$3:$Q$3,1))-INDEX([3]Sheet1!$C$4:$Q$23,
MATCH(K242,[3]Sheet1!$B$4:$B$23,1),MATCH(D242,[3]Sheet1!$C$3:$Q$3,1)))
+(D242-INDEX([3]Sheet1!$C$3:$Q$3,1,MATCH(D242,[3]Sheet1!$C$3:$Q$3)))/(INDEX([3]Sheet1!$C$3:$Q$3,1,MATCH(D242,[3]Sheet1!$C$3:$Q$3)+1)-INDEX([3]Sheet1!$C$3:$Q$3,1,MATCH(
D242,[3]Sheet1!$C$3:$Q$3)))*(INDEX([3]Sheet1!$C$4:$Q$23,MATCH(K242,[3]Sheet1!$B$4:$B$23,1),MATCH(D242,[3]Sheet1!$C$3:$Q$3,1)+1)-INDEX([3]Sheet1!$C$4:$Q$23,MATCH(K242,[3]Sheet1!$B$4:$B$23,1),MATCH(D242,[3]Sheet1!$C$3:$Q$3,1))))</f>
        <v>0</v>
      </c>
      <c r="M242" cm="1">
        <f t="array" ref="M242" xml:space="preserve"> IF(E242*J242=0,0,(INDEX([2]Sheet1!$C$4:$Q$23,MATCH(K242,[2]Sheet1!$B$4:$B$23,1),MATCH(D242,[2]Sheet1!$C$3:$Q$3,1))
+ (K242 - INDEX([2]Sheet1!$B$4:$B$23,MATCH(K242,[2]Sheet1!$B$4:$B$23,1),1))/(INDEX([2]Sheet1!$B$4:$B$23,MATCH(K242,[2]Sheet1!$B$4:$B$23,1)+1,1) - INDEX([2]Sheet1!$B$4:$B$23,MATCH(K242,[2]Sheet1!$B$4:$B$23,1),1))*(INDEX([2]Sheet1!$C$4:$Q$23,MATCH(K242,[2]Sheet1!$B$4:$B$23,1)+1,MATCH(D242,[2]Sheet1!$C$3:$Q$3,1)) - INDEX([2]Sheet1!$C$4:$Q$23,MATCH(K242,[2]Sheet1!$B$4:$B$23,1),MATCH(D242,[2]Sheet1!$C$3:$Q$3,1)))
+ (D242 - INDEX([2]Sheet1!$C$3:$Q$3,1,MATCH(D242,[2]Sheet1!$C$3:$Q$3)))/(INDEX([2]Sheet1!$C$3:$Q$3,1,MATCH(D242,[2]Sheet1!$C$3:$Q$3)+1) - INDEX([2]Sheet1!$C$3:$Q$3,1,MATCH(D242,[2]Sheet1!$C$3:$Q$3)))*(
INDEX([2]Sheet1!$C$4:$Q$23,MATCH(K242,[2]Sheet1!$B$4:$B$23,1),MATCH(D242,[2]Sheet1!$C$3:$Q$3,1)+1) - INDEX([2]Sheet1!$C$4:$Q$23,MATCH(K242,[2]Sheet1!$B$4:$B$23,1),MATCH(D242,[2]Sheet1!$C$3:$Q$3,1)))))</f>
        <v>0</v>
      </c>
      <c r="N242">
        <f t="shared" si="80"/>
        <v>12</v>
      </c>
      <c r="O242">
        <v>9.1037594710931924E-2</v>
      </c>
      <c r="P242" t="e">
        <f t="shared" si="81"/>
        <v>#DIV/0!</v>
      </c>
      <c r="Q242">
        <f t="shared" si="68"/>
        <v>0</v>
      </c>
      <c r="R242">
        <f t="shared" si="82"/>
        <v>741.9099431943954</v>
      </c>
      <c r="T242" t="e">
        <f t="shared" si="71"/>
        <v>#DIV/0!</v>
      </c>
      <c r="U242" t="e">
        <f t="shared" si="72"/>
        <v>#DIV/0!</v>
      </c>
      <c r="V242">
        <f t="shared" si="73"/>
        <v>0</v>
      </c>
      <c r="W242" t="e">
        <f t="shared" si="69"/>
        <v>#DIV/0!</v>
      </c>
    </row>
    <row r="243" spans="1:23" x14ac:dyDescent="0.55000000000000004">
      <c r="A243">
        <f t="shared" si="70"/>
        <v>20.900000000000027</v>
      </c>
      <c r="B243">
        <f t="shared" si="74"/>
        <v>0.316</v>
      </c>
      <c r="C243">
        <f t="shared" si="75"/>
        <v>-8.6304347826087149</v>
      </c>
      <c r="D243">
        <v>2.4557915071591059</v>
      </c>
      <c r="E243">
        <f t="shared" si="65"/>
        <v>0</v>
      </c>
      <c r="F243">
        <f t="shared" si="76"/>
        <v>4.8605058816845369E-2</v>
      </c>
      <c r="G243">
        <f t="shared" si="77"/>
        <v>39.513748498891111</v>
      </c>
      <c r="H243">
        <f t="shared" si="78"/>
        <v>0</v>
      </c>
      <c r="I243" s="1">
        <f t="shared" si="66"/>
        <v>0</v>
      </c>
      <c r="J243">
        <f t="shared" si="79"/>
        <v>0</v>
      </c>
      <c r="K243">
        <f t="shared" si="67"/>
        <v>0</v>
      </c>
      <c r="L243" cm="1">
        <f t="array" ref="L243">IF(E243*J243=0,0,$C$21*INDEX([3]Sheet1!$C$4:$Q$23,MATCH(K243,[3]Sheet1!$B$4:$B$23,1),MATCH(D243,[3]Sheet1!$C$3:$Q$3,1))
+(K243-INDEX([3]Sheet1!$B$4:$B$23,MATCH(K243,[3]Sheet1!$B$4:$B$23,1),1))/(INDEX([3]Sheet1!$B$4:$B$23,MATCH(K243,[3]Sheet1!$B$4:$B$23,1)+1,1)-INDEX([3]Sheet1!$B$4:$B$23,
MATCH(K243,[3]Sheet1!$B$4:$B$23,1),1))*(INDEX([3]Sheet1!$C$4:$Q$23,MATCH(K243,[3]Sheet1!$B$4:$B$23,1)+1,MATCH(D243,[3]Sheet1!$C$3:$Q$3,1))-INDEX([3]Sheet1!$C$4:$Q$23,
MATCH(K243,[3]Sheet1!$B$4:$B$23,1),MATCH(D243,[3]Sheet1!$C$3:$Q$3,1)))
+(D243-INDEX([3]Sheet1!$C$3:$Q$3,1,MATCH(D243,[3]Sheet1!$C$3:$Q$3)))/(INDEX([3]Sheet1!$C$3:$Q$3,1,MATCH(D243,[3]Sheet1!$C$3:$Q$3)+1)-INDEX([3]Sheet1!$C$3:$Q$3,1,MATCH(
D243,[3]Sheet1!$C$3:$Q$3)))*(INDEX([3]Sheet1!$C$4:$Q$23,MATCH(K243,[3]Sheet1!$B$4:$B$23,1),MATCH(D243,[3]Sheet1!$C$3:$Q$3,1)+1)-INDEX([3]Sheet1!$C$4:$Q$23,MATCH(K243,[3]Sheet1!$B$4:$B$23,1),MATCH(D243,[3]Sheet1!$C$3:$Q$3,1))))</f>
        <v>0</v>
      </c>
      <c r="M243" cm="1">
        <f t="array" ref="M243" xml:space="preserve"> IF(E243*J243=0,0,(INDEX([2]Sheet1!$C$4:$Q$23,MATCH(K243,[2]Sheet1!$B$4:$B$23,1),MATCH(D243,[2]Sheet1!$C$3:$Q$3,1))
+ (K243 - INDEX([2]Sheet1!$B$4:$B$23,MATCH(K243,[2]Sheet1!$B$4:$B$23,1),1))/(INDEX([2]Sheet1!$B$4:$B$23,MATCH(K243,[2]Sheet1!$B$4:$B$23,1)+1,1) - INDEX([2]Sheet1!$B$4:$B$23,MATCH(K243,[2]Sheet1!$B$4:$B$23,1),1))*(INDEX([2]Sheet1!$C$4:$Q$23,MATCH(K243,[2]Sheet1!$B$4:$B$23,1)+1,MATCH(D243,[2]Sheet1!$C$3:$Q$3,1)) - INDEX([2]Sheet1!$C$4:$Q$23,MATCH(K243,[2]Sheet1!$B$4:$B$23,1),MATCH(D243,[2]Sheet1!$C$3:$Q$3,1)))
+ (D243 - INDEX([2]Sheet1!$C$3:$Q$3,1,MATCH(D243,[2]Sheet1!$C$3:$Q$3)))/(INDEX([2]Sheet1!$C$3:$Q$3,1,MATCH(D243,[2]Sheet1!$C$3:$Q$3)+1) - INDEX([2]Sheet1!$C$3:$Q$3,1,MATCH(D243,[2]Sheet1!$C$3:$Q$3)))*(
INDEX([2]Sheet1!$C$4:$Q$23,MATCH(K243,[2]Sheet1!$B$4:$B$23,1),MATCH(D243,[2]Sheet1!$C$3:$Q$3,1)+1) - INDEX([2]Sheet1!$C$4:$Q$23,MATCH(K243,[2]Sheet1!$B$4:$B$23,1),MATCH(D243,[2]Sheet1!$C$3:$Q$3,1)))))</f>
        <v>0</v>
      </c>
      <c r="N243">
        <f t="shared" si="80"/>
        <v>12</v>
      </c>
      <c r="O243">
        <v>9.1011685239049442E-2</v>
      </c>
      <c r="P243" t="e">
        <f t="shared" si="81"/>
        <v>#DIV/0!</v>
      </c>
      <c r="Q243">
        <f t="shared" si="68"/>
        <v>0</v>
      </c>
      <c r="R243">
        <f t="shared" si="82"/>
        <v>741.9099431943954</v>
      </c>
      <c r="T243" t="e">
        <f t="shared" si="71"/>
        <v>#DIV/0!</v>
      </c>
      <c r="U243" t="e">
        <f t="shared" si="72"/>
        <v>#DIV/0!</v>
      </c>
      <c r="V243">
        <f t="shared" si="73"/>
        <v>0</v>
      </c>
      <c r="W243" t="e">
        <f t="shared" si="69"/>
        <v>#DIV/0!</v>
      </c>
    </row>
    <row r="244" spans="1:23" x14ac:dyDescent="0.55000000000000004">
      <c r="A244">
        <f t="shared" si="70"/>
        <v>21.000000000000028</v>
      </c>
      <c r="B244">
        <f t="shared" si="74"/>
        <v>0.316</v>
      </c>
      <c r="C244">
        <f t="shared" si="75"/>
        <v>-8.6956521739130626</v>
      </c>
      <c r="D244">
        <v>2.4556670916524914</v>
      </c>
      <c r="E244">
        <f t="shared" si="65"/>
        <v>0</v>
      </c>
      <c r="F244">
        <f t="shared" si="76"/>
        <v>4.8605058816845369E-2</v>
      </c>
      <c r="G244">
        <f t="shared" si="77"/>
        <v>39.513748498891111</v>
      </c>
      <c r="H244">
        <f t="shared" si="78"/>
        <v>0</v>
      </c>
      <c r="I244" s="1">
        <f t="shared" si="66"/>
        <v>0</v>
      </c>
      <c r="J244">
        <f t="shared" si="79"/>
        <v>0</v>
      </c>
      <c r="K244">
        <f t="shared" si="67"/>
        <v>0</v>
      </c>
      <c r="L244" cm="1">
        <f t="array" ref="L244">IF(E244*J244=0,0,$C$21*INDEX([3]Sheet1!$C$4:$Q$23,MATCH(K244,[3]Sheet1!$B$4:$B$23,1),MATCH(D244,[3]Sheet1!$C$3:$Q$3,1))
+(K244-INDEX([3]Sheet1!$B$4:$B$23,MATCH(K244,[3]Sheet1!$B$4:$B$23,1),1))/(INDEX([3]Sheet1!$B$4:$B$23,MATCH(K244,[3]Sheet1!$B$4:$B$23,1)+1,1)-INDEX([3]Sheet1!$B$4:$B$23,
MATCH(K244,[3]Sheet1!$B$4:$B$23,1),1))*(INDEX([3]Sheet1!$C$4:$Q$23,MATCH(K244,[3]Sheet1!$B$4:$B$23,1)+1,MATCH(D244,[3]Sheet1!$C$3:$Q$3,1))-INDEX([3]Sheet1!$C$4:$Q$23,
MATCH(K244,[3]Sheet1!$B$4:$B$23,1),MATCH(D244,[3]Sheet1!$C$3:$Q$3,1)))
+(D244-INDEX([3]Sheet1!$C$3:$Q$3,1,MATCH(D244,[3]Sheet1!$C$3:$Q$3)))/(INDEX([3]Sheet1!$C$3:$Q$3,1,MATCH(D244,[3]Sheet1!$C$3:$Q$3)+1)-INDEX([3]Sheet1!$C$3:$Q$3,1,MATCH(
D244,[3]Sheet1!$C$3:$Q$3)))*(INDEX([3]Sheet1!$C$4:$Q$23,MATCH(K244,[3]Sheet1!$B$4:$B$23,1),MATCH(D244,[3]Sheet1!$C$3:$Q$3,1)+1)-INDEX([3]Sheet1!$C$4:$Q$23,MATCH(K244,[3]Sheet1!$B$4:$B$23,1),MATCH(D244,[3]Sheet1!$C$3:$Q$3,1))))</f>
        <v>0</v>
      </c>
      <c r="M244" cm="1">
        <f t="array" ref="M244" xml:space="preserve"> IF(E244*J244=0,0,(INDEX([2]Sheet1!$C$4:$Q$23,MATCH(K244,[2]Sheet1!$B$4:$B$23,1),MATCH(D244,[2]Sheet1!$C$3:$Q$3,1))
+ (K244 - INDEX([2]Sheet1!$B$4:$B$23,MATCH(K244,[2]Sheet1!$B$4:$B$23,1),1))/(INDEX([2]Sheet1!$B$4:$B$23,MATCH(K244,[2]Sheet1!$B$4:$B$23,1)+1,1) - INDEX([2]Sheet1!$B$4:$B$23,MATCH(K244,[2]Sheet1!$B$4:$B$23,1),1))*(INDEX([2]Sheet1!$C$4:$Q$23,MATCH(K244,[2]Sheet1!$B$4:$B$23,1)+1,MATCH(D244,[2]Sheet1!$C$3:$Q$3,1)) - INDEX([2]Sheet1!$C$4:$Q$23,MATCH(K244,[2]Sheet1!$B$4:$B$23,1),MATCH(D244,[2]Sheet1!$C$3:$Q$3,1)))
+ (D244 - INDEX([2]Sheet1!$C$3:$Q$3,1,MATCH(D244,[2]Sheet1!$C$3:$Q$3)))/(INDEX([2]Sheet1!$C$3:$Q$3,1,MATCH(D244,[2]Sheet1!$C$3:$Q$3)+1) - INDEX([2]Sheet1!$C$3:$Q$3,1,MATCH(D244,[2]Sheet1!$C$3:$Q$3)))*(
INDEX([2]Sheet1!$C$4:$Q$23,MATCH(K244,[2]Sheet1!$B$4:$B$23,1),MATCH(D244,[2]Sheet1!$C$3:$Q$3,1)+1) - INDEX([2]Sheet1!$C$4:$Q$23,MATCH(K244,[2]Sheet1!$B$4:$B$23,1),MATCH(D244,[2]Sheet1!$C$3:$Q$3,1)))))</f>
        <v>0</v>
      </c>
      <c r="N244">
        <f t="shared" si="80"/>
        <v>12</v>
      </c>
      <c r="O244">
        <v>9.0985843887487372E-2</v>
      </c>
      <c r="P244" t="e">
        <f t="shared" si="81"/>
        <v>#DIV/0!</v>
      </c>
      <c r="Q244">
        <f t="shared" si="68"/>
        <v>0</v>
      </c>
      <c r="R244">
        <f t="shared" si="82"/>
        <v>741.9099431943954</v>
      </c>
      <c r="T244" t="e">
        <f t="shared" si="71"/>
        <v>#DIV/0!</v>
      </c>
      <c r="U244" t="e">
        <f t="shared" si="72"/>
        <v>#DIV/0!</v>
      </c>
      <c r="V244">
        <f t="shared" si="73"/>
        <v>0</v>
      </c>
      <c r="W244" t="e">
        <f t="shared" si="69"/>
        <v>#DIV/0!</v>
      </c>
    </row>
    <row r="245" spans="1:23" x14ac:dyDescent="0.55000000000000004">
      <c r="A245">
        <f t="shared" si="70"/>
        <v>21.10000000000003</v>
      </c>
      <c r="B245">
        <f t="shared" si="74"/>
        <v>0.316</v>
      </c>
      <c r="C245">
        <f t="shared" si="75"/>
        <v>-8.760869565217412</v>
      </c>
      <c r="D245">
        <v>2.4555429670302651</v>
      </c>
      <c r="E245">
        <f t="shared" si="65"/>
        <v>0</v>
      </c>
      <c r="F245">
        <f t="shared" si="76"/>
        <v>4.8605058816845369E-2</v>
      </c>
      <c r="G245">
        <f t="shared" si="77"/>
        <v>39.513748498891111</v>
      </c>
      <c r="H245">
        <f t="shared" si="78"/>
        <v>0</v>
      </c>
      <c r="I245" s="1">
        <f t="shared" si="66"/>
        <v>0</v>
      </c>
      <c r="J245">
        <f t="shared" si="79"/>
        <v>0</v>
      </c>
      <c r="K245">
        <f t="shared" si="67"/>
        <v>0</v>
      </c>
      <c r="L245" cm="1">
        <f t="array" ref="L245">IF(E245*J245=0,0,$C$21*INDEX([3]Sheet1!$C$4:$Q$23,MATCH(K245,[3]Sheet1!$B$4:$B$23,1),MATCH(D245,[3]Sheet1!$C$3:$Q$3,1))
+(K245-INDEX([3]Sheet1!$B$4:$B$23,MATCH(K245,[3]Sheet1!$B$4:$B$23,1),1))/(INDEX([3]Sheet1!$B$4:$B$23,MATCH(K245,[3]Sheet1!$B$4:$B$23,1)+1,1)-INDEX([3]Sheet1!$B$4:$B$23,
MATCH(K245,[3]Sheet1!$B$4:$B$23,1),1))*(INDEX([3]Sheet1!$C$4:$Q$23,MATCH(K245,[3]Sheet1!$B$4:$B$23,1)+1,MATCH(D245,[3]Sheet1!$C$3:$Q$3,1))-INDEX([3]Sheet1!$C$4:$Q$23,
MATCH(K245,[3]Sheet1!$B$4:$B$23,1),MATCH(D245,[3]Sheet1!$C$3:$Q$3,1)))
+(D245-INDEX([3]Sheet1!$C$3:$Q$3,1,MATCH(D245,[3]Sheet1!$C$3:$Q$3)))/(INDEX([3]Sheet1!$C$3:$Q$3,1,MATCH(D245,[3]Sheet1!$C$3:$Q$3)+1)-INDEX([3]Sheet1!$C$3:$Q$3,1,MATCH(
D245,[3]Sheet1!$C$3:$Q$3)))*(INDEX([3]Sheet1!$C$4:$Q$23,MATCH(K245,[3]Sheet1!$B$4:$B$23,1),MATCH(D245,[3]Sheet1!$C$3:$Q$3,1)+1)-INDEX([3]Sheet1!$C$4:$Q$23,MATCH(K245,[3]Sheet1!$B$4:$B$23,1),MATCH(D245,[3]Sheet1!$C$3:$Q$3,1))))</f>
        <v>0</v>
      </c>
      <c r="M245" cm="1">
        <f t="array" ref="M245" xml:space="preserve"> IF(E245*J245=0,0,(INDEX([2]Sheet1!$C$4:$Q$23,MATCH(K245,[2]Sheet1!$B$4:$B$23,1),MATCH(D245,[2]Sheet1!$C$3:$Q$3,1))
+ (K245 - INDEX([2]Sheet1!$B$4:$B$23,MATCH(K245,[2]Sheet1!$B$4:$B$23,1),1))/(INDEX([2]Sheet1!$B$4:$B$23,MATCH(K245,[2]Sheet1!$B$4:$B$23,1)+1,1) - INDEX([2]Sheet1!$B$4:$B$23,MATCH(K245,[2]Sheet1!$B$4:$B$23,1),1))*(INDEX([2]Sheet1!$C$4:$Q$23,MATCH(K245,[2]Sheet1!$B$4:$B$23,1)+1,MATCH(D245,[2]Sheet1!$C$3:$Q$3,1)) - INDEX([2]Sheet1!$C$4:$Q$23,MATCH(K245,[2]Sheet1!$B$4:$B$23,1),MATCH(D245,[2]Sheet1!$C$3:$Q$3,1)))
+ (D245 - INDEX([2]Sheet1!$C$3:$Q$3,1,MATCH(D245,[2]Sheet1!$C$3:$Q$3)))/(INDEX([2]Sheet1!$C$3:$Q$3,1,MATCH(D245,[2]Sheet1!$C$3:$Q$3)+1) - INDEX([2]Sheet1!$C$3:$Q$3,1,MATCH(D245,[2]Sheet1!$C$3:$Q$3)))*(
INDEX([2]Sheet1!$C$4:$Q$23,MATCH(K245,[2]Sheet1!$B$4:$B$23,1),MATCH(D245,[2]Sheet1!$C$3:$Q$3,1)+1) - INDEX([2]Sheet1!$C$4:$Q$23,MATCH(K245,[2]Sheet1!$B$4:$B$23,1),MATCH(D245,[2]Sheet1!$C$3:$Q$3,1)))))</f>
        <v>0</v>
      </c>
      <c r="N245">
        <f t="shared" si="80"/>
        <v>12</v>
      </c>
      <c r="O245">
        <v>9.0960070310945371E-2</v>
      </c>
      <c r="P245" t="e">
        <f t="shared" si="81"/>
        <v>#DIV/0!</v>
      </c>
      <c r="Q245">
        <f t="shared" si="68"/>
        <v>0</v>
      </c>
      <c r="R245">
        <f t="shared" si="82"/>
        <v>741.9099431943954</v>
      </c>
      <c r="T245" t="e">
        <f t="shared" si="71"/>
        <v>#DIV/0!</v>
      </c>
      <c r="U245" t="e">
        <f t="shared" si="72"/>
        <v>#DIV/0!</v>
      </c>
      <c r="V245">
        <f t="shared" si="73"/>
        <v>0</v>
      </c>
      <c r="W245" t="e">
        <f t="shared" si="69"/>
        <v>#DIV/0!</v>
      </c>
    </row>
    <row r="246" spans="1:23" x14ac:dyDescent="0.55000000000000004">
      <c r="A246">
        <f t="shared" si="70"/>
        <v>21.200000000000031</v>
      </c>
      <c r="B246">
        <f t="shared" si="74"/>
        <v>0.316</v>
      </c>
      <c r="C246">
        <f t="shared" si="75"/>
        <v>-8.8260869565217615</v>
      </c>
      <c r="D246">
        <v>2.4554191318953942</v>
      </c>
      <c r="E246">
        <f t="shared" si="65"/>
        <v>0</v>
      </c>
      <c r="F246">
        <f t="shared" si="76"/>
        <v>4.8605058816845369E-2</v>
      </c>
      <c r="G246">
        <f t="shared" si="77"/>
        <v>39.513748498891111</v>
      </c>
      <c r="H246">
        <f t="shared" si="78"/>
        <v>0</v>
      </c>
      <c r="I246" s="1">
        <f t="shared" si="66"/>
        <v>0</v>
      </c>
      <c r="J246">
        <f t="shared" si="79"/>
        <v>0</v>
      </c>
      <c r="K246">
        <f t="shared" si="67"/>
        <v>0</v>
      </c>
      <c r="L246" cm="1">
        <f t="array" ref="L246">IF(E246*J246=0,0,$C$21*INDEX([3]Sheet1!$C$4:$Q$23,MATCH(K246,[3]Sheet1!$B$4:$B$23,1),MATCH(D246,[3]Sheet1!$C$3:$Q$3,1))
+(K246-INDEX([3]Sheet1!$B$4:$B$23,MATCH(K246,[3]Sheet1!$B$4:$B$23,1),1))/(INDEX([3]Sheet1!$B$4:$B$23,MATCH(K246,[3]Sheet1!$B$4:$B$23,1)+1,1)-INDEX([3]Sheet1!$B$4:$B$23,
MATCH(K246,[3]Sheet1!$B$4:$B$23,1),1))*(INDEX([3]Sheet1!$C$4:$Q$23,MATCH(K246,[3]Sheet1!$B$4:$B$23,1)+1,MATCH(D246,[3]Sheet1!$C$3:$Q$3,1))-INDEX([3]Sheet1!$C$4:$Q$23,
MATCH(K246,[3]Sheet1!$B$4:$B$23,1),MATCH(D246,[3]Sheet1!$C$3:$Q$3,1)))
+(D246-INDEX([3]Sheet1!$C$3:$Q$3,1,MATCH(D246,[3]Sheet1!$C$3:$Q$3)))/(INDEX([3]Sheet1!$C$3:$Q$3,1,MATCH(D246,[3]Sheet1!$C$3:$Q$3)+1)-INDEX([3]Sheet1!$C$3:$Q$3,1,MATCH(
D246,[3]Sheet1!$C$3:$Q$3)))*(INDEX([3]Sheet1!$C$4:$Q$23,MATCH(K246,[3]Sheet1!$B$4:$B$23,1),MATCH(D246,[3]Sheet1!$C$3:$Q$3,1)+1)-INDEX([3]Sheet1!$C$4:$Q$23,MATCH(K246,[3]Sheet1!$B$4:$B$23,1),MATCH(D246,[3]Sheet1!$C$3:$Q$3,1))))</f>
        <v>0</v>
      </c>
      <c r="M246" cm="1">
        <f t="array" ref="M246" xml:space="preserve"> IF(E246*J246=0,0,(INDEX([2]Sheet1!$C$4:$Q$23,MATCH(K246,[2]Sheet1!$B$4:$B$23,1),MATCH(D246,[2]Sheet1!$C$3:$Q$3,1))
+ (K246 - INDEX([2]Sheet1!$B$4:$B$23,MATCH(K246,[2]Sheet1!$B$4:$B$23,1),1))/(INDEX([2]Sheet1!$B$4:$B$23,MATCH(K246,[2]Sheet1!$B$4:$B$23,1)+1,1) - INDEX([2]Sheet1!$B$4:$B$23,MATCH(K246,[2]Sheet1!$B$4:$B$23,1),1))*(INDEX([2]Sheet1!$C$4:$Q$23,MATCH(K246,[2]Sheet1!$B$4:$B$23,1)+1,MATCH(D246,[2]Sheet1!$C$3:$Q$3,1)) - INDEX([2]Sheet1!$C$4:$Q$23,MATCH(K246,[2]Sheet1!$B$4:$B$23,1),MATCH(D246,[2]Sheet1!$C$3:$Q$3,1)))
+ (D246 - INDEX([2]Sheet1!$C$3:$Q$3,1,MATCH(D246,[2]Sheet1!$C$3:$Q$3)))/(INDEX([2]Sheet1!$C$3:$Q$3,1,MATCH(D246,[2]Sheet1!$C$3:$Q$3)+1) - INDEX([2]Sheet1!$C$3:$Q$3,1,MATCH(D246,[2]Sheet1!$C$3:$Q$3)))*(
INDEX([2]Sheet1!$C$4:$Q$23,MATCH(K246,[2]Sheet1!$B$4:$B$23,1),MATCH(D246,[2]Sheet1!$C$3:$Q$3,1)+1) - INDEX([2]Sheet1!$C$4:$Q$23,MATCH(K246,[2]Sheet1!$B$4:$B$23,1),MATCH(D246,[2]Sheet1!$C$3:$Q$3,1)))))</f>
        <v>0</v>
      </c>
      <c r="N246">
        <f t="shared" si="80"/>
        <v>12</v>
      </c>
      <c r="O246">
        <v>9.0934364166717047E-2</v>
      </c>
      <c r="P246" t="e">
        <f t="shared" si="81"/>
        <v>#DIV/0!</v>
      </c>
      <c r="Q246">
        <f t="shared" si="68"/>
        <v>0</v>
      </c>
      <c r="R246">
        <f t="shared" si="82"/>
        <v>741.9099431943954</v>
      </c>
      <c r="T246" t="e">
        <f t="shared" si="71"/>
        <v>#DIV/0!</v>
      </c>
      <c r="U246" t="e">
        <f t="shared" si="72"/>
        <v>#DIV/0!</v>
      </c>
      <c r="V246">
        <f t="shared" si="73"/>
        <v>0</v>
      </c>
      <c r="W246" t="e">
        <f t="shared" si="69"/>
        <v>#DIV/0!</v>
      </c>
    </row>
    <row r="247" spans="1:23" x14ac:dyDescent="0.55000000000000004">
      <c r="A247">
        <f t="shared" si="70"/>
        <v>21.300000000000033</v>
      </c>
      <c r="B247">
        <f t="shared" si="74"/>
        <v>0.316</v>
      </c>
      <c r="C247">
        <f t="shared" si="75"/>
        <v>-8.8913043478261091</v>
      </c>
      <c r="D247">
        <v>2.4552955848609392</v>
      </c>
      <c r="E247">
        <f t="shared" si="65"/>
        <v>0</v>
      </c>
      <c r="F247">
        <f t="shared" si="76"/>
        <v>4.8605058816845369E-2</v>
      </c>
      <c r="G247">
        <f t="shared" si="77"/>
        <v>39.513748498891111</v>
      </c>
      <c r="H247">
        <f t="shared" si="78"/>
        <v>0</v>
      </c>
      <c r="I247" s="1">
        <f t="shared" si="66"/>
        <v>0</v>
      </c>
      <c r="J247">
        <f t="shared" si="79"/>
        <v>0</v>
      </c>
      <c r="K247">
        <f t="shared" si="67"/>
        <v>0</v>
      </c>
      <c r="L247" cm="1">
        <f t="array" ref="L247">IF(E247*J247=0,0,$C$21*INDEX([3]Sheet1!$C$4:$Q$23,MATCH(K247,[3]Sheet1!$B$4:$B$23,1),MATCH(D247,[3]Sheet1!$C$3:$Q$3,1))
+(K247-INDEX([3]Sheet1!$B$4:$B$23,MATCH(K247,[3]Sheet1!$B$4:$B$23,1),1))/(INDEX([3]Sheet1!$B$4:$B$23,MATCH(K247,[3]Sheet1!$B$4:$B$23,1)+1,1)-INDEX([3]Sheet1!$B$4:$B$23,
MATCH(K247,[3]Sheet1!$B$4:$B$23,1),1))*(INDEX([3]Sheet1!$C$4:$Q$23,MATCH(K247,[3]Sheet1!$B$4:$B$23,1)+1,MATCH(D247,[3]Sheet1!$C$3:$Q$3,1))-INDEX([3]Sheet1!$C$4:$Q$23,
MATCH(K247,[3]Sheet1!$B$4:$B$23,1),MATCH(D247,[3]Sheet1!$C$3:$Q$3,1)))
+(D247-INDEX([3]Sheet1!$C$3:$Q$3,1,MATCH(D247,[3]Sheet1!$C$3:$Q$3)))/(INDEX([3]Sheet1!$C$3:$Q$3,1,MATCH(D247,[3]Sheet1!$C$3:$Q$3)+1)-INDEX([3]Sheet1!$C$3:$Q$3,1,MATCH(
D247,[3]Sheet1!$C$3:$Q$3)))*(INDEX([3]Sheet1!$C$4:$Q$23,MATCH(K247,[3]Sheet1!$B$4:$B$23,1),MATCH(D247,[3]Sheet1!$C$3:$Q$3,1)+1)-INDEX([3]Sheet1!$C$4:$Q$23,MATCH(K247,[3]Sheet1!$B$4:$B$23,1),MATCH(D247,[3]Sheet1!$C$3:$Q$3,1))))</f>
        <v>0</v>
      </c>
      <c r="M247" cm="1">
        <f t="array" ref="M247" xml:space="preserve"> IF(E247*J247=0,0,(INDEX([2]Sheet1!$C$4:$Q$23,MATCH(K247,[2]Sheet1!$B$4:$B$23,1),MATCH(D247,[2]Sheet1!$C$3:$Q$3,1))
+ (K247 - INDEX([2]Sheet1!$B$4:$B$23,MATCH(K247,[2]Sheet1!$B$4:$B$23,1),1))/(INDEX([2]Sheet1!$B$4:$B$23,MATCH(K247,[2]Sheet1!$B$4:$B$23,1)+1,1) - INDEX([2]Sheet1!$B$4:$B$23,MATCH(K247,[2]Sheet1!$B$4:$B$23,1),1))*(INDEX([2]Sheet1!$C$4:$Q$23,MATCH(K247,[2]Sheet1!$B$4:$B$23,1)+1,MATCH(D247,[2]Sheet1!$C$3:$Q$3,1)) - INDEX([2]Sheet1!$C$4:$Q$23,MATCH(K247,[2]Sheet1!$B$4:$B$23,1),MATCH(D247,[2]Sheet1!$C$3:$Q$3,1)))
+ (D247 - INDEX([2]Sheet1!$C$3:$Q$3,1,MATCH(D247,[2]Sheet1!$C$3:$Q$3)))/(INDEX([2]Sheet1!$C$3:$Q$3,1,MATCH(D247,[2]Sheet1!$C$3:$Q$3)+1) - INDEX([2]Sheet1!$C$3:$Q$3,1,MATCH(D247,[2]Sheet1!$C$3:$Q$3)))*(
INDEX([2]Sheet1!$C$4:$Q$23,MATCH(K247,[2]Sheet1!$B$4:$B$23,1),MATCH(D247,[2]Sheet1!$C$3:$Q$3,1)+1) - INDEX([2]Sheet1!$C$4:$Q$23,MATCH(K247,[2]Sheet1!$B$4:$B$23,1),MATCH(D247,[2]Sheet1!$C$3:$Q$3,1)))))</f>
        <v>0</v>
      </c>
      <c r="N247">
        <f t="shared" si="80"/>
        <v>12</v>
      </c>
      <c r="O247">
        <v>9.0908725114662831E-2</v>
      </c>
      <c r="P247" t="e">
        <f t="shared" si="81"/>
        <v>#DIV/0!</v>
      </c>
      <c r="Q247">
        <f t="shared" si="68"/>
        <v>0</v>
      </c>
      <c r="R247">
        <f t="shared" si="82"/>
        <v>741.9099431943954</v>
      </c>
      <c r="T247" t="e">
        <f t="shared" si="71"/>
        <v>#DIV/0!</v>
      </c>
      <c r="U247" t="e">
        <f t="shared" si="72"/>
        <v>#DIV/0!</v>
      </c>
      <c r="V247">
        <f t="shared" si="73"/>
        <v>0</v>
      </c>
      <c r="W247" t="e">
        <f t="shared" si="69"/>
        <v>#DIV/0!</v>
      </c>
    </row>
    <row r="248" spans="1:23" x14ac:dyDescent="0.55000000000000004">
      <c r="A248">
        <f t="shared" si="70"/>
        <v>21.400000000000034</v>
      </c>
      <c r="B248">
        <f t="shared" si="74"/>
        <v>0.316</v>
      </c>
      <c r="C248">
        <f t="shared" si="75"/>
        <v>-8.9565217391304586</v>
      </c>
      <c r="D248">
        <v>2.4551723244759063</v>
      </c>
      <c r="E248">
        <f t="shared" si="65"/>
        <v>0</v>
      </c>
      <c r="F248">
        <f t="shared" si="76"/>
        <v>4.8605058816845369E-2</v>
      </c>
      <c r="G248">
        <f t="shared" si="77"/>
        <v>39.513748498891111</v>
      </c>
      <c r="H248">
        <f t="shared" si="78"/>
        <v>0</v>
      </c>
      <c r="I248" s="1">
        <f t="shared" si="66"/>
        <v>0</v>
      </c>
      <c r="J248">
        <f t="shared" si="79"/>
        <v>0</v>
      </c>
      <c r="K248">
        <f t="shared" si="67"/>
        <v>0</v>
      </c>
      <c r="L248" cm="1">
        <f t="array" ref="L248">IF(E248*J248=0,0,$C$21*INDEX([3]Sheet1!$C$4:$Q$23,MATCH(K248,[3]Sheet1!$B$4:$B$23,1),MATCH(D248,[3]Sheet1!$C$3:$Q$3,1))
+(K248-INDEX([3]Sheet1!$B$4:$B$23,MATCH(K248,[3]Sheet1!$B$4:$B$23,1),1))/(INDEX([3]Sheet1!$B$4:$B$23,MATCH(K248,[3]Sheet1!$B$4:$B$23,1)+1,1)-INDEX([3]Sheet1!$B$4:$B$23,
MATCH(K248,[3]Sheet1!$B$4:$B$23,1),1))*(INDEX([3]Sheet1!$C$4:$Q$23,MATCH(K248,[3]Sheet1!$B$4:$B$23,1)+1,MATCH(D248,[3]Sheet1!$C$3:$Q$3,1))-INDEX([3]Sheet1!$C$4:$Q$23,
MATCH(K248,[3]Sheet1!$B$4:$B$23,1),MATCH(D248,[3]Sheet1!$C$3:$Q$3,1)))
+(D248-INDEX([3]Sheet1!$C$3:$Q$3,1,MATCH(D248,[3]Sheet1!$C$3:$Q$3)))/(INDEX([3]Sheet1!$C$3:$Q$3,1,MATCH(D248,[3]Sheet1!$C$3:$Q$3)+1)-INDEX([3]Sheet1!$C$3:$Q$3,1,MATCH(
D248,[3]Sheet1!$C$3:$Q$3)))*(INDEX([3]Sheet1!$C$4:$Q$23,MATCH(K248,[3]Sheet1!$B$4:$B$23,1),MATCH(D248,[3]Sheet1!$C$3:$Q$3,1)+1)-INDEX([3]Sheet1!$C$4:$Q$23,MATCH(K248,[3]Sheet1!$B$4:$B$23,1),MATCH(D248,[3]Sheet1!$C$3:$Q$3,1))))</f>
        <v>0</v>
      </c>
      <c r="M248" cm="1">
        <f t="array" ref="M248" xml:space="preserve"> IF(E248*J248=0,0,(INDEX([2]Sheet1!$C$4:$Q$23,MATCH(K248,[2]Sheet1!$B$4:$B$23,1),MATCH(D248,[2]Sheet1!$C$3:$Q$3,1))
+ (K248 - INDEX([2]Sheet1!$B$4:$B$23,MATCH(K248,[2]Sheet1!$B$4:$B$23,1),1))/(INDEX([2]Sheet1!$B$4:$B$23,MATCH(K248,[2]Sheet1!$B$4:$B$23,1)+1,1) - INDEX([2]Sheet1!$B$4:$B$23,MATCH(K248,[2]Sheet1!$B$4:$B$23,1),1))*(INDEX([2]Sheet1!$C$4:$Q$23,MATCH(K248,[2]Sheet1!$B$4:$B$23,1)+1,MATCH(D248,[2]Sheet1!$C$3:$Q$3,1)) - INDEX([2]Sheet1!$C$4:$Q$23,MATCH(K248,[2]Sheet1!$B$4:$B$23,1),MATCH(D248,[2]Sheet1!$C$3:$Q$3,1)))
+ (D248 - INDEX([2]Sheet1!$C$3:$Q$3,1,MATCH(D248,[2]Sheet1!$C$3:$Q$3)))/(INDEX([2]Sheet1!$C$3:$Q$3,1,MATCH(D248,[2]Sheet1!$C$3:$Q$3)+1) - INDEX([2]Sheet1!$C$3:$Q$3,1,MATCH(D248,[2]Sheet1!$C$3:$Q$3)))*(
INDEX([2]Sheet1!$C$4:$Q$23,MATCH(K248,[2]Sheet1!$B$4:$B$23,1),MATCH(D248,[2]Sheet1!$C$3:$Q$3,1)+1) - INDEX([2]Sheet1!$C$4:$Q$23,MATCH(K248,[2]Sheet1!$B$4:$B$23,1),MATCH(D248,[2]Sheet1!$C$3:$Q$3,1)))))</f>
        <v>0</v>
      </c>
      <c r="N248">
        <f t="shared" si="80"/>
        <v>12</v>
      </c>
      <c r="O248">
        <v>9.0883152802638617E-2</v>
      </c>
      <c r="P248" t="e">
        <f t="shared" si="81"/>
        <v>#DIV/0!</v>
      </c>
      <c r="Q248">
        <f t="shared" si="68"/>
        <v>0</v>
      </c>
      <c r="R248">
        <f t="shared" si="82"/>
        <v>741.9099431943954</v>
      </c>
      <c r="T248" t="e">
        <f t="shared" si="71"/>
        <v>#DIV/0!</v>
      </c>
      <c r="U248" t="e">
        <f t="shared" si="72"/>
        <v>#DIV/0!</v>
      </c>
      <c r="V248">
        <f t="shared" si="73"/>
        <v>0</v>
      </c>
      <c r="W248" t="e">
        <f t="shared" si="69"/>
        <v>#DIV/0!</v>
      </c>
    </row>
    <row r="249" spans="1:23" x14ac:dyDescent="0.55000000000000004">
      <c r="A249">
        <f t="shared" si="70"/>
        <v>21.500000000000036</v>
      </c>
      <c r="B249">
        <f t="shared" si="74"/>
        <v>0.316</v>
      </c>
      <c r="C249">
        <f t="shared" si="75"/>
        <v>-9.021739130434808</v>
      </c>
      <c r="D249">
        <v>2.4550493493270755</v>
      </c>
      <c r="E249">
        <f t="shared" si="65"/>
        <v>0</v>
      </c>
      <c r="F249">
        <f t="shared" si="76"/>
        <v>4.8605058816845369E-2</v>
      </c>
      <c r="G249">
        <f t="shared" si="77"/>
        <v>39.513748498891111</v>
      </c>
      <c r="H249">
        <f t="shared" si="78"/>
        <v>0</v>
      </c>
      <c r="I249" s="1">
        <f t="shared" si="66"/>
        <v>0</v>
      </c>
      <c r="J249">
        <f t="shared" si="79"/>
        <v>0</v>
      </c>
      <c r="K249">
        <f t="shared" si="67"/>
        <v>0</v>
      </c>
      <c r="L249" cm="1">
        <f t="array" ref="L249">IF(E249*J249=0,0,$C$21*INDEX([3]Sheet1!$C$4:$Q$23,MATCH(K249,[3]Sheet1!$B$4:$B$23,1),MATCH(D249,[3]Sheet1!$C$3:$Q$3,1))
+(K249-INDEX([3]Sheet1!$B$4:$B$23,MATCH(K249,[3]Sheet1!$B$4:$B$23,1),1))/(INDEX([3]Sheet1!$B$4:$B$23,MATCH(K249,[3]Sheet1!$B$4:$B$23,1)+1,1)-INDEX([3]Sheet1!$B$4:$B$23,
MATCH(K249,[3]Sheet1!$B$4:$B$23,1),1))*(INDEX([3]Sheet1!$C$4:$Q$23,MATCH(K249,[3]Sheet1!$B$4:$B$23,1)+1,MATCH(D249,[3]Sheet1!$C$3:$Q$3,1))-INDEX([3]Sheet1!$C$4:$Q$23,
MATCH(K249,[3]Sheet1!$B$4:$B$23,1),MATCH(D249,[3]Sheet1!$C$3:$Q$3,1)))
+(D249-INDEX([3]Sheet1!$C$3:$Q$3,1,MATCH(D249,[3]Sheet1!$C$3:$Q$3)))/(INDEX([3]Sheet1!$C$3:$Q$3,1,MATCH(D249,[3]Sheet1!$C$3:$Q$3)+1)-INDEX([3]Sheet1!$C$3:$Q$3,1,MATCH(
D249,[3]Sheet1!$C$3:$Q$3)))*(INDEX([3]Sheet1!$C$4:$Q$23,MATCH(K249,[3]Sheet1!$B$4:$B$23,1),MATCH(D249,[3]Sheet1!$C$3:$Q$3,1)+1)-INDEX([3]Sheet1!$C$4:$Q$23,MATCH(K249,[3]Sheet1!$B$4:$B$23,1),MATCH(D249,[3]Sheet1!$C$3:$Q$3,1))))</f>
        <v>0</v>
      </c>
      <c r="M249" cm="1">
        <f t="array" ref="M249" xml:space="preserve"> IF(E249*J249=0,0,(INDEX([2]Sheet1!$C$4:$Q$23,MATCH(K249,[2]Sheet1!$B$4:$B$23,1),MATCH(D249,[2]Sheet1!$C$3:$Q$3,1))
+ (K249 - INDEX([2]Sheet1!$B$4:$B$23,MATCH(K249,[2]Sheet1!$B$4:$B$23,1),1))/(INDEX([2]Sheet1!$B$4:$B$23,MATCH(K249,[2]Sheet1!$B$4:$B$23,1)+1,1) - INDEX([2]Sheet1!$B$4:$B$23,MATCH(K249,[2]Sheet1!$B$4:$B$23,1),1))*(INDEX([2]Sheet1!$C$4:$Q$23,MATCH(K249,[2]Sheet1!$B$4:$B$23,1)+1,MATCH(D249,[2]Sheet1!$C$3:$Q$3,1)) - INDEX([2]Sheet1!$C$4:$Q$23,MATCH(K249,[2]Sheet1!$B$4:$B$23,1),MATCH(D249,[2]Sheet1!$C$3:$Q$3,1)))
+ (D249 - INDEX([2]Sheet1!$C$3:$Q$3,1,MATCH(D249,[2]Sheet1!$C$3:$Q$3)))/(INDEX([2]Sheet1!$C$3:$Q$3,1,MATCH(D249,[2]Sheet1!$C$3:$Q$3)+1) - INDEX([2]Sheet1!$C$3:$Q$3,1,MATCH(D249,[2]Sheet1!$C$3:$Q$3)))*(
INDEX([2]Sheet1!$C$4:$Q$23,MATCH(K249,[2]Sheet1!$B$4:$B$23,1),MATCH(D249,[2]Sheet1!$C$3:$Q$3,1)+1) - INDEX([2]Sheet1!$C$4:$Q$23,MATCH(K249,[2]Sheet1!$B$4:$B$23,1),MATCH(D249,[2]Sheet1!$C$3:$Q$3,1)))))</f>
        <v>0</v>
      </c>
      <c r="N249">
        <f t="shared" si="80"/>
        <v>12</v>
      </c>
      <c r="O249">
        <v>9.0857646886508173E-2</v>
      </c>
      <c r="P249" t="e">
        <f t="shared" si="81"/>
        <v>#DIV/0!</v>
      </c>
      <c r="Q249">
        <f t="shared" si="68"/>
        <v>0</v>
      </c>
      <c r="R249">
        <f t="shared" si="82"/>
        <v>741.9099431943954</v>
      </c>
      <c r="T249" t="e">
        <f t="shared" si="71"/>
        <v>#DIV/0!</v>
      </c>
      <c r="U249" t="e">
        <f t="shared" si="72"/>
        <v>#DIV/0!</v>
      </c>
      <c r="V249">
        <f t="shared" si="73"/>
        <v>0</v>
      </c>
      <c r="W249" t="e">
        <f t="shared" si="69"/>
        <v>#DIV/0!</v>
      </c>
    </row>
    <row r="250" spans="1:23" x14ac:dyDescent="0.55000000000000004">
      <c r="A250">
        <f t="shared" si="70"/>
        <v>21.600000000000037</v>
      </c>
      <c r="B250">
        <f t="shared" si="74"/>
        <v>0.316</v>
      </c>
      <c r="C250">
        <f t="shared" si="75"/>
        <v>-9.0869565217391557</v>
      </c>
      <c r="D250">
        <v>2.4549266581794496</v>
      </c>
      <c r="E250">
        <f t="shared" si="65"/>
        <v>0</v>
      </c>
      <c r="F250">
        <f t="shared" si="76"/>
        <v>4.8605058816845369E-2</v>
      </c>
      <c r="G250">
        <f t="shared" si="77"/>
        <v>39.513748498891111</v>
      </c>
      <c r="H250">
        <f t="shared" si="78"/>
        <v>0</v>
      </c>
      <c r="I250" s="1">
        <f t="shared" si="66"/>
        <v>0</v>
      </c>
      <c r="J250">
        <f t="shared" si="79"/>
        <v>0</v>
      </c>
      <c r="K250">
        <f t="shared" si="67"/>
        <v>0</v>
      </c>
      <c r="L250" cm="1">
        <f t="array" ref="L250">IF(E250*J250=0,0,$C$21*INDEX([3]Sheet1!$C$4:$Q$23,MATCH(K250,[3]Sheet1!$B$4:$B$23,1),MATCH(D250,[3]Sheet1!$C$3:$Q$3,1))
+(K250-INDEX([3]Sheet1!$B$4:$B$23,MATCH(K250,[3]Sheet1!$B$4:$B$23,1),1))/(INDEX([3]Sheet1!$B$4:$B$23,MATCH(K250,[3]Sheet1!$B$4:$B$23,1)+1,1)-INDEX([3]Sheet1!$B$4:$B$23,
MATCH(K250,[3]Sheet1!$B$4:$B$23,1),1))*(INDEX([3]Sheet1!$C$4:$Q$23,MATCH(K250,[3]Sheet1!$B$4:$B$23,1)+1,MATCH(D250,[3]Sheet1!$C$3:$Q$3,1))-INDEX([3]Sheet1!$C$4:$Q$23,
MATCH(K250,[3]Sheet1!$B$4:$B$23,1),MATCH(D250,[3]Sheet1!$C$3:$Q$3,1)))
+(D250-INDEX([3]Sheet1!$C$3:$Q$3,1,MATCH(D250,[3]Sheet1!$C$3:$Q$3)))/(INDEX([3]Sheet1!$C$3:$Q$3,1,MATCH(D250,[3]Sheet1!$C$3:$Q$3)+1)-INDEX([3]Sheet1!$C$3:$Q$3,1,MATCH(
D250,[3]Sheet1!$C$3:$Q$3)))*(INDEX([3]Sheet1!$C$4:$Q$23,MATCH(K250,[3]Sheet1!$B$4:$B$23,1),MATCH(D250,[3]Sheet1!$C$3:$Q$3,1)+1)-INDEX([3]Sheet1!$C$4:$Q$23,MATCH(K250,[3]Sheet1!$B$4:$B$23,1),MATCH(D250,[3]Sheet1!$C$3:$Q$3,1))))</f>
        <v>0</v>
      </c>
      <c r="M250" cm="1">
        <f t="array" ref="M250" xml:space="preserve"> IF(E250*J250=0,0,(INDEX([2]Sheet1!$C$4:$Q$23,MATCH(K250,[2]Sheet1!$B$4:$B$23,1),MATCH(D250,[2]Sheet1!$C$3:$Q$3,1))
+ (K250 - INDEX([2]Sheet1!$B$4:$B$23,MATCH(K250,[2]Sheet1!$B$4:$B$23,1),1))/(INDEX([2]Sheet1!$B$4:$B$23,MATCH(K250,[2]Sheet1!$B$4:$B$23,1)+1,1) - INDEX([2]Sheet1!$B$4:$B$23,MATCH(K250,[2]Sheet1!$B$4:$B$23,1),1))*(INDEX([2]Sheet1!$C$4:$Q$23,MATCH(K250,[2]Sheet1!$B$4:$B$23,1)+1,MATCH(D250,[2]Sheet1!$C$3:$Q$3,1)) - INDEX([2]Sheet1!$C$4:$Q$23,MATCH(K250,[2]Sheet1!$B$4:$B$23,1),MATCH(D250,[2]Sheet1!$C$3:$Q$3,1)))
+ (D250 - INDEX([2]Sheet1!$C$3:$Q$3,1,MATCH(D250,[2]Sheet1!$C$3:$Q$3)))/(INDEX([2]Sheet1!$C$3:$Q$3,1,MATCH(D250,[2]Sheet1!$C$3:$Q$3)+1) - INDEX([2]Sheet1!$C$3:$Q$3,1,MATCH(D250,[2]Sheet1!$C$3:$Q$3)))*(
INDEX([2]Sheet1!$C$4:$Q$23,MATCH(K250,[2]Sheet1!$B$4:$B$23,1),MATCH(D250,[2]Sheet1!$C$3:$Q$3,1)+1) - INDEX([2]Sheet1!$C$4:$Q$23,MATCH(K250,[2]Sheet1!$B$4:$B$23,1),MATCH(D250,[2]Sheet1!$C$3:$Q$3,1)))))</f>
        <v>0</v>
      </c>
      <c r="N250">
        <f t="shared" si="80"/>
        <v>12</v>
      </c>
      <c r="O250">
        <v>9.08322070576984E-2</v>
      </c>
      <c r="P250" t="e">
        <f t="shared" si="81"/>
        <v>#DIV/0!</v>
      </c>
      <c r="Q250">
        <f t="shared" si="68"/>
        <v>0</v>
      </c>
      <c r="R250">
        <f t="shared" si="82"/>
        <v>741.9099431943954</v>
      </c>
      <c r="T250" t="e">
        <f t="shared" si="71"/>
        <v>#DIV/0!</v>
      </c>
      <c r="U250" t="e">
        <f t="shared" si="72"/>
        <v>#DIV/0!</v>
      </c>
      <c r="V250">
        <f t="shared" si="73"/>
        <v>0</v>
      </c>
      <c r="W250" t="e">
        <f t="shared" si="69"/>
        <v>#DIV/0!</v>
      </c>
    </row>
    <row r="251" spans="1:23" x14ac:dyDescent="0.55000000000000004">
      <c r="A251">
        <f t="shared" si="70"/>
        <v>21.700000000000038</v>
      </c>
      <c r="B251">
        <f t="shared" si="74"/>
        <v>0.316</v>
      </c>
      <c r="C251">
        <f t="shared" si="75"/>
        <v>-9.1521739130435034</v>
      </c>
      <c r="D251">
        <v>2.4548042496854925</v>
      </c>
      <c r="E251">
        <f t="shared" si="65"/>
        <v>0</v>
      </c>
      <c r="F251">
        <f t="shared" si="76"/>
        <v>4.8605058816845369E-2</v>
      </c>
      <c r="G251">
        <f t="shared" si="77"/>
        <v>39.513748498891111</v>
      </c>
      <c r="H251">
        <f t="shared" si="78"/>
        <v>0</v>
      </c>
      <c r="I251" s="1">
        <f t="shared" si="66"/>
        <v>0</v>
      </c>
      <c r="J251">
        <f t="shared" si="79"/>
        <v>0</v>
      </c>
      <c r="K251">
        <f t="shared" si="67"/>
        <v>0</v>
      </c>
      <c r="L251" cm="1">
        <f t="array" ref="L251">IF(E251*J251=0,0,$C$21*INDEX([3]Sheet1!$C$4:$Q$23,MATCH(K251,[3]Sheet1!$B$4:$B$23,1),MATCH(D251,[3]Sheet1!$C$3:$Q$3,1))
+(K251-INDEX([3]Sheet1!$B$4:$B$23,MATCH(K251,[3]Sheet1!$B$4:$B$23,1),1))/(INDEX([3]Sheet1!$B$4:$B$23,MATCH(K251,[3]Sheet1!$B$4:$B$23,1)+1,1)-INDEX([3]Sheet1!$B$4:$B$23,
MATCH(K251,[3]Sheet1!$B$4:$B$23,1),1))*(INDEX([3]Sheet1!$C$4:$Q$23,MATCH(K251,[3]Sheet1!$B$4:$B$23,1)+1,MATCH(D251,[3]Sheet1!$C$3:$Q$3,1))-INDEX([3]Sheet1!$C$4:$Q$23,
MATCH(K251,[3]Sheet1!$B$4:$B$23,1),MATCH(D251,[3]Sheet1!$C$3:$Q$3,1)))
+(D251-INDEX([3]Sheet1!$C$3:$Q$3,1,MATCH(D251,[3]Sheet1!$C$3:$Q$3)))/(INDEX([3]Sheet1!$C$3:$Q$3,1,MATCH(D251,[3]Sheet1!$C$3:$Q$3)+1)-INDEX([3]Sheet1!$C$3:$Q$3,1,MATCH(
D251,[3]Sheet1!$C$3:$Q$3)))*(INDEX([3]Sheet1!$C$4:$Q$23,MATCH(K251,[3]Sheet1!$B$4:$B$23,1),MATCH(D251,[3]Sheet1!$C$3:$Q$3,1)+1)-INDEX([3]Sheet1!$C$4:$Q$23,MATCH(K251,[3]Sheet1!$B$4:$B$23,1),MATCH(D251,[3]Sheet1!$C$3:$Q$3,1))))</f>
        <v>0</v>
      </c>
      <c r="M251" cm="1">
        <f t="array" ref="M251" xml:space="preserve"> IF(E251*J251=0,0,(INDEX([2]Sheet1!$C$4:$Q$23,MATCH(K251,[2]Sheet1!$B$4:$B$23,1),MATCH(D251,[2]Sheet1!$C$3:$Q$3,1))
+ (K251 - INDEX([2]Sheet1!$B$4:$B$23,MATCH(K251,[2]Sheet1!$B$4:$B$23,1),1))/(INDEX([2]Sheet1!$B$4:$B$23,MATCH(K251,[2]Sheet1!$B$4:$B$23,1)+1,1) - INDEX([2]Sheet1!$B$4:$B$23,MATCH(K251,[2]Sheet1!$B$4:$B$23,1),1))*(INDEX([2]Sheet1!$C$4:$Q$23,MATCH(K251,[2]Sheet1!$B$4:$B$23,1)+1,MATCH(D251,[2]Sheet1!$C$3:$Q$3,1)) - INDEX([2]Sheet1!$C$4:$Q$23,MATCH(K251,[2]Sheet1!$B$4:$B$23,1),MATCH(D251,[2]Sheet1!$C$3:$Q$3,1)))
+ (D251 - INDEX([2]Sheet1!$C$3:$Q$3,1,MATCH(D251,[2]Sheet1!$C$3:$Q$3)))/(INDEX([2]Sheet1!$C$3:$Q$3,1,MATCH(D251,[2]Sheet1!$C$3:$Q$3)+1) - INDEX([2]Sheet1!$C$3:$Q$3,1,MATCH(D251,[2]Sheet1!$C$3:$Q$3)))*(
INDEX([2]Sheet1!$C$4:$Q$23,MATCH(K251,[2]Sheet1!$B$4:$B$23,1),MATCH(D251,[2]Sheet1!$C$3:$Q$3,1)+1) - INDEX([2]Sheet1!$C$4:$Q$23,MATCH(K251,[2]Sheet1!$B$4:$B$23,1),MATCH(D251,[2]Sheet1!$C$3:$Q$3,1)))))</f>
        <v>0</v>
      </c>
      <c r="N251">
        <f t="shared" si="80"/>
        <v>12</v>
      </c>
      <c r="O251">
        <v>9.0806832986083927E-2</v>
      </c>
      <c r="P251" t="e">
        <f t="shared" si="81"/>
        <v>#DIV/0!</v>
      </c>
      <c r="Q251">
        <f t="shared" si="68"/>
        <v>0</v>
      </c>
      <c r="R251">
        <f t="shared" si="82"/>
        <v>741.9099431943954</v>
      </c>
      <c r="T251" t="e">
        <f t="shared" si="71"/>
        <v>#DIV/0!</v>
      </c>
      <c r="U251" t="e">
        <f t="shared" si="72"/>
        <v>#DIV/0!</v>
      </c>
      <c r="V251">
        <f t="shared" si="73"/>
        <v>0</v>
      </c>
      <c r="W251" t="e">
        <f t="shared" si="69"/>
        <v>#DIV/0!</v>
      </c>
    </row>
    <row r="252" spans="1:23" x14ac:dyDescent="0.55000000000000004">
      <c r="A252">
        <f t="shared" si="70"/>
        <v>21.80000000000004</v>
      </c>
      <c r="B252">
        <f t="shared" si="74"/>
        <v>0.316</v>
      </c>
      <c r="C252">
        <f t="shared" si="75"/>
        <v>-9.2173913043478528</v>
      </c>
      <c r="D252">
        <v>2.4546821225072848</v>
      </c>
      <c r="E252">
        <f t="shared" si="65"/>
        <v>0</v>
      </c>
      <c r="F252">
        <f t="shared" si="76"/>
        <v>4.8605058816845369E-2</v>
      </c>
      <c r="G252">
        <f t="shared" si="77"/>
        <v>39.513748498891111</v>
      </c>
      <c r="H252">
        <f t="shared" si="78"/>
        <v>0</v>
      </c>
      <c r="I252" s="1">
        <f t="shared" si="66"/>
        <v>0</v>
      </c>
      <c r="J252">
        <f t="shared" si="79"/>
        <v>0</v>
      </c>
      <c r="K252">
        <f t="shared" si="67"/>
        <v>0</v>
      </c>
      <c r="L252" cm="1">
        <f t="array" ref="L252">IF(E252*J252=0,0,$C$21*INDEX([3]Sheet1!$C$4:$Q$23,MATCH(K252,[3]Sheet1!$B$4:$B$23,1),MATCH(D252,[3]Sheet1!$C$3:$Q$3,1))
+(K252-INDEX([3]Sheet1!$B$4:$B$23,MATCH(K252,[3]Sheet1!$B$4:$B$23,1),1))/(INDEX([3]Sheet1!$B$4:$B$23,MATCH(K252,[3]Sheet1!$B$4:$B$23,1)+1,1)-INDEX([3]Sheet1!$B$4:$B$23,
MATCH(K252,[3]Sheet1!$B$4:$B$23,1),1))*(INDEX([3]Sheet1!$C$4:$Q$23,MATCH(K252,[3]Sheet1!$B$4:$B$23,1)+1,MATCH(D252,[3]Sheet1!$C$3:$Q$3,1))-INDEX([3]Sheet1!$C$4:$Q$23,
MATCH(K252,[3]Sheet1!$B$4:$B$23,1),MATCH(D252,[3]Sheet1!$C$3:$Q$3,1)))
+(D252-INDEX([3]Sheet1!$C$3:$Q$3,1,MATCH(D252,[3]Sheet1!$C$3:$Q$3)))/(INDEX([3]Sheet1!$C$3:$Q$3,1,MATCH(D252,[3]Sheet1!$C$3:$Q$3)+1)-INDEX([3]Sheet1!$C$3:$Q$3,1,MATCH(
D252,[3]Sheet1!$C$3:$Q$3)))*(INDEX([3]Sheet1!$C$4:$Q$23,MATCH(K252,[3]Sheet1!$B$4:$B$23,1),MATCH(D252,[3]Sheet1!$C$3:$Q$3,1)+1)-INDEX([3]Sheet1!$C$4:$Q$23,MATCH(K252,[3]Sheet1!$B$4:$B$23,1),MATCH(D252,[3]Sheet1!$C$3:$Q$3,1))))</f>
        <v>0</v>
      </c>
      <c r="M252" cm="1">
        <f t="array" ref="M252" xml:space="preserve"> IF(E252*J252=0,0,(INDEX([2]Sheet1!$C$4:$Q$23,MATCH(K252,[2]Sheet1!$B$4:$B$23,1),MATCH(D252,[2]Sheet1!$C$3:$Q$3,1))
+ (K252 - INDEX([2]Sheet1!$B$4:$B$23,MATCH(K252,[2]Sheet1!$B$4:$B$23,1),1))/(INDEX([2]Sheet1!$B$4:$B$23,MATCH(K252,[2]Sheet1!$B$4:$B$23,1)+1,1) - INDEX([2]Sheet1!$B$4:$B$23,MATCH(K252,[2]Sheet1!$B$4:$B$23,1),1))*(INDEX([2]Sheet1!$C$4:$Q$23,MATCH(K252,[2]Sheet1!$B$4:$B$23,1)+1,MATCH(D252,[2]Sheet1!$C$3:$Q$3,1)) - INDEX([2]Sheet1!$C$4:$Q$23,MATCH(K252,[2]Sheet1!$B$4:$B$23,1),MATCH(D252,[2]Sheet1!$C$3:$Q$3,1)))
+ (D252 - INDEX([2]Sheet1!$C$3:$Q$3,1,MATCH(D252,[2]Sheet1!$C$3:$Q$3)))/(INDEX([2]Sheet1!$C$3:$Q$3,1,MATCH(D252,[2]Sheet1!$C$3:$Q$3)+1) - INDEX([2]Sheet1!$C$3:$Q$3,1,MATCH(D252,[2]Sheet1!$C$3:$Q$3)))*(
INDEX([2]Sheet1!$C$4:$Q$23,MATCH(K252,[2]Sheet1!$B$4:$B$23,1),MATCH(D252,[2]Sheet1!$C$3:$Q$3,1)+1) - INDEX([2]Sheet1!$C$4:$Q$23,MATCH(K252,[2]Sheet1!$B$4:$B$23,1),MATCH(D252,[2]Sheet1!$C$3:$Q$3,1)))))</f>
        <v>0</v>
      </c>
      <c r="N252">
        <f t="shared" si="80"/>
        <v>12</v>
      </c>
      <c r="O252">
        <v>9.0781524343980943E-2</v>
      </c>
      <c r="P252" t="e">
        <f t="shared" si="81"/>
        <v>#DIV/0!</v>
      </c>
      <c r="Q252">
        <f t="shared" si="68"/>
        <v>0</v>
      </c>
      <c r="R252">
        <f t="shared" si="82"/>
        <v>741.9099431943954</v>
      </c>
      <c r="T252" t="e">
        <f t="shared" si="71"/>
        <v>#DIV/0!</v>
      </c>
      <c r="U252" t="e">
        <f t="shared" si="72"/>
        <v>#DIV/0!</v>
      </c>
      <c r="V252">
        <f t="shared" si="73"/>
        <v>0</v>
      </c>
      <c r="W252" t="e">
        <f t="shared" si="69"/>
        <v>#DIV/0!</v>
      </c>
    </row>
    <row r="253" spans="1:23" x14ac:dyDescent="0.55000000000000004">
      <c r="A253">
        <f t="shared" si="70"/>
        <v>21.900000000000041</v>
      </c>
      <c r="B253">
        <f t="shared" si="74"/>
        <v>0.316</v>
      </c>
      <c r="C253">
        <f t="shared" si="75"/>
        <v>-9.282608695652204</v>
      </c>
      <c r="D253">
        <v>2.4545602753164375</v>
      </c>
      <c r="E253">
        <f t="shared" si="65"/>
        <v>0</v>
      </c>
      <c r="F253">
        <f t="shared" si="76"/>
        <v>4.8605058816845369E-2</v>
      </c>
      <c r="G253">
        <f t="shared" si="77"/>
        <v>39.513748498891111</v>
      </c>
      <c r="H253">
        <f t="shared" si="78"/>
        <v>0</v>
      </c>
      <c r="I253" s="1">
        <f t="shared" si="66"/>
        <v>0</v>
      </c>
      <c r="J253">
        <f t="shared" si="79"/>
        <v>0</v>
      </c>
      <c r="K253">
        <f t="shared" si="67"/>
        <v>0</v>
      </c>
      <c r="L253" cm="1">
        <f t="array" ref="L253">IF(E253*J253=0,0,$C$21*INDEX([3]Sheet1!$C$4:$Q$23,MATCH(K253,[3]Sheet1!$B$4:$B$23,1),MATCH(D253,[3]Sheet1!$C$3:$Q$3,1))
+(K253-INDEX([3]Sheet1!$B$4:$B$23,MATCH(K253,[3]Sheet1!$B$4:$B$23,1),1))/(INDEX([3]Sheet1!$B$4:$B$23,MATCH(K253,[3]Sheet1!$B$4:$B$23,1)+1,1)-INDEX([3]Sheet1!$B$4:$B$23,
MATCH(K253,[3]Sheet1!$B$4:$B$23,1),1))*(INDEX([3]Sheet1!$C$4:$Q$23,MATCH(K253,[3]Sheet1!$B$4:$B$23,1)+1,MATCH(D253,[3]Sheet1!$C$3:$Q$3,1))-INDEX([3]Sheet1!$C$4:$Q$23,
MATCH(K253,[3]Sheet1!$B$4:$B$23,1),MATCH(D253,[3]Sheet1!$C$3:$Q$3,1)))
+(D253-INDEX([3]Sheet1!$C$3:$Q$3,1,MATCH(D253,[3]Sheet1!$C$3:$Q$3)))/(INDEX([3]Sheet1!$C$3:$Q$3,1,MATCH(D253,[3]Sheet1!$C$3:$Q$3)+1)-INDEX([3]Sheet1!$C$3:$Q$3,1,MATCH(
D253,[3]Sheet1!$C$3:$Q$3)))*(INDEX([3]Sheet1!$C$4:$Q$23,MATCH(K253,[3]Sheet1!$B$4:$B$23,1),MATCH(D253,[3]Sheet1!$C$3:$Q$3,1)+1)-INDEX([3]Sheet1!$C$4:$Q$23,MATCH(K253,[3]Sheet1!$B$4:$B$23,1),MATCH(D253,[3]Sheet1!$C$3:$Q$3,1))))</f>
        <v>0</v>
      </c>
      <c r="M253" cm="1">
        <f t="array" ref="M253" xml:space="preserve"> IF(E253*J253=0,0,(INDEX([2]Sheet1!$C$4:$Q$23,MATCH(K253,[2]Sheet1!$B$4:$B$23,1),MATCH(D253,[2]Sheet1!$C$3:$Q$3,1))
+ (K253 - INDEX([2]Sheet1!$B$4:$B$23,MATCH(K253,[2]Sheet1!$B$4:$B$23,1),1))/(INDEX([2]Sheet1!$B$4:$B$23,MATCH(K253,[2]Sheet1!$B$4:$B$23,1)+1,1) - INDEX([2]Sheet1!$B$4:$B$23,MATCH(K253,[2]Sheet1!$B$4:$B$23,1),1))*(INDEX([2]Sheet1!$C$4:$Q$23,MATCH(K253,[2]Sheet1!$B$4:$B$23,1)+1,MATCH(D253,[2]Sheet1!$C$3:$Q$3,1)) - INDEX([2]Sheet1!$C$4:$Q$23,MATCH(K253,[2]Sheet1!$B$4:$B$23,1),MATCH(D253,[2]Sheet1!$C$3:$Q$3,1)))
+ (D253 - INDEX([2]Sheet1!$C$3:$Q$3,1,MATCH(D253,[2]Sheet1!$C$3:$Q$3)))/(INDEX([2]Sheet1!$C$3:$Q$3,1,MATCH(D253,[2]Sheet1!$C$3:$Q$3)+1) - INDEX([2]Sheet1!$C$3:$Q$3,1,MATCH(D253,[2]Sheet1!$C$3:$Q$3)))*(
INDEX([2]Sheet1!$C$4:$Q$23,MATCH(K253,[2]Sheet1!$B$4:$B$23,1),MATCH(D253,[2]Sheet1!$C$3:$Q$3,1)+1) - INDEX([2]Sheet1!$C$4:$Q$23,MATCH(K253,[2]Sheet1!$B$4:$B$23,1),MATCH(D253,[2]Sheet1!$C$3:$Q$3,1)))))</f>
        <v>0</v>
      </c>
      <c r="N253">
        <f t="shared" si="80"/>
        <v>12</v>
      </c>
      <c r="O253">
        <v>9.075628080612666E-2</v>
      </c>
      <c r="P253" t="e">
        <f t="shared" si="81"/>
        <v>#DIV/0!</v>
      </c>
      <c r="Q253">
        <f t="shared" si="68"/>
        <v>0</v>
      </c>
      <c r="R253">
        <f t="shared" si="82"/>
        <v>741.9099431943954</v>
      </c>
      <c r="T253" t="e">
        <f t="shared" si="71"/>
        <v>#DIV/0!</v>
      </c>
      <c r="U253" t="e">
        <f t="shared" si="72"/>
        <v>#DIV/0!</v>
      </c>
      <c r="V253">
        <f t="shared" si="73"/>
        <v>0</v>
      </c>
      <c r="W253" t="e">
        <f t="shared" si="69"/>
        <v>#DIV/0!</v>
      </c>
    </row>
    <row r="254" spans="1:23" x14ac:dyDescent="0.55000000000000004">
      <c r="A254">
        <f t="shared" si="70"/>
        <v>22.000000000000043</v>
      </c>
      <c r="B254">
        <f t="shared" si="74"/>
        <v>0.316</v>
      </c>
      <c r="C254">
        <f t="shared" si="75"/>
        <v>-9.3478260869565499</v>
      </c>
      <c r="D254">
        <v>2.4544387067940008</v>
      </c>
      <c r="E254">
        <f>IF(B254&lt;($C$5*$C$6*10^-6),$C$9*(PI()/4*($C$8*0.001)^2)*SQRT(2*$C$6*IF(C254&gt;D254,(C254-D254),0)*10^6),0)</f>
        <v>0</v>
      </c>
      <c r="F254">
        <f t="shared" si="76"/>
        <v>4.8605058816845369E-2</v>
      </c>
      <c r="G254">
        <f t="shared" si="77"/>
        <v>39.513748498891111</v>
      </c>
      <c r="H254">
        <f t="shared" si="78"/>
        <v>0</v>
      </c>
      <c r="I254" s="1">
        <f t="shared" si="66"/>
        <v>0</v>
      </c>
      <c r="J254" s="1">
        <f>($C$12*10^-3)*PI()*(G254*10^-3)*$C$11*(I254*10^-3)*$C$15</f>
        <v>0</v>
      </c>
      <c r="K254">
        <f t="shared" si="67"/>
        <v>0</v>
      </c>
      <c r="L254" cm="1">
        <f t="array" ref="L254">IF(E254*J254=0,0,$C$21*INDEX([3]Sheet1!$C$4:$Q$23,MATCH(K254,[3]Sheet1!$B$4:$B$23,1),MATCH(D254,[3]Sheet1!$C$3:$Q$3,1))
+(K254-INDEX([3]Sheet1!$B$4:$B$23,MATCH(K254,[3]Sheet1!$B$4:$B$23,1),1))/(INDEX([3]Sheet1!$B$4:$B$23,MATCH(K254,[3]Sheet1!$B$4:$B$23,1)+1,1)-INDEX([3]Sheet1!$B$4:$B$23,
MATCH(K254,[3]Sheet1!$B$4:$B$23,1),1))*(INDEX([3]Sheet1!$C$4:$Q$23,MATCH(K254,[3]Sheet1!$B$4:$B$23,1)+1,MATCH(D254,[3]Sheet1!$C$3:$Q$3,1))-INDEX([3]Sheet1!$C$4:$Q$23,
MATCH(K254,[3]Sheet1!$B$4:$B$23,1),MATCH(D254,[3]Sheet1!$C$3:$Q$3,1)))
+(D254-INDEX([3]Sheet1!$C$3:$Q$3,1,MATCH(D254,[3]Sheet1!$C$3:$Q$3)))/(INDEX([3]Sheet1!$C$3:$Q$3,1,MATCH(D254,[3]Sheet1!$C$3:$Q$3)+1)-INDEX([3]Sheet1!$C$3:$Q$3,1,MATCH(
D254,[3]Sheet1!$C$3:$Q$3)))*(INDEX([3]Sheet1!$C$4:$Q$23,MATCH(K254,[3]Sheet1!$B$4:$B$23,1),MATCH(D254,[3]Sheet1!$C$3:$Q$3,1)+1)-INDEX([3]Sheet1!$C$4:$Q$23,MATCH(K254,[3]Sheet1!$B$4:$B$23,1),MATCH(D254,[3]Sheet1!$C$3:$Q$3,1))))</f>
        <v>0</v>
      </c>
      <c r="M254" cm="1">
        <f t="array" ref="M254" xml:space="preserve"> IF(E254*J254=0,0,(INDEX([2]Sheet1!$C$4:$Q$23,MATCH(K254,[2]Sheet1!$B$4:$B$23,1),MATCH(D254,[2]Sheet1!$C$3:$Q$3,1))
+ (K254 - INDEX([2]Sheet1!$B$4:$B$23,MATCH(K254,[2]Sheet1!$B$4:$B$23,1),1))/(INDEX([2]Sheet1!$B$4:$B$23,MATCH(K254,[2]Sheet1!$B$4:$B$23,1)+1,1) - INDEX([2]Sheet1!$B$4:$B$23,MATCH(K254,[2]Sheet1!$B$4:$B$23,1),1))*(INDEX([2]Sheet1!$C$4:$Q$23,MATCH(K254,[2]Sheet1!$B$4:$B$23,1)+1,MATCH(D254,[2]Sheet1!$C$3:$Q$3,1)) - INDEX([2]Sheet1!$C$4:$Q$23,MATCH(K254,[2]Sheet1!$B$4:$B$23,1),MATCH(D254,[2]Sheet1!$C$3:$Q$3,1)))
+ (D254 - INDEX([2]Sheet1!$C$3:$Q$3,1,MATCH(D254,[2]Sheet1!$C$3:$Q$3)))/(INDEX([2]Sheet1!$C$3:$Q$3,1,MATCH(D254,[2]Sheet1!$C$3:$Q$3)+1) - INDEX([2]Sheet1!$C$3:$Q$3,1,MATCH(D254,[2]Sheet1!$C$3:$Q$3)))*(
INDEX([2]Sheet1!$C$4:$Q$23,MATCH(K254,[2]Sheet1!$B$4:$B$23,1),MATCH(D254,[2]Sheet1!$C$3:$Q$3,1)+1) - INDEX([2]Sheet1!$C$4:$Q$23,MATCH(K254,[2]Sheet1!$B$4:$B$23,1),MATCH(D254,[2]Sheet1!$C$3:$Q$3,1)))))</f>
        <v>0</v>
      </c>
      <c r="N254">
        <f t="shared" si="80"/>
        <v>12</v>
      </c>
      <c r="O254">
        <v>9.0731102049653151E-2</v>
      </c>
      <c r="P254" t="e">
        <f t="shared" si="81"/>
        <v>#DIV/0!</v>
      </c>
      <c r="Q254">
        <f t="shared" si="68"/>
        <v>0</v>
      </c>
      <c r="R254">
        <f t="shared" si="82"/>
        <v>741.9099431943954</v>
      </c>
      <c r="T254" t="e">
        <f t="shared" si="71"/>
        <v>#DIV/0!</v>
      </c>
      <c r="U254" t="e">
        <f t="shared" si="72"/>
        <v>#DIV/0!</v>
      </c>
      <c r="V254">
        <f t="shared" si="73"/>
        <v>0</v>
      </c>
      <c r="W254" t="e">
        <f t="shared" si="69"/>
        <v>#DIV/0!</v>
      </c>
    </row>
    <row r="255" spans="1:23" x14ac:dyDescent="0.55000000000000004">
      <c r="A255">
        <f t="shared" si="70"/>
        <v>22.100000000000044</v>
      </c>
      <c r="B255">
        <f t="shared" si="74"/>
        <v>0.316</v>
      </c>
      <c r="C255">
        <f t="shared" si="75"/>
        <v>-9.4130434782608976</v>
      </c>
      <c r="D255">
        <v>2.4543174156303706</v>
      </c>
      <c r="E255">
        <f t="shared" si="65"/>
        <v>0</v>
      </c>
      <c r="F255">
        <f t="shared" si="76"/>
        <v>4.8605058816845369E-2</v>
      </c>
      <c r="G255">
        <f t="shared" si="77"/>
        <v>39.513748498891111</v>
      </c>
      <c r="H255">
        <f t="shared" si="78"/>
        <v>0</v>
      </c>
      <c r="I255" s="1">
        <f t="shared" si="66"/>
        <v>0</v>
      </c>
      <c r="J255">
        <f t="shared" si="79"/>
        <v>0</v>
      </c>
      <c r="K255">
        <f t="shared" si="67"/>
        <v>0</v>
      </c>
      <c r="L255" cm="1">
        <f t="array" ref="L255">IF(E255*J255=0,0,$C$21*INDEX([3]Sheet1!$C$4:$Q$23,MATCH(K255,[3]Sheet1!$B$4:$B$23,1),MATCH(D255,[3]Sheet1!$C$3:$Q$3,1))
+(K255-INDEX([3]Sheet1!$B$4:$B$23,MATCH(K255,[3]Sheet1!$B$4:$B$23,1),1))/(INDEX([3]Sheet1!$B$4:$B$23,MATCH(K255,[3]Sheet1!$B$4:$B$23,1)+1,1)-INDEX([3]Sheet1!$B$4:$B$23,
MATCH(K255,[3]Sheet1!$B$4:$B$23,1),1))*(INDEX([3]Sheet1!$C$4:$Q$23,MATCH(K255,[3]Sheet1!$B$4:$B$23,1)+1,MATCH(D255,[3]Sheet1!$C$3:$Q$3,1))-INDEX([3]Sheet1!$C$4:$Q$23,
MATCH(K255,[3]Sheet1!$B$4:$B$23,1),MATCH(D255,[3]Sheet1!$C$3:$Q$3,1)))
+(D255-INDEX([3]Sheet1!$C$3:$Q$3,1,MATCH(D255,[3]Sheet1!$C$3:$Q$3)))/(INDEX([3]Sheet1!$C$3:$Q$3,1,MATCH(D255,[3]Sheet1!$C$3:$Q$3)+1)-INDEX([3]Sheet1!$C$3:$Q$3,1,MATCH(
D255,[3]Sheet1!$C$3:$Q$3)))*(INDEX([3]Sheet1!$C$4:$Q$23,MATCH(K255,[3]Sheet1!$B$4:$B$23,1),MATCH(D255,[3]Sheet1!$C$3:$Q$3,1)+1)-INDEX([3]Sheet1!$C$4:$Q$23,MATCH(K255,[3]Sheet1!$B$4:$B$23,1),MATCH(D255,[3]Sheet1!$C$3:$Q$3,1))))</f>
        <v>0</v>
      </c>
      <c r="M255" cm="1">
        <f t="array" ref="M255" xml:space="preserve"> IF(E255*J255=0,0,(INDEX([2]Sheet1!$C$4:$Q$23,MATCH(K255,[2]Sheet1!$B$4:$B$23,1),MATCH(D255,[2]Sheet1!$C$3:$Q$3,1))
+ (K255 - INDEX([2]Sheet1!$B$4:$B$23,MATCH(K255,[2]Sheet1!$B$4:$B$23,1),1))/(INDEX([2]Sheet1!$B$4:$B$23,MATCH(K255,[2]Sheet1!$B$4:$B$23,1)+1,1) - INDEX([2]Sheet1!$B$4:$B$23,MATCH(K255,[2]Sheet1!$B$4:$B$23,1),1))*(INDEX([2]Sheet1!$C$4:$Q$23,MATCH(K255,[2]Sheet1!$B$4:$B$23,1)+1,MATCH(D255,[2]Sheet1!$C$3:$Q$3,1)) - INDEX([2]Sheet1!$C$4:$Q$23,MATCH(K255,[2]Sheet1!$B$4:$B$23,1),MATCH(D255,[2]Sheet1!$C$3:$Q$3,1)))
+ (D255 - INDEX([2]Sheet1!$C$3:$Q$3,1,MATCH(D255,[2]Sheet1!$C$3:$Q$3)))/(INDEX([2]Sheet1!$C$3:$Q$3,1,MATCH(D255,[2]Sheet1!$C$3:$Q$3)+1) - INDEX([2]Sheet1!$C$3:$Q$3,1,MATCH(D255,[2]Sheet1!$C$3:$Q$3)))*(
INDEX([2]Sheet1!$C$4:$Q$23,MATCH(K255,[2]Sheet1!$B$4:$B$23,1),MATCH(D255,[2]Sheet1!$C$3:$Q$3,1)+1) - INDEX([2]Sheet1!$C$4:$Q$23,MATCH(K255,[2]Sheet1!$B$4:$B$23,1),MATCH(D255,[2]Sheet1!$C$3:$Q$3,1)))))</f>
        <v>0</v>
      </c>
      <c r="N255">
        <f t="shared" si="80"/>
        <v>12</v>
      </c>
      <c r="O255">
        <v>9.0705987754065229E-2</v>
      </c>
      <c r="P255" t="e">
        <f t="shared" si="81"/>
        <v>#DIV/0!</v>
      </c>
      <c r="Q255">
        <f t="shared" si="68"/>
        <v>0</v>
      </c>
      <c r="R255">
        <f t="shared" si="82"/>
        <v>741.9099431943954</v>
      </c>
      <c r="T255" t="e">
        <f t="shared" si="71"/>
        <v>#DIV/0!</v>
      </c>
      <c r="U255" t="e">
        <f t="shared" si="72"/>
        <v>#DIV/0!</v>
      </c>
      <c r="V255">
        <f t="shared" si="73"/>
        <v>0</v>
      </c>
      <c r="W255" t="e">
        <f t="shared" si="69"/>
        <v>#DIV/0!</v>
      </c>
    </row>
    <row r="256" spans="1:23" x14ac:dyDescent="0.55000000000000004">
      <c r="A256">
        <f t="shared" si="70"/>
        <v>22.200000000000045</v>
      </c>
      <c r="B256">
        <f t="shared" si="74"/>
        <v>0.316</v>
      </c>
      <c r="C256">
        <f t="shared" si="75"/>
        <v>-9.4782608695652488</v>
      </c>
      <c r="D256">
        <v>2.4541964005252042</v>
      </c>
      <c r="E256">
        <f t="shared" si="65"/>
        <v>0</v>
      </c>
      <c r="F256">
        <f t="shared" si="76"/>
        <v>4.8605058816845369E-2</v>
      </c>
      <c r="G256">
        <f t="shared" si="77"/>
        <v>39.513748498891111</v>
      </c>
      <c r="H256">
        <f t="shared" si="78"/>
        <v>0</v>
      </c>
      <c r="I256" s="1">
        <f t="shared" si="66"/>
        <v>0</v>
      </c>
      <c r="J256">
        <f t="shared" si="79"/>
        <v>0</v>
      </c>
      <c r="K256">
        <f t="shared" si="67"/>
        <v>0</v>
      </c>
      <c r="L256" cm="1">
        <f t="array" ref="L256">IF(E256*J256=0,0,$C$21*INDEX([3]Sheet1!$C$4:$Q$23,MATCH(K256,[3]Sheet1!$B$4:$B$23,1),MATCH(D256,[3]Sheet1!$C$3:$Q$3,1))
+(K256-INDEX([3]Sheet1!$B$4:$B$23,MATCH(K256,[3]Sheet1!$B$4:$B$23,1),1))/(INDEX([3]Sheet1!$B$4:$B$23,MATCH(K256,[3]Sheet1!$B$4:$B$23,1)+1,1)-INDEX([3]Sheet1!$B$4:$B$23,
MATCH(K256,[3]Sheet1!$B$4:$B$23,1),1))*(INDEX([3]Sheet1!$C$4:$Q$23,MATCH(K256,[3]Sheet1!$B$4:$B$23,1)+1,MATCH(D256,[3]Sheet1!$C$3:$Q$3,1))-INDEX([3]Sheet1!$C$4:$Q$23,
MATCH(K256,[3]Sheet1!$B$4:$B$23,1),MATCH(D256,[3]Sheet1!$C$3:$Q$3,1)))
+(D256-INDEX([3]Sheet1!$C$3:$Q$3,1,MATCH(D256,[3]Sheet1!$C$3:$Q$3)))/(INDEX([3]Sheet1!$C$3:$Q$3,1,MATCH(D256,[3]Sheet1!$C$3:$Q$3)+1)-INDEX([3]Sheet1!$C$3:$Q$3,1,MATCH(
D256,[3]Sheet1!$C$3:$Q$3)))*(INDEX([3]Sheet1!$C$4:$Q$23,MATCH(K256,[3]Sheet1!$B$4:$B$23,1),MATCH(D256,[3]Sheet1!$C$3:$Q$3,1)+1)-INDEX([3]Sheet1!$C$4:$Q$23,MATCH(K256,[3]Sheet1!$B$4:$B$23,1),MATCH(D256,[3]Sheet1!$C$3:$Q$3,1))))</f>
        <v>0</v>
      </c>
      <c r="M256" cm="1">
        <f t="array" ref="M256" xml:space="preserve"> IF(E256*J256=0,0,(INDEX([2]Sheet1!$C$4:$Q$23,MATCH(K256,[2]Sheet1!$B$4:$B$23,1),MATCH(D256,[2]Sheet1!$C$3:$Q$3,1))
+ (K256 - INDEX([2]Sheet1!$B$4:$B$23,MATCH(K256,[2]Sheet1!$B$4:$B$23,1),1))/(INDEX([2]Sheet1!$B$4:$B$23,MATCH(K256,[2]Sheet1!$B$4:$B$23,1)+1,1) - INDEX([2]Sheet1!$B$4:$B$23,MATCH(K256,[2]Sheet1!$B$4:$B$23,1),1))*(INDEX([2]Sheet1!$C$4:$Q$23,MATCH(K256,[2]Sheet1!$B$4:$B$23,1)+1,MATCH(D256,[2]Sheet1!$C$3:$Q$3,1)) - INDEX([2]Sheet1!$C$4:$Q$23,MATCH(K256,[2]Sheet1!$B$4:$B$23,1),MATCH(D256,[2]Sheet1!$C$3:$Q$3,1)))
+ (D256 - INDEX([2]Sheet1!$C$3:$Q$3,1,MATCH(D256,[2]Sheet1!$C$3:$Q$3)))/(INDEX([2]Sheet1!$C$3:$Q$3,1,MATCH(D256,[2]Sheet1!$C$3:$Q$3)+1) - INDEX([2]Sheet1!$C$3:$Q$3,1,MATCH(D256,[2]Sheet1!$C$3:$Q$3)))*(
INDEX([2]Sheet1!$C$4:$Q$23,MATCH(K256,[2]Sheet1!$B$4:$B$23,1),MATCH(D256,[2]Sheet1!$C$3:$Q$3,1)+1) - INDEX([2]Sheet1!$C$4:$Q$23,MATCH(K256,[2]Sheet1!$B$4:$B$23,1),MATCH(D256,[2]Sheet1!$C$3:$Q$3,1)))))</f>
        <v>0</v>
      </c>
      <c r="N256">
        <f t="shared" si="80"/>
        <v>12</v>
      </c>
      <c r="O256">
        <v>9.0680937601215775E-2</v>
      </c>
      <c r="P256" t="e">
        <f t="shared" si="81"/>
        <v>#DIV/0!</v>
      </c>
      <c r="Q256">
        <f t="shared" si="68"/>
        <v>0</v>
      </c>
      <c r="R256">
        <f t="shared" si="82"/>
        <v>741.9099431943954</v>
      </c>
      <c r="T256" t="e">
        <f t="shared" si="71"/>
        <v>#DIV/0!</v>
      </c>
      <c r="U256" t="e">
        <f t="shared" si="72"/>
        <v>#DIV/0!</v>
      </c>
      <c r="V256">
        <f t="shared" si="73"/>
        <v>0</v>
      </c>
      <c r="W256" t="e">
        <f t="shared" si="69"/>
        <v>#DIV/0!</v>
      </c>
    </row>
    <row r="257" spans="1:23" x14ac:dyDescent="0.55000000000000004">
      <c r="A257">
        <f t="shared" si="70"/>
        <v>22.300000000000047</v>
      </c>
      <c r="B257">
        <f t="shared" si="74"/>
        <v>0.316</v>
      </c>
      <c r="C257">
        <f t="shared" si="75"/>
        <v>-9.5434782608695983</v>
      </c>
      <c r="D257">
        <v>2.4540756601873337</v>
      </c>
      <c r="E257">
        <f t="shared" si="65"/>
        <v>0</v>
      </c>
      <c r="F257">
        <f t="shared" si="76"/>
        <v>4.8605058816845369E-2</v>
      </c>
      <c r="G257">
        <f t="shared" si="77"/>
        <v>39.513748498891111</v>
      </c>
      <c r="H257">
        <f t="shared" si="78"/>
        <v>0</v>
      </c>
      <c r="I257" s="1">
        <f t="shared" si="66"/>
        <v>0</v>
      </c>
      <c r="J257">
        <f t="shared" si="79"/>
        <v>0</v>
      </c>
      <c r="K257">
        <f t="shared" si="67"/>
        <v>0</v>
      </c>
      <c r="L257" cm="1">
        <f t="array" ref="L257">IF(E257*J257=0,0,$C$21*INDEX([3]Sheet1!$C$4:$Q$23,MATCH(K257,[3]Sheet1!$B$4:$B$23,1),MATCH(D257,[3]Sheet1!$C$3:$Q$3,1))
+(K257-INDEX([3]Sheet1!$B$4:$B$23,MATCH(K257,[3]Sheet1!$B$4:$B$23,1),1))/(INDEX([3]Sheet1!$B$4:$B$23,MATCH(K257,[3]Sheet1!$B$4:$B$23,1)+1,1)-INDEX([3]Sheet1!$B$4:$B$23,
MATCH(K257,[3]Sheet1!$B$4:$B$23,1),1))*(INDEX([3]Sheet1!$C$4:$Q$23,MATCH(K257,[3]Sheet1!$B$4:$B$23,1)+1,MATCH(D257,[3]Sheet1!$C$3:$Q$3,1))-INDEX([3]Sheet1!$C$4:$Q$23,
MATCH(K257,[3]Sheet1!$B$4:$B$23,1),MATCH(D257,[3]Sheet1!$C$3:$Q$3,1)))
+(D257-INDEX([3]Sheet1!$C$3:$Q$3,1,MATCH(D257,[3]Sheet1!$C$3:$Q$3)))/(INDEX([3]Sheet1!$C$3:$Q$3,1,MATCH(D257,[3]Sheet1!$C$3:$Q$3)+1)-INDEX([3]Sheet1!$C$3:$Q$3,1,MATCH(
D257,[3]Sheet1!$C$3:$Q$3)))*(INDEX([3]Sheet1!$C$4:$Q$23,MATCH(K257,[3]Sheet1!$B$4:$B$23,1),MATCH(D257,[3]Sheet1!$C$3:$Q$3,1)+1)-INDEX([3]Sheet1!$C$4:$Q$23,MATCH(K257,[3]Sheet1!$B$4:$B$23,1),MATCH(D257,[3]Sheet1!$C$3:$Q$3,1))))</f>
        <v>0</v>
      </c>
      <c r="M257" cm="1">
        <f t="array" ref="M257" xml:space="preserve"> IF(E257*J257=0,0,(INDEX([2]Sheet1!$C$4:$Q$23,MATCH(K257,[2]Sheet1!$B$4:$B$23,1),MATCH(D257,[2]Sheet1!$C$3:$Q$3,1))
+ (K257 - INDEX([2]Sheet1!$B$4:$B$23,MATCH(K257,[2]Sheet1!$B$4:$B$23,1),1))/(INDEX([2]Sheet1!$B$4:$B$23,MATCH(K257,[2]Sheet1!$B$4:$B$23,1)+1,1) - INDEX([2]Sheet1!$B$4:$B$23,MATCH(K257,[2]Sheet1!$B$4:$B$23,1),1))*(INDEX([2]Sheet1!$C$4:$Q$23,MATCH(K257,[2]Sheet1!$B$4:$B$23,1)+1,MATCH(D257,[2]Sheet1!$C$3:$Q$3,1)) - INDEX([2]Sheet1!$C$4:$Q$23,MATCH(K257,[2]Sheet1!$B$4:$B$23,1),MATCH(D257,[2]Sheet1!$C$3:$Q$3,1)))
+ (D257 - INDEX([2]Sheet1!$C$3:$Q$3,1,MATCH(D257,[2]Sheet1!$C$3:$Q$3)))/(INDEX([2]Sheet1!$C$3:$Q$3,1,MATCH(D257,[2]Sheet1!$C$3:$Q$3)+1) - INDEX([2]Sheet1!$C$3:$Q$3,1,MATCH(D257,[2]Sheet1!$C$3:$Q$3)))*(
INDEX([2]Sheet1!$C$4:$Q$23,MATCH(K257,[2]Sheet1!$B$4:$B$23,1),MATCH(D257,[2]Sheet1!$C$3:$Q$3,1)+1) - INDEX([2]Sheet1!$C$4:$Q$23,MATCH(K257,[2]Sheet1!$B$4:$B$23,1),MATCH(D257,[2]Sheet1!$C$3:$Q$3,1)))))</f>
        <v>0</v>
      </c>
      <c r="N257">
        <f t="shared" si="80"/>
        <v>12</v>
      </c>
      <c r="O257">
        <v>9.0655951275286334E-2</v>
      </c>
      <c r="P257" t="e">
        <f t="shared" si="81"/>
        <v>#DIV/0!</v>
      </c>
      <c r="Q257">
        <f t="shared" si="68"/>
        <v>0</v>
      </c>
      <c r="R257">
        <f t="shared" si="82"/>
        <v>741.9099431943954</v>
      </c>
      <c r="T257" t="e">
        <f t="shared" si="71"/>
        <v>#DIV/0!</v>
      </c>
      <c r="U257" t="e">
        <f t="shared" si="72"/>
        <v>#DIV/0!</v>
      </c>
      <c r="V257">
        <f t="shared" si="73"/>
        <v>0</v>
      </c>
      <c r="W257" t="e">
        <f t="shared" si="69"/>
        <v>#DIV/0!</v>
      </c>
    </row>
    <row r="258" spans="1:23" x14ac:dyDescent="0.55000000000000004">
      <c r="A258">
        <f t="shared" si="70"/>
        <v>22.400000000000048</v>
      </c>
      <c r="B258">
        <f t="shared" si="74"/>
        <v>0.316</v>
      </c>
      <c r="C258">
        <f t="shared" si="75"/>
        <v>-9.6086956521739459</v>
      </c>
      <c r="D258">
        <v>2.4539551933346755</v>
      </c>
      <c r="E258">
        <f t="shared" si="65"/>
        <v>0</v>
      </c>
      <c r="F258">
        <f t="shared" si="76"/>
        <v>4.8605058816845369E-2</v>
      </c>
      <c r="G258">
        <f t="shared" si="77"/>
        <v>39.513748498891111</v>
      </c>
      <c r="H258">
        <f t="shared" si="78"/>
        <v>0</v>
      </c>
      <c r="I258" s="1">
        <f t="shared" si="66"/>
        <v>0</v>
      </c>
      <c r="J258">
        <f t="shared" si="79"/>
        <v>0</v>
      </c>
      <c r="K258">
        <f t="shared" si="67"/>
        <v>0</v>
      </c>
      <c r="L258" cm="1">
        <f t="array" ref="L258">IF(E258*J258=0,0,$C$21*INDEX([3]Sheet1!$C$4:$Q$23,MATCH(K258,[3]Sheet1!$B$4:$B$23,1),MATCH(D258,[3]Sheet1!$C$3:$Q$3,1))
+(K258-INDEX([3]Sheet1!$B$4:$B$23,MATCH(K258,[3]Sheet1!$B$4:$B$23,1),1))/(INDEX([3]Sheet1!$B$4:$B$23,MATCH(K258,[3]Sheet1!$B$4:$B$23,1)+1,1)-INDEX([3]Sheet1!$B$4:$B$23,
MATCH(K258,[3]Sheet1!$B$4:$B$23,1),1))*(INDEX([3]Sheet1!$C$4:$Q$23,MATCH(K258,[3]Sheet1!$B$4:$B$23,1)+1,MATCH(D258,[3]Sheet1!$C$3:$Q$3,1))-INDEX([3]Sheet1!$C$4:$Q$23,
MATCH(K258,[3]Sheet1!$B$4:$B$23,1),MATCH(D258,[3]Sheet1!$C$3:$Q$3,1)))
+(D258-INDEX([3]Sheet1!$C$3:$Q$3,1,MATCH(D258,[3]Sheet1!$C$3:$Q$3)))/(INDEX([3]Sheet1!$C$3:$Q$3,1,MATCH(D258,[3]Sheet1!$C$3:$Q$3)+1)-INDEX([3]Sheet1!$C$3:$Q$3,1,MATCH(
D258,[3]Sheet1!$C$3:$Q$3)))*(INDEX([3]Sheet1!$C$4:$Q$23,MATCH(K258,[3]Sheet1!$B$4:$B$23,1),MATCH(D258,[3]Sheet1!$C$3:$Q$3,1)+1)-INDEX([3]Sheet1!$C$4:$Q$23,MATCH(K258,[3]Sheet1!$B$4:$B$23,1),MATCH(D258,[3]Sheet1!$C$3:$Q$3,1))))</f>
        <v>0</v>
      </c>
      <c r="M258" cm="1">
        <f t="array" ref="M258" xml:space="preserve"> IF(E258*J258=0,0,(INDEX([2]Sheet1!$C$4:$Q$23,MATCH(K258,[2]Sheet1!$B$4:$B$23,1),MATCH(D258,[2]Sheet1!$C$3:$Q$3,1))
+ (K258 - INDEX([2]Sheet1!$B$4:$B$23,MATCH(K258,[2]Sheet1!$B$4:$B$23,1),1))/(INDEX([2]Sheet1!$B$4:$B$23,MATCH(K258,[2]Sheet1!$B$4:$B$23,1)+1,1) - INDEX([2]Sheet1!$B$4:$B$23,MATCH(K258,[2]Sheet1!$B$4:$B$23,1),1))*(INDEX([2]Sheet1!$C$4:$Q$23,MATCH(K258,[2]Sheet1!$B$4:$B$23,1)+1,MATCH(D258,[2]Sheet1!$C$3:$Q$3,1)) - INDEX([2]Sheet1!$C$4:$Q$23,MATCH(K258,[2]Sheet1!$B$4:$B$23,1),MATCH(D258,[2]Sheet1!$C$3:$Q$3,1)))
+ (D258 - INDEX([2]Sheet1!$C$3:$Q$3,1,MATCH(D258,[2]Sheet1!$C$3:$Q$3)))/(INDEX([2]Sheet1!$C$3:$Q$3,1,MATCH(D258,[2]Sheet1!$C$3:$Q$3)+1) - INDEX([2]Sheet1!$C$3:$Q$3,1,MATCH(D258,[2]Sheet1!$C$3:$Q$3)))*(
INDEX([2]Sheet1!$C$4:$Q$23,MATCH(K258,[2]Sheet1!$B$4:$B$23,1),MATCH(D258,[2]Sheet1!$C$3:$Q$3,1)+1) - INDEX([2]Sheet1!$C$4:$Q$23,MATCH(K258,[2]Sheet1!$B$4:$B$23,1),MATCH(D258,[2]Sheet1!$C$3:$Q$3,1)))))</f>
        <v>0</v>
      </c>
      <c r="N258">
        <f t="shared" si="80"/>
        <v>12</v>
      </c>
      <c r="O258">
        <v>9.0631028462760707E-2</v>
      </c>
      <c r="P258" t="e">
        <f t="shared" si="81"/>
        <v>#DIV/0!</v>
      </c>
      <c r="Q258">
        <f t="shared" si="68"/>
        <v>0</v>
      </c>
      <c r="R258">
        <f t="shared" si="82"/>
        <v>741.9099431943954</v>
      </c>
      <c r="T258" t="e">
        <f t="shared" si="71"/>
        <v>#DIV/0!</v>
      </c>
      <c r="U258" t="e">
        <f t="shared" si="72"/>
        <v>#DIV/0!</v>
      </c>
      <c r="V258">
        <f t="shared" si="73"/>
        <v>0</v>
      </c>
      <c r="W258" t="e">
        <f t="shared" si="69"/>
        <v>#DIV/0!</v>
      </c>
    </row>
    <row r="259" spans="1:23" x14ac:dyDescent="0.55000000000000004">
      <c r="A259">
        <f t="shared" si="70"/>
        <v>22.50000000000005</v>
      </c>
      <c r="B259">
        <f t="shared" si="74"/>
        <v>0.316</v>
      </c>
      <c r="C259">
        <f t="shared" si="75"/>
        <v>-9.6739130434782936</v>
      </c>
      <c r="D259">
        <v>2.4538349986941479</v>
      </c>
      <c r="E259">
        <f t="shared" si="65"/>
        <v>0</v>
      </c>
      <c r="F259">
        <f t="shared" si="76"/>
        <v>4.8605058816845369E-2</v>
      </c>
      <c r="G259">
        <f t="shared" si="77"/>
        <v>39.513748498891111</v>
      </c>
      <c r="H259">
        <f t="shared" si="78"/>
        <v>0</v>
      </c>
      <c r="I259" s="1">
        <f t="shared" si="66"/>
        <v>0</v>
      </c>
      <c r="J259">
        <f t="shared" si="79"/>
        <v>0</v>
      </c>
      <c r="K259">
        <f t="shared" si="67"/>
        <v>0</v>
      </c>
      <c r="L259" cm="1">
        <f t="array" ref="L259">IF(E259*J259=0,0,$C$21*INDEX([3]Sheet1!$C$4:$Q$23,MATCH(K259,[3]Sheet1!$B$4:$B$23,1),MATCH(D259,[3]Sheet1!$C$3:$Q$3,1))
+(K259-INDEX([3]Sheet1!$B$4:$B$23,MATCH(K259,[3]Sheet1!$B$4:$B$23,1),1))/(INDEX([3]Sheet1!$B$4:$B$23,MATCH(K259,[3]Sheet1!$B$4:$B$23,1)+1,1)-INDEX([3]Sheet1!$B$4:$B$23,
MATCH(K259,[3]Sheet1!$B$4:$B$23,1),1))*(INDEX([3]Sheet1!$C$4:$Q$23,MATCH(K259,[3]Sheet1!$B$4:$B$23,1)+1,MATCH(D259,[3]Sheet1!$C$3:$Q$3,1))-INDEX([3]Sheet1!$C$4:$Q$23,
MATCH(K259,[3]Sheet1!$B$4:$B$23,1),MATCH(D259,[3]Sheet1!$C$3:$Q$3,1)))
+(D259-INDEX([3]Sheet1!$C$3:$Q$3,1,MATCH(D259,[3]Sheet1!$C$3:$Q$3)))/(INDEX([3]Sheet1!$C$3:$Q$3,1,MATCH(D259,[3]Sheet1!$C$3:$Q$3)+1)-INDEX([3]Sheet1!$C$3:$Q$3,1,MATCH(
D259,[3]Sheet1!$C$3:$Q$3)))*(INDEX([3]Sheet1!$C$4:$Q$23,MATCH(K259,[3]Sheet1!$B$4:$B$23,1),MATCH(D259,[3]Sheet1!$C$3:$Q$3,1)+1)-INDEX([3]Sheet1!$C$4:$Q$23,MATCH(K259,[3]Sheet1!$B$4:$B$23,1),MATCH(D259,[3]Sheet1!$C$3:$Q$3,1))))</f>
        <v>0</v>
      </c>
      <c r="M259" cm="1">
        <f t="array" ref="M259" xml:space="preserve"> IF(E259*J259=0,0,(INDEX([2]Sheet1!$C$4:$Q$23,MATCH(K259,[2]Sheet1!$B$4:$B$23,1),MATCH(D259,[2]Sheet1!$C$3:$Q$3,1))
+ (K259 - INDEX([2]Sheet1!$B$4:$B$23,MATCH(K259,[2]Sheet1!$B$4:$B$23,1),1))/(INDEX([2]Sheet1!$B$4:$B$23,MATCH(K259,[2]Sheet1!$B$4:$B$23,1)+1,1) - INDEX([2]Sheet1!$B$4:$B$23,MATCH(K259,[2]Sheet1!$B$4:$B$23,1),1))*(INDEX([2]Sheet1!$C$4:$Q$23,MATCH(K259,[2]Sheet1!$B$4:$B$23,1)+1,MATCH(D259,[2]Sheet1!$C$3:$Q$3,1)) - INDEX([2]Sheet1!$C$4:$Q$23,MATCH(K259,[2]Sheet1!$B$4:$B$23,1),MATCH(D259,[2]Sheet1!$C$3:$Q$3,1)))
+ (D259 - INDEX([2]Sheet1!$C$3:$Q$3,1,MATCH(D259,[2]Sheet1!$C$3:$Q$3)))/(INDEX([2]Sheet1!$C$3:$Q$3,1,MATCH(D259,[2]Sheet1!$C$3:$Q$3)+1) - INDEX([2]Sheet1!$C$3:$Q$3,1,MATCH(D259,[2]Sheet1!$C$3:$Q$3)))*(
INDEX([2]Sheet1!$C$4:$Q$23,MATCH(K259,[2]Sheet1!$B$4:$B$23,1),MATCH(D259,[2]Sheet1!$C$3:$Q$3,1)+1) - INDEX([2]Sheet1!$C$4:$Q$23,MATCH(K259,[2]Sheet1!$B$4:$B$23,1),MATCH(D259,[2]Sheet1!$C$3:$Q$3,1)))))</f>
        <v>0</v>
      </c>
      <c r="N259">
        <f t="shared" si="80"/>
        <v>12</v>
      </c>
      <c r="O259">
        <v>9.0606168852405425E-2</v>
      </c>
      <c r="P259" t="e">
        <f t="shared" si="81"/>
        <v>#DIV/0!</v>
      </c>
      <c r="Q259">
        <f t="shared" si="68"/>
        <v>0</v>
      </c>
      <c r="R259">
        <f t="shared" si="82"/>
        <v>741.9099431943954</v>
      </c>
      <c r="T259" t="e">
        <f t="shared" si="71"/>
        <v>#DIV/0!</v>
      </c>
      <c r="U259" t="e">
        <f t="shared" si="72"/>
        <v>#DIV/0!</v>
      </c>
      <c r="V259">
        <f t="shared" si="73"/>
        <v>0</v>
      </c>
      <c r="W259" t="e">
        <f t="shared" si="69"/>
        <v>#DIV/0!</v>
      </c>
    </row>
    <row r="260" spans="1:23" x14ac:dyDescent="0.55000000000000004">
      <c r="A260">
        <f t="shared" si="70"/>
        <v>22.600000000000051</v>
      </c>
      <c r="B260">
        <f t="shared" si="74"/>
        <v>0.316</v>
      </c>
      <c r="C260">
        <f t="shared" si="75"/>
        <v>-9.7391304347826431</v>
      </c>
      <c r="D260">
        <v>2.4537150750015884</v>
      </c>
      <c r="E260">
        <f t="shared" si="65"/>
        <v>0</v>
      </c>
      <c r="F260">
        <f t="shared" si="76"/>
        <v>4.8605058816845369E-2</v>
      </c>
      <c r="G260">
        <f t="shared" si="77"/>
        <v>39.513748498891111</v>
      </c>
      <c r="H260">
        <f t="shared" si="78"/>
        <v>0</v>
      </c>
      <c r="I260" s="1">
        <f t="shared" si="66"/>
        <v>0</v>
      </c>
      <c r="J260">
        <f t="shared" si="79"/>
        <v>0</v>
      </c>
      <c r="K260">
        <f t="shared" si="67"/>
        <v>0</v>
      </c>
      <c r="L260" cm="1">
        <f t="array" ref="L260">IF(E260*J260=0,0,$C$21*INDEX([3]Sheet1!$C$4:$Q$23,MATCH(K260,[3]Sheet1!$B$4:$B$23,1),MATCH(D260,[3]Sheet1!$C$3:$Q$3,1))
+(K260-INDEX([3]Sheet1!$B$4:$B$23,MATCH(K260,[3]Sheet1!$B$4:$B$23,1),1))/(INDEX([3]Sheet1!$B$4:$B$23,MATCH(K260,[3]Sheet1!$B$4:$B$23,1)+1,1)-INDEX([3]Sheet1!$B$4:$B$23,
MATCH(K260,[3]Sheet1!$B$4:$B$23,1),1))*(INDEX([3]Sheet1!$C$4:$Q$23,MATCH(K260,[3]Sheet1!$B$4:$B$23,1)+1,MATCH(D260,[3]Sheet1!$C$3:$Q$3,1))-INDEX([3]Sheet1!$C$4:$Q$23,
MATCH(K260,[3]Sheet1!$B$4:$B$23,1),MATCH(D260,[3]Sheet1!$C$3:$Q$3,1)))
+(D260-INDEX([3]Sheet1!$C$3:$Q$3,1,MATCH(D260,[3]Sheet1!$C$3:$Q$3)))/(INDEX([3]Sheet1!$C$3:$Q$3,1,MATCH(D260,[3]Sheet1!$C$3:$Q$3)+1)-INDEX([3]Sheet1!$C$3:$Q$3,1,MATCH(
D260,[3]Sheet1!$C$3:$Q$3)))*(INDEX([3]Sheet1!$C$4:$Q$23,MATCH(K260,[3]Sheet1!$B$4:$B$23,1),MATCH(D260,[3]Sheet1!$C$3:$Q$3,1)+1)-INDEX([3]Sheet1!$C$4:$Q$23,MATCH(K260,[3]Sheet1!$B$4:$B$23,1),MATCH(D260,[3]Sheet1!$C$3:$Q$3,1))))</f>
        <v>0</v>
      </c>
      <c r="M260" cm="1">
        <f t="array" ref="M260" xml:space="preserve"> IF(E260*J260=0,0,(INDEX([2]Sheet1!$C$4:$Q$23,MATCH(K260,[2]Sheet1!$B$4:$B$23,1),MATCH(D260,[2]Sheet1!$C$3:$Q$3,1))
+ (K260 - INDEX([2]Sheet1!$B$4:$B$23,MATCH(K260,[2]Sheet1!$B$4:$B$23,1),1))/(INDEX([2]Sheet1!$B$4:$B$23,MATCH(K260,[2]Sheet1!$B$4:$B$23,1)+1,1) - INDEX([2]Sheet1!$B$4:$B$23,MATCH(K260,[2]Sheet1!$B$4:$B$23,1),1))*(INDEX([2]Sheet1!$C$4:$Q$23,MATCH(K260,[2]Sheet1!$B$4:$B$23,1)+1,MATCH(D260,[2]Sheet1!$C$3:$Q$3,1)) - INDEX([2]Sheet1!$C$4:$Q$23,MATCH(K260,[2]Sheet1!$B$4:$B$23,1),MATCH(D260,[2]Sheet1!$C$3:$Q$3,1)))
+ (D260 - INDEX([2]Sheet1!$C$3:$Q$3,1,MATCH(D260,[2]Sheet1!$C$3:$Q$3)))/(INDEX([2]Sheet1!$C$3:$Q$3,1,MATCH(D260,[2]Sheet1!$C$3:$Q$3)+1) - INDEX([2]Sheet1!$C$3:$Q$3,1,MATCH(D260,[2]Sheet1!$C$3:$Q$3)))*(
INDEX([2]Sheet1!$C$4:$Q$23,MATCH(K260,[2]Sheet1!$B$4:$B$23,1),MATCH(D260,[2]Sheet1!$C$3:$Q$3,1)+1) - INDEX([2]Sheet1!$C$4:$Q$23,MATCH(K260,[2]Sheet1!$B$4:$B$23,1),MATCH(D260,[2]Sheet1!$C$3:$Q$3,1)))))</f>
        <v>0</v>
      </c>
      <c r="N260">
        <f t="shared" si="80"/>
        <v>12</v>
      </c>
      <c r="O260">
        <v>9.0581372135247279E-2</v>
      </c>
      <c r="P260" t="e">
        <f t="shared" si="81"/>
        <v>#DIV/0!</v>
      </c>
      <c r="Q260">
        <f t="shared" si="68"/>
        <v>0</v>
      </c>
      <c r="R260">
        <f t="shared" si="82"/>
        <v>741.9099431943954</v>
      </c>
      <c r="T260" t="e">
        <f t="shared" si="71"/>
        <v>#DIV/0!</v>
      </c>
      <c r="U260" t="e">
        <f t="shared" si="72"/>
        <v>#DIV/0!</v>
      </c>
      <c r="V260">
        <f t="shared" si="73"/>
        <v>0</v>
      </c>
      <c r="W260" t="e">
        <f t="shared" si="69"/>
        <v>#DIV/0!</v>
      </c>
    </row>
    <row r="261" spans="1:23" x14ac:dyDescent="0.55000000000000004">
      <c r="A261">
        <f t="shared" si="70"/>
        <v>22.700000000000053</v>
      </c>
      <c r="B261">
        <f t="shared" si="74"/>
        <v>0.316</v>
      </c>
      <c r="C261">
        <f t="shared" si="75"/>
        <v>-9.8043478260869943</v>
      </c>
      <c r="D261">
        <v>2.4535954210016664</v>
      </c>
      <c r="E261">
        <f t="shared" si="65"/>
        <v>0</v>
      </c>
      <c r="F261">
        <f t="shared" si="76"/>
        <v>4.8605058816845369E-2</v>
      </c>
      <c r="G261">
        <f t="shared" si="77"/>
        <v>39.513748498891111</v>
      </c>
      <c r="H261">
        <f t="shared" si="78"/>
        <v>0</v>
      </c>
      <c r="I261" s="1">
        <f t="shared" si="66"/>
        <v>0</v>
      </c>
      <c r="J261">
        <f t="shared" si="79"/>
        <v>0</v>
      </c>
      <c r="K261">
        <f t="shared" si="67"/>
        <v>0</v>
      </c>
      <c r="L261" cm="1">
        <f t="array" ref="L261">IF(E261*J261=0,0,$C$21*INDEX([3]Sheet1!$C$4:$Q$23,MATCH(K261,[3]Sheet1!$B$4:$B$23,1),MATCH(D261,[3]Sheet1!$C$3:$Q$3,1))
+(K261-INDEX([3]Sheet1!$B$4:$B$23,MATCH(K261,[3]Sheet1!$B$4:$B$23,1),1))/(INDEX([3]Sheet1!$B$4:$B$23,MATCH(K261,[3]Sheet1!$B$4:$B$23,1)+1,1)-INDEX([3]Sheet1!$B$4:$B$23,
MATCH(K261,[3]Sheet1!$B$4:$B$23,1),1))*(INDEX([3]Sheet1!$C$4:$Q$23,MATCH(K261,[3]Sheet1!$B$4:$B$23,1)+1,MATCH(D261,[3]Sheet1!$C$3:$Q$3,1))-INDEX([3]Sheet1!$C$4:$Q$23,
MATCH(K261,[3]Sheet1!$B$4:$B$23,1),MATCH(D261,[3]Sheet1!$C$3:$Q$3,1)))
+(D261-INDEX([3]Sheet1!$C$3:$Q$3,1,MATCH(D261,[3]Sheet1!$C$3:$Q$3)))/(INDEX([3]Sheet1!$C$3:$Q$3,1,MATCH(D261,[3]Sheet1!$C$3:$Q$3)+1)-INDEX([3]Sheet1!$C$3:$Q$3,1,MATCH(
D261,[3]Sheet1!$C$3:$Q$3)))*(INDEX([3]Sheet1!$C$4:$Q$23,MATCH(K261,[3]Sheet1!$B$4:$B$23,1),MATCH(D261,[3]Sheet1!$C$3:$Q$3,1)+1)-INDEX([3]Sheet1!$C$4:$Q$23,MATCH(K261,[3]Sheet1!$B$4:$B$23,1),MATCH(D261,[3]Sheet1!$C$3:$Q$3,1))))</f>
        <v>0</v>
      </c>
      <c r="M261" cm="1">
        <f t="array" ref="M261" xml:space="preserve"> IF(E261*J261=0,0,(INDEX([2]Sheet1!$C$4:$Q$23,MATCH(K261,[2]Sheet1!$B$4:$B$23,1),MATCH(D261,[2]Sheet1!$C$3:$Q$3,1))
+ (K261 - INDEX([2]Sheet1!$B$4:$B$23,MATCH(K261,[2]Sheet1!$B$4:$B$23,1),1))/(INDEX([2]Sheet1!$B$4:$B$23,MATCH(K261,[2]Sheet1!$B$4:$B$23,1)+1,1) - INDEX([2]Sheet1!$B$4:$B$23,MATCH(K261,[2]Sheet1!$B$4:$B$23,1),1))*(INDEX([2]Sheet1!$C$4:$Q$23,MATCH(K261,[2]Sheet1!$B$4:$B$23,1)+1,MATCH(D261,[2]Sheet1!$C$3:$Q$3,1)) - INDEX([2]Sheet1!$C$4:$Q$23,MATCH(K261,[2]Sheet1!$B$4:$B$23,1),MATCH(D261,[2]Sheet1!$C$3:$Q$3,1)))
+ (D261 - INDEX([2]Sheet1!$C$3:$Q$3,1,MATCH(D261,[2]Sheet1!$C$3:$Q$3)))/(INDEX([2]Sheet1!$C$3:$Q$3,1,MATCH(D261,[2]Sheet1!$C$3:$Q$3)+1) - INDEX([2]Sheet1!$C$3:$Q$3,1,MATCH(D261,[2]Sheet1!$C$3:$Q$3)))*(
INDEX([2]Sheet1!$C$4:$Q$23,MATCH(K261,[2]Sheet1!$B$4:$B$23,1),MATCH(D261,[2]Sheet1!$C$3:$Q$3,1)+1) - INDEX([2]Sheet1!$C$4:$Q$23,MATCH(K261,[2]Sheet1!$B$4:$B$23,1),MATCH(D261,[2]Sheet1!$C$3:$Q$3,1)))))</f>
        <v>0</v>
      </c>
      <c r="N261">
        <f t="shared" si="80"/>
        <v>12</v>
      </c>
      <c r="O261">
        <v>9.0556638004550688E-2</v>
      </c>
      <c r="P261" t="e">
        <f t="shared" si="81"/>
        <v>#DIV/0!</v>
      </c>
      <c r="Q261">
        <f t="shared" si="68"/>
        <v>0</v>
      </c>
      <c r="R261">
        <f t="shared" si="82"/>
        <v>741.9099431943954</v>
      </c>
      <c r="T261" t="e">
        <f t="shared" si="71"/>
        <v>#DIV/0!</v>
      </c>
      <c r="U261" t="e">
        <f t="shared" si="72"/>
        <v>#DIV/0!</v>
      </c>
      <c r="V261">
        <f t="shared" si="73"/>
        <v>0</v>
      </c>
      <c r="W261" t="e">
        <f t="shared" si="69"/>
        <v>#DIV/0!</v>
      </c>
    </row>
    <row r="262" spans="1:23" x14ac:dyDescent="0.55000000000000004">
      <c r="A262">
        <f t="shared" si="70"/>
        <v>22.800000000000054</v>
      </c>
      <c r="B262">
        <f t="shared" si="74"/>
        <v>0.316</v>
      </c>
      <c r="C262">
        <f t="shared" si="75"/>
        <v>-9.8695652173913402</v>
      </c>
      <c r="D262">
        <v>2.4534760354478049</v>
      </c>
      <c r="E262">
        <f t="shared" si="65"/>
        <v>0</v>
      </c>
      <c r="F262">
        <f t="shared" si="76"/>
        <v>4.8605058816845369E-2</v>
      </c>
      <c r="G262">
        <f t="shared" si="77"/>
        <v>39.513748498891111</v>
      </c>
      <c r="H262">
        <f t="shared" si="78"/>
        <v>0</v>
      </c>
      <c r="I262" s="1">
        <f t="shared" si="66"/>
        <v>0</v>
      </c>
      <c r="J262">
        <f t="shared" si="79"/>
        <v>0</v>
      </c>
      <c r="K262">
        <f t="shared" si="67"/>
        <v>0</v>
      </c>
      <c r="L262" cm="1">
        <f t="array" ref="L262">IF(E262*J262=0,0,$C$21*INDEX([3]Sheet1!$C$4:$Q$23,MATCH(K262,[3]Sheet1!$B$4:$B$23,1),MATCH(D262,[3]Sheet1!$C$3:$Q$3,1))
+(K262-INDEX([3]Sheet1!$B$4:$B$23,MATCH(K262,[3]Sheet1!$B$4:$B$23,1),1))/(INDEX([3]Sheet1!$B$4:$B$23,MATCH(K262,[3]Sheet1!$B$4:$B$23,1)+1,1)-INDEX([3]Sheet1!$B$4:$B$23,
MATCH(K262,[3]Sheet1!$B$4:$B$23,1),1))*(INDEX([3]Sheet1!$C$4:$Q$23,MATCH(K262,[3]Sheet1!$B$4:$B$23,1)+1,MATCH(D262,[3]Sheet1!$C$3:$Q$3,1))-INDEX([3]Sheet1!$C$4:$Q$23,
MATCH(K262,[3]Sheet1!$B$4:$B$23,1),MATCH(D262,[3]Sheet1!$C$3:$Q$3,1)))
+(D262-INDEX([3]Sheet1!$C$3:$Q$3,1,MATCH(D262,[3]Sheet1!$C$3:$Q$3)))/(INDEX([3]Sheet1!$C$3:$Q$3,1,MATCH(D262,[3]Sheet1!$C$3:$Q$3)+1)-INDEX([3]Sheet1!$C$3:$Q$3,1,MATCH(
D262,[3]Sheet1!$C$3:$Q$3)))*(INDEX([3]Sheet1!$C$4:$Q$23,MATCH(K262,[3]Sheet1!$B$4:$B$23,1),MATCH(D262,[3]Sheet1!$C$3:$Q$3,1)+1)-INDEX([3]Sheet1!$C$4:$Q$23,MATCH(K262,[3]Sheet1!$B$4:$B$23,1),MATCH(D262,[3]Sheet1!$C$3:$Q$3,1))))</f>
        <v>0</v>
      </c>
      <c r="M262" cm="1">
        <f t="array" ref="M262" xml:space="preserve"> IF(E262*J262=0,0,(INDEX([2]Sheet1!$C$4:$Q$23,MATCH(K262,[2]Sheet1!$B$4:$B$23,1),MATCH(D262,[2]Sheet1!$C$3:$Q$3,1))
+ (K262 - INDEX([2]Sheet1!$B$4:$B$23,MATCH(K262,[2]Sheet1!$B$4:$B$23,1),1))/(INDEX([2]Sheet1!$B$4:$B$23,MATCH(K262,[2]Sheet1!$B$4:$B$23,1)+1,1) - INDEX([2]Sheet1!$B$4:$B$23,MATCH(K262,[2]Sheet1!$B$4:$B$23,1),1))*(INDEX([2]Sheet1!$C$4:$Q$23,MATCH(K262,[2]Sheet1!$B$4:$B$23,1)+1,MATCH(D262,[2]Sheet1!$C$3:$Q$3,1)) - INDEX([2]Sheet1!$C$4:$Q$23,MATCH(K262,[2]Sheet1!$B$4:$B$23,1),MATCH(D262,[2]Sheet1!$C$3:$Q$3,1)))
+ (D262 - INDEX([2]Sheet1!$C$3:$Q$3,1,MATCH(D262,[2]Sheet1!$C$3:$Q$3)))/(INDEX([2]Sheet1!$C$3:$Q$3,1,MATCH(D262,[2]Sheet1!$C$3:$Q$3)+1) - INDEX([2]Sheet1!$C$3:$Q$3,1,MATCH(D262,[2]Sheet1!$C$3:$Q$3)))*(
INDEX([2]Sheet1!$C$4:$Q$23,MATCH(K262,[2]Sheet1!$B$4:$B$23,1),MATCH(D262,[2]Sheet1!$C$3:$Q$3,1)+1) - INDEX([2]Sheet1!$C$4:$Q$23,MATCH(K262,[2]Sheet1!$B$4:$B$23,1),MATCH(D262,[2]Sheet1!$C$3:$Q$3,1)))))</f>
        <v>0</v>
      </c>
      <c r="N262">
        <f t="shared" si="80"/>
        <v>12</v>
      </c>
      <c r="O262">
        <v>9.0531966155797394E-2</v>
      </c>
      <c r="P262" t="e">
        <f t="shared" si="81"/>
        <v>#DIV/0!</v>
      </c>
      <c r="Q262">
        <f t="shared" si="68"/>
        <v>0</v>
      </c>
      <c r="R262">
        <f t="shared" si="82"/>
        <v>741.9099431943954</v>
      </c>
      <c r="T262" t="e">
        <f t="shared" si="71"/>
        <v>#DIV/0!</v>
      </c>
      <c r="U262" t="e">
        <f t="shared" si="72"/>
        <v>#DIV/0!</v>
      </c>
      <c r="V262">
        <f t="shared" si="73"/>
        <v>0</v>
      </c>
      <c r="W262" t="e">
        <f t="shared" si="69"/>
        <v>#DIV/0!</v>
      </c>
    </row>
    <row r="263" spans="1:23" x14ac:dyDescent="0.55000000000000004">
      <c r="A263">
        <f t="shared" si="70"/>
        <v>22.900000000000055</v>
      </c>
      <c r="B263">
        <f t="shared" si="74"/>
        <v>0.316</v>
      </c>
      <c r="C263">
        <f t="shared" si="75"/>
        <v>-9.9347826086956879</v>
      </c>
      <c r="D263">
        <v>2.4533569171020964</v>
      </c>
      <c r="E263">
        <f t="shared" si="65"/>
        <v>0</v>
      </c>
      <c r="F263">
        <f t="shared" si="76"/>
        <v>4.8605058816845369E-2</v>
      </c>
      <c r="G263">
        <f t="shared" si="77"/>
        <v>39.513748498891111</v>
      </c>
      <c r="H263">
        <f t="shared" si="78"/>
        <v>0</v>
      </c>
      <c r="I263" s="1">
        <f t="shared" si="66"/>
        <v>0</v>
      </c>
      <c r="J263">
        <f t="shared" si="79"/>
        <v>0</v>
      </c>
      <c r="K263">
        <f t="shared" si="67"/>
        <v>0</v>
      </c>
      <c r="L263" cm="1">
        <f t="array" ref="L263">IF(E263*J263=0,0,$C$21*INDEX([3]Sheet1!$C$4:$Q$23,MATCH(K263,[3]Sheet1!$B$4:$B$23,1),MATCH(D263,[3]Sheet1!$C$3:$Q$3,1))
+(K263-INDEX([3]Sheet1!$B$4:$B$23,MATCH(K263,[3]Sheet1!$B$4:$B$23,1),1))/(INDEX([3]Sheet1!$B$4:$B$23,MATCH(K263,[3]Sheet1!$B$4:$B$23,1)+1,1)-INDEX([3]Sheet1!$B$4:$B$23,
MATCH(K263,[3]Sheet1!$B$4:$B$23,1),1))*(INDEX([3]Sheet1!$C$4:$Q$23,MATCH(K263,[3]Sheet1!$B$4:$B$23,1)+1,MATCH(D263,[3]Sheet1!$C$3:$Q$3,1))-INDEX([3]Sheet1!$C$4:$Q$23,
MATCH(K263,[3]Sheet1!$B$4:$B$23,1),MATCH(D263,[3]Sheet1!$C$3:$Q$3,1)))
+(D263-INDEX([3]Sheet1!$C$3:$Q$3,1,MATCH(D263,[3]Sheet1!$C$3:$Q$3)))/(INDEX([3]Sheet1!$C$3:$Q$3,1,MATCH(D263,[3]Sheet1!$C$3:$Q$3)+1)-INDEX([3]Sheet1!$C$3:$Q$3,1,MATCH(
D263,[3]Sheet1!$C$3:$Q$3)))*(INDEX([3]Sheet1!$C$4:$Q$23,MATCH(K263,[3]Sheet1!$B$4:$B$23,1),MATCH(D263,[3]Sheet1!$C$3:$Q$3,1)+1)-INDEX([3]Sheet1!$C$4:$Q$23,MATCH(K263,[3]Sheet1!$B$4:$B$23,1),MATCH(D263,[3]Sheet1!$C$3:$Q$3,1))))</f>
        <v>0</v>
      </c>
      <c r="M263" cm="1">
        <f t="array" ref="M263" xml:space="preserve"> IF(E263*J263=0,0,(INDEX([2]Sheet1!$C$4:$Q$23,MATCH(K263,[2]Sheet1!$B$4:$B$23,1),MATCH(D263,[2]Sheet1!$C$3:$Q$3,1))
+ (K263 - INDEX([2]Sheet1!$B$4:$B$23,MATCH(K263,[2]Sheet1!$B$4:$B$23,1),1))/(INDEX([2]Sheet1!$B$4:$B$23,MATCH(K263,[2]Sheet1!$B$4:$B$23,1)+1,1) - INDEX([2]Sheet1!$B$4:$B$23,MATCH(K263,[2]Sheet1!$B$4:$B$23,1),1))*(INDEX([2]Sheet1!$C$4:$Q$23,MATCH(K263,[2]Sheet1!$B$4:$B$23,1)+1,MATCH(D263,[2]Sheet1!$C$3:$Q$3,1)) - INDEX([2]Sheet1!$C$4:$Q$23,MATCH(K263,[2]Sheet1!$B$4:$B$23,1),MATCH(D263,[2]Sheet1!$C$3:$Q$3,1)))
+ (D263 - INDEX([2]Sheet1!$C$3:$Q$3,1,MATCH(D263,[2]Sheet1!$C$3:$Q$3)))/(INDEX([2]Sheet1!$C$3:$Q$3,1,MATCH(D263,[2]Sheet1!$C$3:$Q$3)+1) - INDEX([2]Sheet1!$C$3:$Q$3,1,MATCH(D263,[2]Sheet1!$C$3:$Q$3)))*(
INDEX([2]Sheet1!$C$4:$Q$23,MATCH(K263,[2]Sheet1!$B$4:$B$23,1),MATCH(D263,[2]Sheet1!$C$3:$Q$3,1)+1) - INDEX([2]Sheet1!$C$4:$Q$23,MATCH(K263,[2]Sheet1!$B$4:$B$23,1),MATCH(D263,[2]Sheet1!$C$3:$Q$3,1)))))</f>
        <v>0</v>
      </c>
      <c r="N263">
        <f t="shared" si="80"/>
        <v>12</v>
      </c>
      <c r="O263">
        <v>9.0507356286664314E-2</v>
      </c>
      <c r="P263" t="e">
        <f t="shared" si="81"/>
        <v>#DIV/0!</v>
      </c>
      <c r="Q263">
        <f t="shared" si="68"/>
        <v>0</v>
      </c>
      <c r="R263">
        <f t="shared" si="82"/>
        <v>741.9099431943954</v>
      </c>
      <c r="T263" t="e">
        <f t="shared" si="71"/>
        <v>#DIV/0!</v>
      </c>
      <c r="U263" t="e">
        <f t="shared" si="72"/>
        <v>#DIV/0!</v>
      </c>
      <c r="V263">
        <f t="shared" si="73"/>
        <v>0</v>
      </c>
      <c r="W263" t="e">
        <f t="shared" si="69"/>
        <v>#DIV/0!</v>
      </c>
    </row>
    <row r="264" spans="1:23" x14ac:dyDescent="0.55000000000000004">
      <c r="A264">
        <f t="shared" si="70"/>
        <v>23.000000000000057</v>
      </c>
      <c r="B264">
        <f t="shared" si="74"/>
        <v>0.316</v>
      </c>
      <c r="C264">
        <f t="shared" si="75"/>
        <v>-10.000000000000039</v>
      </c>
      <c r="D264">
        <v>2.4532380647352245</v>
      </c>
      <c r="E264">
        <f t="shared" si="65"/>
        <v>0</v>
      </c>
      <c r="F264">
        <f t="shared" si="76"/>
        <v>4.8605058816845369E-2</v>
      </c>
      <c r="G264">
        <f t="shared" si="77"/>
        <v>39.513748498891111</v>
      </c>
      <c r="H264">
        <f t="shared" si="78"/>
        <v>0</v>
      </c>
      <c r="I264" s="1">
        <f t="shared" si="66"/>
        <v>0</v>
      </c>
      <c r="J264">
        <f t="shared" si="79"/>
        <v>0</v>
      </c>
      <c r="K264">
        <f t="shared" si="67"/>
        <v>0</v>
      </c>
      <c r="L264" cm="1">
        <f t="array" ref="L264">IF(E264*J264=0,0,$C$21*INDEX([3]Sheet1!$C$4:$Q$23,MATCH(K264,[3]Sheet1!$B$4:$B$23,1),MATCH(D264,[3]Sheet1!$C$3:$Q$3,1))
+(K264-INDEX([3]Sheet1!$B$4:$B$23,MATCH(K264,[3]Sheet1!$B$4:$B$23,1),1))/(INDEX([3]Sheet1!$B$4:$B$23,MATCH(K264,[3]Sheet1!$B$4:$B$23,1)+1,1)-INDEX([3]Sheet1!$B$4:$B$23,
MATCH(K264,[3]Sheet1!$B$4:$B$23,1),1))*(INDEX([3]Sheet1!$C$4:$Q$23,MATCH(K264,[3]Sheet1!$B$4:$B$23,1)+1,MATCH(D264,[3]Sheet1!$C$3:$Q$3,1))-INDEX([3]Sheet1!$C$4:$Q$23,
MATCH(K264,[3]Sheet1!$B$4:$B$23,1),MATCH(D264,[3]Sheet1!$C$3:$Q$3,1)))
+(D264-INDEX([3]Sheet1!$C$3:$Q$3,1,MATCH(D264,[3]Sheet1!$C$3:$Q$3)))/(INDEX([3]Sheet1!$C$3:$Q$3,1,MATCH(D264,[3]Sheet1!$C$3:$Q$3)+1)-INDEX([3]Sheet1!$C$3:$Q$3,1,MATCH(
D264,[3]Sheet1!$C$3:$Q$3)))*(INDEX([3]Sheet1!$C$4:$Q$23,MATCH(K264,[3]Sheet1!$B$4:$B$23,1),MATCH(D264,[3]Sheet1!$C$3:$Q$3,1)+1)-INDEX([3]Sheet1!$C$4:$Q$23,MATCH(K264,[3]Sheet1!$B$4:$B$23,1),MATCH(D264,[3]Sheet1!$C$3:$Q$3,1))))</f>
        <v>0</v>
      </c>
      <c r="M264" cm="1">
        <f t="array" ref="M264" xml:space="preserve"> IF(E264*J264=0,0,(INDEX([2]Sheet1!$C$4:$Q$23,MATCH(K264,[2]Sheet1!$B$4:$B$23,1),MATCH(D264,[2]Sheet1!$C$3:$Q$3,1))
+ (K264 - INDEX([2]Sheet1!$B$4:$B$23,MATCH(K264,[2]Sheet1!$B$4:$B$23,1),1))/(INDEX([2]Sheet1!$B$4:$B$23,MATCH(K264,[2]Sheet1!$B$4:$B$23,1)+1,1) - INDEX([2]Sheet1!$B$4:$B$23,MATCH(K264,[2]Sheet1!$B$4:$B$23,1),1))*(INDEX([2]Sheet1!$C$4:$Q$23,MATCH(K264,[2]Sheet1!$B$4:$B$23,1)+1,MATCH(D264,[2]Sheet1!$C$3:$Q$3,1)) - INDEX([2]Sheet1!$C$4:$Q$23,MATCH(K264,[2]Sheet1!$B$4:$B$23,1),MATCH(D264,[2]Sheet1!$C$3:$Q$3,1)))
+ (D264 - INDEX([2]Sheet1!$C$3:$Q$3,1,MATCH(D264,[2]Sheet1!$C$3:$Q$3)))/(INDEX([2]Sheet1!$C$3:$Q$3,1,MATCH(D264,[2]Sheet1!$C$3:$Q$3)+1) - INDEX([2]Sheet1!$C$3:$Q$3,1,MATCH(D264,[2]Sheet1!$C$3:$Q$3)))*(
INDEX([2]Sheet1!$C$4:$Q$23,MATCH(K264,[2]Sheet1!$B$4:$B$23,1),MATCH(D264,[2]Sheet1!$C$3:$Q$3,1)+1) - INDEX([2]Sheet1!$C$4:$Q$23,MATCH(K264,[2]Sheet1!$B$4:$B$23,1),MATCH(D264,[2]Sheet1!$C$3:$Q$3,1)))))</f>
        <v>0</v>
      </c>
      <c r="N264">
        <f t="shared" si="80"/>
        <v>12</v>
      </c>
      <c r="O264">
        <v>9.0482808097003917E-2</v>
      </c>
      <c r="P264" t="e">
        <f t="shared" si="81"/>
        <v>#DIV/0!</v>
      </c>
      <c r="Q264">
        <f t="shared" si="68"/>
        <v>0</v>
      </c>
      <c r="R264">
        <f t="shared" si="82"/>
        <v>741.9099431943954</v>
      </c>
      <c r="T264" t="e">
        <f t="shared" si="71"/>
        <v>#DIV/0!</v>
      </c>
      <c r="U264" t="e">
        <f t="shared" si="72"/>
        <v>#DIV/0!</v>
      </c>
      <c r="V264">
        <f t="shared" si="73"/>
        <v>0</v>
      </c>
      <c r="W264" t="e">
        <f t="shared" si="69"/>
        <v>#DIV/0!</v>
      </c>
    </row>
    <row r="265" spans="1:23" x14ac:dyDescent="0.55000000000000004">
      <c r="A265">
        <f t="shared" si="70"/>
        <v>23.100000000000058</v>
      </c>
      <c r="B265">
        <f t="shared" si="74"/>
        <v>0.316</v>
      </c>
      <c r="C265">
        <f t="shared" si="75"/>
        <v>-10.065217391304389</v>
      </c>
      <c r="D265">
        <v>2.4531194771263829</v>
      </c>
      <c r="E265">
        <f t="shared" si="65"/>
        <v>0</v>
      </c>
      <c r="F265">
        <f t="shared" si="76"/>
        <v>4.8605058816845369E-2</v>
      </c>
      <c r="G265">
        <f t="shared" si="77"/>
        <v>39.513748498891111</v>
      </c>
      <c r="H265">
        <f t="shared" si="78"/>
        <v>0</v>
      </c>
      <c r="I265" s="1">
        <f t="shared" si="66"/>
        <v>0</v>
      </c>
      <c r="J265">
        <f t="shared" si="79"/>
        <v>0</v>
      </c>
      <c r="K265">
        <f t="shared" si="67"/>
        <v>0</v>
      </c>
      <c r="L265" cm="1">
        <f t="array" ref="L265">IF(E265*J265=0,0,$C$21*INDEX([3]Sheet1!$C$4:$Q$23,MATCH(K265,[3]Sheet1!$B$4:$B$23,1),MATCH(D265,[3]Sheet1!$C$3:$Q$3,1))
+(K265-INDEX([3]Sheet1!$B$4:$B$23,MATCH(K265,[3]Sheet1!$B$4:$B$23,1),1))/(INDEX([3]Sheet1!$B$4:$B$23,MATCH(K265,[3]Sheet1!$B$4:$B$23,1)+1,1)-INDEX([3]Sheet1!$B$4:$B$23,
MATCH(K265,[3]Sheet1!$B$4:$B$23,1),1))*(INDEX([3]Sheet1!$C$4:$Q$23,MATCH(K265,[3]Sheet1!$B$4:$B$23,1)+1,MATCH(D265,[3]Sheet1!$C$3:$Q$3,1))-INDEX([3]Sheet1!$C$4:$Q$23,
MATCH(K265,[3]Sheet1!$B$4:$B$23,1),MATCH(D265,[3]Sheet1!$C$3:$Q$3,1)))
+(D265-INDEX([3]Sheet1!$C$3:$Q$3,1,MATCH(D265,[3]Sheet1!$C$3:$Q$3)))/(INDEX([3]Sheet1!$C$3:$Q$3,1,MATCH(D265,[3]Sheet1!$C$3:$Q$3)+1)-INDEX([3]Sheet1!$C$3:$Q$3,1,MATCH(
D265,[3]Sheet1!$C$3:$Q$3)))*(INDEX([3]Sheet1!$C$4:$Q$23,MATCH(K265,[3]Sheet1!$B$4:$B$23,1),MATCH(D265,[3]Sheet1!$C$3:$Q$3,1)+1)-INDEX([3]Sheet1!$C$4:$Q$23,MATCH(K265,[3]Sheet1!$B$4:$B$23,1),MATCH(D265,[3]Sheet1!$C$3:$Q$3,1))))</f>
        <v>0</v>
      </c>
      <c r="M265" cm="1">
        <f t="array" ref="M265" xml:space="preserve"> IF(E265*J265=0,0,(INDEX([2]Sheet1!$C$4:$Q$23,MATCH(K265,[2]Sheet1!$B$4:$B$23,1),MATCH(D265,[2]Sheet1!$C$3:$Q$3,1))
+ (K265 - INDEX([2]Sheet1!$B$4:$B$23,MATCH(K265,[2]Sheet1!$B$4:$B$23,1),1))/(INDEX([2]Sheet1!$B$4:$B$23,MATCH(K265,[2]Sheet1!$B$4:$B$23,1)+1,1) - INDEX([2]Sheet1!$B$4:$B$23,MATCH(K265,[2]Sheet1!$B$4:$B$23,1),1))*(INDEX([2]Sheet1!$C$4:$Q$23,MATCH(K265,[2]Sheet1!$B$4:$B$23,1)+1,MATCH(D265,[2]Sheet1!$C$3:$Q$3,1)) - INDEX([2]Sheet1!$C$4:$Q$23,MATCH(K265,[2]Sheet1!$B$4:$B$23,1),MATCH(D265,[2]Sheet1!$C$3:$Q$3,1)))
+ (D265 - INDEX([2]Sheet1!$C$3:$Q$3,1,MATCH(D265,[2]Sheet1!$C$3:$Q$3)))/(INDEX([2]Sheet1!$C$3:$Q$3,1,MATCH(D265,[2]Sheet1!$C$3:$Q$3)+1) - INDEX([2]Sheet1!$C$3:$Q$3,1,MATCH(D265,[2]Sheet1!$C$3:$Q$3)))*(
INDEX([2]Sheet1!$C$4:$Q$23,MATCH(K265,[2]Sheet1!$B$4:$B$23,1),MATCH(D265,[2]Sheet1!$C$3:$Q$3,1)+1) - INDEX([2]Sheet1!$C$4:$Q$23,MATCH(K265,[2]Sheet1!$B$4:$B$23,1),MATCH(D265,[2]Sheet1!$C$3:$Q$3,1)))))</f>
        <v>0</v>
      </c>
      <c r="N265">
        <f t="shared" si="80"/>
        <v>12</v>
      </c>
      <c r="O265">
        <v>9.0458321288822099E-2</v>
      </c>
      <c r="P265" t="e">
        <f t="shared" si="81"/>
        <v>#DIV/0!</v>
      </c>
      <c r="Q265">
        <f t="shared" si="68"/>
        <v>0</v>
      </c>
      <c r="R265">
        <f t="shared" si="82"/>
        <v>741.9099431943954</v>
      </c>
      <c r="T265" t="e">
        <f t="shared" si="71"/>
        <v>#DIV/0!</v>
      </c>
      <c r="U265" t="e">
        <f t="shared" si="72"/>
        <v>#DIV/0!</v>
      </c>
      <c r="V265">
        <f t="shared" si="73"/>
        <v>0</v>
      </c>
      <c r="W265" t="e">
        <f t="shared" si="69"/>
        <v>#DIV/0!</v>
      </c>
    </row>
    <row r="266" spans="1:23" x14ac:dyDescent="0.55000000000000004">
      <c r="A266">
        <f t="shared" si="70"/>
        <v>23.20000000000006</v>
      </c>
      <c r="B266">
        <f t="shared" si="74"/>
        <v>0.316</v>
      </c>
      <c r="C266">
        <f t="shared" si="75"/>
        <v>-10.130434782608736</v>
      </c>
      <c r="D266">
        <v>2.4530011530631959</v>
      </c>
      <c r="E266">
        <f t="shared" si="65"/>
        <v>0</v>
      </c>
      <c r="F266">
        <f t="shared" si="76"/>
        <v>4.8605058816845369E-2</v>
      </c>
      <c r="G266">
        <f t="shared" si="77"/>
        <v>39.513748498891111</v>
      </c>
      <c r="H266">
        <f t="shared" si="78"/>
        <v>0</v>
      </c>
      <c r="I266" s="1">
        <f t="shared" si="66"/>
        <v>0</v>
      </c>
      <c r="J266">
        <f t="shared" si="79"/>
        <v>0</v>
      </c>
      <c r="K266">
        <f t="shared" si="67"/>
        <v>0</v>
      </c>
      <c r="L266" cm="1">
        <f t="array" ref="L266">IF(E266*J266=0,0,$C$21*INDEX([3]Sheet1!$C$4:$Q$23,MATCH(K266,[3]Sheet1!$B$4:$B$23,1),MATCH(D266,[3]Sheet1!$C$3:$Q$3,1))
+(K266-INDEX([3]Sheet1!$B$4:$B$23,MATCH(K266,[3]Sheet1!$B$4:$B$23,1),1))/(INDEX([3]Sheet1!$B$4:$B$23,MATCH(K266,[3]Sheet1!$B$4:$B$23,1)+1,1)-INDEX([3]Sheet1!$B$4:$B$23,
MATCH(K266,[3]Sheet1!$B$4:$B$23,1),1))*(INDEX([3]Sheet1!$C$4:$Q$23,MATCH(K266,[3]Sheet1!$B$4:$B$23,1)+1,MATCH(D266,[3]Sheet1!$C$3:$Q$3,1))-INDEX([3]Sheet1!$C$4:$Q$23,
MATCH(K266,[3]Sheet1!$B$4:$B$23,1),MATCH(D266,[3]Sheet1!$C$3:$Q$3,1)))
+(D266-INDEX([3]Sheet1!$C$3:$Q$3,1,MATCH(D266,[3]Sheet1!$C$3:$Q$3)))/(INDEX([3]Sheet1!$C$3:$Q$3,1,MATCH(D266,[3]Sheet1!$C$3:$Q$3)+1)-INDEX([3]Sheet1!$C$3:$Q$3,1,MATCH(
D266,[3]Sheet1!$C$3:$Q$3)))*(INDEX([3]Sheet1!$C$4:$Q$23,MATCH(K266,[3]Sheet1!$B$4:$B$23,1),MATCH(D266,[3]Sheet1!$C$3:$Q$3,1)+1)-INDEX([3]Sheet1!$C$4:$Q$23,MATCH(K266,[3]Sheet1!$B$4:$B$23,1),MATCH(D266,[3]Sheet1!$C$3:$Q$3,1))))</f>
        <v>0</v>
      </c>
      <c r="M266" cm="1">
        <f t="array" ref="M266" xml:space="preserve"> IF(E266*J266=0,0,(INDEX([2]Sheet1!$C$4:$Q$23,MATCH(K266,[2]Sheet1!$B$4:$B$23,1),MATCH(D266,[2]Sheet1!$C$3:$Q$3,1))
+ (K266 - INDEX([2]Sheet1!$B$4:$B$23,MATCH(K266,[2]Sheet1!$B$4:$B$23,1),1))/(INDEX([2]Sheet1!$B$4:$B$23,MATCH(K266,[2]Sheet1!$B$4:$B$23,1)+1,1) - INDEX([2]Sheet1!$B$4:$B$23,MATCH(K266,[2]Sheet1!$B$4:$B$23,1),1))*(INDEX([2]Sheet1!$C$4:$Q$23,MATCH(K266,[2]Sheet1!$B$4:$B$23,1)+1,MATCH(D266,[2]Sheet1!$C$3:$Q$3,1)) - INDEX([2]Sheet1!$C$4:$Q$23,MATCH(K266,[2]Sheet1!$B$4:$B$23,1),MATCH(D266,[2]Sheet1!$C$3:$Q$3,1)))
+ (D266 - INDEX([2]Sheet1!$C$3:$Q$3,1,MATCH(D266,[2]Sheet1!$C$3:$Q$3)))/(INDEX([2]Sheet1!$C$3:$Q$3,1,MATCH(D266,[2]Sheet1!$C$3:$Q$3)+1) - INDEX([2]Sheet1!$C$3:$Q$3,1,MATCH(D266,[2]Sheet1!$C$3:$Q$3)))*(
INDEX([2]Sheet1!$C$4:$Q$23,MATCH(K266,[2]Sheet1!$B$4:$B$23,1),MATCH(D266,[2]Sheet1!$C$3:$Q$3,1)+1) - INDEX([2]Sheet1!$C$4:$Q$23,MATCH(K266,[2]Sheet1!$B$4:$B$23,1),MATCH(D266,[2]Sheet1!$C$3:$Q$3,1)))))</f>
        <v>0</v>
      </c>
      <c r="N266">
        <f t="shared" si="80"/>
        <v>12</v>
      </c>
      <c r="O266">
        <v>9.0433895566258082E-2</v>
      </c>
      <c r="P266" t="e">
        <f t="shared" si="81"/>
        <v>#DIV/0!</v>
      </c>
      <c r="Q266">
        <f t="shared" si="68"/>
        <v>0</v>
      </c>
      <c r="R266">
        <f t="shared" si="82"/>
        <v>741.9099431943954</v>
      </c>
      <c r="T266" t="e">
        <f t="shared" si="71"/>
        <v>#DIV/0!</v>
      </c>
      <c r="U266" t="e">
        <f t="shared" si="72"/>
        <v>#DIV/0!</v>
      </c>
      <c r="V266">
        <f t="shared" si="73"/>
        <v>0</v>
      </c>
      <c r="W266" t="e">
        <f t="shared" si="69"/>
        <v>#DIV/0!</v>
      </c>
    </row>
    <row r="267" spans="1:23" x14ac:dyDescent="0.55000000000000004">
      <c r="A267">
        <f t="shared" si="70"/>
        <v>23.300000000000061</v>
      </c>
      <c r="B267">
        <f t="shared" si="74"/>
        <v>0.316</v>
      </c>
      <c r="C267">
        <f t="shared" si="75"/>
        <v>-10.195652173913082</v>
      </c>
      <c r="D267">
        <v>2.4528830913416471</v>
      </c>
      <c r="E267">
        <f t="shared" si="65"/>
        <v>0</v>
      </c>
      <c r="F267">
        <f t="shared" si="76"/>
        <v>4.8605058816845369E-2</v>
      </c>
      <c r="G267">
        <f t="shared" si="77"/>
        <v>39.513748498891111</v>
      </c>
      <c r="H267">
        <f t="shared" si="78"/>
        <v>0</v>
      </c>
      <c r="I267" s="1">
        <f t="shared" si="66"/>
        <v>0</v>
      </c>
      <c r="J267">
        <f t="shared" si="79"/>
        <v>0</v>
      </c>
      <c r="K267">
        <f t="shared" si="67"/>
        <v>0</v>
      </c>
      <c r="L267" cm="1">
        <f t="array" ref="L267">IF(E267*J267=0,0,$C$21*INDEX([3]Sheet1!$C$4:$Q$23,MATCH(K267,[3]Sheet1!$B$4:$B$23,1),MATCH(D267,[3]Sheet1!$C$3:$Q$3,1))
+(K267-INDEX([3]Sheet1!$B$4:$B$23,MATCH(K267,[3]Sheet1!$B$4:$B$23,1),1))/(INDEX([3]Sheet1!$B$4:$B$23,MATCH(K267,[3]Sheet1!$B$4:$B$23,1)+1,1)-INDEX([3]Sheet1!$B$4:$B$23,
MATCH(K267,[3]Sheet1!$B$4:$B$23,1),1))*(INDEX([3]Sheet1!$C$4:$Q$23,MATCH(K267,[3]Sheet1!$B$4:$B$23,1)+1,MATCH(D267,[3]Sheet1!$C$3:$Q$3,1))-INDEX([3]Sheet1!$C$4:$Q$23,
MATCH(K267,[3]Sheet1!$B$4:$B$23,1),MATCH(D267,[3]Sheet1!$C$3:$Q$3,1)))
+(D267-INDEX([3]Sheet1!$C$3:$Q$3,1,MATCH(D267,[3]Sheet1!$C$3:$Q$3)))/(INDEX([3]Sheet1!$C$3:$Q$3,1,MATCH(D267,[3]Sheet1!$C$3:$Q$3)+1)-INDEX([3]Sheet1!$C$3:$Q$3,1,MATCH(
D267,[3]Sheet1!$C$3:$Q$3)))*(INDEX([3]Sheet1!$C$4:$Q$23,MATCH(K267,[3]Sheet1!$B$4:$B$23,1),MATCH(D267,[3]Sheet1!$C$3:$Q$3,1)+1)-INDEX([3]Sheet1!$C$4:$Q$23,MATCH(K267,[3]Sheet1!$B$4:$B$23,1),MATCH(D267,[3]Sheet1!$C$3:$Q$3,1))))</f>
        <v>0</v>
      </c>
      <c r="M267" cm="1">
        <f t="array" ref="M267" xml:space="preserve"> IF(E267*J267=0,0,(INDEX([2]Sheet1!$C$4:$Q$23,MATCH(K267,[2]Sheet1!$B$4:$B$23,1),MATCH(D267,[2]Sheet1!$C$3:$Q$3,1))
+ (K267 - INDEX([2]Sheet1!$B$4:$B$23,MATCH(K267,[2]Sheet1!$B$4:$B$23,1),1))/(INDEX([2]Sheet1!$B$4:$B$23,MATCH(K267,[2]Sheet1!$B$4:$B$23,1)+1,1) - INDEX([2]Sheet1!$B$4:$B$23,MATCH(K267,[2]Sheet1!$B$4:$B$23,1),1))*(INDEX([2]Sheet1!$C$4:$Q$23,MATCH(K267,[2]Sheet1!$B$4:$B$23,1)+1,MATCH(D267,[2]Sheet1!$C$3:$Q$3,1)) - INDEX([2]Sheet1!$C$4:$Q$23,MATCH(K267,[2]Sheet1!$B$4:$B$23,1),MATCH(D267,[2]Sheet1!$C$3:$Q$3,1)))
+ (D267 - INDEX([2]Sheet1!$C$3:$Q$3,1,MATCH(D267,[2]Sheet1!$C$3:$Q$3)))/(INDEX([2]Sheet1!$C$3:$Q$3,1,MATCH(D267,[2]Sheet1!$C$3:$Q$3)+1) - INDEX([2]Sheet1!$C$3:$Q$3,1,MATCH(D267,[2]Sheet1!$C$3:$Q$3)))*(
INDEX([2]Sheet1!$C$4:$Q$23,MATCH(K267,[2]Sheet1!$B$4:$B$23,1),MATCH(D267,[2]Sheet1!$C$3:$Q$3,1)+1) - INDEX([2]Sheet1!$C$4:$Q$23,MATCH(K267,[2]Sheet1!$B$4:$B$23,1),MATCH(D267,[2]Sheet1!$C$3:$Q$3,1)))))</f>
        <v>0</v>
      </c>
      <c r="N267">
        <f t="shared" si="80"/>
        <v>12</v>
      </c>
      <c r="O267">
        <v>9.0409530635566546E-2</v>
      </c>
      <c r="P267" t="e">
        <f t="shared" si="81"/>
        <v>#DIV/0!</v>
      </c>
      <c r="Q267">
        <f t="shared" si="68"/>
        <v>0</v>
      </c>
      <c r="R267">
        <f t="shared" si="82"/>
        <v>741.9099431943954</v>
      </c>
      <c r="T267" t="e">
        <f t="shared" si="71"/>
        <v>#DIV/0!</v>
      </c>
      <c r="U267" t="e">
        <f t="shared" si="72"/>
        <v>#DIV/0!</v>
      </c>
      <c r="V267">
        <f t="shared" si="73"/>
        <v>0</v>
      </c>
      <c r="W267" t="e">
        <f t="shared" si="69"/>
        <v>#DIV/0!</v>
      </c>
    </row>
    <row r="268" spans="1:23" x14ac:dyDescent="0.55000000000000004">
      <c r="A268">
        <f t="shared" si="70"/>
        <v>23.400000000000063</v>
      </c>
      <c r="B268">
        <f t="shared" si="74"/>
        <v>0.316</v>
      </c>
      <c r="C268">
        <f t="shared" si="75"/>
        <v>-10.260869565217433</v>
      </c>
      <c r="D268">
        <v>2.4527652907659925</v>
      </c>
      <c r="E268">
        <f t="shared" si="65"/>
        <v>0</v>
      </c>
      <c r="F268">
        <f t="shared" si="76"/>
        <v>4.8605058816845369E-2</v>
      </c>
      <c r="G268">
        <f t="shared" si="77"/>
        <v>39.513748498891111</v>
      </c>
      <c r="H268">
        <f t="shared" si="78"/>
        <v>0</v>
      </c>
      <c r="I268" s="1">
        <f t="shared" si="66"/>
        <v>0</v>
      </c>
      <c r="J268">
        <f t="shared" si="79"/>
        <v>0</v>
      </c>
      <c r="K268">
        <f t="shared" si="67"/>
        <v>0</v>
      </c>
      <c r="L268" cm="1">
        <f t="array" ref="L268">IF(E268*J268=0,0,$C$21*INDEX([3]Sheet1!$C$4:$Q$23,MATCH(K268,[3]Sheet1!$B$4:$B$23,1),MATCH(D268,[3]Sheet1!$C$3:$Q$3,1))
+(K268-INDEX([3]Sheet1!$B$4:$B$23,MATCH(K268,[3]Sheet1!$B$4:$B$23,1),1))/(INDEX([3]Sheet1!$B$4:$B$23,MATCH(K268,[3]Sheet1!$B$4:$B$23,1)+1,1)-INDEX([3]Sheet1!$B$4:$B$23,
MATCH(K268,[3]Sheet1!$B$4:$B$23,1),1))*(INDEX([3]Sheet1!$C$4:$Q$23,MATCH(K268,[3]Sheet1!$B$4:$B$23,1)+1,MATCH(D268,[3]Sheet1!$C$3:$Q$3,1))-INDEX([3]Sheet1!$C$4:$Q$23,
MATCH(K268,[3]Sheet1!$B$4:$B$23,1),MATCH(D268,[3]Sheet1!$C$3:$Q$3,1)))
+(D268-INDEX([3]Sheet1!$C$3:$Q$3,1,MATCH(D268,[3]Sheet1!$C$3:$Q$3)))/(INDEX([3]Sheet1!$C$3:$Q$3,1,MATCH(D268,[3]Sheet1!$C$3:$Q$3)+1)-INDEX([3]Sheet1!$C$3:$Q$3,1,MATCH(
D268,[3]Sheet1!$C$3:$Q$3)))*(INDEX([3]Sheet1!$C$4:$Q$23,MATCH(K268,[3]Sheet1!$B$4:$B$23,1),MATCH(D268,[3]Sheet1!$C$3:$Q$3,1)+1)-INDEX([3]Sheet1!$C$4:$Q$23,MATCH(K268,[3]Sheet1!$B$4:$B$23,1),MATCH(D268,[3]Sheet1!$C$3:$Q$3,1))))</f>
        <v>0</v>
      </c>
      <c r="M268" cm="1">
        <f t="array" ref="M268" xml:space="preserve"> IF(E268*J268=0,0,(INDEX([2]Sheet1!$C$4:$Q$23,MATCH(K268,[2]Sheet1!$B$4:$B$23,1),MATCH(D268,[2]Sheet1!$C$3:$Q$3,1))
+ (K268 - INDEX([2]Sheet1!$B$4:$B$23,MATCH(K268,[2]Sheet1!$B$4:$B$23,1),1))/(INDEX([2]Sheet1!$B$4:$B$23,MATCH(K268,[2]Sheet1!$B$4:$B$23,1)+1,1) - INDEX([2]Sheet1!$B$4:$B$23,MATCH(K268,[2]Sheet1!$B$4:$B$23,1),1))*(INDEX([2]Sheet1!$C$4:$Q$23,MATCH(K268,[2]Sheet1!$B$4:$B$23,1)+1,MATCH(D268,[2]Sheet1!$C$3:$Q$3,1)) - INDEX([2]Sheet1!$C$4:$Q$23,MATCH(K268,[2]Sheet1!$B$4:$B$23,1),MATCH(D268,[2]Sheet1!$C$3:$Q$3,1)))
+ (D268 - INDEX([2]Sheet1!$C$3:$Q$3,1,MATCH(D268,[2]Sheet1!$C$3:$Q$3)))/(INDEX([2]Sheet1!$C$3:$Q$3,1,MATCH(D268,[2]Sheet1!$C$3:$Q$3)+1) - INDEX([2]Sheet1!$C$3:$Q$3,1,MATCH(D268,[2]Sheet1!$C$3:$Q$3)))*(
INDEX([2]Sheet1!$C$4:$Q$23,MATCH(K268,[2]Sheet1!$B$4:$B$23,1),MATCH(D268,[2]Sheet1!$C$3:$Q$3,1)+1) - INDEX([2]Sheet1!$C$4:$Q$23,MATCH(K268,[2]Sheet1!$B$4:$B$23,1),MATCH(D268,[2]Sheet1!$C$3:$Q$3,1)))))</f>
        <v>0</v>
      </c>
      <c r="N268">
        <f t="shared" si="80"/>
        <v>12</v>
      </c>
      <c r="O268">
        <v>9.0385226205093205E-2</v>
      </c>
      <c r="P268" t="e">
        <f t="shared" si="81"/>
        <v>#DIV/0!</v>
      </c>
      <c r="Q268">
        <f t="shared" si="68"/>
        <v>0</v>
      </c>
      <c r="R268">
        <f t="shared" si="82"/>
        <v>741.9099431943954</v>
      </c>
      <c r="T268" t="e">
        <f t="shared" si="71"/>
        <v>#DIV/0!</v>
      </c>
      <c r="U268" t="e">
        <f t="shared" si="72"/>
        <v>#DIV/0!</v>
      </c>
      <c r="V268">
        <f t="shared" si="73"/>
        <v>0</v>
      </c>
      <c r="W268" t="e">
        <f t="shared" si="69"/>
        <v>#DIV/0!</v>
      </c>
    </row>
    <row r="269" spans="1:23" x14ac:dyDescent="0.55000000000000004">
      <c r="A269">
        <f t="shared" si="70"/>
        <v>23.500000000000064</v>
      </c>
      <c r="B269">
        <f t="shared" si="74"/>
        <v>0.316</v>
      </c>
      <c r="C269">
        <f t="shared" si="75"/>
        <v>-10.326086956521783</v>
      </c>
      <c r="D269">
        <v>2.4526477501486936</v>
      </c>
      <c r="E269">
        <f t="shared" si="65"/>
        <v>0</v>
      </c>
      <c r="F269">
        <f t="shared" si="76"/>
        <v>4.8605058816845369E-2</v>
      </c>
      <c r="G269">
        <f t="shared" si="77"/>
        <v>39.513748498891111</v>
      </c>
      <c r="H269">
        <f t="shared" si="78"/>
        <v>0</v>
      </c>
      <c r="I269" s="1">
        <f t="shared" si="66"/>
        <v>0</v>
      </c>
      <c r="J269">
        <f t="shared" si="79"/>
        <v>0</v>
      </c>
      <c r="K269">
        <f t="shared" si="67"/>
        <v>0</v>
      </c>
      <c r="L269" cm="1">
        <f t="array" ref="L269">IF(E269*J269=0,0,$C$21*INDEX([3]Sheet1!$C$4:$Q$23,MATCH(K269,[3]Sheet1!$B$4:$B$23,1),MATCH(D269,[3]Sheet1!$C$3:$Q$3,1))
+(K269-INDEX([3]Sheet1!$B$4:$B$23,MATCH(K269,[3]Sheet1!$B$4:$B$23,1),1))/(INDEX([3]Sheet1!$B$4:$B$23,MATCH(K269,[3]Sheet1!$B$4:$B$23,1)+1,1)-INDEX([3]Sheet1!$B$4:$B$23,
MATCH(K269,[3]Sheet1!$B$4:$B$23,1),1))*(INDEX([3]Sheet1!$C$4:$Q$23,MATCH(K269,[3]Sheet1!$B$4:$B$23,1)+1,MATCH(D269,[3]Sheet1!$C$3:$Q$3,1))-INDEX([3]Sheet1!$C$4:$Q$23,
MATCH(K269,[3]Sheet1!$B$4:$B$23,1),MATCH(D269,[3]Sheet1!$C$3:$Q$3,1)))
+(D269-INDEX([3]Sheet1!$C$3:$Q$3,1,MATCH(D269,[3]Sheet1!$C$3:$Q$3)))/(INDEX([3]Sheet1!$C$3:$Q$3,1,MATCH(D269,[3]Sheet1!$C$3:$Q$3)+1)-INDEX([3]Sheet1!$C$3:$Q$3,1,MATCH(
D269,[3]Sheet1!$C$3:$Q$3)))*(INDEX([3]Sheet1!$C$4:$Q$23,MATCH(K269,[3]Sheet1!$B$4:$B$23,1),MATCH(D269,[3]Sheet1!$C$3:$Q$3,1)+1)-INDEX([3]Sheet1!$C$4:$Q$23,MATCH(K269,[3]Sheet1!$B$4:$B$23,1),MATCH(D269,[3]Sheet1!$C$3:$Q$3,1))))</f>
        <v>0</v>
      </c>
      <c r="M269" cm="1">
        <f t="array" ref="M269" xml:space="preserve"> IF(E269*J269=0,0,(INDEX([2]Sheet1!$C$4:$Q$23,MATCH(K269,[2]Sheet1!$B$4:$B$23,1),MATCH(D269,[2]Sheet1!$C$3:$Q$3,1))
+ (K269 - INDEX([2]Sheet1!$B$4:$B$23,MATCH(K269,[2]Sheet1!$B$4:$B$23,1),1))/(INDEX([2]Sheet1!$B$4:$B$23,MATCH(K269,[2]Sheet1!$B$4:$B$23,1)+1,1) - INDEX([2]Sheet1!$B$4:$B$23,MATCH(K269,[2]Sheet1!$B$4:$B$23,1),1))*(INDEX([2]Sheet1!$C$4:$Q$23,MATCH(K269,[2]Sheet1!$B$4:$B$23,1)+1,MATCH(D269,[2]Sheet1!$C$3:$Q$3,1)) - INDEX([2]Sheet1!$C$4:$Q$23,MATCH(K269,[2]Sheet1!$B$4:$B$23,1),MATCH(D269,[2]Sheet1!$C$3:$Q$3,1)))
+ (D269 - INDEX([2]Sheet1!$C$3:$Q$3,1,MATCH(D269,[2]Sheet1!$C$3:$Q$3)))/(INDEX([2]Sheet1!$C$3:$Q$3,1,MATCH(D269,[2]Sheet1!$C$3:$Q$3)+1) - INDEX([2]Sheet1!$C$3:$Q$3,1,MATCH(D269,[2]Sheet1!$C$3:$Q$3)))*(
INDEX([2]Sheet1!$C$4:$Q$23,MATCH(K269,[2]Sheet1!$B$4:$B$23,1),MATCH(D269,[2]Sheet1!$C$3:$Q$3,1)+1) - INDEX([2]Sheet1!$C$4:$Q$23,MATCH(K269,[2]Sheet1!$B$4:$B$23,1),MATCH(D269,[2]Sheet1!$C$3:$Q$3,1)))))</f>
        <v>0</v>
      </c>
      <c r="N269">
        <f t="shared" si="80"/>
        <v>12</v>
      </c>
      <c r="O269">
        <v>9.0360981985259506E-2</v>
      </c>
      <c r="P269" t="e">
        <f t="shared" si="81"/>
        <v>#DIV/0!</v>
      </c>
      <c r="Q269">
        <f t="shared" si="68"/>
        <v>0</v>
      </c>
      <c r="R269">
        <f t="shared" si="82"/>
        <v>741.9099431943954</v>
      </c>
      <c r="T269" t="e">
        <f t="shared" si="71"/>
        <v>#DIV/0!</v>
      </c>
      <c r="U269" t="e">
        <f t="shared" si="72"/>
        <v>#DIV/0!</v>
      </c>
      <c r="V269">
        <f t="shared" si="73"/>
        <v>0</v>
      </c>
      <c r="W269" t="e">
        <f t="shared" si="69"/>
        <v>#DIV/0!</v>
      </c>
    </row>
    <row r="270" spans="1:23" x14ac:dyDescent="0.55000000000000004">
      <c r="A270">
        <f t="shared" si="70"/>
        <v>23.600000000000065</v>
      </c>
      <c r="B270">
        <f t="shared" si="74"/>
        <v>0.316</v>
      </c>
      <c r="C270">
        <f t="shared" si="75"/>
        <v>-10.39130434782613</v>
      </c>
      <c r="D270">
        <v>2.4525304683103375</v>
      </c>
      <c r="E270">
        <f t="shared" si="65"/>
        <v>0</v>
      </c>
      <c r="F270">
        <f t="shared" si="76"/>
        <v>4.8605058816845369E-2</v>
      </c>
      <c r="G270">
        <f t="shared" si="77"/>
        <v>39.513748498891111</v>
      </c>
      <c r="H270">
        <f t="shared" si="78"/>
        <v>0</v>
      </c>
      <c r="I270" s="1">
        <f t="shared" si="66"/>
        <v>0</v>
      </c>
      <c r="J270">
        <f t="shared" si="79"/>
        <v>0</v>
      </c>
      <c r="K270">
        <f t="shared" si="67"/>
        <v>0</v>
      </c>
      <c r="L270" cm="1">
        <f t="array" ref="L270">IF(E270*J270=0,0,$C$21*INDEX([3]Sheet1!$C$4:$Q$23,MATCH(K270,[3]Sheet1!$B$4:$B$23,1),MATCH(D270,[3]Sheet1!$C$3:$Q$3,1))
+(K270-INDEX([3]Sheet1!$B$4:$B$23,MATCH(K270,[3]Sheet1!$B$4:$B$23,1),1))/(INDEX([3]Sheet1!$B$4:$B$23,MATCH(K270,[3]Sheet1!$B$4:$B$23,1)+1,1)-INDEX([3]Sheet1!$B$4:$B$23,
MATCH(K270,[3]Sheet1!$B$4:$B$23,1),1))*(INDEX([3]Sheet1!$C$4:$Q$23,MATCH(K270,[3]Sheet1!$B$4:$B$23,1)+1,MATCH(D270,[3]Sheet1!$C$3:$Q$3,1))-INDEX([3]Sheet1!$C$4:$Q$23,
MATCH(K270,[3]Sheet1!$B$4:$B$23,1),MATCH(D270,[3]Sheet1!$C$3:$Q$3,1)))
+(D270-INDEX([3]Sheet1!$C$3:$Q$3,1,MATCH(D270,[3]Sheet1!$C$3:$Q$3)))/(INDEX([3]Sheet1!$C$3:$Q$3,1,MATCH(D270,[3]Sheet1!$C$3:$Q$3)+1)-INDEX([3]Sheet1!$C$3:$Q$3,1,MATCH(
D270,[3]Sheet1!$C$3:$Q$3)))*(INDEX([3]Sheet1!$C$4:$Q$23,MATCH(K270,[3]Sheet1!$B$4:$B$23,1),MATCH(D270,[3]Sheet1!$C$3:$Q$3,1)+1)-INDEX([3]Sheet1!$C$4:$Q$23,MATCH(K270,[3]Sheet1!$B$4:$B$23,1),MATCH(D270,[3]Sheet1!$C$3:$Q$3,1))))</f>
        <v>0</v>
      </c>
      <c r="M270" cm="1">
        <f t="array" ref="M270" xml:space="preserve"> IF(E270*J270=0,0,(INDEX([2]Sheet1!$C$4:$Q$23,MATCH(K270,[2]Sheet1!$B$4:$B$23,1),MATCH(D270,[2]Sheet1!$C$3:$Q$3,1))
+ (K270 - INDEX([2]Sheet1!$B$4:$B$23,MATCH(K270,[2]Sheet1!$B$4:$B$23,1),1))/(INDEX([2]Sheet1!$B$4:$B$23,MATCH(K270,[2]Sheet1!$B$4:$B$23,1)+1,1) - INDEX([2]Sheet1!$B$4:$B$23,MATCH(K270,[2]Sheet1!$B$4:$B$23,1),1))*(INDEX([2]Sheet1!$C$4:$Q$23,MATCH(K270,[2]Sheet1!$B$4:$B$23,1)+1,MATCH(D270,[2]Sheet1!$C$3:$Q$3,1)) - INDEX([2]Sheet1!$C$4:$Q$23,MATCH(K270,[2]Sheet1!$B$4:$B$23,1),MATCH(D270,[2]Sheet1!$C$3:$Q$3,1)))
+ (D270 - INDEX([2]Sheet1!$C$3:$Q$3,1,MATCH(D270,[2]Sheet1!$C$3:$Q$3)))/(INDEX([2]Sheet1!$C$3:$Q$3,1,MATCH(D270,[2]Sheet1!$C$3:$Q$3)+1) - INDEX([2]Sheet1!$C$3:$Q$3,1,MATCH(D270,[2]Sheet1!$C$3:$Q$3)))*(
INDEX([2]Sheet1!$C$4:$Q$23,MATCH(K270,[2]Sheet1!$B$4:$B$23,1),MATCH(D270,[2]Sheet1!$C$3:$Q$3,1)+1) - INDEX([2]Sheet1!$C$4:$Q$23,MATCH(K270,[2]Sheet1!$B$4:$B$23,1),MATCH(D270,[2]Sheet1!$C$3:$Q$3,1)))))</f>
        <v>0</v>
      </c>
      <c r="N270">
        <f t="shared" si="80"/>
        <v>12</v>
      </c>
      <c r="O270">
        <v>9.0336797688540138E-2</v>
      </c>
      <c r="P270" t="e">
        <f t="shared" si="81"/>
        <v>#DIV/0!</v>
      </c>
      <c r="Q270">
        <f t="shared" si="68"/>
        <v>0</v>
      </c>
      <c r="R270">
        <f t="shared" si="82"/>
        <v>741.9099431943954</v>
      </c>
      <c r="T270" t="e">
        <f t="shared" si="71"/>
        <v>#DIV/0!</v>
      </c>
      <c r="U270" t="e">
        <f t="shared" si="72"/>
        <v>#DIV/0!</v>
      </c>
      <c r="V270">
        <f t="shared" si="73"/>
        <v>0</v>
      </c>
      <c r="W270" t="e">
        <f t="shared" si="69"/>
        <v>#DIV/0!</v>
      </c>
    </row>
    <row r="271" spans="1:23" x14ac:dyDescent="0.55000000000000004">
      <c r="A271">
        <f t="shared" si="70"/>
        <v>23.700000000000067</v>
      </c>
      <c r="B271">
        <f t="shared" si="74"/>
        <v>0.316</v>
      </c>
      <c r="C271">
        <f t="shared" si="75"/>
        <v>-10.456521739130478</v>
      </c>
      <c r="D271">
        <v>2.452413444079566</v>
      </c>
      <c r="E271">
        <f t="shared" si="65"/>
        <v>0</v>
      </c>
      <c r="F271">
        <f t="shared" si="76"/>
        <v>4.8605058816845369E-2</v>
      </c>
      <c r="G271">
        <f t="shared" si="77"/>
        <v>39.513748498891111</v>
      </c>
      <c r="H271">
        <f t="shared" si="78"/>
        <v>0</v>
      </c>
      <c r="I271" s="1">
        <f t="shared" si="66"/>
        <v>0</v>
      </c>
      <c r="J271">
        <f t="shared" si="79"/>
        <v>0</v>
      </c>
      <c r="K271">
        <f t="shared" si="67"/>
        <v>0</v>
      </c>
      <c r="L271" cm="1">
        <f t="array" ref="L271">IF(E271*J271=0,0,$C$21*INDEX([3]Sheet1!$C$4:$Q$23,MATCH(K271,[3]Sheet1!$B$4:$B$23,1),MATCH(D271,[3]Sheet1!$C$3:$Q$3,1))
+(K271-INDEX([3]Sheet1!$B$4:$B$23,MATCH(K271,[3]Sheet1!$B$4:$B$23,1),1))/(INDEX([3]Sheet1!$B$4:$B$23,MATCH(K271,[3]Sheet1!$B$4:$B$23,1)+1,1)-INDEX([3]Sheet1!$B$4:$B$23,
MATCH(K271,[3]Sheet1!$B$4:$B$23,1),1))*(INDEX([3]Sheet1!$C$4:$Q$23,MATCH(K271,[3]Sheet1!$B$4:$B$23,1)+1,MATCH(D271,[3]Sheet1!$C$3:$Q$3,1))-INDEX([3]Sheet1!$C$4:$Q$23,
MATCH(K271,[3]Sheet1!$B$4:$B$23,1),MATCH(D271,[3]Sheet1!$C$3:$Q$3,1)))
+(D271-INDEX([3]Sheet1!$C$3:$Q$3,1,MATCH(D271,[3]Sheet1!$C$3:$Q$3)))/(INDEX([3]Sheet1!$C$3:$Q$3,1,MATCH(D271,[3]Sheet1!$C$3:$Q$3)+1)-INDEX([3]Sheet1!$C$3:$Q$3,1,MATCH(
D271,[3]Sheet1!$C$3:$Q$3)))*(INDEX([3]Sheet1!$C$4:$Q$23,MATCH(K271,[3]Sheet1!$B$4:$B$23,1),MATCH(D271,[3]Sheet1!$C$3:$Q$3,1)+1)-INDEX([3]Sheet1!$C$4:$Q$23,MATCH(K271,[3]Sheet1!$B$4:$B$23,1),MATCH(D271,[3]Sheet1!$C$3:$Q$3,1))))</f>
        <v>0</v>
      </c>
      <c r="M271" cm="1">
        <f t="array" ref="M271" xml:space="preserve"> IF(E271*J271=0,0,(INDEX([2]Sheet1!$C$4:$Q$23,MATCH(K271,[2]Sheet1!$B$4:$B$23,1),MATCH(D271,[2]Sheet1!$C$3:$Q$3,1))
+ (K271 - INDEX([2]Sheet1!$B$4:$B$23,MATCH(K271,[2]Sheet1!$B$4:$B$23,1),1))/(INDEX([2]Sheet1!$B$4:$B$23,MATCH(K271,[2]Sheet1!$B$4:$B$23,1)+1,1) - INDEX([2]Sheet1!$B$4:$B$23,MATCH(K271,[2]Sheet1!$B$4:$B$23,1),1))*(INDEX([2]Sheet1!$C$4:$Q$23,MATCH(K271,[2]Sheet1!$B$4:$B$23,1)+1,MATCH(D271,[2]Sheet1!$C$3:$Q$3,1)) - INDEX([2]Sheet1!$C$4:$Q$23,MATCH(K271,[2]Sheet1!$B$4:$B$23,1),MATCH(D271,[2]Sheet1!$C$3:$Q$3,1)))
+ (D271 - INDEX([2]Sheet1!$C$3:$Q$3,1,MATCH(D271,[2]Sheet1!$C$3:$Q$3)))/(INDEX([2]Sheet1!$C$3:$Q$3,1,MATCH(D271,[2]Sheet1!$C$3:$Q$3)+1) - INDEX([2]Sheet1!$C$3:$Q$3,1,MATCH(D271,[2]Sheet1!$C$3:$Q$3)))*(
INDEX([2]Sheet1!$C$4:$Q$23,MATCH(K271,[2]Sheet1!$B$4:$B$23,1),MATCH(D271,[2]Sheet1!$C$3:$Q$3,1)+1) - INDEX([2]Sheet1!$C$4:$Q$23,MATCH(K271,[2]Sheet1!$B$4:$B$23,1),MATCH(D271,[2]Sheet1!$C$3:$Q$3,1)))))</f>
        <v>0</v>
      </c>
      <c r="N271">
        <f t="shared" si="80"/>
        <v>12</v>
      </c>
      <c r="O271">
        <v>9.0312673029445387E-2</v>
      </c>
      <c r="P271" t="e">
        <f t="shared" si="81"/>
        <v>#DIV/0!</v>
      </c>
      <c r="Q271">
        <f t="shared" si="68"/>
        <v>0</v>
      </c>
      <c r="R271">
        <f t="shared" si="82"/>
        <v>741.9099431943954</v>
      </c>
      <c r="T271" t="e">
        <f t="shared" si="71"/>
        <v>#DIV/0!</v>
      </c>
      <c r="U271" t="e">
        <f t="shared" si="72"/>
        <v>#DIV/0!</v>
      </c>
      <c r="V271">
        <f t="shared" si="73"/>
        <v>0</v>
      </c>
      <c r="W271" t="e">
        <f t="shared" si="69"/>
        <v>#DIV/0!</v>
      </c>
    </row>
    <row r="272" spans="1:23" x14ac:dyDescent="0.55000000000000004">
      <c r="A272">
        <f t="shared" si="70"/>
        <v>23.800000000000068</v>
      </c>
      <c r="B272">
        <f t="shared" si="74"/>
        <v>0.316</v>
      </c>
      <c r="C272">
        <f t="shared" si="75"/>
        <v>-10.521739130434828</v>
      </c>
      <c r="D272">
        <v>2.452296676292999</v>
      </c>
      <c r="E272">
        <f t="shared" si="65"/>
        <v>0</v>
      </c>
      <c r="F272">
        <f t="shared" si="76"/>
        <v>4.8605058816845369E-2</v>
      </c>
      <c r="G272">
        <f t="shared" si="77"/>
        <v>39.513748498891111</v>
      </c>
      <c r="H272">
        <f t="shared" si="78"/>
        <v>0</v>
      </c>
      <c r="I272" s="1">
        <f t="shared" si="66"/>
        <v>0</v>
      </c>
      <c r="J272">
        <f t="shared" si="79"/>
        <v>0</v>
      </c>
      <c r="K272">
        <f t="shared" si="67"/>
        <v>0</v>
      </c>
      <c r="L272" cm="1">
        <f t="array" ref="L272">IF(E272*J272=0,0,$C$21*INDEX([3]Sheet1!$C$4:$Q$23,MATCH(K272,[3]Sheet1!$B$4:$B$23,1),MATCH(D272,[3]Sheet1!$C$3:$Q$3,1))
+(K272-INDEX([3]Sheet1!$B$4:$B$23,MATCH(K272,[3]Sheet1!$B$4:$B$23,1),1))/(INDEX([3]Sheet1!$B$4:$B$23,MATCH(K272,[3]Sheet1!$B$4:$B$23,1)+1,1)-INDEX([3]Sheet1!$B$4:$B$23,
MATCH(K272,[3]Sheet1!$B$4:$B$23,1),1))*(INDEX([3]Sheet1!$C$4:$Q$23,MATCH(K272,[3]Sheet1!$B$4:$B$23,1)+1,MATCH(D272,[3]Sheet1!$C$3:$Q$3,1))-INDEX([3]Sheet1!$C$4:$Q$23,
MATCH(K272,[3]Sheet1!$B$4:$B$23,1),MATCH(D272,[3]Sheet1!$C$3:$Q$3,1)))
+(D272-INDEX([3]Sheet1!$C$3:$Q$3,1,MATCH(D272,[3]Sheet1!$C$3:$Q$3)))/(INDEX([3]Sheet1!$C$3:$Q$3,1,MATCH(D272,[3]Sheet1!$C$3:$Q$3)+1)-INDEX([3]Sheet1!$C$3:$Q$3,1,MATCH(
D272,[3]Sheet1!$C$3:$Q$3)))*(INDEX([3]Sheet1!$C$4:$Q$23,MATCH(K272,[3]Sheet1!$B$4:$B$23,1),MATCH(D272,[3]Sheet1!$C$3:$Q$3,1)+1)-INDEX([3]Sheet1!$C$4:$Q$23,MATCH(K272,[3]Sheet1!$B$4:$B$23,1),MATCH(D272,[3]Sheet1!$C$3:$Q$3,1))))</f>
        <v>0</v>
      </c>
      <c r="M272" cm="1">
        <f t="array" ref="M272" xml:space="preserve"> IF(E272*J272=0,0,(INDEX([2]Sheet1!$C$4:$Q$23,MATCH(K272,[2]Sheet1!$B$4:$B$23,1),MATCH(D272,[2]Sheet1!$C$3:$Q$3,1))
+ (K272 - INDEX([2]Sheet1!$B$4:$B$23,MATCH(K272,[2]Sheet1!$B$4:$B$23,1),1))/(INDEX([2]Sheet1!$B$4:$B$23,MATCH(K272,[2]Sheet1!$B$4:$B$23,1)+1,1) - INDEX([2]Sheet1!$B$4:$B$23,MATCH(K272,[2]Sheet1!$B$4:$B$23,1),1))*(INDEX([2]Sheet1!$C$4:$Q$23,MATCH(K272,[2]Sheet1!$B$4:$B$23,1)+1,MATCH(D272,[2]Sheet1!$C$3:$Q$3,1)) - INDEX([2]Sheet1!$C$4:$Q$23,MATCH(K272,[2]Sheet1!$B$4:$B$23,1),MATCH(D272,[2]Sheet1!$C$3:$Q$3,1)))
+ (D272 - INDEX([2]Sheet1!$C$3:$Q$3,1,MATCH(D272,[2]Sheet1!$C$3:$Q$3)))/(INDEX([2]Sheet1!$C$3:$Q$3,1,MATCH(D272,[2]Sheet1!$C$3:$Q$3)+1) - INDEX([2]Sheet1!$C$3:$Q$3,1,MATCH(D272,[2]Sheet1!$C$3:$Q$3)))*(
INDEX([2]Sheet1!$C$4:$Q$23,MATCH(K272,[2]Sheet1!$B$4:$B$23,1),MATCH(D272,[2]Sheet1!$C$3:$Q$3,1)+1) - INDEX([2]Sheet1!$C$4:$Q$23,MATCH(K272,[2]Sheet1!$B$4:$B$23,1),MATCH(D272,[2]Sheet1!$C$3:$Q$3,1)))))</f>
        <v>0</v>
      </c>
      <c r="N272">
        <f t="shared" si="80"/>
        <v>12</v>
      </c>
      <c r="O272">
        <v>9.0288607724501799E-2</v>
      </c>
      <c r="P272" t="e">
        <f t="shared" si="81"/>
        <v>#DIV/0!</v>
      </c>
      <c r="Q272">
        <f t="shared" si="68"/>
        <v>0</v>
      </c>
      <c r="R272">
        <f t="shared" si="82"/>
        <v>741.9099431943954</v>
      </c>
      <c r="T272" t="e">
        <f t="shared" si="71"/>
        <v>#DIV/0!</v>
      </c>
      <c r="U272" t="e">
        <f t="shared" si="72"/>
        <v>#DIV/0!</v>
      </c>
      <c r="V272">
        <f t="shared" si="73"/>
        <v>0</v>
      </c>
      <c r="W272" t="e">
        <f t="shared" si="69"/>
        <v>#DIV/0!</v>
      </c>
    </row>
    <row r="273" spans="1:23" x14ac:dyDescent="0.55000000000000004">
      <c r="A273">
        <f t="shared" si="70"/>
        <v>23.90000000000007</v>
      </c>
      <c r="B273">
        <f t="shared" si="74"/>
        <v>0.316</v>
      </c>
      <c r="C273">
        <f t="shared" si="75"/>
        <v>-10.586956521739179</v>
      </c>
      <c r="D273">
        <v>2.4521801637951621</v>
      </c>
      <c r="E273">
        <f t="shared" si="65"/>
        <v>0</v>
      </c>
      <c r="F273">
        <f t="shared" si="76"/>
        <v>4.8605058816845369E-2</v>
      </c>
      <c r="G273">
        <f t="shared" si="77"/>
        <v>39.513748498891111</v>
      </c>
      <c r="H273">
        <f t="shared" si="78"/>
        <v>0</v>
      </c>
      <c r="I273" s="1">
        <f t="shared" si="66"/>
        <v>0</v>
      </c>
      <c r="J273">
        <f t="shared" si="79"/>
        <v>0</v>
      </c>
      <c r="K273">
        <f t="shared" si="67"/>
        <v>0</v>
      </c>
      <c r="L273" cm="1">
        <f t="array" ref="L273">IF(E273*J273=0,0,$C$21*INDEX([3]Sheet1!$C$4:$Q$23,MATCH(K273,[3]Sheet1!$B$4:$B$23,1),MATCH(D273,[3]Sheet1!$C$3:$Q$3,1))
+(K273-INDEX([3]Sheet1!$B$4:$B$23,MATCH(K273,[3]Sheet1!$B$4:$B$23,1),1))/(INDEX([3]Sheet1!$B$4:$B$23,MATCH(K273,[3]Sheet1!$B$4:$B$23,1)+1,1)-INDEX([3]Sheet1!$B$4:$B$23,
MATCH(K273,[3]Sheet1!$B$4:$B$23,1),1))*(INDEX([3]Sheet1!$C$4:$Q$23,MATCH(K273,[3]Sheet1!$B$4:$B$23,1)+1,MATCH(D273,[3]Sheet1!$C$3:$Q$3,1))-INDEX([3]Sheet1!$C$4:$Q$23,
MATCH(K273,[3]Sheet1!$B$4:$B$23,1),MATCH(D273,[3]Sheet1!$C$3:$Q$3,1)))
+(D273-INDEX([3]Sheet1!$C$3:$Q$3,1,MATCH(D273,[3]Sheet1!$C$3:$Q$3)))/(INDEX([3]Sheet1!$C$3:$Q$3,1,MATCH(D273,[3]Sheet1!$C$3:$Q$3)+1)-INDEX([3]Sheet1!$C$3:$Q$3,1,MATCH(
D273,[3]Sheet1!$C$3:$Q$3)))*(INDEX([3]Sheet1!$C$4:$Q$23,MATCH(K273,[3]Sheet1!$B$4:$B$23,1),MATCH(D273,[3]Sheet1!$C$3:$Q$3,1)+1)-INDEX([3]Sheet1!$C$4:$Q$23,MATCH(K273,[3]Sheet1!$B$4:$B$23,1),MATCH(D273,[3]Sheet1!$C$3:$Q$3,1))))</f>
        <v>0</v>
      </c>
      <c r="M273" cm="1">
        <f t="array" ref="M273" xml:space="preserve"> IF(E273*J273=0,0,(INDEX([2]Sheet1!$C$4:$Q$23,MATCH(K273,[2]Sheet1!$B$4:$B$23,1),MATCH(D273,[2]Sheet1!$C$3:$Q$3,1))
+ (K273 - INDEX([2]Sheet1!$B$4:$B$23,MATCH(K273,[2]Sheet1!$B$4:$B$23,1),1))/(INDEX([2]Sheet1!$B$4:$B$23,MATCH(K273,[2]Sheet1!$B$4:$B$23,1)+1,1) - INDEX([2]Sheet1!$B$4:$B$23,MATCH(K273,[2]Sheet1!$B$4:$B$23,1),1))*(INDEX([2]Sheet1!$C$4:$Q$23,MATCH(K273,[2]Sheet1!$B$4:$B$23,1)+1,MATCH(D273,[2]Sheet1!$C$3:$Q$3,1)) - INDEX([2]Sheet1!$C$4:$Q$23,MATCH(K273,[2]Sheet1!$B$4:$B$23,1),MATCH(D273,[2]Sheet1!$C$3:$Q$3,1)))
+ (D273 - INDEX([2]Sheet1!$C$3:$Q$3,1,MATCH(D273,[2]Sheet1!$C$3:$Q$3)))/(INDEX([2]Sheet1!$C$3:$Q$3,1,MATCH(D273,[2]Sheet1!$C$3:$Q$3)+1) - INDEX([2]Sheet1!$C$3:$Q$3,1,MATCH(D273,[2]Sheet1!$C$3:$Q$3)))*(
INDEX([2]Sheet1!$C$4:$Q$23,MATCH(K273,[2]Sheet1!$B$4:$B$23,1),MATCH(D273,[2]Sheet1!$C$3:$Q$3,1)+1) - INDEX([2]Sheet1!$C$4:$Q$23,MATCH(K273,[2]Sheet1!$B$4:$B$23,1),MATCH(D273,[2]Sheet1!$C$3:$Q$3,1)))))</f>
        <v>0</v>
      </c>
      <c r="N273">
        <f t="shared" si="80"/>
        <v>12</v>
      </c>
      <c r="O273">
        <v>9.0264601492232491E-2</v>
      </c>
      <c r="P273" t="e">
        <f t="shared" si="81"/>
        <v>#DIV/0!</v>
      </c>
      <c r="Q273">
        <f t="shared" si="68"/>
        <v>0</v>
      </c>
      <c r="R273">
        <f t="shared" si="82"/>
        <v>741.9099431943954</v>
      </c>
      <c r="T273" t="e">
        <f t="shared" si="71"/>
        <v>#DIV/0!</v>
      </c>
      <c r="U273" t="e">
        <f t="shared" si="72"/>
        <v>#DIV/0!</v>
      </c>
      <c r="V273">
        <f t="shared" si="73"/>
        <v>0</v>
      </c>
      <c r="W273" t="e">
        <f t="shared" si="69"/>
        <v>#DIV/0!</v>
      </c>
    </row>
    <row r="274" spans="1:23" x14ac:dyDescent="0.55000000000000004">
      <c r="A274">
        <f t="shared" si="70"/>
        <v>24.000000000000071</v>
      </c>
      <c r="B274">
        <f t="shared" si="74"/>
        <v>0.316</v>
      </c>
      <c r="C274">
        <f t="shared" si="75"/>
        <v>-10.652173913043526</v>
      </c>
      <c r="D274">
        <v>2.4520639054384206</v>
      </c>
      <c r="E274">
        <f t="shared" si="65"/>
        <v>0</v>
      </c>
      <c r="F274">
        <f t="shared" si="76"/>
        <v>4.8605058816845369E-2</v>
      </c>
      <c r="G274">
        <f t="shared" si="77"/>
        <v>39.513748498891111</v>
      </c>
      <c r="H274">
        <f t="shared" si="78"/>
        <v>0</v>
      </c>
      <c r="I274" s="1">
        <f t="shared" si="66"/>
        <v>0</v>
      </c>
      <c r="J274">
        <f t="shared" si="79"/>
        <v>0</v>
      </c>
      <c r="K274">
        <f t="shared" si="67"/>
        <v>0</v>
      </c>
      <c r="L274" cm="1">
        <f t="array" ref="L274">IF(E274*J274=0,0,$C$21*INDEX([3]Sheet1!$C$4:$Q$23,MATCH(K274,[3]Sheet1!$B$4:$B$23,1),MATCH(D274,[3]Sheet1!$C$3:$Q$3,1))
+(K274-INDEX([3]Sheet1!$B$4:$B$23,MATCH(K274,[3]Sheet1!$B$4:$B$23,1),1))/(INDEX([3]Sheet1!$B$4:$B$23,MATCH(K274,[3]Sheet1!$B$4:$B$23,1)+1,1)-INDEX([3]Sheet1!$B$4:$B$23,
MATCH(K274,[3]Sheet1!$B$4:$B$23,1),1))*(INDEX([3]Sheet1!$C$4:$Q$23,MATCH(K274,[3]Sheet1!$B$4:$B$23,1)+1,MATCH(D274,[3]Sheet1!$C$3:$Q$3,1))-INDEX([3]Sheet1!$C$4:$Q$23,
MATCH(K274,[3]Sheet1!$B$4:$B$23,1),MATCH(D274,[3]Sheet1!$C$3:$Q$3,1)))
+(D274-INDEX([3]Sheet1!$C$3:$Q$3,1,MATCH(D274,[3]Sheet1!$C$3:$Q$3)))/(INDEX([3]Sheet1!$C$3:$Q$3,1,MATCH(D274,[3]Sheet1!$C$3:$Q$3)+1)-INDEX([3]Sheet1!$C$3:$Q$3,1,MATCH(
D274,[3]Sheet1!$C$3:$Q$3)))*(INDEX([3]Sheet1!$C$4:$Q$23,MATCH(K274,[3]Sheet1!$B$4:$B$23,1),MATCH(D274,[3]Sheet1!$C$3:$Q$3,1)+1)-INDEX([3]Sheet1!$C$4:$Q$23,MATCH(K274,[3]Sheet1!$B$4:$B$23,1),MATCH(D274,[3]Sheet1!$C$3:$Q$3,1))))</f>
        <v>0</v>
      </c>
      <c r="M274" cm="1">
        <f t="array" ref="M274" xml:space="preserve"> IF(E274*J274=0,0,(INDEX([2]Sheet1!$C$4:$Q$23,MATCH(K274,[2]Sheet1!$B$4:$B$23,1),MATCH(D274,[2]Sheet1!$C$3:$Q$3,1))
+ (K274 - INDEX([2]Sheet1!$B$4:$B$23,MATCH(K274,[2]Sheet1!$B$4:$B$23,1),1))/(INDEX([2]Sheet1!$B$4:$B$23,MATCH(K274,[2]Sheet1!$B$4:$B$23,1)+1,1) - INDEX([2]Sheet1!$B$4:$B$23,MATCH(K274,[2]Sheet1!$B$4:$B$23,1),1))*(INDEX([2]Sheet1!$C$4:$Q$23,MATCH(K274,[2]Sheet1!$B$4:$B$23,1)+1,MATCH(D274,[2]Sheet1!$C$3:$Q$3,1)) - INDEX([2]Sheet1!$C$4:$Q$23,MATCH(K274,[2]Sheet1!$B$4:$B$23,1),MATCH(D274,[2]Sheet1!$C$3:$Q$3,1)))
+ (D274 - INDEX([2]Sheet1!$C$3:$Q$3,1,MATCH(D274,[2]Sheet1!$C$3:$Q$3)))/(INDEX([2]Sheet1!$C$3:$Q$3,1,MATCH(D274,[2]Sheet1!$C$3:$Q$3)+1) - INDEX([2]Sheet1!$C$3:$Q$3,1,MATCH(D274,[2]Sheet1!$C$3:$Q$3)))*(
INDEX([2]Sheet1!$C$4:$Q$23,MATCH(K274,[2]Sheet1!$B$4:$B$23,1),MATCH(D274,[2]Sheet1!$C$3:$Q$3,1)+1) - INDEX([2]Sheet1!$C$4:$Q$23,MATCH(K274,[2]Sheet1!$B$4:$B$23,1),MATCH(D274,[2]Sheet1!$C$3:$Q$3,1)))))</f>
        <v>0</v>
      </c>
      <c r="N274">
        <f t="shared" si="80"/>
        <v>12</v>
      </c>
      <c r="O274">
        <v>9.0240654053139926E-2</v>
      </c>
      <c r="P274" t="e">
        <f t="shared" si="81"/>
        <v>#DIV/0!</v>
      </c>
      <c r="Q274">
        <f t="shared" si="68"/>
        <v>0</v>
      </c>
      <c r="R274">
        <f t="shared" si="82"/>
        <v>741.9099431943954</v>
      </c>
      <c r="T274" t="e">
        <f t="shared" si="71"/>
        <v>#DIV/0!</v>
      </c>
      <c r="U274" t="e">
        <f t="shared" si="72"/>
        <v>#DIV/0!</v>
      </c>
      <c r="V274">
        <f t="shared" si="73"/>
        <v>0</v>
      </c>
      <c r="W274" t="e">
        <f t="shared" si="69"/>
        <v>#DIV/0!</v>
      </c>
    </row>
    <row r="275" spans="1:23" x14ac:dyDescent="0.55000000000000004">
      <c r="A275">
        <f t="shared" si="70"/>
        <v>24.100000000000072</v>
      </c>
      <c r="B275">
        <f t="shared" si="74"/>
        <v>0.316</v>
      </c>
      <c r="C275">
        <f t="shared" si="75"/>
        <v>-10.717391304347872</v>
      </c>
      <c r="D275">
        <v>2.4519479000829012</v>
      </c>
      <c r="E275">
        <f t="shared" si="65"/>
        <v>0</v>
      </c>
      <c r="F275">
        <f t="shared" si="76"/>
        <v>4.8605058816845369E-2</v>
      </c>
      <c r="G275">
        <f t="shared" si="77"/>
        <v>39.513748498891111</v>
      </c>
      <c r="H275">
        <f t="shared" si="78"/>
        <v>0</v>
      </c>
      <c r="I275" s="1">
        <f t="shared" si="66"/>
        <v>0</v>
      </c>
      <c r="J275">
        <f t="shared" si="79"/>
        <v>0</v>
      </c>
      <c r="K275">
        <f t="shared" si="67"/>
        <v>0</v>
      </c>
      <c r="L275" cm="1">
        <f t="array" ref="L275">IF(E275*J275=0,0,$C$21*INDEX([3]Sheet1!$C$4:$Q$23,MATCH(K275,[3]Sheet1!$B$4:$B$23,1),MATCH(D275,[3]Sheet1!$C$3:$Q$3,1))
+(K275-INDEX([3]Sheet1!$B$4:$B$23,MATCH(K275,[3]Sheet1!$B$4:$B$23,1),1))/(INDEX([3]Sheet1!$B$4:$B$23,MATCH(K275,[3]Sheet1!$B$4:$B$23,1)+1,1)-INDEX([3]Sheet1!$B$4:$B$23,
MATCH(K275,[3]Sheet1!$B$4:$B$23,1),1))*(INDEX([3]Sheet1!$C$4:$Q$23,MATCH(K275,[3]Sheet1!$B$4:$B$23,1)+1,MATCH(D275,[3]Sheet1!$C$3:$Q$3,1))-INDEX([3]Sheet1!$C$4:$Q$23,
MATCH(K275,[3]Sheet1!$B$4:$B$23,1),MATCH(D275,[3]Sheet1!$C$3:$Q$3,1)))
+(D275-INDEX([3]Sheet1!$C$3:$Q$3,1,MATCH(D275,[3]Sheet1!$C$3:$Q$3)))/(INDEX([3]Sheet1!$C$3:$Q$3,1,MATCH(D275,[3]Sheet1!$C$3:$Q$3)+1)-INDEX([3]Sheet1!$C$3:$Q$3,1,MATCH(
D275,[3]Sheet1!$C$3:$Q$3)))*(INDEX([3]Sheet1!$C$4:$Q$23,MATCH(K275,[3]Sheet1!$B$4:$B$23,1),MATCH(D275,[3]Sheet1!$C$3:$Q$3,1)+1)-INDEX([3]Sheet1!$C$4:$Q$23,MATCH(K275,[3]Sheet1!$B$4:$B$23,1),MATCH(D275,[3]Sheet1!$C$3:$Q$3,1))))</f>
        <v>0</v>
      </c>
      <c r="M275" cm="1">
        <f t="array" ref="M275" xml:space="preserve"> IF(E275*J275=0,0,(INDEX([2]Sheet1!$C$4:$Q$23,MATCH(K275,[2]Sheet1!$B$4:$B$23,1),MATCH(D275,[2]Sheet1!$C$3:$Q$3,1))
+ (K275 - INDEX([2]Sheet1!$B$4:$B$23,MATCH(K275,[2]Sheet1!$B$4:$B$23,1),1))/(INDEX([2]Sheet1!$B$4:$B$23,MATCH(K275,[2]Sheet1!$B$4:$B$23,1)+1,1) - INDEX([2]Sheet1!$B$4:$B$23,MATCH(K275,[2]Sheet1!$B$4:$B$23,1),1))*(INDEX([2]Sheet1!$C$4:$Q$23,MATCH(K275,[2]Sheet1!$B$4:$B$23,1)+1,MATCH(D275,[2]Sheet1!$C$3:$Q$3,1)) - INDEX([2]Sheet1!$C$4:$Q$23,MATCH(K275,[2]Sheet1!$B$4:$B$23,1),MATCH(D275,[2]Sheet1!$C$3:$Q$3,1)))
+ (D275 - INDEX([2]Sheet1!$C$3:$Q$3,1,MATCH(D275,[2]Sheet1!$C$3:$Q$3)))/(INDEX([2]Sheet1!$C$3:$Q$3,1,MATCH(D275,[2]Sheet1!$C$3:$Q$3)+1) - INDEX([2]Sheet1!$C$3:$Q$3,1,MATCH(D275,[2]Sheet1!$C$3:$Q$3)))*(
INDEX([2]Sheet1!$C$4:$Q$23,MATCH(K275,[2]Sheet1!$B$4:$B$23,1),MATCH(D275,[2]Sheet1!$C$3:$Q$3,1)+1) - INDEX([2]Sheet1!$C$4:$Q$23,MATCH(K275,[2]Sheet1!$B$4:$B$23,1),MATCH(D275,[2]Sheet1!$C$3:$Q$3,1)))))</f>
        <v>0</v>
      </c>
      <c r="N275">
        <f t="shared" si="80"/>
        <v>12</v>
      </c>
      <c r="O275">
        <v>9.0216765129686877E-2</v>
      </c>
      <c r="P275" t="e">
        <f t="shared" si="81"/>
        <v>#DIV/0!</v>
      </c>
      <c r="Q275">
        <f t="shared" si="68"/>
        <v>0</v>
      </c>
      <c r="R275">
        <f t="shared" si="82"/>
        <v>741.9099431943954</v>
      </c>
      <c r="T275" t="e">
        <f t="shared" si="71"/>
        <v>#DIV/0!</v>
      </c>
      <c r="U275" t="e">
        <f t="shared" si="72"/>
        <v>#DIV/0!</v>
      </c>
      <c r="V275">
        <f t="shared" si="73"/>
        <v>0</v>
      </c>
      <c r="W275" t="e">
        <f t="shared" si="69"/>
        <v>#DIV/0!</v>
      </c>
    </row>
    <row r="276" spans="1:23" x14ac:dyDescent="0.55000000000000004">
      <c r="A276">
        <f t="shared" si="70"/>
        <v>24.200000000000074</v>
      </c>
      <c r="B276">
        <f t="shared" si="74"/>
        <v>0.316</v>
      </c>
      <c r="C276">
        <f t="shared" si="75"/>
        <v>-10.782608695652224</v>
      </c>
      <c r="D276">
        <v>2.451832146596427</v>
      </c>
      <c r="E276">
        <f t="shared" si="65"/>
        <v>0</v>
      </c>
      <c r="F276">
        <f t="shared" si="76"/>
        <v>4.8605058816845369E-2</v>
      </c>
      <c r="G276">
        <f t="shared" si="77"/>
        <v>39.513748498891111</v>
      </c>
      <c r="H276">
        <f t="shared" si="78"/>
        <v>0</v>
      </c>
      <c r="I276" s="1">
        <f t="shared" si="66"/>
        <v>0</v>
      </c>
      <c r="J276">
        <f t="shared" si="79"/>
        <v>0</v>
      </c>
      <c r="K276">
        <f t="shared" si="67"/>
        <v>0</v>
      </c>
      <c r="L276" cm="1">
        <f t="array" ref="L276">IF(E276*J276=0,0,$C$21*INDEX([3]Sheet1!$C$4:$Q$23,MATCH(K276,[3]Sheet1!$B$4:$B$23,1),MATCH(D276,[3]Sheet1!$C$3:$Q$3,1))
+(K276-INDEX([3]Sheet1!$B$4:$B$23,MATCH(K276,[3]Sheet1!$B$4:$B$23,1),1))/(INDEX([3]Sheet1!$B$4:$B$23,MATCH(K276,[3]Sheet1!$B$4:$B$23,1)+1,1)-INDEX([3]Sheet1!$B$4:$B$23,
MATCH(K276,[3]Sheet1!$B$4:$B$23,1),1))*(INDEX([3]Sheet1!$C$4:$Q$23,MATCH(K276,[3]Sheet1!$B$4:$B$23,1)+1,MATCH(D276,[3]Sheet1!$C$3:$Q$3,1))-INDEX([3]Sheet1!$C$4:$Q$23,
MATCH(K276,[3]Sheet1!$B$4:$B$23,1),MATCH(D276,[3]Sheet1!$C$3:$Q$3,1)))
+(D276-INDEX([3]Sheet1!$C$3:$Q$3,1,MATCH(D276,[3]Sheet1!$C$3:$Q$3)))/(INDEX([3]Sheet1!$C$3:$Q$3,1,MATCH(D276,[3]Sheet1!$C$3:$Q$3)+1)-INDEX([3]Sheet1!$C$3:$Q$3,1,MATCH(
D276,[3]Sheet1!$C$3:$Q$3)))*(INDEX([3]Sheet1!$C$4:$Q$23,MATCH(K276,[3]Sheet1!$B$4:$B$23,1),MATCH(D276,[3]Sheet1!$C$3:$Q$3,1)+1)-INDEX([3]Sheet1!$C$4:$Q$23,MATCH(K276,[3]Sheet1!$B$4:$B$23,1),MATCH(D276,[3]Sheet1!$C$3:$Q$3,1))))</f>
        <v>0</v>
      </c>
      <c r="M276" cm="1">
        <f t="array" ref="M276" xml:space="preserve"> IF(E276*J276=0,0,(INDEX([2]Sheet1!$C$4:$Q$23,MATCH(K276,[2]Sheet1!$B$4:$B$23,1),MATCH(D276,[2]Sheet1!$C$3:$Q$3,1))
+ (K276 - INDEX([2]Sheet1!$B$4:$B$23,MATCH(K276,[2]Sheet1!$B$4:$B$23,1),1))/(INDEX([2]Sheet1!$B$4:$B$23,MATCH(K276,[2]Sheet1!$B$4:$B$23,1)+1,1) - INDEX([2]Sheet1!$B$4:$B$23,MATCH(K276,[2]Sheet1!$B$4:$B$23,1),1))*(INDEX([2]Sheet1!$C$4:$Q$23,MATCH(K276,[2]Sheet1!$B$4:$B$23,1)+1,MATCH(D276,[2]Sheet1!$C$3:$Q$3,1)) - INDEX([2]Sheet1!$C$4:$Q$23,MATCH(K276,[2]Sheet1!$B$4:$B$23,1),MATCH(D276,[2]Sheet1!$C$3:$Q$3,1)))
+ (D276 - INDEX([2]Sheet1!$C$3:$Q$3,1,MATCH(D276,[2]Sheet1!$C$3:$Q$3)))/(INDEX([2]Sheet1!$C$3:$Q$3,1,MATCH(D276,[2]Sheet1!$C$3:$Q$3)+1) - INDEX([2]Sheet1!$C$3:$Q$3,1,MATCH(D276,[2]Sheet1!$C$3:$Q$3)))*(
INDEX([2]Sheet1!$C$4:$Q$23,MATCH(K276,[2]Sheet1!$B$4:$B$23,1),MATCH(D276,[2]Sheet1!$C$3:$Q$3,1)+1) - INDEX([2]Sheet1!$C$4:$Q$23,MATCH(K276,[2]Sheet1!$B$4:$B$23,1),MATCH(D276,[2]Sheet1!$C$3:$Q$3,1)))))</f>
        <v>0</v>
      </c>
      <c r="N276">
        <f t="shared" si="80"/>
        <v>12</v>
      </c>
      <c r="O276">
        <v>9.0192934446277878E-2</v>
      </c>
      <c r="P276" t="e">
        <f t="shared" si="81"/>
        <v>#DIV/0!</v>
      </c>
      <c r="Q276">
        <f t="shared" si="68"/>
        <v>0</v>
      </c>
      <c r="R276">
        <f t="shared" si="82"/>
        <v>741.9099431943954</v>
      </c>
      <c r="T276" t="e">
        <f t="shared" si="71"/>
        <v>#DIV/0!</v>
      </c>
      <c r="U276" t="e">
        <f t="shared" si="72"/>
        <v>#DIV/0!</v>
      </c>
      <c r="V276">
        <f t="shared" si="73"/>
        <v>0</v>
      </c>
      <c r="W276" t="e">
        <f t="shared" si="69"/>
        <v>#DIV/0!</v>
      </c>
    </row>
    <row r="277" spans="1:23" x14ac:dyDescent="0.55000000000000004">
      <c r="A277">
        <f t="shared" si="70"/>
        <v>24.300000000000075</v>
      </c>
      <c r="B277">
        <f t="shared" si="74"/>
        <v>0.316</v>
      </c>
      <c r="C277">
        <f t="shared" si="75"/>
        <v>-10.847826086956573</v>
      </c>
      <c r="D277">
        <v>2.451716643854446</v>
      </c>
      <c r="E277">
        <f t="shared" si="65"/>
        <v>0</v>
      </c>
      <c r="F277">
        <f t="shared" si="76"/>
        <v>4.8605058816845369E-2</v>
      </c>
      <c r="G277">
        <f t="shared" si="77"/>
        <v>39.513748498891111</v>
      </c>
      <c r="H277">
        <f t="shared" si="78"/>
        <v>0</v>
      </c>
      <c r="I277" s="1">
        <f t="shared" si="66"/>
        <v>0</v>
      </c>
      <c r="J277">
        <f t="shared" si="79"/>
        <v>0</v>
      </c>
      <c r="K277">
        <f t="shared" si="67"/>
        <v>0</v>
      </c>
      <c r="L277" cm="1">
        <f t="array" ref="L277">IF(E277*J277=0,0,$C$21*INDEX([3]Sheet1!$C$4:$Q$23,MATCH(K277,[3]Sheet1!$B$4:$B$23,1),MATCH(D277,[3]Sheet1!$C$3:$Q$3,1))
+(K277-INDEX([3]Sheet1!$B$4:$B$23,MATCH(K277,[3]Sheet1!$B$4:$B$23,1),1))/(INDEX([3]Sheet1!$B$4:$B$23,MATCH(K277,[3]Sheet1!$B$4:$B$23,1)+1,1)-INDEX([3]Sheet1!$B$4:$B$23,
MATCH(K277,[3]Sheet1!$B$4:$B$23,1),1))*(INDEX([3]Sheet1!$C$4:$Q$23,MATCH(K277,[3]Sheet1!$B$4:$B$23,1)+1,MATCH(D277,[3]Sheet1!$C$3:$Q$3,1))-INDEX([3]Sheet1!$C$4:$Q$23,
MATCH(K277,[3]Sheet1!$B$4:$B$23,1),MATCH(D277,[3]Sheet1!$C$3:$Q$3,1)))
+(D277-INDEX([3]Sheet1!$C$3:$Q$3,1,MATCH(D277,[3]Sheet1!$C$3:$Q$3)))/(INDEX([3]Sheet1!$C$3:$Q$3,1,MATCH(D277,[3]Sheet1!$C$3:$Q$3)+1)-INDEX([3]Sheet1!$C$3:$Q$3,1,MATCH(
D277,[3]Sheet1!$C$3:$Q$3)))*(INDEX([3]Sheet1!$C$4:$Q$23,MATCH(K277,[3]Sheet1!$B$4:$B$23,1),MATCH(D277,[3]Sheet1!$C$3:$Q$3,1)+1)-INDEX([3]Sheet1!$C$4:$Q$23,MATCH(K277,[3]Sheet1!$B$4:$B$23,1),MATCH(D277,[3]Sheet1!$C$3:$Q$3,1))))</f>
        <v>0</v>
      </c>
      <c r="M277" cm="1">
        <f t="array" ref="M277" xml:space="preserve"> IF(E277*J277=0,0,(INDEX([2]Sheet1!$C$4:$Q$23,MATCH(K277,[2]Sheet1!$B$4:$B$23,1),MATCH(D277,[2]Sheet1!$C$3:$Q$3,1))
+ (K277 - INDEX([2]Sheet1!$B$4:$B$23,MATCH(K277,[2]Sheet1!$B$4:$B$23,1),1))/(INDEX([2]Sheet1!$B$4:$B$23,MATCH(K277,[2]Sheet1!$B$4:$B$23,1)+1,1) - INDEX([2]Sheet1!$B$4:$B$23,MATCH(K277,[2]Sheet1!$B$4:$B$23,1),1))*(INDEX([2]Sheet1!$C$4:$Q$23,MATCH(K277,[2]Sheet1!$B$4:$B$23,1)+1,MATCH(D277,[2]Sheet1!$C$3:$Q$3,1)) - INDEX([2]Sheet1!$C$4:$Q$23,MATCH(K277,[2]Sheet1!$B$4:$B$23,1),MATCH(D277,[2]Sheet1!$C$3:$Q$3,1)))
+ (D277 - INDEX([2]Sheet1!$C$3:$Q$3,1,MATCH(D277,[2]Sheet1!$C$3:$Q$3)))/(INDEX([2]Sheet1!$C$3:$Q$3,1,MATCH(D277,[2]Sheet1!$C$3:$Q$3)+1) - INDEX([2]Sheet1!$C$3:$Q$3,1,MATCH(D277,[2]Sheet1!$C$3:$Q$3)))*(
INDEX([2]Sheet1!$C$4:$Q$23,MATCH(K277,[2]Sheet1!$B$4:$B$23,1),MATCH(D277,[2]Sheet1!$C$3:$Q$3,1)+1) - INDEX([2]Sheet1!$C$4:$Q$23,MATCH(K277,[2]Sheet1!$B$4:$B$23,1),MATCH(D277,[2]Sheet1!$C$3:$Q$3,1)))))</f>
        <v>0</v>
      </c>
      <c r="N277">
        <f t="shared" si="80"/>
        <v>12</v>
      </c>
      <c r="O277">
        <v>9.0169161729241429E-2</v>
      </c>
      <c r="P277" t="e">
        <f t="shared" si="81"/>
        <v>#DIV/0!</v>
      </c>
      <c r="Q277">
        <f t="shared" si="68"/>
        <v>0</v>
      </c>
      <c r="R277">
        <f t="shared" si="82"/>
        <v>741.9099431943954</v>
      </c>
      <c r="T277" t="e">
        <f t="shared" si="71"/>
        <v>#DIV/0!</v>
      </c>
      <c r="U277" t="e">
        <f t="shared" si="72"/>
        <v>#DIV/0!</v>
      </c>
      <c r="V277">
        <f t="shared" si="73"/>
        <v>0</v>
      </c>
      <c r="W277" t="e">
        <f t="shared" si="69"/>
        <v>#DIV/0!</v>
      </c>
    </row>
    <row r="278" spans="1:23" x14ac:dyDescent="0.55000000000000004">
      <c r="A278">
        <f t="shared" si="70"/>
        <v>24.400000000000077</v>
      </c>
      <c r="B278">
        <f t="shared" si="74"/>
        <v>0.316</v>
      </c>
      <c r="C278">
        <f t="shared" si="75"/>
        <v>-10.913043478260921</v>
      </c>
      <c r="D278">
        <v>2.4516013907399632</v>
      </c>
      <c r="E278">
        <f t="shared" si="65"/>
        <v>0</v>
      </c>
      <c r="F278">
        <f t="shared" si="76"/>
        <v>4.8605058816845369E-2</v>
      </c>
      <c r="G278">
        <f t="shared" si="77"/>
        <v>39.513748498891111</v>
      </c>
      <c r="H278">
        <f t="shared" si="78"/>
        <v>0</v>
      </c>
      <c r="I278" s="1">
        <f t="shared" si="66"/>
        <v>0</v>
      </c>
      <c r="J278">
        <f t="shared" si="79"/>
        <v>0</v>
      </c>
      <c r="K278">
        <f t="shared" si="67"/>
        <v>0</v>
      </c>
      <c r="L278" cm="1">
        <f t="array" ref="L278">IF(E278*J278=0,0,$C$21*INDEX([3]Sheet1!$C$4:$Q$23,MATCH(K278,[3]Sheet1!$B$4:$B$23,1),MATCH(D278,[3]Sheet1!$C$3:$Q$3,1))
+(K278-INDEX([3]Sheet1!$B$4:$B$23,MATCH(K278,[3]Sheet1!$B$4:$B$23,1),1))/(INDEX([3]Sheet1!$B$4:$B$23,MATCH(K278,[3]Sheet1!$B$4:$B$23,1)+1,1)-INDEX([3]Sheet1!$B$4:$B$23,
MATCH(K278,[3]Sheet1!$B$4:$B$23,1),1))*(INDEX([3]Sheet1!$C$4:$Q$23,MATCH(K278,[3]Sheet1!$B$4:$B$23,1)+1,MATCH(D278,[3]Sheet1!$C$3:$Q$3,1))-INDEX([3]Sheet1!$C$4:$Q$23,
MATCH(K278,[3]Sheet1!$B$4:$B$23,1),MATCH(D278,[3]Sheet1!$C$3:$Q$3,1)))
+(D278-INDEX([3]Sheet1!$C$3:$Q$3,1,MATCH(D278,[3]Sheet1!$C$3:$Q$3)))/(INDEX([3]Sheet1!$C$3:$Q$3,1,MATCH(D278,[3]Sheet1!$C$3:$Q$3)+1)-INDEX([3]Sheet1!$C$3:$Q$3,1,MATCH(
D278,[3]Sheet1!$C$3:$Q$3)))*(INDEX([3]Sheet1!$C$4:$Q$23,MATCH(K278,[3]Sheet1!$B$4:$B$23,1),MATCH(D278,[3]Sheet1!$C$3:$Q$3,1)+1)-INDEX([3]Sheet1!$C$4:$Q$23,MATCH(K278,[3]Sheet1!$B$4:$B$23,1),MATCH(D278,[3]Sheet1!$C$3:$Q$3,1))))</f>
        <v>0</v>
      </c>
      <c r="M278" cm="1">
        <f t="array" ref="M278" xml:space="preserve"> IF(E278*J278=0,0,(INDEX([2]Sheet1!$C$4:$Q$23,MATCH(K278,[2]Sheet1!$B$4:$B$23,1),MATCH(D278,[2]Sheet1!$C$3:$Q$3,1))
+ (K278 - INDEX([2]Sheet1!$B$4:$B$23,MATCH(K278,[2]Sheet1!$B$4:$B$23,1),1))/(INDEX([2]Sheet1!$B$4:$B$23,MATCH(K278,[2]Sheet1!$B$4:$B$23,1)+1,1) - INDEX([2]Sheet1!$B$4:$B$23,MATCH(K278,[2]Sheet1!$B$4:$B$23,1),1))*(INDEX([2]Sheet1!$C$4:$Q$23,MATCH(K278,[2]Sheet1!$B$4:$B$23,1)+1,MATCH(D278,[2]Sheet1!$C$3:$Q$3,1)) - INDEX([2]Sheet1!$C$4:$Q$23,MATCH(K278,[2]Sheet1!$B$4:$B$23,1),MATCH(D278,[2]Sheet1!$C$3:$Q$3,1)))
+ (D278 - INDEX([2]Sheet1!$C$3:$Q$3,1,MATCH(D278,[2]Sheet1!$C$3:$Q$3)))/(INDEX([2]Sheet1!$C$3:$Q$3,1,MATCH(D278,[2]Sheet1!$C$3:$Q$3)+1) - INDEX([2]Sheet1!$C$3:$Q$3,1,MATCH(D278,[2]Sheet1!$C$3:$Q$3)))*(
INDEX([2]Sheet1!$C$4:$Q$23,MATCH(K278,[2]Sheet1!$B$4:$B$23,1),MATCH(D278,[2]Sheet1!$C$3:$Q$3,1)+1) - INDEX([2]Sheet1!$C$4:$Q$23,MATCH(K278,[2]Sheet1!$B$4:$B$23,1),MATCH(D278,[2]Sheet1!$C$3:$Q$3,1)))))</f>
        <v>0</v>
      </c>
      <c r="N278">
        <f t="shared" si="80"/>
        <v>12</v>
      </c>
      <c r="O278">
        <v>9.0145446706812959E-2</v>
      </c>
      <c r="P278" t="e">
        <f t="shared" si="81"/>
        <v>#DIV/0!</v>
      </c>
      <c r="Q278">
        <f t="shared" si="68"/>
        <v>0</v>
      </c>
      <c r="R278">
        <f t="shared" si="82"/>
        <v>741.9099431943954</v>
      </c>
      <c r="T278" t="e">
        <f t="shared" si="71"/>
        <v>#DIV/0!</v>
      </c>
      <c r="U278" t="e">
        <f t="shared" si="72"/>
        <v>#DIV/0!</v>
      </c>
      <c r="V278">
        <f t="shared" si="73"/>
        <v>0</v>
      </c>
      <c r="W278" t="e">
        <f t="shared" si="69"/>
        <v>#DIV/0!</v>
      </c>
    </row>
    <row r="279" spans="1:23" x14ac:dyDescent="0.55000000000000004">
      <c r="A279">
        <f t="shared" si="70"/>
        <v>24.500000000000078</v>
      </c>
      <c r="B279">
        <f t="shared" si="74"/>
        <v>0.316</v>
      </c>
      <c r="C279">
        <f t="shared" si="75"/>
        <v>-10.978260869565268</v>
      </c>
      <c r="D279">
        <v>2.4514863861434728</v>
      </c>
      <c r="E279">
        <f t="shared" si="65"/>
        <v>0</v>
      </c>
      <c r="F279">
        <f t="shared" si="76"/>
        <v>4.8605058816845369E-2</v>
      </c>
      <c r="G279">
        <f t="shared" si="77"/>
        <v>39.513748498891111</v>
      </c>
      <c r="H279">
        <f t="shared" si="78"/>
        <v>0</v>
      </c>
      <c r="I279" s="1">
        <f t="shared" si="66"/>
        <v>0</v>
      </c>
      <c r="J279">
        <f t="shared" si="79"/>
        <v>0</v>
      </c>
      <c r="K279">
        <f t="shared" si="67"/>
        <v>0</v>
      </c>
      <c r="L279" cm="1">
        <f t="array" ref="L279">IF(E279*J279=0,0,$C$21*INDEX([3]Sheet1!$C$4:$Q$23,MATCH(K279,[3]Sheet1!$B$4:$B$23,1),MATCH(D279,[3]Sheet1!$C$3:$Q$3,1))
+(K279-INDEX([3]Sheet1!$B$4:$B$23,MATCH(K279,[3]Sheet1!$B$4:$B$23,1),1))/(INDEX([3]Sheet1!$B$4:$B$23,MATCH(K279,[3]Sheet1!$B$4:$B$23,1)+1,1)-INDEX([3]Sheet1!$B$4:$B$23,
MATCH(K279,[3]Sheet1!$B$4:$B$23,1),1))*(INDEX([3]Sheet1!$C$4:$Q$23,MATCH(K279,[3]Sheet1!$B$4:$B$23,1)+1,MATCH(D279,[3]Sheet1!$C$3:$Q$3,1))-INDEX([3]Sheet1!$C$4:$Q$23,
MATCH(K279,[3]Sheet1!$B$4:$B$23,1),MATCH(D279,[3]Sheet1!$C$3:$Q$3,1)))
+(D279-INDEX([3]Sheet1!$C$3:$Q$3,1,MATCH(D279,[3]Sheet1!$C$3:$Q$3)))/(INDEX([3]Sheet1!$C$3:$Q$3,1,MATCH(D279,[3]Sheet1!$C$3:$Q$3)+1)-INDEX([3]Sheet1!$C$3:$Q$3,1,MATCH(
D279,[3]Sheet1!$C$3:$Q$3)))*(INDEX([3]Sheet1!$C$4:$Q$23,MATCH(K279,[3]Sheet1!$B$4:$B$23,1),MATCH(D279,[3]Sheet1!$C$3:$Q$3,1)+1)-INDEX([3]Sheet1!$C$4:$Q$23,MATCH(K279,[3]Sheet1!$B$4:$B$23,1),MATCH(D279,[3]Sheet1!$C$3:$Q$3,1))))</f>
        <v>0</v>
      </c>
      <c r="M279" cm="1">
        <f t="array" ref="M279" xml:space="preserve"> IF(E279*J279=0,0,(INDEX([2]Sheet1!$C$4:$Q$23,MATCH(K279,[2]Sheet1!$B$4:$B$23,1),MATCH(D279,[2]Sheet1!$C$3:$Q$3,1))
+ (K279 - INDEX([2]Sheet1!$B$4:$B$23,MATCH(K279,[2]Sheet1!$B$4:$B$23,1),1))/(INDEX([2]Sheet1!$B$4:$B$23,MATCH(K279,[2]Sheet1!$B$4:$B$23,1)+1,1) - INDEX([2]Sheet1!$B$4:$B$23,MATCH(K279,[2]Sheet1!$B$4:$B$23,1),1))*(INDEX([2]Sheet1!$C$4:$Q$23,MATCH(K279,[2]Sheet1!$B$4:$B$23,1)+1,MATCH(D279,[2]Sheet1!$C$3:$Q$3,1)) - INDEX([2]Sheet1!$C$4:$Q$23,MATCH(K279,[2]Sheet1!$B$4:$B$23,1),MATCH(D279,[2]Sheet1!$C$3:$Q$3,1)))
+ (D279 - INDEX([2]Sheet1!$C$3:$Q$3,1,MATCH(D279,[2]Sheet1!$C$3:$Q$3)))/(INDEX([2]Sheet1!$C$3:$Q$3,1,MATCH(D279,[2]Sheet1!$C$3:$Q$3)+1) - INDEX([2]Sheet1!$C$3:$Q$3,1,MATCH(D279,[2]Sheet1!$C$3:$Q$3)))*(
INDEX([2]Sheet1!$C$4:$Q$23,MATCH(K279,[2]Sheet1!$B$4:$B$23,1),MATCH(D279,[2]Sheet1!$C$3:$Q$3,1)+1) - INDEX([2]Sheet1!$C$4:$Q$23,MATCH(K279,[2]Sheet1!$B$4:$B$23,1),MATCH(D279,[2]Sheet1!$C$3:$Q$3,1)))))</f>
        <v>0</v>
      </c>
      <c r="N279">
        <f t="shared" si="80"/>
        <v>12</v>
      </c>
      <c r="O279">
        <v>9.0121789109116682E-2</v>
      </c>
      <c r="P279" t="e">
        <f t="shared" si="81"/>
        <v>#DIV/0!</v>
      </c>
      <c r="Q279">
        <f t="shared" si="68"/>
        <v>0</v>
      </c>
      <c r="R279">
        <f t="shared" si="82"/>
        <v>741.9099431943954</v>
      </c>
      <c r="T279" t="e">
        <f t="shared" si="71"/>
        <v>#DIV/0!</v>
      </c>
      <c r="U279" t="e">
        <f t="shared" si="72"/>
        <v>#DIV/0!</v>
      </c>
      <c r="V279">
        <f t="shared" si="73"/>
        <v>0</v>
      </c>
      <c r="W279" t="e">
        <f t="shared" si="69"/>
        <v>#DIV/0!</v>
      </c>
    </row>
    <row r="280" spans="1:23" x14ac:dyDescent="0.55000000000000004">
      <c r="A280">
        <f t="shared" si="70"/>
        <v>24.60000000000008</v>
      </c>
      <c r="B280">
        <f t="shared" si="74"/>
        <v>0.316</v>
      </c>
      <c r="C280">
        <f t="shared" si="75"/>
        <v>-11.04347826086962</v>
      </c>
      <c r="D280">
        <v>2.4513716289628928</v>
      </c>
      <c r="E280">
        <f t="shared" si="65"/>
        <v>0</v>
      </c>
      <c r="F280">
        <f t="shared" si="76"/>
        <v>4.8605058816845369E-2</v>
      </c>
      <c r="G280">
        <f t="shared" si="77"/>
        <v>39.513748498891111</v>
      </c>
      <c r="H280">
        <f t="shared" si="78"/>
        <v>0</v>
      </c>
      <c r="I280" s="1">
        <f t="shared" si="66"/>
        <v>0</v>
      </c>
      <c r="J280">
        <f t="shared" si="79"/>
        <v>0</v>
      </c>
      <c r="K280">
        <f t="shared" si="67"/>
        <v>0</v>
      </c>
      <c r="L280" cm="1">
        <f t="array" ref="L280">IF(E280*J280=0,0,$C$21*INDEX([3]Sheet1!$C$4:$Q$23,MATCH(K280,[3]Sheet1!$B$4:$B$23,1),MATCH(D280,[3]Sheet1!$C$3:$Q$3,1))
+(K280-INDEX([3]Sheet1!$B$4:$B$23,MATCH(K280,[3]Sheet1!$B$4:$B$23,1),1))/(INDEX([3]Sheet1!$B$4:$B$23,MATCH(K280,[3]Sheet1!$B$4:$B$23,1)+1,1)-INDEX([3]Sheet1!$B$4:$B$23,
MATCH(K280,[3]Sheet1!$B$4:$B$23,1),1))*(INDEX([3]Sheet1!$C$4:$Q$23,MATCH(K280,[3]Sheet1!$B$4:$B$23,1)+1,MATCH(D280,[3]Sheet1!$C$3:$Q$3,1))-INDEX([3]Sheet1!$C$4:$Q$23,
MATCH(K280,[3]Sheet1!$B$4:$B$23,1),MATCH(D280,[3]Sheet1!$C$3:$Q$3,1)))
+(D280-INDEX([3]Sheet1!$C$3:$Q$3,1,MATCH(D280,[3]Sheet1!$C$3:$Q$3)))/(INDEX([3]Sheet1!$C$3:$Q$3,1,MATCH(D280,[3]Sheet1!$C$3:$Q$3)+1)-INDEX([3]Sheet1!$C$3:$Q$3,1,MATCH(
D280,[3]Sheet1!$C$3:$Q$3)))*(INDEX([3]Sheet1!$C$4:$Q$23,MATCH(K280,[3]Sheet1!$B$4:$B$23,1),MATCH(D280,[3]Sheet1!$C$3:$Q$3,1)+1)-INDEX([3]Sheet1!$C$4:$Q$23,MATCH(K280,[3]Sheet1!$B$4:$B$23,1),MATCH(D280,[3]Sheet1!$C$3:$Q$3,1))))</f>
        <v>0</v>
      </c>
      <c r="M280" cm="1">
        <f t="array" ref="M280" xml:space="preserve"> IF(E280*J280=0,0,(INDEX([2]Sheet1!$C$4:$Q$23,MATCH(K280,[2]Sheet1!$B$4:$B$23,1),MATCH(D280,[2]Sheet1!$C$3:$Q$3,1))
+ (K280 - INDEX([2]Sheet1!$B$4:$B$23,MATCH(K280,[2]Sheet1!$B$4:$B$23,1),1))/(INDEX([2]Sheet1!$B$4:$B$23,MATCH(K280,[2]Sheet1!$B$4:$B$23,1)+1,1) - INDEX([2]Sheet1!$B$4:$B$23,MATCH(K280,[2]Sheet1!$B$4:$B$23,1),1))*(INDEX([2]Sheet1!$C$4:$Q$23,MATCH(K280,[2]Sheet1!$B$4:$B$23,1)+1,MATCH(D280,[2]Sheet1!$C$3:$Q$3,1)) - INDEX([2]Sheet1!$C$4:$Q$23,MATCH(K280,[2]Sheet1!$B$4:$B$23,1),MATCH(D280,[2]Sheet1!$C$3:$Q$3,1)))
+ (D280 - INDEX([2]Sheet1!$C$3:$Q$3,1,MATCH(D280,[2]Sheet1!$C$3:$Q$3)))/(INDEX([2]Sheet1!$C$3:$Q$3,1,MATCH(D280,[2]Sheet1!$C$3:$Q$3)+1) - INDEX([2]Sheet1!$C$3:$Q$3,1,MATCH(D280,[2]Sheet1!$C$3:$Q$3)))*(
INDEX([2]Sheet1!$C$4:$Q$23,MATCH(K280,[2]Sheet1!$B$4:$B$23,1),MATCH(D280,[2]Sheet1!$C$3:$Q$3,1)+1) - INDEX([2]Sheet1!$C$4:$Q$23,MATCH(K280,[2]Sheet1!$B$4:$B$23,1),MATCH(D280,[2]Sheet1!$C$3:$Q$3,1)))))</f>
        <v>0</v>
      </c>
      <c r="N280">
        <f t="shared" si="80"/>
        <v>12</v>
      </c>
      <c r="O280">
        <v>9.0098188668148241E-2</v>
      </c>
      <c r="P280" t="e">
        <f t="shared" si="81"/>
        <v>#DIV/0!</v>
      </c>
      <c r="Q280">
        <f t="shared" si="68"/>
        <v>0</v>
      </c>
      <c r="R280">
        <f t="shared" si="82"/>
        <v>741.9099431943954</v>
      </c>
      <c r="T280" t="e">
        <f t="shared" si="71"/>
        <v>#DIV/0!</v>
      </c>
      <c r="U280" t="e">
        <f t="shared" si="72"/>
        <v>#DIV/0!</v>
      </c>
      <c r="V280">
        <f t="shared" si="73"/>
        <v>0</v>
      </c>
      <c r="W280" t="e">
        <f t="shared" si="69"/>
        <v>#DIV/0!</v>
      </c>
    </row>
    <row r="281" spans="1:23" x14ac:dyDescent="0.55000000000000004">
      <c r="A281">
        <f t="shared" si="70"/>
        <v>24.700000000000081</v>
      </c>
      <c r="B281">
        <f t="shared" si="74"/>
        <v>0.316</v>
      </c>
      <c r="C281">
        <f t="shared" si="75"/>
        <v>-11.108695652173967</v>
      </c>
      <c r="D281">
        <v>2.4512571181034959</v>
      </c>
      <c r="E281">
        <f t="shared" si="65"/>
        <v>0</v>
      </c>
      <c r="F281">
        <f t="shared" si="76"/>
        <v>4.8605058816845369E-2</v>
      </c>
      <c r="G281">
        <f t="shared" si="77"/>
        <v>39.513748498891111</v>
      </c>
      <c r="H281">
        <f t="shared" si="78"/>
        <v>0</v>
      </c>
      <c r="I281" s="1">
        <f t="shared" si="66"/>
        <v>0</v>
      </c>
      <c r="J281">
        <f t="shared" si="79"/>
        <v>0</v>
      </c>
      <c r="K281">
        <f t="shared" si="67"/>
        <v>0</v>
      </c>
      <c r="L281" cm="1">
        <f t="array" ref="L281">IF(E281*J281=0,0,$C$21*INDEX([3]Sheet1!$C$4:$Q$23,MATCH(K281,[3]Sheet1!$B$4:$B$23,1),MATCH(D281,[3]Sheet1!$C$3:$Q$3,1))
+(K281-INDEX([3]Sheet1!$B$4:$B$23,MATCH(K281,[3]Sheet1!$B$4:$B$23,1),1))/(INDEX([3]Sheet1!$B$4:$B$23,MATCH(K281,[3]Sheet1!$B$4:$B$23,1)+1,1)-INDEX([3]Sheet1!$B$4:$B$23,
MATCH(K281,[3]Sheet1!$B$4:$B$23,1),1))*(INDEX([3]Sheet1!$C$4:$Q$23,MATCH(K281,[3]Sheet1!$B$4:$B$23,1)+1,MATCH(D281,[3]Sheet1!$C$3:$Q$3,1))-INDEX([3]Sheet1!$C$4:$Q$23,
MATCH(K281,[3]Sheet1!$B$4:$B$23,1),MATCH(D281,[3]Sheet1!$C$3:$Q$3,1)))
+(D281-INDEX([3]Sheet1!$C$3:$Q$3,1,MATCH(D281,[3]Sheet1!$C$3:$Q$3)))/(INDEX([3]Sheet1!$C$3:$Q$3,1,MATCH(D281,[3]Sheet1!$C$3:$Q$3)+1)-INDEX([3]Sheet1!$C$3:$Q$3,1,MATCH(
D281,[3]Sheet1!$C$3:$Q$3)))*(INDEX([3]Sheet1!$C$4:$Q$23,MATCH(K281,[3]Sheet1!$B$4:$B$23,1),MATCH(D281,[3]Sheet1!$C$3:$Q$3,1)+1)-INDEX([3]Sheet1!$C$4:$Q$23,MATCH(K281,[3]Sheet1!$B$4:$B$23,1),MATCH(D281,[3]Sheet1!$C$3:$Q$3,1))))</f>
        <v>0</v>
      </c>
      <c r="M281" cm="1">
        <f t="array" ref="M281" xml:space="preserve"> IF(E281*J281=0,0,(INDEX([2]Sheet1!$C$4:$Q$23,MATCH(K281,[2]Sheet1!$B$4:$B$23,1),MATCH(D281,[2]Sheet1!$C$3:$Q$3,1))
+ (K281 - INDEX([2]Sheet1!$B$4:$B$23,MATCH(K281,[2]Sheet1!$B$4:$B$23,1),1))/(INDEX([2]Sheet1!$B$4:$B$23,MATCH(K281,[2]Sheet1!$B$4:$B$23,1)+1,1) - INDEX([2]Sheet1!$B$4:$B$23,MATCH(K281,[2]Sheet1!$B$4:$B$23,1),1))*(INDEX([2]Sheet1!$C$4:$Q$23,MATCH(K281,[2]Sheet1!$B$4:$B$23,1)+1,MATCH(D281,[2]Sheet1!$C$3:$Q$3,1)) - INDEX([2]Sheet1!$C$4:$Q$23,MATCH(K281,[2]Sheet1!$B$4:$B$23,1),MATCH(D281,[2]Sheet1!$C$3:$Q$3,1)))
+ (D281 - INDEX([2]Sheet1!$C$3:$Q$3,1,MATCH(D281,[2]Sheet1!$C$3:$Q$3)))/(INDEX([2]Sheet1!$C$3:$Q$3,1,MATCH(D281,[2]Sheet1!$C$3:$Q$3)+1) - INDEX([2]Sheet1!$C$3:$Q$3,1,MATCH(D281,[2]Sheet1!$C$3:$Q$3)))*(
INDEX([2]Sheet1!$C$4:$Q$23,MATCH(K281,[2]Sheet1!$B$4:$B$23,1),MATCH(D281,[2]Sheet1!$C$3:$Q$3,1)+1) - INDEX([2]Sheet1!$C$4:$Q$23,MATCH(K281,[2]Sheet1!$B$4:$B$23,1),MATCH(D281,[2]Sheet1!$C$3:$Q$3,1)))))</f>
        <v>0</v>
      </c>
      <c r="N281">
        <f t="shared" si="80"/>
        <v>12</v>
      </c>
      <c r="O281">
        <v>9.0074645117757299E-2</v>
      </c>
      <c r="P281" t="e">
        <f t="shared" si="81"/>
        <v>#DIV/0!</v>
      </c>
      <c r="Q281">
        <f t="shared" si="68"/>
        <v>0</v>
      </c>
      <c r="R281">
        <f t="shared" si="82"/>
        <v>741.9099431943954</v>
      </c>
      <c r="T281" t="e">
        <f t="shared" si="71"/>
        <v>#DIV/0!</v>
      </c>
      <c r="U281" t="e">
        <f t="shared" si="72"/>
        <v>#DIV/0!</v>
      </c>
      <c r="V281">
        <f t="shared" si="73"/>
        <v>0</v>
      </c>
      <c r="W281" t="e">
        <f t="shared" si="69"/>
        <v>#DIV/0!</v>
      </c>
    </row>
    <row r="282" spans="1:23" x14ac:dyDescent="0.55000000000000004">
      <c r="A282">
        <f t="shared" si="70"/>
        <v>24.800000000000082</v>
      </c>
      <c r="B282">
        <f t="shared" si="74"/>
        <v>0.316</v>
      </c>
      <c r="C282">
        <f t="shared" si="75"/>
        <v>-11.173913043478315</v>
      </c>
      <c r="D282">
        <v>2.4511428524778465</v>
      </c>
      <c r="E282">
        <f t="shared" si="65"/>
        <v>0</v>
      </c>
      <c r="F282">
        <f t="shared" si="76"/>
        <v>4.8605058816845369E-2</v>
      </c>
      <c r="G282">
        <f t="shared" si="77"/>
        <v>39.513748498891111</v>
      </c>
      <c r="H282">
        <f t="shared" si="78"/>
        <v>0</v>
      </c>
      <c r="I282" s="1">
        <f t="shared" si="66"/>
        <v>0</v>
      </c>
      <c r="J282">
        <f t="shared" si="79"/>
        <v>0</v>
      </c>
      <c r="K282">
        <f t="shared" si="67"/>
        <v>0</v>
      </c>
      <c r="L282" cm="1">
        <f t="array" ref="L282">IF(E282*J282=0,0,$C$21*INDEX([3]Sheet1!$C$4:$Q$23,MATCH(K282,[3]Sheet1!$B$4:$B$23,1),MATCH(D282,[3]Sheet1!$C$3:$Q$3,1))
+(K282-INDEX([3]Sheet1!$B$4:$B$23,MATCH(K282,[3]Sheet1!$B$4:$B$23,1),1))/(INDEX([3]Sheet1!$B$4:$B$23,MATCH(K282,[3]Sheet1!$B$4:$B$23,1)+1,1)-INDEX([3]Sheet1!$B$4:$B$23,
MATCH(K282,[3]Sheet1!$B$4:$B$23,1),1))*(INDEX([3]Sheet1!$C$4:$Q$23,MATCH(K282,[3]Sheet1!$B$4:$B$23,1)+1,MATCH(D282,[3]Sheet1!$C$3:$Q$3,1))-INDEX([3]Sheet1!$C$4:$Q$23,
MATCH(K282,[3]Sheet1!$B$4:$B$23,1),MATCH(D282,[3]Sheet1!$C$3:$Q$3,1)))
+(D282-INDEX([3]Sheet1!$C$3:$Q$3,1,MATCH(D282,[3]Sheet1!$C$3:$Q$3)))/(INDEX([3]Sheet1!$C$3:$Q$3,1,MATCH(D282,[3]Sheet1!$C$3:$Q$3)+1)-INDEX([3]Sheet1!$C$3:$Q$3,1,MATCH(
D282,[3]Sheet1!$C$3:$Q$3)))*(INDEX([3]Sheet1!$C$4:$Q$23,MATCH(K282,[3]Sheet1!$B$4:$B$23,1),MATCH(D282,[3]Sheet1!$C$3:$Q$3,1)+1)-INDEX([3]Sheet1!$C$4:$Q$23,MATCH(K282,[3]Sheet1!$B$4:$B$23,1),MATCH(D282,[3]Sheet1!$C$3:$Q$3,1))))</f>
        <v>0</v>
      </c>
      <c r="M282" cm="1">
        <f t="array" ref="M282" xml:space="preserve"> IF(E282*J282=0,0,(INDEX([2]Sheet1!$C$4:$Q$23,MATCH(K282,[2]Sheet1!$B$4:$B$23,1),MATCH(D282,[2]Sheet1!$C$3:$Q$3,1))
+ (K282 - INDEX([2]Sheet1!$B$4:$B$23,MATCH(K282,[2]Sheet1!$B$4:$B$23,1),1))/(INDEX([2]Sheet1!$B$4:$B$23,MATCH(K282,[2]Sheet1!$B$4:$B$23,1)+1,1) - INDEX([2]Sheet1!$B$4:$B$23,MATCH(K282,[2]Sheet1!$B$4:$B$23,1),1))*(INDEX([2]Sheet1!$C$4:$Q$23,MATCH(K282,[2]Sheet1!$B$4:$B$23,1)+1,MATCH(D282,[2]Sheet1!$C$3:$Q$3,1)) - INDEX([2]Sheet1!$C$4:$Q$23,MATCH(K282,[2]Sheet1!$B$4:$B$23,1),MATCH(D282,[2]Sheet1!$C$3:$Q$3,1)))
+ (D282 - INDEX([2]Sheet1!$C$3:$Q$3,1,MATCH(D282,[2]Sheet1!$C$3:$Q$3)))/(INDEX([2]Sheet1!$C$3:$Q$3,1,MATCH(D282,[2]Sheet1!$C$3:$Q$3)+1) - INDEX([2]Sheet1!$C$3:$Q$3,1,MATCH(D282,[2]Sheet1!$C$3:$Q$3)))*(
INDEX([2]Sheet1!$C$4:$Q$23,MATCH(K282,[2]Sheet1!$B$4:$B$23,1),MATCH(D282,[2]Sheet1!$C$3:$Q$3,1)+1) - INDEX([2]Sheet1!$C$4:$Q$23,MATCH(K282,[2]Sheet1!$B$4:$B$23,1),MATCH(D282,[2]Sheet1!$C$3:$Q$3,1)))))</f>
        <v>0</v>
      </c>
      <c r="N282">
        <f t="shared" si="80"/>
        <v>12</v>
      </c>
      <c r="O282">
        <v>9.0051158193632047E-2</v>
      </c>
      <c r="P282" t="e">
        <f t="shared" si="81"/>
        <v>#DIV/0!</v>
      </c>
      <c r="Q282">
        <f t="shared" si="68"/>
        <v>0</v>
      </c>
      <c r="R282">
        <f t="shared" si="82"/>
        <v>741.9099431943954</v>
      </c>
      <c r="T282" t="e">
        <f t="shared" si="71"/>
        <v>#DIV/0!</v>
      </c>
      <c r="U282" t="e">
        <f t="shared" si="72"/>
        <v>#DIV/0!</v>
      </c>
      <c r="V282">
        <f t="shared" si="73"/>
        <v>0</v>
      </c>
      <c r="W282" t="e">
        <f t="shared" si="69"/>
        <v>#DIV/0!</v>
      </c>
    </row>
    <row r="283" spans="1:23" x14ac:dyDescent="0.55000000000000004">
      <c r="A283">
        <f t="shared" si="70"/>
        <v>24.900000000000084</v>
      </c>
      <c r="B283">
        <f t="shared" si="74"/>
        <v>0.316</v>
      </c>
      <c r="C283">
        <f t="shared" si="75"/>
        <v>-11.239130434782663</v>
      </c>
      <c r="D283">
        <v>2.4510288310057349</v>
      </c>
      <c r="E283">
        <f t="shared" si="65"/>
        <v>0</v>
      </c>
      <c r="F283">
        <f t="shared" si="76"/>
        <v>4.8605058816845369E-2</v>
      </c>
      <c r="G283">
        <f t="shared" si="77"/>
        <v>39.513748498891111</v>
      </c>
      <c r="H283">
        <f t="shared" si="78"/>
        <v>0</v>
      </c>
      <c r="I283" s="1">
        <f t="shared" si="66"/>
        <v>0</v>
      </c>
      <c r="J283">
        <f t="shared" si="79"/>
        <v>0</v>
      </c>
      <c r="K283">
        <f t="shared" si="67"/>
        <v>0</v>
      </c>
      <c r="L283" cm="1">
        <f t="array" ref="L283">IF(E283*J283=0,0,$C$21*INDEX([3]Sheet1!$C$4:$Q$23,MATCH(K283,[3]Sheet1!$B$4:$B$23,1),MATCH(D283,[3]Sheet1!$C$3:$Q$3,1))
+(K283-INDEX([3]Sheet1!$B$4:$B$23,MATCH(K283,[3]Sheet1!$B$4:$B$23,1),1))/(INDEX([3]Sheet1!$B$4:$B$23,MATCH(K283,[3]Sheet1!$B$4:$B$23,1)+1,1)-INDEX([3]Sheet1!$B$4:$B$23,
MATCH(K283,[3]Sheet1!$B$4:$B$23,1),1))*(INDEX([3]Sheet1!$C$4:$Q$23,MATCH(K283,[3]Sheet1!$B$4:$B$23,1)+1,MATCH(D283,[3]Sheet1!$C$3:$Q$3,1))-INDEX([3]Sheet1!$C$4:$Q$23,
MATCH(K283,[3]Sheet1!$B$4:$B$23,1),MATCH(D283,[3]Sheet1!$C$3:$Q$3,1)))
+(D283-INDEX([3]Sheet1!$C$3:$Q$3,1,MATCH(D283,[3]Sheet1!$C$3:$Q$3)))/(INDEX([3]Sheet1!$C$3:$Q$3,1,MATCH(D283,[3]Sheet1!$C$3:$Q$3)+1)-INDEX([3]Sheet1!$C$3:$Q$3,1,MATCH(
D283,[3]Sheet1!$C$3:$Q$3)))*(INDEX([3]Sheet1!$C$4:$Q$23,MATCH(K283,[3]Sheet1!$B$4:$B$23,1),MATCH(D283,[3]Sheet1!$C$3:$Q$3,1)+1)-INDEX([3]Sheet1!$C$4:$Q$23,MATCH(K283,[3]Sheet1!$B$4:$B$23,1),MATCH(D283,[3]Sheet1!$C$3:$Q$3,1))))</f>
        <v>0</v>
      </c>
      <c r="M283" cm="1">
        <f t="array" ref="M283" xml:space="preserve"> IF(E283*J283=0,0,(INDEX([2]Sheet1!$C$4:$Q$23,MATCH(K283,[2]Sheet1!$B$4:$B$23,1),MATCH(D283,[2]Sheet1!$C$3:$Q$3,1))
+ (K283 - INDEX([2]Sheet1!$B$4:$B$23,MATCH(K283,[2]Sheet1!$B$4:$B$23,1),1))/(INDEX([2]Sheet1!$B$4:$B$23,MATCH(K283,[2]Sheet1!$B$4:$B$23,1)+1,1) - INDEX([2]Sheet1!$B$4:$B$23,MATCH(K283,[2]Sheet1!$B$4:$B$23,1),1))*(INDEX([2]Sheet1!$C$4:$Q$23,MATCH(K283,[2]Sheet1!$B$4:$B$23,1)+1,MATCH(D283,[2]Sheet1!$C$3:$Q$3,1)) - INDEX([2]Sheet1!$C$4:$Q$23,MATCH(K283,[2]Sheet1!$B$4:$B$23,1),MATCH(D283,[2]Sheet1!$C$3:$Q$3,1)))
+ (D283 - INDEX([2]Sheet1!$C$3:$Q$3,1,MATCH(D283,[2]Sheet1!$C$3:$Q$3)))/(INDEX([2]Sheet1!$C$3:$Q$3,1,MATCH(D283,[2]Sheet1!$C$3:$Q$3)+1) - INDEX([2]Sheet1!$C$3:$Q$3,1,MATCH(D283,[2]Sheet1!$C$3:$Q$3)))*(
INDEX([2]Sheet1!$C$4:$Q$23,MATCH(K283,[2]Sheet1!$B$4:$B$23,1),MATCH(D283,[2]Sheet1!$C$3:$Q$3,1)+1) - INDEX([2]Sheet1!$C$4:$Q$23,MATCH(K283,[2]Sheet1!$B$4:$B$23,1),MATCH(D283,[2]Sheet1!$C$3:$Q$3,1)))))</f>
        <v>0</v>
      </c>
      <c r="N283">
        <f t="shared" si="80"/>
        <v>12</v>
      </c>
      <c r="O283">
        <v>9.0027727633280125E-2</v>
      </c>
      <c r="P283" t="e">
        <f t="shared" si="81"/>
        <v>#DIV/0!</v>
      </c>
      <c r="Q283">
        <f t="shared" si="68"/>
        <v>0</v>
      </c>
      <c r="R283">
        <f t="shared" si="82"/>
        <v>741.9099431943954</v>
      </c>
      <c r="T283" t="e">
        <f t="shared" si="71"/>
        <v>#DIV/0!</v>
      </c>
      <c r="U283" t="e">
        <f t="shared" si="72"/>
        <v>#DIV/0!</v>
      </c>
      <c r="V283">
        <f t="shared" si="73"/>
        <v>0</v>
      </c>
      <c r="W283" t="e">
        <f t="shared" si="69"/>
        <v>#DIV/0!</v>
      </c>
    </row>
    <row r="284" spans="1:23" x14ac:dyDescent="0.55000000000000004">
      <c r="A284">
        <f t="shared" si="70"/>
        <v>25.000000000000085</v>
      </c>
      <c r="B284">
        <f t="shared" si="74"/>
        <v>0.316</v>
      </c>
      <c r="C284">
        <f t="shared" si="75"/>
        <v>-11.304347826087014</v>
      </c>
      <c r="D284">
        <v>2.4509150526141132</v>
      </c>
      <c r="E284">
        <f t="shared" si="65"/>
        <v>0</v>
      </c>
      <c r="F284">
        <f t="shared" si="76"/>
        <v>4.8605058816845369E-2</v>
      </c>
      <c r="G284">
        <f t="shared" si="77"/>
        <v>39.513748498891111</v>
      </c>
      <c r="H284">
        <f t="shared" si="78"/>
        <v>0</v>
      </c>
      <c r="I284" s="1">
        <f t="shared" si="66"/>
        <v>0</v>
      </c>
      <c r="J284">
        <f t="shared" si="79"/>
        <v>0</v>
      </c>
      <c r="K284">
        <f t="shared" si="67"/>
        <v>0</v>
      </c>
      <c r="L284" cm="1">
        <f t="array" ref="L284">IF(E284*J284=0,0,$C$21*INDEX([3]Sheet1!$C$4:$Q$23,MATCH(K284,[3]Sheet1!$B$4:$B$23,1),MATCH(D284,[3]Sheet1!$C$3:$Q$3,1))
+(K284-INDEX([3]Sheet1!$B$4:$B$23,MATCH(K284,[3]Sheet1!$B$4:$B$23,1),1))/(INDEX([3]Sheet1!$B$4:$B$23,MATCH(K284,[3]Sheet1!$B$4:$B$23,1)+1,1)-INDEX([3]Sheet1!$B$4:$B$23,
MATCH(K284,[3]Sheet1!$B$4:$B$23,1),1))*(INDEX([3]Sheet1!$C$4:$Q$23,MATCH(K284,[3]Sheet1!$B$4:$B$23,1)+1,MATCH(D284,[3]Sheet1!$C$3:$Q$3,1))-INDEX([3]Sheet1!$C$4:$Q$23,
MATCH(K284,[3]Sheet1!$B$4:$B$23,1),MATCH(D284,[3]Sheet1!$C$3:$Q$3,1)))
+(D284-INDEX([3]Sheet1!$C$3:$Q$3,1,MATCH(D284,[3]Sheet1!$C$3:$Q$3)))/(INDEX([3]Sheet1!$C$3:$Q$3,1,MATCH(D284,[3]Sheet1!$C$3:$Q$3)+1)-INDEX([3]Sheet1!$C$3:$Q$3,1,MATCH(
D284,[3]Sheet1!$C$3:$Q$3)))*(INDEX([3]Sheet1!$C$4:$Q$23,MATCH(K284,[3]Sheet1!$B$4:$B$23,1),MATCH(D284,[3]Sheet1!$C$3:$Q$3,1)+1)-INDEX([3]Sheet1!$C$4:$Q$23,MATCH(K284,[3]Sheet1!$B$4:$B$23,1),MATCH(D284,[3]Sheet1!$C$3:$Q$3,1))))</f>
        <v>0</v>
      </c>
      <c r="M284" cm="1">
        <f t="array" ref="M284" xml:space="preserve"> IF(E284*J284=0,0,(INDEX([2]Sheet1!$C$4:$Q$23,MATCH(K284,[2]Sheet1!$B$4:$B$23,1),MATCH(D284,[2]Sheet1!$C$3:$Q$3,1))
+ (K284 - INDEX([2]Sheet1!$B$4:$B$23,MATCH(K284,[2]Sheet1!$B$4:$B$23,1),1))/(INDEX([2]Sheet1!$B$4:$B$23,MATCH(K284,[2]Sheet1!$B$4:$B$23,1)+1,1) - INDEX([2]Sheet1!$B$4:$B$23,MATCH(K284,[2]Sheet1!$B$4:$B$23,1),1))*(INDEX([2]Sheet1!$C$4:$Q$23,MATCH(K284,[2]Sheet1!$B$4:$B$23,1)+1,MATCH(D284,[2]Sheet1!$C$3:$Q$3,1)) - INDEX([2]Sheet1!$C$4:$Q$23,MATCH(K284,[2]Sheet1!$B$4:$B$23,1),MATCH(D284,[2]Sheet1!$C$3:$Q$3,1)))
+ (D284 - INDEX([2]Sheet1!$C$3:$Q$3,1,MATCH(D284,[2]Sheet1!$C$3:$Q$3)))/(INDEX([2]Sheet1!$C$3:$Q$3,1,MATCH(D284,[2]Sheet1!$C$3:$Q$3)+1) - INDEX([2]Sheet1!$C$3:$Q$3,1,MATCH(D284,[2]Sheet1!$C$3:$Q$3)))*(
INDEX([2]Sheet1!$C$4:$Q$23,MATCH(K284,[2]Sheet1!$B$4:$B$23,1),MATCH(D284,[2]Sheet1!$C$3:$Q$3,1)+1) - INDEX([2]Sheet1!$C$4:$Q$23,MATCH(K284,[2]Sheet1!$B$4:$B$23,1),MATCH(D284,[2]Sheet1!$C$3:$Q$3,1)))))</f>
        <v>0</v>
      </c>
      <c r="N284">
        <f t="shared" si="80"/>
        <v>12</v>
      </c>
      <c r="O284">
        <v>9.0004353176013824E-2</v>
      </c>
      <c r="P284" t="e">
        <f t="shared" si="81"/>
        <v>#DIV/0!</v>
      </c>
      <c r="Q284">
        <f t="shared" si="68"/>
        <v>0</v>
      </c>
      <c r="R284">
        <f t="shared" si="82"/>
        <v>741.9099431943954</v>
      </c>
      <c r="T284" t="e">
        <f t="shared" si="71"/>
        <v>#DIV/0!</v>
      </c>
      <c r="U284" t="e">
        <f t="shared" si="72"/>
        <v>#DIV/0!</v>
      </c>
      <c r="V284">
        <f t="shared" si="73"/>
        <v>0</v>
      </c>
      <c r="W284" t="e">
        <f t="shared" si="69"/>
        <v>#DIV/0!</v>
      </c>
    </row>
    <row r="285" spans="1:23" x14ac:dyDescent="0.55000000000000004">
      <c r="A285">
        <f t="shared" si="70"/>
        <v>25.100000000000087</v>
      </c>
      <c r="B285">
        <f t="shared" si="74"/>
        <v>0.316</v>
      </c>
      <c r="C285">
        <f t="shared" si="75"/>
        <v>-11.369565217391365</v>
      </c>
      <c r="D285">
        <v>2.4508015162370329</v>
      </c>
      <c r="E285">
        <f t="shared" si="65"/>
        <v>0</v>
      </c>
      <c r="F285">
        <f t="shared" si="76"/>
        <v>4.8605058816845369E-2</v>
      </c>
      <c r="G285">
        <f t="shared" si="77"/>
        <v>39.513748498891111</v>
      </c>
      <c r="H285">
        <f t="shared" si="78"/>
        <v>0</v>
      </c>
      <c r="I285" s="1">
        <f t="shared" si="66"/>
        <v>0</v>
      </c>
      <c r="J285">
        <f t="shared" si="79"/>
        <v>0</v>
      </c>
      <c r="K285">
        <f t="shared" si="67"/>
        <v>0</v>
      </c>
      <c r="L285" cm="1">
        <f t="array" ref="L285">IF(E285*J285=0,0,$C$21*INDEX([3]Sheet1!$C$4:$Q$23,MATCH(K285,[3]Sheet1!$B$4:$B$23,1),MATCH(D285,[3]Sheet1!$C$3:$Q$3,1))
+(K285-INDEX([3]Sheet1!$B$4:$B$23,MATCH(K285,[3]Sheet1!$B$4:$B$23,1),1))/(INDEX([3]Sheet1!$B$4:$B$23,MATCH(K285,[3]Sheet1!$B$4:$B$23,1)+1,1)-INDEX([3]Sheet1!$B$4:$B$23,
MATCH(K285,[3]Sheet1!$B$4:$B$23,1),1))*(INDEX([3]Sheet1!$C$4:$Q$23,MATCH(K285,[3]Sheet1!$B$4:$B$23,1)+1,MATCH(D285,[3]Sheet1!$C$3:$Q$3,1))-INDEX([3]Sheet1!$C$4:$Q$23,
MATCH(K285,[3]Sheet1!$B$4:$B$23,1),MATCH(D285,[3]Sheet1!$C$3:$Q$3,1)))
+(D285-INDEX([3]Sheet1!$C$3:$Q$3,1,MATCH(D285,[3]Sheet1!$C$3:$Q$3)))/(INDEX([3]Sheet1!$C$3:$Q$3,1,MATCH(D285,[3]Sheet1!$C$3:$Q$3)+1)-INDEX([3]Sheet1!$C$3:$Q$3,1,MATCH(
D285,[3]Sheet1!$C$3:$Q$3)))*(INDEX([3]Sheet1!$C$4:$Q$23,MATCH(K285,[3]Sheet1!$B$4:$B$23,1),MATCH(D285,[3]Sheet1!$C$3:$Q$3,1)+1)-INDEX([3]Sheet1!$C$4:$Q$23,MATCH(K285,[3]Sheet1!$B$4:$B$23,1),MATCH(D285,[3]Sheet1!$C$3:$Q$3,1))))</f>
        <v>0</v>
      </c>
      <c r="M285" cm="1">
        <f t="array" ref="M285" xml:space="preserve"> IF(E285*J285=0,0,(INDEX([2]Sheet1!$C$4:$Q$23,MATCH(K285,[2]Sheet1!$B$4:$B$23,1),MATCH(D285,[2]Sheet1!$C$3:$Q$3,1))
+ (K285 - INDEX([2]Sheet1!$B$4:$B$23,MATCH(K285,[2]Sheet1!$B$4:$B$23,1),1))/(INDEX([2]Sheet1!$B$4:$B$23,MATCH(K285,[2]Sheet1!$B$4:$B$23,1)+1,1) - INDEX([2]Sheet1!$B$4:$B$23,MATCH(K285,[2]Sheet1!$B$4:$B$23,1),1))*(INDEX([2]Sheet1!$C$4:$Q$23,MATCH(K285,[2]Sheet1!$B$4:$B$23,1)+1,MATCH(D285,[2]Sheet1!$C$3:$Q$3,1)) - INDEX([2]Sheet1!$C$4:$Q$23,MATCH(K285,[2]Sheet1!$B$4:$B$23,1),MATCH(D285,[2]Sheet1!$C$3:$Q$3,1)))
+ (D285 - INDEX([2]Sheet1!$C$3:$Q$3,1,MATCH(D285,[2]Sheet1!$C$3:$Q$3)))/(INDEX([2]Sheet1!$C$3:$Q$3,1,MATCH(D285,[2]Sheet1!$C$3:$Q$3)+1) - INDEX([2]Sheet1!$C$3:$Q$3,1,MATCH(D285,[2]Sheet1!$C$3:$Q$3)))*(
INDEX([2]Sheet1!$C$4:$Q$23,MATCH(K285,[2]Sheet1!$B$4:$B$23,1),MATCH(D285,[2]Sheet1!$C$3:$Q$3,1)+1) - INDEX([2]Sheet1!$C$4:$Q$23,MATCH(K285,[2]Sheet1!$B$4:$B$23,1),MATCH(D285,[2]Sheet1!$C$3:$Q$3,1)))))</f>
        <v>0</v>
      </c>
      <c r="N285">
        <f t="shared" si="80"/>
        <v>12</v>
      </c>
      <c r="O285">
        <v>8.9981034562933049E-2</v>
      </c>
      <c r="P285" t="e">
        <f t="shared" si="81"/>
        <v>#DIV/0!</v>
      </c>
      <c r="Q285">
        <f t="shared" si="68"/>
        <v>0</v>
      </c>
      <c r="R285">
        <f t="shared" si="82"/>
        <v>741.9099431943954</v>
      </c>
      <c r="T285" t="e">
        <f t="shared" si="71"/>
        <v>#DIV/0!</v>
      </c>
      <c r="U285" t="e">
        <f t="shared" si="72"/>
        <v>#DIV/0!</v>
      </c>
      <c r="V285">
        <f t="shared" si="73"/>
        <v>0</v>
      </c>
      <c r="W285" t="e">
        <f t="shared" si="69"/>
        <v>#DIV/0!</v>
      </c>
    </row>
    <row r="286" spans="1:23" x14ac:dyDescent="0.55000000000000004">
      <c r="A286">
        <f t="shared" si="70"/>
        <v>25.200000000000088</v>
      </c>
      <c r="B286">
        <f t="shared" si="74"/>
        <v>0.316</v>
      </c>
      <c r="C286">
        <f t="shared" si="75"/>
        <v>-11.434782608695709</v>
      </c>
      <c r="D286">
        <v>2.4506882208155809</v>
      </c>
      <c r="E286">
        <f t="shared" si="65"/>
        <v>0</v>
      </c>
      <c r="F286">
        <f t="shared" si="76"/>
        <v>4.8605058816845369E-2</v>
      </c>
      <c r="G286">
        <f t="shared" si="77"/>
        <v>39.513748498891111</v>
      </c>
      <c r="H286">
        <f t="shared" si="78"/>
        <v>0</v>
      </c>
      <c r="I286" s="1">
        <f t="shared" si="66"/>
        <v>0</v>
      </c>
      <c r="J286">
        <f t="shared" si="79"/>
        <v>0</v>
      </c>
      <c r="K286">
        <f t="shared" si="67"/>
        <v>0</v>
      </c>
      <c r="L286" cm="1">
        <f t="array" ref="L286">IF(E286*J286=0,0,$C$21*INDEX([3]Sheet1!$C$4:$Q$23,MATCH(K286,[3]Sheet1!$B$4:$B$23,1),MATCH(D286,[3]Sheet1!$C$3:$Q$3,1))
+(K286-INDEX([3]Sheet1!$B$4:$B$23,MATCH(K286,[3]Sheet1!$B$4:$B$23,1),1))/(INDEX([3]Sheet1!$B$4:$B$23,MATCH(K286,[3]Sheet1!$B$4:$B$23,1)+1,1)-INDEX([3]Sheet1!$B$4:$B$23,
MATCH(K286,[3]Sheet1!$B$4:$B$23,1),1))*(INDEX([3]Sheet1!$C$4:$Q$23,MATCH(K286,[3]Sheet1!$B$4:$B$23,1)+1,MATCH(D286,[3]Sheet1!$C$3:$Q$3,1))-INDEX([3]Sheet1!$C$4:$Q$23,
MATCH(K286,[3]Sheet1!$B$4:$B$23,1),MATCH(D286,[3]Sheet1!$C$3:$Q$3,1)))
+(D286-INDEX([3]Sheet1!$C$3:$Q$3,1,MATCH(D286,[3]Sheet1!$C$3:$Q$3)))/(INDEX([3]Sheet1!$C$3:$Q$3,1,MATCH(D286,[3]Sheet1!$C$3:$Q$3)+1)-INDEX([3]Sheet1!$C$3:$Q$3,1,MATCH(
D286,[3]Sheet1!$C$3:$Q$3)))*(INDEX([3]Sheet1!$C$4:$Q$23,MATCH(K286,[3]Sheet1!$B$4:$B$23,1),MATCH(D286,[3]Sheet1!$C$3:$Q$3,1)+1)-INDEX([3]Sheet1!$C$4:$Q$23,MATCH(K286,[3]Sheet1!$B$4:$B$23,1),MATCH(D286,[3]Sheet1!$C$3:$Q$3,1))))</f>
        <v>0</v>
      </c>
      <c r="M286" cm="1">
        <f t="array" ref="M286" xml:space="preserve"> IF(E286*J286=0,0,(INDEX([2]Sheet1!$C$4:$Q$23,MATCH(K286,[2]Sheet1!$B$4:$B$23,1),MATCH(D286,[2]Sheet1!$C$3:$Q$3,1))
+ (K286 - INDEX([2]Sheet1!$B$4:$B$23,MATCH(K286,[2]Sheet1!$B$4:$B$23,1),1))/(INDEX([2]Sheet1!$B$4:$B$23,MATCH(K286,[2]Sheet1!$B$4:$B$23,1)+1,1) - INDEX([2]Sheet1!$B$4:$B$23,MATCH(K286,[2]Sheet1!$B$4:$B$23,1),1))*(INDEX([2]Sheet1!$C$4:$Q$23,MATCH(K286,[2]Sheet1!$B$4:$B$23,1)+1,MATCH(D286,[2]Sheet1!$C$3:$Q$3,1)) - INDEX([2]Sheet1!$C$4:$Q$23,MATCH(K286,[2]Sheet1!$B$4:$B$23,1),MATCH(D286,[2]Sheet1!$C$3:$Q$3,1)))
+ (D286 - INDEX([2]Sheet1!$C$3:$Q$3,1,MATCH(D286,[2]Sheet1!$C$3:$Q$3)))/(INDEX([2]Sheet1!$C$3:$Q$3,1,MATCH(D286,[2]Sheet1!$C$3:$Q$3)+1) - INDEX([2]Sheet1!$C$3:$Q$3,1,MATCH(D286,[2]Sheet1!$C$3:$Q$3)))*(
INDEX([2]Sheet1!$C$4:$Q$23,MATCH(K286,[2]Sheet1!$B$4:$B$23,1),MATCH(D286,[2]Sheet1!$C$3:$Q$3,1)+1) - INDEX([2]Sheet1!$C$4:$Q$23,MATCH(K286,[2]Sheet1!$B$4:$B$23,1),MATCH(D286,[2]Sheet1!$C$3:$Q$3,1)))))</f>
        <v>0</v>
      </c>
      <c r="N286">
        <f t="shared" si="80"/>
        <v>12</v>
      </c>
      <c r="O286">
        <v>8.9957771536908662E-2</v>
      </c>
      <c r="P286" t="e">
        <f t="shared" si="81"/>
        <v>#DIV/0!</v>
      </c>
      <c r="Q286">
        <f t="shared" si="68"/>
        <v>0</v>
      </c>
      <c r="R286">
        <f t="shared" si="82"/>
        <v>741.9099431943954</v>
      </c>
      <c r="T286" t="e">
        <f t="shared" si="71"/>
        <v>#DIV/0!</v>
      </c>
      <c r="U286" t="e">
        <f t="shared" si="72"/>
        <v>#DIV/0!</v>
      </c>
      <c r="V286">
        <f t="shared" si="73"/>
        <v>0</v>
      </c>
      <c r="W286" t="e">
        <f t="shared" si="69"/>
        <v>#DIV/0!</v>
      </c>
    </row>
    <row r="287" spans="1:23" x14ac:dyDescent="0.55000000000000004">
      <c r="A287">
        <f t="shared" si="70"/>
        <v>25.30000000000009</v>
      </c>
      <c r="B287">
        <f t="shared" si="74"/>
        <v>0.316</v>
      </c>
      <c r="C287">
        <f t="shared" si="75"/>
        <v>-11.500000000000057</v>
      </c>
      <c r="D287">
        <v>2.45057516529782</v>
      </c>
      <c r="E287">
        <f t="shared" si="65"/>
        <v>0</v>
      </c>
      <c r="F287">
        <f t="shared" si="76"/>
        <v>4.8605058816845369E-2</v>
      </c>
      <c r="G287">
        <f t="shared" si="77"/>
        <v>39.513748498891111</v>
      </c>
      <c r="H287">
        <f t="shared" si="78"/>
        <v>0</v>
      </c>
      <c r="I287" s="1">
        <f t="shared" si="66"/>
        <v>0</v>
      </c>
      <c r="J287">
        <f t="shared" si="79"/>
        <v>0</v>
      </c>
      <c r="K287">
        <f t="shared" si="67"/>
        <v>0</v>
      </c>
      <c r="L287" cm="1">
        <f t="array" ref="L287">IF(E287*J287=0,0,$C$21*INDEX([3]Sheet1!$C$4:$Q$23,MATCH(K287,[3]Sheet1!$B$4:$B$23,1),MATCH(D287,[3]Sheet1!$C$3:$Q$3,1))
+(K287-INDEX([3]Sheet1!$B$4:$B$23,MATCH(K287,[3]Sheet1!$B$4:$B$23,1),1))/(INDEX([3]Sheet1!$B$4:$B$23,MATCH(K287,[3]Sheet1!$B$4:$B$23,1)+1,1)-INDEX([3]Sheet1!$B$4:$B$23,
MATCH(K287,[3]Sheet1!$B$4:$B$23,1),1))*(INDEX([3]Sheet1!$C$4:$Q$23,MATCH(K287,[3]Sheet1!$B$4:$B$23,1)+1,MATCH(D287,[3]Sheet1!$C$3:$Q$3,1))-INDEX([3]Sheet1!$C$4:$Q$23,
MATCH(K287,[3]Sheet1!$B$4:$B$23,1),MATCH(D287,[3]Sheet1!$C$3:$Q$3,1)))
+(D287-INDEX([3]Sheet1!$C$3:$Q$3,1,MATCH(D287,[3]Sheet1!$C$3:$Q$3)))/(INDEX([3]Sheet1!$C$3:$Q$3,1,MATCH(D287,[3]Sheet1!$C$3:$Q$3)+1)-INDEX([3]Sheet1!$C$3:$Q$3,1,MATCH(
D287,[3]Sheet1!$C$3:$Q$3)))*(INDEX([3]Sheet1!$C$4:$Q$23,MATCH(K287,[3]Sheet1!$B$4:$B$23,1),MATCH(D287,[3]Sheet1!$C$3:$Q$3,1)+1)-INDEX([3]Sheet1!$C$4:$Q$23,MATCH(K287,[3]Sheet1!$B$4:$B$23,1),MATCH(D287,[3]Sheet1!$C$3:$Q$3,1))))</f>
        <v>0</v>
      </c>
      <c r="M287" cm="1">
        <f t="array" ref="M287" xml:space="preserve"> IF(E287*J287=0,0,(INDEX([2]Sheet1!$C$4:$Q$23,MATCH(K287,[2]Sheet1!$B$4:$B$23,1),MATCH(D287,[2]Sheet1!$C$3:$Q$3,1))
+ (K287 - INDEX([2]Sheet1!$B$4:$B$23,MATCH(K287,[2]Sheet1!$B$4:$B$23,1),1))/(INDEX([2]Sheet1!$B$4:$B$23,MATCH(K287,[2]Sheet1!$B$4:$B$23,1)+1,1) - INDEX([2]Sheet1!$B$4:$B$23,MATCH(K287,[2]Sheet1!$B$4:$B$23,1),1))*(INDEX([2]Sheet1!$C$4:$Q$23,MATCH(K287,[2]Sheet1!$B$4:$B$23,1)+1,MATCH(D287,[2]Sheet1!$C$3:$Q$3,1)) - INDEX([2]Sheet1!$C$4:$Q$23,MATCH(K287,[2]Sheet1!$B$4:$B$23,1),MATCH(D287,[2]Sheet1!$C$3:$Q$3,1)))
+ (D287 - INDEX([2]Sheet1!$C$3:$Q$3,1,MATCH(D287,[2]Sheet1!$C$3:$Q$3)))/(INDEX([2]Sheet1!$C$3:$Q$3,1,MATCH(D287,[2]Sheet1!$C$3:$Q$3)+1) - INDEX([2]Sheet1!$C$3:$Q$3,1,MATCH(D287,[2]Sheet1!$C$3:$Q$3)))*(
INDEX([2]Sheet1!$C$4:$Q$23,MATCH(K287,[2]Sheet1!$B$4:$B$23,1),MATCH(D287,[2]Sheet1!$C$3:$Q$3,1)+1) - INDEX([2]Sheet1!$C$4:$Q$23,MATCH(K287,[2]Sheet1!$B$4:$B$23,1),MATCH(D287,[2]Sheet1!$C$3:$Q$3,1)))))</f>
        <v>0</v>
      </c>
      <c r="N287">
        <f t="shared" si="80"/>
        <v>12</v>
      </c>
      <c r="O287">
        <v>8.9934563842568829E-2</v>
      </c>
      <c r="P287" t="e">
        <f t="shared" si="81"/>
        <v>#DIV/0!</v>
      </c>
      <c r="Q287">
        <f t="shared" si="68"/>
        <v>0</v>
      </c>
      <c r="R287">
        <f t="shared" si="82"/>
        <v>741.9099431943954</v>
      </c>
      <c r="T287" t="e">
        <f t="shared" si="71"/>
        <v>#DIV/0!</v>
      </c>
      <c r="U287" t="e">
        <f t="shared" si="72"/>
        <v>#DIV/0!</v>
      </c>
      <c r="V287">
        <f t="shared" si="73"/>
        <v>0</v>
      </c>
      <c r="W287" t="e">
        <f t="shared" si="69"/>
        <v>#DIV/0!</v>
      </c>
    </row>
    <row r="288" spans="1:23" x14ac:dyDescent="0.55000000000000004">
      <c r="A288">
        <f t="shared" si="70"/>
        <v>25.400000000000091</v>
      </c>
      <c r="B288">
        <f t="shared" si="74"/>
        <v>0.316</v>
      </c>
      <c r="C288">
        <f t="shared" si="75"/>
        <v>-11.565217391304408</v>
      </c>
      <c r="D288">
        <v>2.4504623486387245</v>
      </c>
      <c r="E288">
        <f t="shared" si="65"/>
        <v>0</v>
      </c>
      <c r="F288">
        <f t="shared" si="76"/>
        <v>4.8605058816845369E-2</v>
      </c>
      <c r="G288">
        <f t="shared" si="77"/>
        <v>39.513748498891111</v>
      </c>
      <c r="H288">
        <f t="shared" si="78"/>
        <v>0</v>
      </c>
      <c r="I288" s="1">
        <f t="shared" si="66"/>
        <v>0</v>
      </c>
      <c r="J288">
        <f t="shared" si="79"/>
        <v>0</v>
      </c>
      <c r="K288">
        <f t="shared" si="67"/>
        <v>0</v>
      </c>
      <c r="L288" cm="1">
        <f t="array" ref="L288">IF(E288*J288=0,0,$C$21*INDEX([3]Sheet1!$C$4:$Q$23,MATCH(K288,[3]Sheet1!$B$4:$B$23,1),MATCH(D288,[3]Sheet1!$C$3:$Q$3,1))
+(K288-INDEX([3]Sheet1!$B$4:$B$23,MATCH(K288,[3]Sheet1!$B$4:$B$23,1),1))/(INDEX([3]Sheet1!$B$4:$B$23,MATCH(K288,[3]Sheet1!$B$4:$B$23,1)+1,1)-INDEX([3]Sheet1!$B$4:$B$23,
MATCH(K288,[3]Sheet1!$B$4:$B$23,1),1))*(INDEX([3]Sheet1!$C$4:$Q$23,MATCH(K288,[3]Sheet1!$B$4:$B$23,1)+1,MATCH(D288,[3]Sheet1!$C$3:$Q$3,1))-INDEX([3]Sheet1!$C$4:$Q$23,
MATCH(K288,[3]Sheet1!$B$4:$B$23,1),MATCH(D288,[3]Sheet1!$C$3:$Q$3,1)))
+(D288-INDEX([3]Sheet1!$C$3:$Q$3,1,MATCH(D288,[3]Sheet1!$C$3:$Q$3)))/(INDEX([3]Sheet1!$C$3:$Q$3,1,MATCH(D288,[3]Sheet1!$C$3:$Q$3)+1)-INDEX([3]Sheet1!$C$3:$Q$3,1,MATCH(
D288,[3]Sheet1!$C$3:$Q$3)))*(INDEX([3]Sheet1!$C$4:$Q$23,MATCH(K288,[3]Sheet1!$B$4:$B$23,1),MATCH(D288,[3]Sheet1!$C$3:$Q$3,1)+1)-INDEX([3]Sheet1!$C$4:$Q$23,MATCH(K288,[3]Sheet1!$B$4:$B$23,1),MATCH(D288,[3]Sheet1!$C$3:$Q$3,1))))</f>
        <v>0</v>
      </c>
      <c r="M288" cm="1">
        <f t="array" ref="M288" xml:space="preserve"> IF(E288*J288=0,0,(INDEX([2]Sheet1!$C$4:$Q$23,MATCH(K288,[2]Sheet1!$B$4:$B$23,1),MATCH(D288,[2]Sheet1!$C$3:$Q$3,1))
+ (K288 - INDEX([2]Sheet1!$B$4:$B$23,MATCH(K288,[2]Sheet1!$B$4:$B$23,1),1))/(INDEX([2]Sheet1!$B$4:$B$23,MATCH(K288,[2]Sheet1!$B$4:$B$23,1)+1,1) - INDEX([2]Sheet1!$B$4:$B$23,MATCH(K288,[2]Sheet1!$B$4:$B$23,1),1))*(INDEX([2]Sheet1!$C$4:$Q$23,MATCH(K288,[2]Sheet1!$B$4:$B$23,1)+1,MATCH(D288,[2]Sheet1!$C$3:$Q$3,1)) - INDEX([2]Sheet1!$C$4:$Q$23,MATCH(K288,[2]Sheet1!$B$4:$B$23,1),MATCH(D288,[2]Sheet1!$C$3:$Q$3,1)))
+ (D288 - INDEX([2]Sheet1!$C$3:$Q$3,1,MATCH(D288,[2]Sheet1!$C$3:$Q$3)))/(INDEX([2]Sheet1!$C$3:$Q$3,1,MATCH(D288,[2]Sheet1!$C$3:$Q$3)+1) - INDEX([2]Sheet1!$C$3:$Q$3,1,MATCH(D288,[2]Sheet1!$C$3:$Q$3)))*(
INDEX([2]Sheet1!$C$4:$Q$23,MATCH(K288,[2]Sheet1!$B$4:$B$23,1),MATCH(D288,[2]Sheet1!$C$3:$Q$3,1)+1) - INDEX([2]Sheet1!$C$4:$Q$23,MATCH(K288,[2]Sheet1!$B$4:$B$23,1),MATCH(D288,[2]Sheet1!$C$3:$Q$3,1)))))</f>
        <v>0</v>
      </c>
      <c r="N288">
        <f t="shared" si="80"/>
        <v>12</v>
      </c>
      <c r="O288">
        <v>8.9911375401201379E-2</v>
      </c>
      <c r="P288" t="e">
        <f t="shared" si="81"/>
        <v>#DIV/0!</v>
      </c>
      <c r="Q288">
        <f t="shared" si="68"/>
        <v>0</v>
      </c>
      <c r="R288">
        <f t="shared" si="82"/>
        <v>741.9099431943954</v>
      </c>
      <c r="T288" t="e">
        <f t="shared" si="71"/>
        <v>#DIV/0!</v>
      </c>
      <c r="U288" t="e">
        <f t="shared" si="72"/>
        <v>#DIV/0!</v>
      </c>
      <c r="V288">
        <f t="shared" si="73"/>
        <v>0</v>
      </c>
      <c r="W288" t="e">
        <f t="shared" si="69"/>
        <v>#DIV/0!</v>
      </c>
    </row>
    <row r="289" spans="1:23" x14ac:dyDescent="0.55000000000000004">
      <c r="A289">
        <f t="shared" si="70"/>
        <v>25.500000000000092</v>
      </c>
      <c r="B289">
        <f t="shared" si="74"/>
        <v>0.316</v>
      </c>
      <c r="C289">
        <f t="shared" si="75"/>
        <v>-11.630434782608759</v>
      </c>
      <c r="D289">
        <v>2.4503497698001215</v>
      </c>
      <c r="E289">
        <f t="shared" si="65"/>
        <v>0</v>
      </c>
      <c r="F289">
        <f t="shared" si="76"/>
        <v>4.8605058816845369E-2</v>
      </c>
      <c r="G289">
        <f t="shared" si="77"/>
        <v>39.513748498891111</v>
      </c>
      <c r="H289">
        <f t="shared" si="78"/>
        <v>0</v>
      </c>
      <c r="I289" s="1">
        <f t="shared" si="66"/>
        <v>0</v>
      </c>
      <c r="J289">
        <f t="shared" si="79"/>
        <v>0</v>
      </c>
      <c r="K289">
        <f t="shared" si="67"/>
        <v>0</v>
      </c>
      <c r="L289" cm="1">
        <f t="array" ref="L289">IF(E289*J289=0,0,$C$21*INDEX([3]Sheet1!$C$4:$Q$23,MATCH(K289,[3]Sheet1!$B$4:$B$23,1),MATCH(D289,[3]Sheet1!$C$3:$Q$3,1))
+(K289-INDEX([3]Sheet1!$B$4:$B$23,MATCH(K289,[3]Sheet1!$B$4:$B$23,1),1))/(INDEX([3]Sheet1!$B$4:$B$23,MATCH(K289,[3]Sheet1!$B$4:$B$23,1)+1,1)-INDEX([3]Sheet1!$B$4:$B$23,
MATCH(K289,[3]Sheet1!$B$4:$B$23,1),1))*(INDEX([3]Sheet1!$C$4:$Q$23,MATCH(K289,[3]Sheet1!$B$4:$B$23,1)+1,MATCH(D289,[3]Sheet1!$C$3:$Q$3,1))-INDEX([3]Sheet1!$C$4:$Q$23,
MATCH(K289,[3]Sheet1!$B$4:$B$23,1),MATCH(D289,[3]Sheet1!$C$3:$Q$3,1)))
+(D289-INDEX([3]Sheet1!$C$3:$Q$3,1,MATCH(D289,[3]Sheet1!$C$3:$Q$3)))/(INDEX([3]Sheet1!$C$3:$Q$3,1,MATCH(D289,[3]Sheet1!$C$3:$Q$3)+1)-INDEX([3]Sheet1!$C$3:$Q$3,1,MATCH(
D289,[3]Sheet1!$C$3:$Q$3)))*(INDEX([3]Sheet1!$C$4:$Q$23,MATCH(K289,[3]Sheet1!$B$4:$B$23,1),MATCH(D289,[3]Sheet1!$C$3:$Q$3,1)+1)-INDEX([3]Sheet1!$C$4:$Q$23,MATCH(K289,[3]Sheet1!$B$4:$B$23,1),MATCH(D289,[3]Sheet1!$C$3:$Q$3,1))))</f>
        <v>0</v>
      </c>
      <c r="M289" cm="1">
        <f t="array" ref="M289" xml:space="preserve"> IF(E289*J289=0,0,(INDEX([2]Sheet1!$C$4:$Q$23,MATCH(K289,[2]Sheet1!$B$4:$B$23,1),MATCH(D289,[2]Sheet1!$C$3:$Q$3,1))
+ (K289 - INDEX([2]Sheet1!$B$4:$B$23,MATCH(K289,[2]Sheet1!$B$4:$B$23,1),1))/(INDEX([2]Sheet1!$B$4:$B$23,MATCH(K289,[2]Sheet1!$B$4:$B$23,1)+1,1) - INDEX([2]Sheet1!$B$4:$B$23,MATCH(K289,[2]Sheet1!$B$4:$B$23,1),1))*(INDEX([2]Sheet1!$C$4:$Q$23,MATCH(K289,[2]Sheet1!$B$4:$B$23,1)+1,MATCH(D289,[2]Sheet1!$C$3:$Q$3,1)) - INDEX([2]Sheet1!$C$4:$Q$23,MATCH(K289,[2]Sheet1!$B$4:$B$23,1),MATCH(D289,[2]Sheet1!$C$3:$Q$3,1)))
+ (D289 - INDEX([2]Sheet1!$C$3:$Q$3,1,MATCH(D289,[2]Sheet1!$C$3:$Q$3)))/(INDEX([2]Sheet1!$C$3:$Q$3,1,MATCH(D289,[2]Sheet1!$C$3:$Q$3)+1) - INDEX([2]Sheet1!$C$3:$Q$3,1,MATCH(D289,[2]Sheet1!$C$3:$Q$3)))*(
INDEX([2]Sheet1!$C$4:$Q$23,MATCH(K289,[2]Sheet1!$B$4:$B$23,1),MATCH(D289,[2]Sheet1!$C$3:$Q$3,1)+1) - INDEX([2]Sheet1!$C$4:$Q$23,MATCH(K289,[2]Sheet1!$B$4:$B$23,1),MATCH(D289,[2]Sheet1!$C$3:$Q$3,1)))))</f>
        <v>0</v>
      </c>
      <c r="N289">
        <f t="shared" si="80"/>
        <v>12</v>
      </c>
      <c r="O289">
        <v>8.9888229731901359E-2</v>
      </c>
      <c r="P289" t="e">
        <f t="shared" si="81"/>
        <v>#DIV/0!</v>
      </c>
      <c r="Q289">
        <f t="shared" si="68"/>
        <v>0</v>
      </c>
      <c r="R289">
        <f t="shared" si="82"/>
        <v>741.9099431943954</v>
      </c>
      <c r="T289" t="e">
        <f t="shared" si="71"/>
        <v>#DIV/0!</v>
      </c>
      <c r="U289" t="e">
        <f t="shared" si="72"/>
        <v>#DIV/0!</v>
      </c>
      <c r="V289">
        <f t="shared" si="73"/>
        <v>0</v>
      </c>
      <c r="W289" t="e">
        <f t="shared" si="69"/>
        <v>#DIV/0!</v>
      </c>
    </row>
    <row r="290" spans="1:23" x14ac:dyDescent="0.55000000000000004">
      <c r="A290">
        <f t="shared" si="70"/>
        <v>25.600000000000094</v>
      </c>
      <c r="B290">
        <f t="shared" si="74"/>
        <v>0.316</v>
      </c>
      <c r="C290">
        <f t="shared" si="75"/>
        <v>-11.695652173913107</v>
      </c>
      <c r="D290">
        <v>2.4502374277506322</v>
      </c>
      <c r="E290">
        <f t="shared" si="65"/>
        <v>0</v>
      </c>
      <c r="F290">
        <f t="shared" si="76"/>
        <v>4.8605058816845369E-2</v>
      </c>
      <c r="G290">
        <f t="shared" si="77"/>
        <v>39.513748498891111</v>
      </c>
      <c r="H290">
        <f t="shared" si="78"/>
        <v>0</v>
      </c>
      <c r="I290" s="1">
        <f t="shared" si="66"/>
        <v>0</v>
      </c>
      <c r="J290">
        <f t="shared" si="79"/>
        <v>0</v>
      </c>
      <c r="K290">
        <f t="shared" si="67"/>
        <v>0</v>
      </c>
      <c r="L290" cm="1">
        <f t="array" ref="L290">IF(E290*J290=0,0,$C$21*INDEX([3]Sheet1!$C$4:$Q$23,MATCH(K290,[3]Sheet1!$B$4:$B$23,1),MATCH(D290,[3]Sheet1!$C$3:$Q$3,1))
+(K290-INDEX([3]Sheet1!$B$4:$B$23,MATCH(K290,[3]Sheet1!$B$4:$B$23,1),1))/(INDEX([3]Sheet1!$B$4:$B$23,MATCH(K290,[3]Sheet1!$B$4:$B$23,1)+1,1)-INDEX([3]Sheet1!$B$4:$B$23,
MATCH(K290,[3]Sheet1!$B$4:$B$23,1),1))*(INDEX([3]Sheet1!$C$4:$Q$23,MATCH(K290,[3]Sheet1!$B$4:$B$23,1)+1,MATCH(D290,[3]Sheet1!$C$3:$Q$3,1))-INDEX([3]Sheet1!$C$4:$Q$23,
MATCH(K290,[3]Sheet1!$B$4:$B$23,1),MATCH(D290,[3]Sheet1!$C$3:$Q$3,1)))
+(D290-INDEX([3]Sheet1!$C$3:$Q$3,1,MATCH(D290,[3]Sheet1!$C$3:$Q$3)))/(INDEX([3]Sheet1!$C$3:$Q$3,1,MATCH(D290,[3]Sheet1!$C$3:$Q$3)+1)-INDEX([3]Sheet1!$C$3:$Q$3,1,MATCH(
D290,[3]Sheet1!$C$3:$Q$3)))*(INDEX([3]Sheet1!$C$4:$Q$23,MATCH(K290,[3]Sheet1!$B$4:$B$23,1),MATCH(D290,[3]Sheet1!$C$3:$Q$3,1)+1)-INDEX([3]Sheet1!$C$4:$Q$23,MATCH(K290,[3]Sheet1!$B$4:$B$23,1),MATCH(D290,[3]Sheet1!$C$3:$Q$3,1))))</f>
        <v>0</v>
      </c>
      <c r="M290" cm="1">
        <f t="array" ref="M290" xml:space="preserve"> IF(E290*J290=0,0,(INDEX([2]Sheet1!$C$4:$Q$23,MATCH(K290,[2]Sheet1!$B$4:$B$23,1),MATCH(D290,[2]Sheet1!$C$3:$Q$3,1))
+ (K290 - INDEX([2]Sheet1!$B$4:$B$23,MATCH(K290,[2]Sheet1!$B$4:$B$23,1),1))/(INDEX([2]Sheet1!$B$4:$B$23,MATCH(K290,[2]Sheet1!$B$4:$B$23,1)+1,1) - INDEX([2]Sheet1!$B$4:$B$23,MATCH(K290,[2]Sheet1!$B$4:$B$23,1),1))*(INDEX([2]Sheet1!$C$4:$Q$23,MATCH(K290,[2]Sheet1!$B$4:$B$23,1)+1,MATCH(D290,[2]Sheet1!$C$3:$Q$3,1)) - INDEX([2]Sheet1!$C$4:$Q$23,MATCH(K290,[2]Sheet1!$B$4:$B$23,1),MATCH(D290,[2]Sheet1!$C$3:$Q$3,1)))
+ (D290 - INDEX([2]Sheet1!$C$3:$Q$3,1,MATCH(D290,[2]Sheet1!$C$3:$Q$3)))/(INDEX([2]Sheet1!$C$3:$Q$3,1,MATCH(D290,[2]Sheet1!$C$3:$Q$3)+1) - INDEX([2]Sheet1!$C$3:$Q$3,1,MATCH(D290,[2]Sheet1!$C$3:$Q$3)))*(
INDEX([2]Sheet1!$C$4:$Q$23,MATCH(K290,[2]Sheet1!$B$4:$B$23,1),MATCH(D290,[2]Sheet1!$C$3:$Q$3,1)+1) - INDEX([2]Sheet1!$C$4:$Q$23,MATCH(K290,[2]Sheet1!$B$4:$B$23,1),MATCH(D290,[2]Sheet1!$C$3:$Q$3,1)))))</f>
        <v>0</v>
      </c>
      <c r="N290">
        <f t="shared" si="80"/>
        <v>12</v>
      </c>
      <c r="O290">
        <v>8.986513941640395E-2</v>
      </c>
      <c r="P290" t="e">
        <f t="shared" si="81"/>
        <v>#DIV/0!</v>
      </c>
      <c r="Q290">
        <f t="shared" si="68"/>
        <v>0</v>
      </c>
      <c r="R290">
        <f t="shared" si="82"/>
        <v>741.9099431943954</v>
      </c>
      <c r="T290" t="e">
        <f t="shared" si="71"/>
        <v>#DIV/0!</v>
      </c>
      <c r="U290" t="e">
        <f t="shared" si="72"/>
        <v>#DIV/0!</v>
      </c>
      <c r="V290">
        <f t="shared" si="73"/>
        <v>0</v>
      </c>
      <c r="W290" t="e">
        <f t="shared" si="69"/>
        <v>#DIV/0!</v>
      </c>
    </row>
    <row r="291" spans="1:23" x14ac:dyDescent="0.55000000000000004">
      <c r="A291">
        <f t="shared" si="70"/>
        <v>25.700000000000095</v>
      </c>
      <c r="B291">
        <f t="shared" si="74"/>
        <v>0.316</v>
      </c>
      <c r="C291">
        <f t="shared" si="75"/>
        <v>-11.760869565217455</v>
      </c>
      <c r="D291">
        <v>2.4501253214656087</v>
      </c>
      <c r="E291">
        <f t="shared" ref="E291:E354" si="83">IF(B291&lt;($C$5*$C$6*10^-6),$C$9*(PI()/4*($C$8*0.001)^2)*SQRT(2*$C$6*IF(C291&gt;D291,(C291-D291),0)*10^6),0)</f>
        <v>0</v>
      </c>
      <c r="F291">
        <f t="shared" si="76"/>
        <v>4.8605058816845369E-2</v>
      </c>
      <c r="G291">
        <f t="shared" si="77"/>
        <v>39.513748498891111</v>
      </c>
      <c r="H291">
        <f t="shared" si="78"/>
        <v>0</v>
      </c>
      <c r="I291" s="1">
        <f t="shared" ref="I291:I354" si="84">IF(G291=$C$14,0,$C$16*(H291)^$C$17)</f>
        <v>0</v>
      </c>
      <c r="J291">
        <f t="shared" si="79"/>
        <v>0</v>
      </c>
      <c r="K291">
        <f t="shared" ref="K291:K354" si="85">IF(E291*J291=0,0,E291/J291)</f>
        <v>0</v>
      </c>
      <c r="L291" cm="1">
        <f t="array" ref="L291">IF(E291*J291=0,0,$C$21*INDEX([3]Sheet1!$C$4:$Q$23,MATCH(K291,[3]Sheet1!$B$4:$B$23,1),MATCH(D291,[3]Sheet1!$C$3:$Q$3,1))
+(K291-INDEX([3]Sheet1!$B$4:$B$23,MATCH(K291,[3]Sheet1!$B$4:$B$23,1),1))/(INDEX([3]Sheet1!$B$4:$B$23,MATCH(K291,[3]Sheet1!$B$4:$B$23,1)+1,1)-INDEX([3]Sheet1!$B$4:$B$23,
MATCH(K291,[3]Sheet1!$B$4:$B$23,1),1))*(INDEX([3]Sheet1!$C$4:$Q$23,MATCH(K291,[3]Sheet1!$B$4:$B$23,1)+1,MATCH(D291,[3]Sheet1!$C$3:$Q$3,1))-INDEX([3]Sheet1!$C$4:$Q$23,
MATCH(K291,[3]Sheet1!$B$4:$B$23,1),MATCH(D291,[3]Sheet1!$C$3:$Q$3,1)))
+(D291-INDEX([3]Sheet1!$C$3:$Q$3,1,MATCH(D291,[3]Sheet1!$C$3:$Q$3)))/(INDEX([3]Sheet1!$C$3:$Q$3,1,MATCH(D291,[3]Sheet1!$C$3:$Q$3)+1)-INDEX([3]Sheet1!$C$3:$Q$3,1,MATCH(
D291,[3]Sheet1!$C$3:$Q$3)))*(INDEX([3]Sheet1!$C$4:$Q$23,MATCH(K291,[3]Sheet1!$B$4:$B$23,1),MATCH(D291,[3]Sheet1!$C$3:$Q$3,1)+1)-INDEX([3]Sheet1!$C$4:$Q$23,MATCH(K291,[3]Sheet1!$B$4:$B$23,1),MATCH(D291,[3]Sheet1!$C$3:$Q$3,1))))</f>
        <v>0</v>
      </c>
      <c r="M291" cm="1">
        <f t="array" ref="M291" xml:space="preserve"> IF(E291*J291=0,0,(INDEX([2]Sheet1!$C$4:$Q$23,MATCH(K291,[2]Sheet1!$B$4:$B$23,1),MATCH(D291,[2]Sheet1!$C$3:$Q$3,1))
+ (K291 - INDEX([2]Sheet1!$B$4:$B$23,MATCH(K291,[2]Sheet1!$B$4:$B$23,1),1))/(INDEX([2]Sheet1!$B$4:$B$23,MATCH(K291,[2]Sheet1!$B$4:$B$23,1)+1,1) - INDEX([2]Sheet1!$B$4:$B$23,MATCH(K291,[2]Sheet1!$B$4:$B$23,1),1))*(INDEX([2]Sheet1!$C$4:$Q$23,MATCH(K291,[2]Sheet1!$B$4:$B$23,1)+1,MATCH(D291,[2]Sheet1!$C$3:$Q$3,1)) - INDEX([2]Sheet1!$C$4:$Q$23,MATCH(K291,[2]Sheet1!$B$4:$B$23,1),MATCH(D291,[2]Sheet1!$C$3:$Q$3,1)))
+ (D291 - INDEX([2]Sheet1!$C$3:$Q$3,1,MATCH(D291,[2]Sheet1!$C$3:$Q$3)))/(INDEX([2]Sheet1!$C$3:$Q$3,1,MATCH(D291,[2]Sheet1!$C$3:$Q$3)+1) - INDEX([2]Sheet1!$C$3:$Q$3,1,MATCH(D291,[2]Sheet1!$C$3:$Q$3)))*(
INDEX([2]Sheet1!$C$4:$Q$23,MATCH(K291,[2]Sheet1!$B$4:$B$23,1),MATCH(D291,[2]Sheet1!$C$3:$Q$3,1)+1) - INDEX([2]Sheet1!$C$4:$Q$23,MATCH(K291,[2]Sheet1!$B$4:$B$23,1),MATCH(D291,[2]Sheet1!$C$3:$Q$3,1)))))</f>
        <v>0</v>
      </c>
      <c r="N291">
        <f t="shared" si="80"/>
        <v>12</v>
      </c>
      <c r="O291">
        <v>8.9842104208645204E-2</v>
      </c>
      <c r="P291" t="e">
        <f t="shared" si="81"/>
        <v>#DIV/0!</v>
      </c>
      <c r="Q291">
        <f t="shared" ref="Q291:Q354" si="86">IF(E291*J291=0,0,((1+COS(RADIANS($C$25)))/2)*P291*D291*(PI()*($C$23^2)/4))</f>
        <v>0</v>
      </c>
      <c r="R291">
        <f t="shared" si="82"/>
        <v>741.9099431943954</v>
      </c>
      <c r="T291" t="e">
        <f t="shared" si="71"/>
        <v>#DIV/0!</v>
      </c>
      <c r="U291" t="e">
        <f t="shared" si="72"/>
        <v>#DIV/0!</v>
      </c>
      <c r="V291">
        <f t="shared" si="73"/>
        <v>0</v>
      </c>
      <c r="W291" t="e">
        <f t="shared" ref="W291:W354" si="87">(D291-V291)/V291*100</f>
        <v>#DIV/0!</v>
      </c>
    </row>
    <row r="292" spans="1:23" x14ac:dyDescent="0.55000000000000004">
      <c r="A292">
        <f t="shared" ref="A292:A355" si="88">A291+$C$29</f>
        <v>25.800000000000097</v>
      </c>
      <c r="B292">
        <f t="shared" si="74"/>
        <v>0.316</v>
      </c>
      <c r="C292">
        <f t="shared" si="75"/>
        <v>-11.826086956521802</v>
      </c>
      <c r="D292">
        <v>2.4500134499270803</v>
      </c>
      <c r="E292">
        <f t="shared" si="83"/>
        <v>0</v>
      </c>
      <c r="F292">
        <f t="shared" si="76"/>
        <v>4.8605058816845369E-2</v>
      </c>
      <c r="G292">
        <f t="shared" si="77"/>
        <v>39.513748498891111</v>
      </c>
      <c r="H292">
        <f t="shared" si="78"/>
        <v>0</v>
      </c>
      <c r="I292" s="1">
        <f t="shared" si="84"/>
        <v>0</v>
      </c>
      <c r="J292">
        <f t="shared" si="79"/>
        <v>0</v>
      </c>
      <c r="K292">
        <f t="shared" si="85"/>
        <v>0</v>
      </c>
      <c r="L292" cm="1">
        <f t="array" ref="L292">IF(E292*J292=0,0,$C$21*INDEX([3]Sheet1!$C$4:$Q$23,MATCH(K292,[3]Sheet1!$B$4:$B$23,1),MATCH(D292,[3]Sheet1!$C$3:$Q$3,1))
+(K292-INDEX([3]Sheet1!$B$4:$B$23,MATCH(K292,[3]Sheet1!$B$4:$B$23,1),1))/(INDEX([3]Sheet1!$B$4:$B$23,MATCH(K292,[3]Sheet1!$B$4:$B$23,1)+1,1)-INDEX([3]Sheet1!$B$4:$B$23,
MATCH(K292,[3]Sheet1!$B$4:$B$23,1),1))*(INDEX([3]Sheet1!$C$4:$Q$23,MATCH(K292,[3]Sheet1!$B$4:$B$23,1)+1,MATCH(D292,[3]Sheet1!$C$3:$Q$3,1))-INDEX([3]Sheet1!$C$4:$Q$23,
MATCH(K292,[3]Sheet1!$B$4:$B$23,1),MATCH(D292,[3]Sheet1!$C$3:$Q$3,1)))
+(D292-INDEX([3]Sheet1!$C$3:$Q$3,1,MATCH(D292,[3]Sheet1!$C$3:$Q$3)))/(INDEX([3]Sheet1!$C$3:$Q$3,1,MATCH(D292,[3]Sheet1!$C$3:$Q$3)+1)-INDEX([3]Sheet1!$C$3:$Q$3,1,MATCH(
D292,[3]Sheet1!$C$3:$Q$3)))*(INDEX([3]Sheet1!$C$4:$Q$23,MATCH(K292,[3]Sheet1!$B$4:$B$23,1),MATCH(D292,[3]Sheet1!$C$3:$Q$3,1)+1)-INDEX([3]Sheet1!$C$4:$Q$23,MATCH(K292,[3]Sheet1!$B$4:$B$23,1),MATCH(D292,[3]Sheet1!$C$3:$Q$3,1))))</f>
        <v>0</v>
      </c>
      <c r="M292" cm="1">
        <f t="array" ref="M292" xml:space="preserve"> IF(E292*J292=0,0,(INDEX([2]Sheet1!$C$4:$Q$23,MATCH(K292,[2]Sheet1!$B$4:$B$23,1),MATCH(D292,[2]Sheet1!$C$3:$Q$3,1))
+ (K292 - INDEX([2]Sheet1!$B$4:$B$23,MATCH(K292,[2]Sheet1!$B$4:$B$23,1),1))/(INDEX([2]Sheet1!$B$4:$B$23,MATCH(K292,[2]Sheet1!$B$4:$B$23,1)+1,1) - INDEX([2]Sheet1!$B$4:$B$23,MATCH(K292,[2]Sheet1!$B$4:$B$23,1),1))*(INDEX([2]Sheet1!$C$4:$Q$23,MATCH(K292,[2]Sheet1!$B$4:$B$23,1)+1,MATCH(D292,[2]Sheet1!$C$3:$Q$3,1)) - INDEX([2]Sheet1!$C$4:$Q$23,MATCH(K292,[2]Sheet1!$B$4:$B$23,1),MATCH(D292,[2]Sheet1!$C$3:$Q$3,1)))
+ (D292 - INDEX([2]Sheet1!$C$3:$Q$3,1,MATCH(D292,[2]Sheet1!$C$3:$Q$3)))/(INDEX([2]Sheet1!$C$3:$Q$3,1,MATCH(D292,[2]Sheet1!$C$3:$Q$3)+1) - INDEX([2]Sheet1!$C$3:$Q$3,1,MATCH(D292,[2]Sheet1!$C$3:$Q$3)))*(
INDEX([2]Sheet1!$C$4:$Q$23,MATCH(K292,[2]Sheet1!$B$4:$B$23,1),MATCH(D292,[2]Sheet1!$C$3:$Q$3,1)+1) - INDEX([2]Sheet1!$C$4:$Q$23,MATCH(K292,[2]Sheet1!$B$4:$B$23,1),MATCH(D292,[2]Sheet1!$C$3:$Q$3,1)))))</f>
        <v>0</v>
      </c>
      <c r="N292">
        <f t="shared" si="80"/>
        <v>12</v>
      </c>
      <c r="O292">
        <v>8.981912386418367E-2</v>
      </c>
      <c r="P292" t="e">
        <f t="shared" si="81"/>
        <v>#DIV/0!</v>
      </c>
      <c r="Q292">
        <f t="shared" si="86"/>
        <v>0</v>
      </c>
      <c r="R292">
        <f t="shared" si="82"/>
        <v>741.9099431943954</v>
      </c>
      <c r="T292" t="e">
        <f t="shared" si="71"/>
        <v>#DIV/0!</v>
      </c>
      <c r="U292" t="e">
        <f t="shared" si="72"/>
        <v>#DIV/0!</v>
      </c>
      <c r="V292">
        <f t="shared" si="73"/>
        <v>0</v>
      </c>
      <c r="W292" t="e">
        <f t="shared" si="87"/>
        <v>#DIV/0!</v>
      </c>
    </row>
    <row r="293" spans="1:23" x14ac:dyDescent="0.55000000000000004">
      <c r="A293">
        <f t="shared" si="88"/>
        <v>25.900000000000098</v>
      </c>
      <c r="B293">
        <f t="shared" si="74"/>
        <v>0.316</v>
      </c>
      <c r="C293">
        <f t="shared" si="75"/>
        <v>-11.891304347826154</v>
      </c>
      <c r="D293">
        <v>2.4499018121236915</v>
      </c>
      <c r="E293">
        <f t="shared" si="83"/>
        <v>0</v>
      </c>
      <c r="F293">
        <f t="shared" si="76"/>
        <v>4.8605058816845369E-2</v>
      </c>
      <c r="G293">
        <f t="shared" si="77"/>
        <v>39.513748498891111</v>
      </c>
      <c r="H293">
        <f t="shared" si="78"/>
        <v>0</v>
      </c>
      <c r="I293" s="1">
        <f t="shared" si="84"/>
        <v>0</v>
      </c>
      <c r="J293">
        <f t="shared" si="79"/>
        <v>0</v>
      </c>
      <c r="K293">
        <f t="shared" si="85"/>
        <v>0</v>
      </c>
      <c r="L293" cm="1">
        <f t="array" ref="L293">IF(E293*J293=0,0,$C$21*INDEX([3]Sheet1!$C$4:$Q$23,MATCH(K293,[3]Sheet1!$B$4:$B$23,1),MATCH(D293,[3]Sheet1!$C$3:$Q$3,1))
+(K293-INDEX([3]Sheet1!$B$4:$B$23,MATCH(K293,[3]Sheet1!$B$4:$B$23,1),1))/(INDEX([3]Sheet1!$B$4:$B$23,MATCH(K293,[3]Sheet1!$B$4:$B$23,1)+1,1)-INDEX([3]Sheet1!$B$4:$B$23,
MATCH(K293,[3]Sheet1!$B$4:$B$23,1),1))*(INDEX([3]Sheet1!$C$4:$Q$23,MATCH(K293,[3]Sheet1!$B$4:$B$23,1)+1,MATCH(D293,[3]Sheet1!$C$3:$Q$3,1))-INDEX([3]Sheet1!$C$4:$Q$23,
MATCH(K293,[3]Sheet1!$B$4:$B$23,1),MATCH(D293,[3]Sheet1!$C$3:$Q$3,1)))
+(D293-INDEX([3]Sheet1!$C$3:$Q$3,1,MATCH(D293,[3]Sheet1!$C$3:$Q$3)))/(INDEX([3]Sheet1!$C$3:$Q$3,1,MATCH(D293,[3]Sheet1!$C$3:$Q$3)+1)-INDEX([3]Sheet1!$C$3:$Q$3,1,MATCH(
D293,[3]Sheet1!$C$3:$Q$3)))*(INDEX([3]Sheet1!$C$4:$Q$23,MATCH(K293,[3]Sheet1!$B$4:$B$23,1),MATCH(D293,[3]Sheet1!$C$3:$Q$3,1)+1)-INDEX([3]Sheet1!$C$4:$Q$23,MATCH(K293,[3]Sheet1!$B$4:$B$23,1),MATCH(D293,[3]Sheet1!$C$3:$Q$3,1))))</f>
        <v>0</v>
      </c>
      <c r="M293" cm="1">
        <f t="array" ref="M293" xml:space="preserve"> IF(E293*J293=0,0,(INDEX([2]Sheet1!$C$4:$Q$23,MATCH(K293,[2]Sheet1!$B$4:$B$23,1),MATCH(D293,[2]Sheet1!$C$3:$Q$3,1))
+ (K293 - INDEX([2]Sheet1!$B$4:$B$23,MATCH(K293,[2]Sheet1!$B$4:$B$23,1),1))/(INDEX([2]Sheet1!$B$4:$B$23,MATCH(K293,[2]Sheet1!$B$4:$B$23,1)+1,1) - INDEX([2]Sheet1!$B$4:$B$23,MATCH(K293,[2]Sheet1!$B$4:$B$23,1),1))*(INDEX([2]Sheet1!$C$4:$Q$23,MATCH(K293,[2]Sheet1!$B$4:$B$23,1)+1,MATCH(D293,[2]Sheet1!$C$3:$Q$3,1)) - INDEX([2]Sheet1!$C$4:$Q$23,MATCH(K293,[2]Sheet1!$B$4:$B$23,1),MATCH(D293,[2]Sheet1!$C$3:$Q$3,1)))
+ (D293 - INDEX([2]Sheet1!$C$3:$Q$3,1,MATCH(D293,[2]Sheet1!$C$3:$Q$3)))/(INDEX([2]Sheet1!$C$3:$Q$3,1,MATCH(D293,[2]Sheet1!$C$3:$Q$3)+1) - INDEX([2]Sheet1!$C$3:$Q$3,1,MATCH(D293,[2]Sheet1!$C$3:$Q$3)))*(
INDEX([2]Sheet1!$C$4:$Q$23,MATCH(K293,[2]Sheet1!$B$4:$B$23,1),MATCH(D293,[2]Sheet1!$C$3:$Q$3,1)+1) - INDEX([2]Sheet1!$C$4:$Q$23,MATCH(K293,[2]Sheet1!$B$4:$B$23,1),MATCH(D293,[2]Sheet1!$C$3:$Q$3,1)))))</f>
        <v>0</v>
      </c>
      <c r="N293">
        <f t="shared" si="80"/>
        <v>12</v>
      </c>
      <c r="O293">
        <v>8.9796198140183345E-2</v>
      </c>
      <c r="P293" t="e">
        <f t="shared" si="81"/>
        <v>#DIV/0!</v>
      </c>
      <c r="Q293">
        <f t="shared" si="86"/>
        <v>0</v>
      </c>
      <c r="R293">
        <f t="shared" si="82"/>
        <v>741.9099431943954</v>
      </c>
      <c r="T293" t="e">
        <f t="shared" ref="T293:T356" si="89">((2/(M293+1))^(1/(M293-1)))*((D293/O293)^(1/M293))/SQRT(((M293+1)/(M293-1))*(1-(O293/D293)^((M293-1)/M293)))</f>
        <v>#DIV/0!</v>
      </c>
      <c r="U293" t="e">
        <f t="shared" ref="U293:U356" si="90">(T293-(($C$24^2)/(N293^2)))/(($C$24^2)/(N293^2))*100</f>
        <v>#DIV/0!</v>
      </c>
      <c r="V293">
        <f t="shared" ref="V293:V356" si="91">4*L293*(E293+J293)/(PI()*N293^2)</f>
        <v>0</v>
      </c>
      <c r="W293" t="e">
        <f t="shared" si="87"/>
        <v>#DIV/0!</v>
      </c>
    </row>
    <row r="294" spans="1:23" x14ac:dyDescent="0.55000000000000004">
      <c r="A294">
        <f t="shared" si="88"/>
        <v>26.000000000000099</v>
      </c>
      <c r="B294">
        <f t="shared" ref="B294:B357" si="92">IF(B293+(E293+E292)*(A293-A292)/2&lt;$C$5*$C$6*10^-6,B293+(E293+E292)*(A293-A292)/2,$C$5*$C$6*10^-6)</f>
        <v>0.316</v>
      </c>
      <c r="C294">
        <f t="shared" ref="C294:C357" si="93">($C$3-$C$2)*A294/$C$4+$C$2</f>
        <v>-11.956521739130501</v>
      </c>
      <c r="D294">
        <v>2.449790407050648</v>
      </c>
      <c r="E294">
        <f t="shared" si="83"/>
        <v>0</v>
      </c>
      <c r="F294">
        <f t="shared" ref="F294:F357" si="94">F293+(J293+J292)*(A294-A293)/2</f>
        <v>4.8605058816845369E-2</v>
      </c>
      <c r="G294">
        <f t="shared" ref="G294:G357" si="95">IF(SQRT(4*F294/($C$15*PI()*$C$11*$C$12*0.001)+($C$13*0.001)^2)*1000&lt;$C$14,SQRT(4*F294/($C$15*PI()*$C$11*$C$12*0.001)+($C$13*0.001)^2)*1000,$C$14)</f>
        <v>39.513748498891111</v>
      </c>
      <c r="H294">
        <f t="shared" ref="H294:H357" si="96">4*E294/($C$15*PI()*(G294*0.001)^2)</f>
        <v>0</v>
      </c>
      <c r="I294" s="1">
        <f t="shared" si="84"/>
        <v>0</v>
      </c>
      <c r="J294">
        <f t="shared" ref="J294:J357" si="97">($C$12*10^-3)*PI()*(G294*10^-3)*$C$11*(I294*10^-3)*$C$15</f>
        <v>0</v>
      </c>
      <c r="K294">
        <f t="shared" si="85"/>
        <v>0</v>
      </c>
      <c r="L294" cm="1">
        <f t="array" ref="L294">IF(E294*J294=0,0,$C$21*INDEX([3]Sheet1!$C$4:$Q$23,MATCH(K294,[3]Sheet1!$B$4:$B$23,1),MATCH(D294,[3]Sheet1!$C$3:$Q$3,1))
+(K294-INDEX([3]Sheet1!$B$4:$B$23,MATCH(K294,[3]Sheet1!$B$4:$B$23,1),1))/(INDEX([3]Sheet1!$B$4:$B$23,MATCH(K294,[3]Sheet1!$B$4:$B$23,1)+1,1)-INDEX([3]Sheet1!$B$4:$B$23,
MATCH(K294,[3]Sheet1!$B$4:$B$23,1),1))*(INDEX([3]Sheet1!$C$4:$Q$23,MATCH(K294,[3]Sheet1!$B$4:$B$23,1)+1,MATCH(D294,[3]Sheet1!$C$3:$Q$3,1))-INDEX([3]Sheet1!$C$4:$Q$23,
MATCH(K294,[3]Sheet1!$B$4:$B$23,1),MATCH(D294,[3]Sheet1!$C$3:$Q$3,1)))
+(D294-INDEX([3]Sheet1!$C$3:$Q$3,1,MATCH(D294,[3]Sheet1!$C$3:$Q$3)))/(INDEX([3]Sheet1!$C$3:$Q$3,1,MATCH(D294,[3]Sheet1!$C$3:$Q$3)+1)-INDEX([3]Sheet1!$C$3:$Q$3,1,MATCH(
D294,[3]Sheet1!$C$3:$Q$3)))*(INDEX([3]Sheet1!$C$4:$Q$23,MATCH(K294,[3]Sheet1!$B$4:$B$23,1),MATCH(D294,[3]Sheet1!$C$3:$Q$3,1)+1)-INDEX([3]Sheet1!$C$4:$Q$23,MATCH(K294,[3]Sheet1!$B$4:$B$23,1),MATCH(D294,[3]Sheet1!$C$3:$Q$3,1))))</f>
        <v>0</v>
      </c>
      <c r="M294" cm="1">
        <f t="array" ref="M294" xml:space="preserve"> IF(E294*J294=0,0,(INDEX([2]Sheet1!$C$4:$Q$23,MATCH(K294,[2]Sheet1!$B$4:$B$23,1),MATCH(D294,[2]Sheet1!$C$3:$Q$3,1))
+ (K294 - INDEX([2]Sheet1!$B$4:$B$23,MATCH(K294,[2]Sheet1!$B$4:$B$23,1),1))/(INDEX([2]Sheet1!$B$4:$B$23,MATCH(K294,[2]Sheet1!$B$4:$B$23,1)+1,1) - INDEX([2]Sheet1!$B$4:$B$23,MATCH(K294,[2]Sheet1!$B$4:$B$23,1),1))*(INDEX([2]Sheet1!$C$4:$Q$23,MATCH(K294,[2]Sheet1!$B$4:$B$23,1)+1,MATCH(D294,[2]Sheet1!$C$3:$Q$3,1)) - INDEX([2]Sheet1!$C$4:$Q$23,MATCH(K294,[2]Sheet1!$B$4:$B$23,1),MATCH(D294,[2]Sheet1!$C$3:$Q$3,1)))
+ (D294 - INDEX([2]Sheet1!$C$3:$Q$3,1,MATCH(D294,[2]Sheet1!$C$3:$Q$3)))/(INDEX([2]Sheet1!$C$3:$Q$3,1,MATCH(D294,[2]Sheet1!$C$3:$Q$3)+1) - INDEX([2]Sheet1!$C$3:$Q$3,1,MATCH(D294,[2]Sheet1!$C$3:$Q$3)))*(
INDEX([2]Sheet1!$C$4:$Q$23,MATCH(K294,[2]Sheet1!$B$4:$B$23,1),MATCH(D294,[2]Sheet1!$C$3:$Q$3,1)+1) - INDEX([2]Sheet1!$C$4:$Q$23,MATCH(K294,[2]Sheet1!$B$4:$B$23,1),MATCH(D294,[2]Sheet1!$C$3:$Q$3,1)))))</f>
        <v>0</v>
      </c>
      <c r="N294">
        <f t="shared" ref="N294:N357" si="98">C$23+$C$26*(A295-A294)</f>
        <v>12</v>
      </c>
      <c r="O294">
        <v>8.9773326795403022E-2</v>
      </c>
      <c r="P294" t="e">
        <f t="shared" ref="P294:P357" si="99">SQRT(2*(M294^2)/(M294-1)*((2/(M294+1))^((M294+1)/(M294-1)))*(1-(O294/D294)^((M294-1)/M294)))+((O294-$C$22)/D294)*(($C$24^2)/($C$23^2))</f>
        <v>#DIV/0!</v>
      </c>
      <c r="Q294">
        <f t="shared" si="86"/>
        <v>0</v>
      </c>
      <c r="R294">
        <f t="shared" ref="R294:R357" si="100">R293+(Q294+Q293)*(A294-A293)/2</f>
        <v>741.9099431943954</v>
      </c>
      <c r="T294" t="e">
        <f t="shared" si="89"/>
        <v>#DIV/0!</v>
      </c>
      <c r="U294" t="e">
        <f t="shared" si="90"/>
        <v>#DIV/0!</v>
      </c>
      <c r="V294">
        <f t="shared" si="91"/>
        <v>0</v>
      </c>
      <c r="W294" t="e">
        <f t="shared" si="87"/>
        <v>#DIV/0!</v>
      </c>
    </row>
    <row r="295" spans="1:23" x14ac:dyDescent="0.55000000000000004">
      <c r="A295">
        <f t="shared" si="88"/>
        <v>26.100000000000101</v>
      </c>
      <c r="B295">
        <f t="shared" si="92"/>
        <v>0.316</v>
      </c>
      <c r="C295">
        <f t="shared" si="93"/>
        <v>-12.021739130434849</v>
      </c>
      <c r="D295">
        <v>2.4496792337096562</v>
      </c>
      <c r="E295">
        <f t="shared" si="83"/>
        <v>0</v>
      </c>
      <c r="F295">
        <f t="shared" si="94"/>
        <v>4.8605058816845369E-2</v>
      </c>
      <c r="G295">
        <f t="shared" si="95"/>
        <v>39.513748498891111</v>
      </c>
      <c r="H295">
        <f t="shared" si="96"/>
        <v>0</v>
      </c>
      <c r="I295" s="1">
        <f t="shared" si="84"/>
        <v>0</v>
      </c>
      <c r="J295">
        <f t="shared" si="97"/>
        <v>0</v>
      </c>
      <c r="K295">
        <f t="shared" si="85"/>
        <v>0</v>
      </c>
      <c r="L295" cm="1">
        <f t="array" ref="L295">IF(E295*J295=0,0,$C$21*INDEX([3]Sheet1!$C$4:$Q$23,MATCH(K295,[3]Sheet1!$B$4:$B$23,1),MATCH(D295,[3]Sheet1!$C$3:$Q$3,1))
+(K295-INDEX([3]Sheet1!$B$4:$B$23,MATCH(K295,[3]Sheet1!$B$4:$B$23,1),1))/(INDEX([3]Sheet1!$B$4:$B$23,MATCH(K295,[3]Sheet1!$B$4:$B$23,1)+1,1)-INDEX([3]Sheet1!$B$4:$B$23,
MATCH(K295,[3]Sheet1!$B$4:$B$23,1),1))*(INDEX([3]Sheet1!$C$4:$Q$23,MATCH(K295,[3]Sheet1!$B$4:$B$23,1)+1,MATCH(D295,[3]Sheet1!$C$3:$Q$3,1))-INDEX([3]Sheet1!$C$4:$Q$23,
MATCH(K295,[3]Sheet1!$B$4:$B$23,1),MATCH(D295,[3]Sheet1!$C$3:$Q$3,1)))
+(D295-INDEX([3]Sheet1!$C$3:$Q$3,1,MATCH(D295,[3]Sheet1!$C$3:$Q$3)))/(INDEX([3]Sheet1!$C$3:$Q$3,1,MATCH(D295,[3]Sheet1!$C$3:$Q$3)+1)-INDEX([3]Sheet1!$C$3:$Q$3,1,MATCH(
D295,[3]Sheet1!$C$3:$Q$3)))*(INDEX([3]Sheet1!$C$4:$Q$23,MATCH(K295,[3]Sheet1!$B$4:$B$23,1),MATCH(D295,[3]Sheet1!$C$3:$Q$3,1)+1)-INDEX([3]Sheet1!$C$4:$Q$23,MATCH(K295,[3]Sheet1!$B$4:$B$23,1),MATCH(D295,[3]Sheet1!$C$3:$Q$3,1))))</f>
        <v>0</v>
      </c>
      <c r="M295" cm="1">
        <f t="array" ref="M295" xml:space="preserve"> IF(E295*J295=0,0,(INDEX([2]Sheet1!$C$4:$Q$23,MATCH(K295,[2]Sheet1!$B$4:$B$23,1),MATCH(D295,[2]Sheet1!$C$3:$Q$3,1))
+ (K295 - INDEX([2]Sheet1!$B$4:$B$23,MATCH(K295,[2]Sheet1!$B$4:$B$23,1),1))/(INDEX([2]Sheet1!$B$4:$B$23,MATCH(K295,[2]Sheet1!$B$4:$B$23,1)+1,1) - INDEX([2]Sheet1!$B$4:$B$23,MATCH(K295,[2]Sheet1!$B$4:$B$23,1),1))*(INDEX([2]Sheet1!$C$4:$Q$23,MATCH(K295,[2]Sheet1!$B$4:$B$23,1)+1,MATCH(D295,[2]Sheet1!$C$3:$Q$3,1)) - INDEX([2]Sheet1!$C$4:$Q$23,MATCH(K295,[2]Sheet1!$B$4:$B$23,1),MATCH(D295,[2]Sheet1!$C$3:$Q$3,1)))
+ (D295 - INDEX([2]Sheet1!$C$3:$Q$3,1,MATCH(D295,[2]Sheet1!$C$3:$Q$3)))/(INDEX([2]Sheet1!$C$3:$Q$3,1,MATCH(D295,[2]Sheet1!$C$3:$Q$3)+1) - INDEX([2]Sheet1!$C$3:$Q$3,1,MATCH(D295,[2]Sheet1!$C$3:$Q$3)))*(
INDEX([2]Sheet1!$C$4:$Q$23,MATCH(K295,[2]Sheet1!$B$4:$B$23,1),MATCH(D295,[2]Sheet1!$C$3:$Q$3,1)+1) - INDEX([2]Sheet1!$C$4:$Q$23,MATCH(K295,[2]Sheet1!$B$4:$B$23,1),MATCH(D295,[2]Sheet1!$C$3:$Q$3,1)))))</f>
        <v>0</v>
      </c>
      <c r="N295">
        <f t="shared" si="98"/>
        <v>12</v>
      </c>
      <c r="O295">
        <v>8.9750509590179231E-2</v>
      </c>
      <c r="P295" t="e">
        <f t="shared" si="99"/>
        <v>#DIV/0!</v>
      </c>
      <c r="Q295">
        <f t="shared" si="86"/>
        <v>0</v>
      </c>
      <c r="R295">
        <f t="shared" si="100"/>
        <v>741.9099431943954</v>
      </c>
      <c r="T295" t="e">
        <f t="shared" si="89"/>
        <v>#DIV/0!</v>
      </c>
      <c r="U295" t="e">
        <f t="shared" si="90"/>
        <v>#DIV/0!</v>
      </c>
      <c r="V295">
        <f t="shared" si="91"/>
        <v>0</v>
      </c>
      <c r="W295" t="e">
        <f t="shared" si="87"/>
        <v>#DIV/0!</v>
      </c>
    </row>
    <row r="296" spans="1:23" x14ac:dyDescent="0.55000000000000004">
      <c r="A296">
        <f t="shared" si="88"/>
        <v>26.200000000000102</v>
      </c>
      <c r="B296">
        <f t="shared" si="92"/>
        <v>0.316</v>
      </c>
      <c r="C296">
        <f t="shared" si="93"/>
        <v>-12.0869565217392</v>
      </c>
      <c r="D296">
        <v>2.4495682911087333</v>
      </c>
      <c r="E296">
        <f t="shared" si="83"/>
        <v>0</v>
      </c>
      <c r="F296">
        <f t="shared" si="94"/>
        <v>4.8605058816845369E-2</v>
      </c>
      <c r="G296">
        <f t="shared" si="95"/>
        <v>39.513748498891111</v>
      </c>
      <c r="H296">
        <f t="shared" si="96"/>
        <v>0</v>
      </c>
      <c r="I296" s="1">
        <f t="shared" si="84"/>
        <v>0</v>
      </c>
      <c r="J296">
        <f t="shared" si="97"/>
        <v>0</v>
      </c>
      <c r="K296">
        <f t="shared" si="85"/>
        <v>0</v>
      </c>
      <c r="L296" cm="1">
        <f t="array" ref="L296">IF(E296*J296=0,0,$C$21*INDEX([3]Sheet1!$C$4:$Q$23,MATCH(K296,[3]Sheet1!$B$4:$B$23,1),MATCH(D296,[3]Sheet1!$C$3:$Q$3,1))
+(K296-INDEX([3]Sheet1!$B$4:$B$23,MATCH(K296,[3]Sheet1!$B$4:$B$23,1),1))/(INDEX([3]Sheet1!$B$4:$B$23,MATCH(K296,[3]Sheet1!$B$4:$B$23,1)+1,1)-INDEX([3]Sheet1!$B$4:$B$23,
MATCH(K296,[3]Sheet1!$B$4:$B$23,1),1))*(INDEX([3]Sheet1!$C$4:$Q$23,MATCH(K296,[3]Sheet1!$B$4:$B$23,1)+1,MATCH(D296,[3]Sheet1!$C$3:$Q$3,1))-INDEX([3]Sheet1!$C$4:$Q$23,
MATCH(K296,[3]Sheet1!$B$4:$B$23,1),MATCH(D296,[3]Sheet1!$C$3:$Q$3,1)))
+(D296-INDEX([3]Sheet1!$C$3:$Q$3,1,MATCH(D296,[3]Sheet1!$C$3:$Q$3)))/(INDEX([3]Sheet1!$C$3:$Q$3,1,MATCH(D296,[3]Sheet1!$C$3:$Q$3)+1)-INDEX([3]Sheet1!$C$3:$Q$3,1,MATCH(
D296,[3]Sheet1!$C$3:$Q$3)))*(INDEX([3]Sheet1!$C$4:$Q$23,MATCH(K296,[3]Sheet1!$B$4:$B$23,1),MATCH(D296,[3]Sheet1!$C$3:$Q$3,1)+1)-INDEX([3]Sheet1!$C$4:$Q$23,MATCH(K296,[3]Sheet1!$B$4:$B$23,1),MATCH(D296,[3]Sheet1!$C$3:$Q$3,1))))</f>
        <v>0</v>
      </c>
      <c r="M296" cm="1">
        <f t="array" ref="M296" xml:space="preserve"> IF(E296*J296=0,0,(INDEX([2]Sheet1!$C$4:$Q$23,MATCH(K296,[2]Sheet1!$B$4:$B$23,1),MATCH(D296,[2]Sheet1!$C$3:$Q$3,1))
+ (K296 - INDEX([2]Sheet1!$B$4:$B$23,MATCH(K296,[2]Sheet1!$B$4:$B$23,1),1))/(INDEX([2]Sheet1!$B$4:$B$23,MATCH(K296,[2]Sheet1!$B$4:$B$23,1)+1,1) - INDEX([2]Sheet1!$B$4:$B$23,MATCH(K296,[2]Sheet1!$B$4:$B$23,1),1))*(INDEX([2]Sheet1!$C$4:$Q$23,MATCH(K296,[2]Sheet1!$B$4:$B$23,1)+1,MATCH(D296,[2]Sheet1!$C$3:$Q$3,1)) - INDEX([2]Sheet1!$C$4:$Q$23,MATCH(K296,[2]Sheet1!$B$4:$B$23,1),MATCH(D296,[2]Sheet1!$C$3:$Q$3,1)))
+ (D296 - INDEX([2]Sheet1!$C$3:$Q$3,1,MATCH(D296,[2]Sheet1!$C$3:$Q$3)))/(INDEX([2]Sheet1!$C$3:$Q$3,1,MATCH(D296,[2]Sheet1!$C$3:$Q$3)+1) - INDEX([2]Sheet1!$C$3:$Q$3,1,MATCH(D296,[2]Sheet1!$C$3:$Q$3)))*(
INDEX([2]Sheet1!$C$4:$Q$23,MATCH(K296,[2]Sheet1!$B$4:$B$23,1),MATCH(D296,[2]Sheet1!$C$3:$Q$3,1)+1) - INDEX([2]Sheet1!$C$4:$Q$23,MATCH(K296,[2]Sheet1!$B$4:$B$23,1),MATCH(D296,[2]Sheet1!$C$3:$Q$3,1)))))</f>
        <v>0</v>
      </c>
      <c r="N296">
        <f t="shared" si="98"/>
        <v>12</v>
      </c>
      <c r="O296">
        <v>8.9727746286388355E-2</v>
      </c>
      <c r="P296" t="e">
        <f t="shared" si="99"/>
        <v>#DIV/0!</v>
      </c>
      <c r="Q296">
        <f t="shared" si="86"/>
        <v>0</v>
      </c>
      <c r="R296">
        <f t="shared" si="100"/>
        <v>741.9099431943954</v>
      </c>
      <c r="T296" t="e">
        <f t="shared" si="89"/>
        <v>#DIV/0!</v>
      </c>
      <c r="U296" t="e">
        <f t="shared" si="90"/>
        <v>#DIV/0!</v>
      </c>
      <c r="V296">
        <f t="shared" si="91"/>
        <v>0</v>
      </c>
      <c r="W296" t="e">
        <f t="shared" si="87"/>
        <v>#DIV/0!</v>
      </c>
    </row>
    <row r="297" spans="1:23" x14ac:dyDescent="0.55000000000000004">
      <c r="A297">
        <f t="shared" si="88"/>
        <v>26.300000000000104</v>
      </c>
      <c r="B297">
        <f t="shared" si="92"/>
        <v>0.316</v>
      </c>
      <c r="C297">
        <f t="shared" si="93"/>
        <v>-12.152173913043548</v>
      </c>
      <c r="D297">
        <v>2.4494575782625176</v>
      </c>
      <c r="E297">
        <f t="shared" si="83"/>
        <v>0</v>
      </c>
      <c r="F297">
        <f t="shared" si="94"/>
        <v>4.8605058816845369E-2</v>
      </c>
      <c r="G297">
        <f t="shared" si="95"/>
        <v>39.513748498891111</v>
      </c>
      <c r="H297">
        <f t="shared" si="96"/>
        <v>0</v>
      </c>
      <c r="I297" s="1">
        <f t="shared" si="84"/>
        <v>0</v>
      </c>
      <c r="J297">
        <f t="shared" si="97"/>
        <v>0</v>
      </c>
      <c r="K297">
        <f t="shared" si="85"/>
        <v>0</v>
      </c>
      <c r="L297" cm="1">
        <f t="array" ref="L297">IF(E297*J297=0,0,$C$21*INDEX([3]Sheet1!$C$4:$Q$23,MATCH(K297,[3]Sheet1!$B$4:$B$23,1),MATCH(D297,[3]Sheet1!$C$3:$Q$3,1))
+(K297-INDEX([3]Sheet1!$B$4:$B$23,MATCH(K297,[3]Sheet1!$B$4:$B$23,1),1))/(INDEX([3]Sheet1!$B$4:$B$23,MATCH(K297,[3]Sheet1!$B$4:$B$23,1)+1,1)-INDEX([3]Sheet1!$B$4:$B$23,
MATCH(K297,[3]Sheet1!$B$4:$B$23,1),1))*(INDEX([3]Sheet1!$C$4:$Q$23,MATCH(K297,[3]Sheet1!$B$4:$B$23,1)+1,MATCH(D297,[3]Sheet1!$C$3:$Q$3,1))-INDEX([3]Sheet1!$C$4:$Q$23,
MATCH(K297,[3]Sheet1!$B$4:$B$23,1),MATCH(D297,[3]Sheet1!$C$3:$Q$3,1)))
+(D297-INDEX([3]Sheet1!$C$3:$Q$3,1,MATCH(D297,[3]Sheet1!$C$3:$Q$3)))/(INDEX([3]Sheet1!$C$3:$Q$3,1,MATCH(D297,[3]Sheet1!$C$3:$Q$3)+1)-INDEX([3]Sheet1!$C$3:$Q$3,1,MATCH(
D297,[3]Sheet1!$C$3:$Q$3)))*(INDEX([3]Sheet1!$C$4:$Q$23,MATCH(K297,[3]Sheet1!$B$4:$B$23,1),MATCH(D297,[3]Sheet1!$C$3:$Q$3,1)+1)-INDEX([3]Sheet1!$C$4:$Q$23,MATCH(K297,[3]Sheet1!$B$4:$B$23,1),MATCH(D297,[3]Sheet1!$C$3:$Q$3,1))))</f>
        <v>0</v>
      </c>
      <c r="M297" cm="1">
        <f t="array" ref="M297" xml:space="preserve"> IF(E297*J297=0,0,(INDEX([2]Sheet1!$C$4:$Q$23,MATCH(K297,[2]Sheet1!$B$4:$B$23,1),MATCH(D297,[2]Sheet1!$C$3:$Q$3,1))
+ (K297 - INDEX([2]Sheet1!$B$4:$B$23,MATCH(K297,[2]Sheet1!$B$4:$B$23,1),1))/(INDEX([2]Sheet1!$B$4:$B$23,MATCH(K297,[2]Sheet1!$B$4:$B$23,1)+1,1) - INDEX([2]Sheet1!$B$4:$B$23,MATCH(K297,[2]Sheet1!$B$4:$B$23,1),1))*(INDEX([2]Sheet1!$C$4:$Q$23,MATCH(K297,[2]Sheet1!$B$4:$B$23,1)+1,MATCH(D297,[2]Sheet1!$C$3:$Q$3,1)) - INDEX([2]Sheet1!$C$4:$Q$23,MATCH(K297,[2]Sheet1!$B$4:$B$23,1),MATCH(D297,[2]Sheet1!$C$3:$Q$3,1)))
+ (D297 - INDEX([2]Sheet1!$C$3:$Q$3,1,MATCH(D297,[2]Sheet1!$C$3:$Q$3)))/(INDEX([2]Sheet1!$C$3:$Q$3,1,MATCH(D297,[2]Sheet1!$C$3:$Q$3)+1) - INDEX([2]Sheet1!$C$3:$Q$3,1,MATCH(D297,[2]Sheet1!$C$3:$Q$3)))*(
INDEX([2]Sheet1!$C$4:$Q$23,MATCH(K297,[2]Sheet1!$B$4:$B$23,1),MATCH(D297,[2]Sheet1!$C$3:$Q$3,1)+1) - INDEX([2]Sheet1!$C$4:$Q$23,MATCH(K297,[2]Sheet1!$B$4:$B$23,1),MATCH(D297,[2]Sheet1!$C$3:$Q$3,1)))))</f>
        <v>0</v>
      </c>
      <c r="N297">
        <f t="shared" si="98"/>
        <v>12</v>
      </c>
      <c r="O297">
        <v>8.9705036647503331E-2</v>
      </c>
      <c r="P297" t="e">
        <f t="shared" si="99"/>
        <v>#DIV/0!</v>
      </c>
      <c r="Q297">
        <f t="shared" si="86"/>
        <v>0</v>
      </c>
      <c r="R297">
        <f t="shared" si="100"/>
        <v>741.9099431943954</v>
      </c>
      <c r="T297" t="e">
        <f t="shared" si="89"/>
        <v>#DIV/0!</v>
      </c>
      <c r="U297" t="e">
        <f t="shared" si="90"/>
        <v>#DIV/0!</v>
      </c>
      <c r="V297">
        <f t="shared" si="91"/>
        <v>0</v>
      </c>
      <c r="W297" t="e">
        <f t="shared" si="87"/>
        <v>#DIV/0!</v>
      </c>
    </row>
    <row r="298" spans="1:23" x14ac:dyDescent="0.55000000000000004">
      <c r="A298">
        <f t="shared" si="88"/>
        <v>26.400000000000105</v>
      </c>
      <c r="B298">
        <f t="shared" si="92"/>
        <v>0.316</v>
      </c>
      <c r="C298">
        <f t="shared" si="93"/>
        <v>-12.217391304347895</v>
      </c>
      <c r="D298">
        <v>2.4493470941919364</v>
      </c>
      <c r="E298">
        <f t="shared" si="83"/>
        <v>0</v>
      </c>
      <c r="F298">
        <f t="shared" si="94"/>
        <v>4.8605058816845369E-2</v>
      </c>
      <c r="G298">
        <f t="shared" si="95"/>
        <v>39.513748498891111</v>
      </c>
      <c r="H298">
        <f t="shared" si="96"/>
        <v>0</v>
      </c>
      <c r="I298" s="1">
        <f t="shared" si="84"/>
        <v>0</v>
      </c>
      <c r="J298">
        <f t="shared" si="97"/>
        <v>0</v>
      </c>
      <c r="K298">
        <f t="shared" si="85"/>
        <v>0</v>
      </c>
      <c r="L298" cm="1">
        <f t="array" ref="L298">IF(E298*J298=0,0,$C$21*INDEX([3]Sheet1!$C$4:$Q$23,MATCH(K298,[3]Sheet1!$B$4:$B$23,1),MATCH(D298,[3]Sheet1!$C$3:$Q$3,1))
+(K298-INDEX([3]Sheet1!$B$4:$B$23,MATCH(K298,[3]Sheet1!$B$4:$B$23,1),1))/(INDEX([3]Sheet1!$B$4:$B$23,MATCH(K298,[3]Sheet1!$B$4:$B$23,1)+1,1)-INDEX([3]Sheet1!$B$4:$B$23,
MATCH(K298,[3]Sheet1!$B$4:$B$23,1),1))*(INDEX([3]Sheet1!$C$4:$Q$23,MATCH(K298,[3]Sheet1!$B$4:$B$23,1)+1,MATCH(D298,[3]Sheet1!$C$3:$Q$3,1))-INDEX([3]Sheet1!$C$4:$Q$23,
MATCH(K298,[3]Sheet1!$B$4:$B$23,1),MATCH(D298,[3]Sheet1!$C$3:$Q$3,1)))
+(D298-INDEX([3]Sheet1!$C$3:$Q$3,1,MATCH(D298,[3]Sheet1!$C$3:$Q$3)))/(INDEX([3]Sheet1!$C$3:$Q$3,1,MATCH(D298,[3]Sheet1!$C$3:$Q$3)+1)-INDEX([3]Sheet1!$C$3:$Q$3,1,MATCH(
D298,[3]Sheet1!$C$3:$Q$3)))*(INDEX([3]Sheet1!$C$4:$Q$23,MATCH(K298,[3]Sheet1!$B$4:$B$23,1),MATCH(D298,[3]Sheet1!$C$3:$Q$3,1)+1)-INDEX([3]Sheet1!$C$4:$Q$23,MATCH(K298,[3]Sheet1!$B$4:$B$23,1),MATCH(D298,[3]Sheet1!$C$3:$Q$3,1))))</f>
        <v>0</v>
      </c>
      <c r="M298" cm="1">
        <f t="array" ref="M298" xml:space="preserve"> IF(E298*J298=0,0,(INDEX([2]Sheet1!$C$4:$Q$23,MATCH(K298,[2]Sheet1!$B$4:$B$23,1),MATCH(D298,[2]Sheet1!$C$3:$Q$3,1))
+ (K298 - INDEX([2]Sheet1!$B$4:$B$23,MATCH(K298,[2]Sheet1!$B$4:$B$23,1),1))/(INDEX([2]Sheet1!$B$4:$B$23,MATCH(K298,[2]Sheet1!$B$4:$B$23,1)+1,1) - INDEX([2]Sheet1!$B$4:$B$23,MATCH(K298,[2]Sheet1!$B$4:$B$23,1),1))*(INDEX([2]Sheet1!$C$4:$Q$23,MATCH(K298,[2]Sheet1!$B$4:$B$23,1)+1,MATCH(D298,[2]Sheet1!$C$3:$Q$3,1)) - INDEX([2]Sheet1!$C$4:$Q$23,MATCH(K298,[2]Sheet1!$B$4:$B$23,1),MATCH(D298,[2]Sheet1!$C$3:$Q$3,1)))
+ (D298 - INDEX([2]Sheet1!$C$3:$Q$3,1,MATCH(D298,[2]Sheet1!$C$3:$Q$3)))/(INDEX([2]Sheet1!$C$3:$Q$3,1,MATCH(D298,[2]Sheet1!$C$3:$Q$3)+1) - INDEX([2]Sheet1!$C$3:$Q$3,1,MATCH(D298,[2]Sheet1!$C$3:$Q$3)))*(
INDEX([2]Sheet1!$C$4:$Q$23,MATCH(K298,[2]Sheet1!$B$4:$B$23,1),MATCH(D298,[2]Sheet1!$C$3:$Q$3,1)+1) - INDEX([2]Sheet1!$C$4:$Q$23,MATCH(K298,[2]Sheet1!$B$4:$B$23,1),MATCH(D298,[2]Sheet1!$C$3:$Q$3,1)))))</f>
        <v>0</v>
      </c>
      <c r="N298">
        <f t="shared" si="98"/>
        <v>12</v>
      </c>
      <c r="O298">
        <v>8.9682380438526291E-2</v>
      </c>
      <c r="P298" t="e">
        <f t="shared" si="99"/>
        <v>#DIV/0!</v>
      </c>
      <c r="Q298">
        <f t="shared" si="86"/>
        <v>0</v>
      </c>
      <c r="R298">
        <f t="shared" si="100"/>
        <v>741.9099431943954</v>
      </c>
      <c r="T298" t="e">
        <f t="shared" si="89"/>
        <v>#DIV/0!</v>
      </c>
      <c r="U298" t="e">
        <f t="shared" si="90"/>
        <v>#DIV/0!</v>
      </c>
      <c r="V298">
        <f t="shared" si="91"/>
        <v>0</v>
      </c>
      <c r="W298" t="e">
        <f t="shared" si="87"/>
        <v>#DIV/0!</v>
      </c>
    </row>
    <row r="299" spans="1:23" x14ac:dyDescent="0.55000000000000004">
      <c r="A299">
        <f t="shared" si="88"/>
        <v>26.500000000000107</v>
      </c>
      <c r="B299">
        <f t="shared" si="92"/>
        <v>0.316</v>
      </c>
      <c r="C299">
        <f t="shared" si="93"/>
        <v>-12.282608695652243</v>
      </c>
      <c r="D299">
        <v>2.4492368379241527</v>
      </c>
      <c r="E299">
        <f t="shared" si="83"/>
        <v>0</v>
      </c>
      <c r="F299">
        <f t="shared" si="94"/>
        <v>4.8605058816845369E-2</v>
      </c>
      <c r="G299">
        <f t="shared" si="95"/>
        <v>39.513748498891111</v>
      </c>
      <c r="H299">
        <f t="shared" si="96"/>
        <v>0</v>
      </c>
      <c r="I299" s="1">
        <f t="shared" si="84"/>
        <v>0</v>
      </c>
      <c r="J299">
        <f t="shared" si="97"/>
        <v>0</v>
      </c>
      <c r="K299">
        <f t="shared" si="85"/>
        <v>0</v>
      </c>
      <c r="L299" cm="1">
        <f t="array" ref="L299">IF(E299*J299=0,0,$C$21*INDEX([3]Sheet1!$C$4:$Q$23,MATCH(K299,[3]Sheet1!$B$4:$B$23,1),MATCH(D299,[3]Sheet1!$C$3:$Q$3,1))
+(K299-INDEX([3]Sheet1!$B$4:$B$23,MATCH(K299,[3]Sheet1!$B$4:$B$23,1),1))/(INDEX([3]Sheet1!$B$4:$B$23,MATCH(K299,[3]Sheet1!$B$4:$B$23,1)+1,1)-INDEX([3]Sheet1!$B$4:$B$23,
MATCH(K299,[3]Sheet1!$B$4:$B$23,1),1))*(INDEX([3]Sheet1!$C$4:$Q$23,MATCH(K299,[3]Sheet1!$B$4:$B$23,1)+1,MATCH(D299,[3]Sheet1!$C$3:$Q$3,1))-INDEX([3]Sheet1!$C$4:$Q$23,
MATCH(K299,[3]Sheet1!$B$4:$B$23,1),MATCH(D299,[3]Sheet1!$C$3:$Q$3,1)))
+(D299-INDEX([3]Sheet1!$C$3:$Q$3,1,MATCH(D299,[3]Sheet1!$C$3:$Q$3)))/(INDEX([3]Sheet1!$C$3:$Q$3,1,MATCH(D299,[3]Sheet1!$C$3:$Q$3)+1)-INDEX([3]Sheet1!$C$3:$Q$3,1,MATCH(
D299,[3]Sheet1!$C$3:$Q$3)))*(INDEX([3]Sheet1!$C$4:$Q$23,MATCH(K299,[3]Sheet1!$B$4:$B$23,1),MATCH(D299,[3]Sheet1!$C$3:$Q$3,1)+1)-INDEX([3]Sheet1!$C$4:$Q$23,MATCH(K299,[3]Sheet1!$B$4:$B$23,1),MATCH(D299,[3]Sheet1!$C$3:$Q$3,1))))</f>
        <v>0</v>
      </c>
      <c r="M299" cm="1">
        <f t="array" ref="M299" xml:space="preserve"> IF(E299*J299=0,0,(INDEX([2]Sheet1!$C$4:$Q$23,MATCH(K299,[2]Sheet1!$B$4:$B$23,1),MATCH(D299,[2]Sheet1!$C$3:$Q$3,1))
+ (K299 - INDEX([2]Sheet1!$B$4:$B$23,MATCH(K299,[2]Sheet1!$B$4:$B$23,1),1))/(INDEX([2]Sheet1!$B$4:$B$23,MATCH(K299,[2]Sheet1!$B$4:$B$23,1)+1,1) - INDEX([2]Sheet1!$B$4:$B$23,MATCH(K299,[2]Sheet1!$B$4:$B$23,1),1))*(INDEX([2]Sheet1!$C$4:$Q$23,MATCH(K299,[2]Sheet1!$B$4:$B$23,1)+1,MATCH(D299,[2]Sheet1!$C$3:$Q$3,1)) - INDEX([2]Sheet1!$C$4:$Q$23,MATCH(K299,[2]Sheet1!$B$4:$B$23,1),MATCH(D299,[2]Sheet1!$C$3:$Q$3,1)))
+ (D299 - INDEX([2]Sheet1!$C$3:$Q$3,1,MATCH(D299,[2]Sheet1!$C$3:$Q$3)))/(INDEX([2]Sheet1!$C$3:$Q$3,1,MATCH(D299,[2]Sheet1!$C$3:$Q$3)+1) - INDEX([2]Sheet1!$C$3:$Q$3,1,MATCH(D299,[2]Sheet1!$C$3:$Q$3)))*(
INDEX([2]Sheet1!$C$4:$Q$23,MATCH(K299,[2]Sheet1!$B$4:$B$23,1),MATCH(D299,[2]Sheet1!$C$3:$Q$3,1)+1) - INDEX([2]Sheet1!$C$4:$Q$23,MATCH(K299,[2]Sheet1!$B$4:$B$23,1),MATCH(D299,[2]Sheet1!$C$3:$Q$3,1)))))</f>
        <v>0</v>
      </c>
      <c r="N299">
        <f t="shared" si="98"/>
        <v>12</v>
      </c>
      <c r="O299">
        <v>8.9659777425975445E-2</v>
      </c>
      <c r="P299" t="e">
        <f t="shared" si="99"/>
        <v>#DIV/0!</v>
      </c>
      <c r="Q299">
        <f t="shared" si="86"/>
        <v>0</v>
      </c>
      <c r="R299">
        <f t="shared" si="100"/>
        <v>741.9099431943954</v>
      </c>
      <c r="T299" t="e">
        <f t="shared" si="89"/>
        <v>#DIV/0!</v>
      </c>
      <c r="U299" t="e">
        <f t="shared" si="90"/>
        <v>#DIV/0!</v>
      </c>
      <c r="V299">
        <f t="shared" si="91"/>
        <v>0</v>
      </c>
      <c r="W299" t="e">
        <f t="shared" si="87"/>
        <v>#DIV/0!</v>
      </c>
    </row>
    <row r="300" spans="1:23" x14ac:dyDescent="0.55000000000000004">
      <c r="A300">
        <f t="shared" si="88"/>
        <v>26.600000000000108</v>
      </c>
      <c r="B300">
        <f t="shared" si="92"/>
        <v>0.316</v>
      </c>
      <c r="C300">
        <f t="shared" si="93"/>
        <v>-12.347826086956594</v>
      </c>
      <c r="D300">
        <v>2.4491268084925579</v>
      </c>
      <c r="E300">
        <f t="shared" si="83"/>
        <v>0</v>
      </c>
      <c r="F300">
        <f t="shared" si="94"/>
        <v>4.8605058816845369E-2</v>
      </c>
      <c r="G300">
        <f t="shared" si="95"/>
        <v>39.513748498891111</v>
      </c>
      <c r="H300">
        <f t="shared" si="96"/>
        <v>0</v>
      </c>
      <c r="I300" s="1">
        <f t="shared" si="84"/>
        <v>0</v>
      </c>
      <c r="J300">
        <f t="shared" si="97"/>
        <v>0</v>
      </c>
      <c r="K300">
        <f t="shared" si="85"/>
        <v>0</v>
      </c>
      <c r="L300" cm="1">
        <f t="array" ref="L300">IF(E300*J300=0,0,$C$21*INDEX([3]Sheet1!$C$4:$Q$23,MATCH(K300,[3]Sheet1!$B$4:$B$23,1),MATCH(D300,[3]Sheet1!$C$3:$Q$3,1))
+(K300-INDEX([3]Sheet1!$B$4:$B$23,MATCH(K300,[3]Sheet1!$B$4:$B$23,1),1))/(INDEX([3]Sheet1!$B$4:$B$23,MATCH(K300,[3]Sheet1!$B$4:$B$23,1)+1,1)-INDEX([3]Sheet1!$B$4:$B$23,
MATCH(K300,[3]Sheet1!$B$4:$B$23,1),1))*(INDEX([3]Sheet1!$C$4:$Q$23,MATCH(K300,[3]Sheet1!$B$4:$B$23,1)+1,MATCH(D300,[3]Sheet1!$C$3:$Q$3,1))-INDEX([3]Sheet1!$C$4:$Q$23,
MATCH(K300,[3]Sheet1!$B$4:$B$23,1),MATCH(D300,[3]Sheet1!$C$3:$Q$3,1)))
+(D300-INDEX([3]Sheet1!$C$3:$Q$3,1,MATCH(D300,[3]Sheet1!$C$3:$Q$3)))/(INDEX([3]Sheet1!$C$3:$Q$3,1,MATCH(D300,[3]Sheet1!$C$3:$Q$3)+1)-INDEX([3]Sheet1!$C$3:$Q$3,1,MATCH(
D300,[3]Sheet1!$C$3:$Q$3)))*(INDEX([3]Sheet1!$C$4:$Q$23,MATCH(K300,[3]Sheet1!$B$4:$B$23,1),MATCH(D300,[3]Sheet1!$C$3:$Q$3,1)+1)-INDEX([3]Sheet1!$C$4:$Q$23,MATCH(K300,[3]Sheet1!$B$4:$B$23,1),MATCH(D300,[3]Sheet1!$C$3:$Q$3,1))))</f>
        <v>0</v>
      </c>
      <c r="M300" cm="1">
        <f t="array" ref="M300" xml:space="preserve"> IF(E300*J300=0,0,(INDEX([2]Sheet1!$C$4:$Q$23,MATCH(K300,[2]Sheet1!$B$4:$B$23,1),MATCH(D300,[2]Sheet1!$C$3:$Q$3,1))
+ (K300 - INDEX([2]Sheet1!$B$4:$B$23,MATCH(K300,[2]Sheet1!$B$4:$B$23,1),1))/(INDEX([2]Sheet1!$B$4:$B$23,MATCH(K300,[2]Sheet1!$B$4:$B$23,1)+1,1) - INDEX([2]Sheet1!$B$4:$B$23,MATCH(K300,[2]Sheet1!$B$4:$B$23,1),1))*(INDEX([2]Sheet1!$C$4:$Q$23,MATCH(K300,[2]Sheet1!$B$4:$B$23,1)+1,MATCH(D300,[2]Sheet1!$C$3:$Q$3,1)) - INDEX([2]Sheet1!$C$4:$Q$23,MATCH(K300,[2]Sheet1!$B$4:$B$23,1),MATCH(D300,[2]Sheet1!$C$3:$Q$3,1)))
+ (D300 - INDEX([2]Sheet1!$C$3:$Q$3,1,MATCH(D300,[2]Sheet1!$C$3:$Q$3)))/(INDEX([2]Sheet1!$C$3:$Q$3,1,MATCH(D300,[2]Sheet1!$C$3:$Q$3)+1) - INDEX([2]Sheet1!$C$3:$Q$3,1,MATCH(D300,[2]Sheet1!$C$3:$Q$3)))*(
INDEX([2]Sheet1!$C$4:$Q$23,MATCH(K300,[2]Sheet1!$B$4:$B$23,1),MATCH(D300,[2]Sheet1!$C$3:$Q$3,1)+1) - INDEX([2]Sheet1!$C$4:$Q$23,MATCH(K300,[2]Sheet1!$B$4:$B$23,1),MATCH(D300,[2]Sheet1!$C$3:$Q$3,1)))))</f>
        <v>0</v>
      </c>
      <c r="N300">
        <f t="shared" si="98"/>
        <v>12</v>
      </c>
      <c r="O300">
        <v>8.9637227377882114E-2</v>
      </c>
      <c r="P300" t="e">
        <f t="shared" si="99"/>
        <v>#DIV/0!</v>
      </c>
      <c r="Q300">
        <f t="shared" si="86"/>
        <v>0</v>
      </c>
      <c r="R300">
        <f t="shared" si="100"/>
        <v>741.9099431943954</v>
      </c>
      <c r="T300" t="e">
        <f t="shared" si="89"/>
        <v>#DIV/0!</v>
      </c>
      <c r="U300" t="e">
        <f t="shared" si="90"/>
        <v>#DIV/0!</v>
      </c>
      <c r="V300">
        <f t="shared" si="91"/>
        <v>0</v>
      </c>
      <c r="W300" t="e">
        <f t="shared" si="87"/>
        <v>#DIV/0!</v>
      </c>
    </row>
    <row r="301" spans="1:23" x14ac:dyDescent="0.55000000000000004">
      <c r="A301">
        <f t="shared" si="88"/>
        <v>26.700000000000109</v>
      </c>
      <c r="B301">
        <f t="shared" si="92"/>
        <v>0.316</v>
      </c>
      <c r="C301">
        <f t="shared" si="93"/>
        <v>-12.413043478260946</v>
      </c>
      <c r="D301">
        <v>2.4490170049367199</v>
      </c>
      <c r="E301">
        <f t="shared" si="83"/>
        <v>0</v>
      </c>
      <c r="F301">
        <f t="shared" si="94"/>
        <v>4.8605058816845369E-2</v>
      </c>
      <c r="G301">
        <f t="shared" si="95"/>
        <v>39.513748498891111</v>
      </c>
      <c r="H301">
        <f t="shared" si="96"/>
        <v>0</v>
      </c>
      <c r="I301" s="1">
        <f t="shared" si="84"/>
        <v>0</v>
      </c>
      <c r="J301">
        <f t="shared" si="97"/>
        <v>0</v>
      </c>
      <c r="K301">
        <f t="shared" si="85"/>
        <v>0</v>
      </c>
      <c r="L301" cm="1">
        <f t="array" ref="L301">IF(E301*J301=0,0,$C$21*INDEX([3]Sheet1!$C$4:$Q$23,MATCH(K301,[3]Sheet1!$B$4:$B$23,1),MATCH(D301,[3]Sheet1!$C$3:$Q$3,1))
+(K301-INDEX([3]Sheet1!$B$4:$B$23,MATCH(K301,[3]Sheet1!$B$4:$B$23,1),1))/(INDEX([3]Sheet1!$B$4:$B$23,MATCH(K301,[3]Sheet1!$B$4:$B$23,1)+1,1)-INDEX([3]Sheet1!$B$4:$B$23,
MATCH(K301,[3]Sheet1!$B$4:$B$23,1),1))*(INDEX([3]Sheet1!$C$4:$Q$23,MATCH(K301,[3]Sheet1!$B$4:$B$23,1)+1,MATCH(D301,[3]Sheet1!$C$3:$Q$3,1))-INDEX([3]Sheet1!$C$4:$Q$23,
MATCH(K301,[3]Sheet1!$B$4:$B$23,1),MATCH(D301,[3]Sheet1!$C$3:$Q$3,1)))
+(D301-INDEX([3]Sheet1!$C$3:$Q$3,1,MATCH(D301,[3]Sheet1!$C$3:$Q$3)))/(INDEX([3]Sheet1!$C$3:$Q$3,1,MATCH(D301,[3]Sheet1!$C$3:$Q$3)+1)-INDEX([3]Sheet1!$C$3:$Q$3,1,MATCH(
D301,[3]Sheet1!$C$3:$Q$3)))*(INDEX([3]Sheet1!$C$4:$Q$23,MATCH(K301,[3]Sheet1!$B$4:$B$23,1),MATCH(D301,[3]Sheet1!$C$3:$Q$3,1)+1)-INDEX([3]Sheet1!$C$4:$Q$23,MATCH(K301,[3]Sheet1!$B$4:$B$23,1),MATCH(D301,[3]Sheet1!$C$3:$Q$3,1))))</f>
        <v>0</v>
      </c>
      <c r="M301" cm="1">
        <f t="array" ref="M301" xml:space="preserve"> IF(E301*J301=0,0,(INDEX([2]Sheet1!$C$4:$Q$23,MATCH(K301,[2]Sheet1!$B$4:$B$23,1),MATCH(D301,[2]Sheet1!$C$3:$Q$3,1))
+ (K301 - INDEX([2]Sheet1!$B$4:$B$23,MATCH(K301,[2]Sheet1!$B$4:$B$23,1),1))/(INDEX([2]Sheet1!$B$4:$B$23,MATCH(K301,[2]Sheet1!$B$4:$B$23,1)+1,1) - INDEX([2]Sheet1!$B$4:$B$23,MATCH(K301,[2]Sheet1!$B$4:$B$23,1),1))*(INDEX([2]Sheet1!$C$4:$Q$23,MATCH(K301,[2]Sheet1!$B$4:$B$23,1)+1,MATCH(D301,[2]Sheet1!$C$3:$Q$3,1)) - INDEX([2]Sheet1!$C$4:$Q$23,MATCH(K301,[2]Sheet1!$B$4:$B$23,1),MATCH(D301,[2]Sheet1!$C$3:$Q$3,1)))
+ (D301 - INDEX([2]Sheet1!$C$3:$Q$3,1,MATCH(D301,[2]Sheet1!$C$3:$Q$3)))/(INDEX([2]Sheet1!$C$3:$Q$3,1,MATCH(D301,[2]Sheet1!$C$3:$Q$3)+1) - INDEX([2]Sheet1!$C$3:$Q$3,1,MATCH(D301,[2]Sheet1!$C$3:$Q$3)))*(
INDEX([2]Sheet1!$C$4:$Q$23,MATCH(K301,[2]Sheet1!$B$4:$B$23,1),MATCH(D301,[2]Sheet1!$C$3:$Q$3,1)+1) - INDEX([2]Sheet1!$C$4:$Q$23,MATCH(K301,[2]Sheet1!$B$4:$B$23,1),MATCH(D301,[2]Sheet1!$C$3:$Q$3,1)))))</f>
        <v>0</v>
      </c>
      <c r="N301">
        <f t="shared" si="98"/>
        <v>12</v>
      </c>
      <c r="O301">
        <v>8.9614730063775697E-2</v>
      </c>
      <c r="P301" t="e">
        <f t="shared" si="99"/>
        <v>#DIV/0!</v>
      </c>
      <c r="Q301">
        <f t="shared" si="86"/>
        <v>0</v>
      </c>
      <c r="R301">
        <f t="shared" si="100"/>
        <v>741.9099431943954</v>
      </c>
      <c r="T301" t="e">
        <f t="shared" si="89"/>
        <v>#DIV/0!</v>
      </c>
      <c r="U301" t="e">
        <f t="shared" si="90"/>
        <v>#DIV/0!</v>
      </c>
      <c r="V301">
        <f t="shared" si="91"/>
        <v>0</v>
      </c>
      <c r="W301" t="e">
        <f t="shared" si="87"/>
        <v>#DIV/0!</v>
      </c>
    </row>
    <row r="302" spans="1:23" x14ac:dyDescent="0.55000000000000004">
      <c r="A302">
        <f t="shared" si="88"/>
        <v>26.800000000000111</v>
      </c>
      <c r="B302">
        <f t="shared" si="92"/>
        <v>0.316</v>
      </c>
      <c r="C302">
        <f t="shared" si="93"/>
        <v>-12.47826086956529</v>
      </c>
      <c r="D302">
        <v>2.4489074263023278</v>
      </c>
      <c r="E302">
        <f t="shared" si="83"/>
        <v>0</v>
      </c>
      <c r="F302">
        <f t="shared" si="94"/>
        <v>4.8605058816845369E-2</v>
      </c>
      <c r="G302">
        <f t="shared" si="95"/>
        <v>39.513748498891111</v>
      </c>
      <c r="H302">
        <f t="shared" si="96"/>
        <v>0</v>
      </c>
      <c r="I302" s="1">
        <f t="shared" si="84"/>
        <v>0</v>
      </c>
      <c r="J302">
        <f t="shared" si="97"/>
        <v>0</v>
      </c>
      <c r="K302">
        <f t="shared" si="85"/>
        <v>0</v>
      </c>
      <c r="L302" cm="1">
        <f t="array" ref="L302">IF(E302*J302=0,0,$C$21*INDEX([3]Sheet1!$C$4:$Q$23,MATCH(K302,[3]Sheet1!$B$4:$B$23,1),MATCH(D302,[3]Sheet1!$C$3:$Q$3,1))
+(K302-INDEX([3]Sheet1!$B$4:$B$23,MATCH(K302,[3]Sheet1!$B$4:$B$23,1),1))/(INDEX([3]Sheet1!$B$4:$B$23,MATCH(K302,[3]Sheet1!$B$4:$B$23,1)+1,1)-INDEX([3]Sheet1!$B$4:$B$23,
MATCH(K302,[3]Sheet1!$B$4:$B$23,1),1))*(INDEX([3]Sheet1!$C$4:$Q$23,MATCH(K302,[3]Sheet1!$B$4:$B$23,1)+1,MATCH(D302,[3]Sheet1!$C$3:$Q$3,1))-INDEX([3]Sheet1!$C$4:$Q$23,
MATCH(K302,[3]Sheet1!$B$4:$B$23,1),MATCH(D302,[3]Sheet1!$C$3:$Q$3,1)))
+(D302-INDEX([3]Sheet1!$C$3:$Q$3,1,MATCH(D302,[3]Sheet1!$C$3:$Q$3)))/(INDEX([3]Sheet1!$C$3:$Q$3,1,MATCH(D302,[3]Sheet1!$C$3:$Q$3)+1)-INDEX([3]Sheet1!$C$3:$Q$3,1,MATCH(
D302,[3]Sheet1!$C$3:$Q$3)))*(INDEX([3]Sheet1!$C$4:$Q$23,MATCH(K302,[3]Sheet1!$B$4:$B$23,1),MATCH(D302,[3]Sheet1!$C$3:$Q$3,1)+1)-INDEX([3]Sheet1!$C$4:$Q$23,MATCH(K302,[3]Sheet1!$B$4:$B$23,1),MATCH(D302,[3]Sheet1!$C$3:$Q$3,1))))</f>
        <v>0</v>
      </c>
      <c r="M302" cm="1">
        <f t="array" ref="M302" xml:space="preserve"> IF(E302*J302=0,0,(INDEX([2]Sheet1!$C$4:$Q$23,MATCH(K302,[2]Sheet1!$B$4:$B$23,1),MATCH(D302,[2]Sheet1!$C$3:$Q$3,1))
+ (K302 - INDEX([2]Sheet1!$B$4:$B$23,MATCH(K302,[2]Sheet1!$B$4:$B$23,1),1))/(INDEX([2]Sheet1!$B$4:$B$23,MATCH(K302,[2]Sheet1!$B$4:$B$23,1)+1,1) - INDEX([2]Sheet1!$B$4:$B$23,MATCH(K302,[2]Sheet1!$B$4:$B$23,1),1))*(INDEX([2]Sheet1!$C$4:$Q$23,MATCH(K302,[2]Sheet1!$B$4:$B$23,1)+1,MATCH(D302,[2]Sheet1!$C$3:$Q$3,1)) - INDEX([2]Sheet1!$C$4:$Q$23,MATCH(K302,[2]Sheet1!$B$4:$B$23,1),MATCH(D302,[2]Sheet1!$C$3:$Q$3,1)))
+ (D302 - INDEX([2]Sheet1!$C$3:$Q$3,1,MATCH(D302,[2]Sheet1!$C$3:$Q$3)))/(INDEX([2]Sheet1!$C$3:$Q$3,1,MATCH(D302,[2]Sheet1!$C$3:$Q$3)+1) - INDEX([2]Sheet1!$C$3:$Q$3,1,MATCH(D302,[2]Sheet1!$C$3:$Q$3)))*(
INDEX([2]Sheet1!$C$4:$Q$23,MATCH(K302,[2]Sheet1!$B$4:$B$23,1),MATCH(D302,[2]Sheet1!$C$3:$Q$3,1)+1) - INDEX([2]Sheet1!$C$4:$Q$23,MATCH(K302,[2]Sheet1!$B$4:$B$23,1),MATCH(D302,[2]Sheet1!$C$3:$Q$3,1)))))</f>
        <v>0</v>
      </c>
      <c r="N302">
        <f t="shared" si="98"/>
        <v>12</v>
      </c>
      <c r="O302">
        <v>8.9592285254672735E-2</v>
      </c>
      <c r="P302" t="e">
        <f t="shared" si="99"/>
        <v>#DIV/0!</v>
      </c>
      <c r="Q302">
        <f t="shared" si="86"/>
        <v>0</v>
      </c>
      <c r="R302">
        <f t="shared" si="100"/>
        <v>741.9099431943954</v>
      </c>
      <c r="T302" t="e">
        <f t="shared" si="89"/>
        <v>#DIV/0!</v>
      </c>
      <c r="U302" t="e">
        <f t="shared" si="90"/>
        <v>#DIV/0!</v>
      </c>
      <c r="V302">
        <f t="shared" si="91"/>
        <v>0</v>
      </c>
      <c r="W302" t="e">
        <f t="shared" si="87"/>
        <v>#DIV/0!</v>
      </c>
    </row>
    <row r="303" spans="1:23" x14ac:dyDescent="0.55000000000000004">
      <c r="A303">
        <f t="shared" si="88"/>
        <v>26.900000000000112</v>
      </c>
      <c r="B303">
        <f t="shared" si="92"/>
        <v>0.316</v>
      </c>
      <c r="C303">
        <f t="shared" si="93"/>
        <v>-12.543478260869637</v>
      </c>
      <c r="D303">
        <v>2.4487980716295903</v>
      </c>
      <c r="E303">
        <f t="shared" si="83"/>
        <v>0</v>
      </c>
      <c r="F303">
        <f t="shared" si="94"/>
        <v>4.8605058816845369E-2</v>
      </c>
      <c r="G303">
        <f t="shared" si="95"/>
        <v>39.513748498891111</v>
      </c>
      <c r="H303">
        <f t="shared" si="96"/>
        <v>0</v>
      </c>
      <c r="I303" s="1">
        <f t="shared" si="84"/>
        <v>0</v>
      </c>
      <c r="J303">
        <f t="shared" si="97"/>
        <v>0</v>
      </c>
      <c r="K303">
        <f t="shared" si="85"/>
        <v>0</v>
      </c>
      <c r="L303" cm="1">
        <f t="array" ref="L303">IF(E303*J303=0,0,$C$21*INDEX([3]Sheet1!$C$4:$Q$23,MATCH(K303,[3]Sheet1!$B$4:$B$23,1),MATCH(D303,[3]Sheet1!$C$3:$Q$3,1))
+(K303-INDEX([3]Sheet1!$B$4:$B$23,MATCH(K303,[3]Sheet1!$B$4:$B$23,1),1))/(INDEX([3]Sheet1!$B$4:$B$23,MATCH(K303,[3]Sheet1!$B$4:$B$23,1)+1,1)-INDEX([3]Sheet1!$B$4:$B$23,
MATCH(K303,[3]Sheet1!$B$4:$B$23,1),1))*(INDEX([3]Sheet1!$C$4:$Q$23,MATCH(K303,[3]Sheet1!$B$4:$B$23,1)+1,MATCH(D303,[3]Sheet1!$C$3:$Q$3,1))-INDEX([3]Sheet1!$C$4:$Q$23,
MATCH(K303,[3]Sheet1!$B$4:$B$23,1),MATCH(D303,[3]Sheet1!$C$3:$Q$3,1)))
+(D303-INDEX([3]Sheet1!$C$3:$Q$3,1,MATCH(D303,[3]Sheet1!$C$3:$Q$3)))/(INDEX([3]Sheet1!$C$3:$Q$3,1,MATCH(D303,[3]Sheet1!$C$3:$Q$3)+1)-INDEX([3]Sheet1!$C$3:$Q$3,1,MATCH(
D303,[3]Sheet1!$C$3:$Q$3)))*(INDEX([3]Sheet1!$C$4:$Q$23,MATCH(K303,[3]Sheet1!$B$4:$B$23,1),MATCH(D303,[3]Sheet1!$C$3:$Q$3,1)+1)-INDEX([3]Sheet1!$C$4:$Q$23,MATCH(K303,[3]Sheet1!$B$4:$B$23,1),MATCH(D303,[3]Sheet1!$C$3:$Q$3,1))))</f>
        <v>0</v>
      </c>
      <c r="M303" cm="1">
        <f t="array" ref="M303" xml:space="preserve"> IF(E303*J303=0,0,(INDEX([2]Sheet1!$C$4:$Q$23,MATCH(K303,[2]Sheet1!$B$4:$B$23,1),MATCH(D303,[2]Sheet1!$C$3:$Q$3,1))
+ (K303 - INDEX([2]Sheet1!$B$4:$B$23,MATCH(K303,[2]Sheet1!$B$4:$B$23,1),1))/(INDEX([2]Sheet1!$B$4:$B$23,MATCH(K303,[2]Sheet1!$B$4:$B$23,1)+1,1) - INDEX([2]Sheet1!$B$4:$B$23,MATCH(K303,[2]Sheet1!$B$4:$B$23,1),1))*(INDEX([2]Sheet1!$C$4:$Q$23,MATCH(K303,[2]Sheet1!$B$4:$B$23,1)+1,MATCH(D303,[2]Sheet1!$C$3:$Q$3,1)) - INDEX([2]Sheet1!$C$4:$Q$23,MATCH(K303,[2]Sheet1!$B$4:$B$23,1),MATCH(D303,[2]Sheet1!$C$3:$Q$3,1)))
+ (D303 - INDEX([2]Sheet1!$C$3:$Q$3,1,MATCH(D303,[2]Sheet1!$C$3:$Q$3)))/(INDEX([2]Sheet1!$C$3:$Q$3,1,MATCH(D303,[2]Sheet1!$C$3:$Q$3)+1) - INDEX([2]Sheet1!$C$3:$Q$3,1,MATCH(D303,[2]Sheet1!$C$3:$Q$3)))*(
INDEX([2]Sheet1!$C$4:$Q$23,MATCH(K303,[2]Sheet1!$B$4:$B$23,1),MATCH(D303,[2]Sheet1!$C$3:$Q$3,1)+1) - INDEX([2]Sheet1!$C$4:$Q$23,MATCH(K303,[2]Sheet1!$B$4:$B$23,1),MATCH(D303,[2]Sheet1!$C$3:$Q$3,1)))))</f>
        <v>0</v>
      </c>
      <c r="N303">
        <f t="shared" si="98"/>
        <v>12</v>
      </c>
      <c r="O303">
        <v>8.9569892720825633E-2</v>
      </c>
      <c r="P303" t="e">
        <f t="shared" si="99"/>
        <v>#DIV/0!</v>
      </c>
      <c r="Q303">
        <f t="shared" si="86"/>
        <v>0</v>
      </c>
      <c r="R303">
        <f t="shared" si="100"/>
        <v>741.9099431943954</v>
      </c>
      <c r="T303" t="e">
        <f t="shared" si="89"/>
        <v>#DIV/0!</v>
      </c>
      <c r="U303" t="e">
        <f t="shared" si="90"/>
        <v>#DIV/0!</v>
      </c>
      <c r="V303">
        <f t="shared" si="91"/>
        <v>0</v>
      </c>
      <c r="W303" t="e">
        <f t="shared" si="87"/>
        <v>#DIV/0!</v>
      </c>
    </row>
    <row r="304" spans="1:23" x14ac:dyDescent="0.55000000000000004">
      <c r="A304">
        <f t="shared" si="88"/>
        <v>27.000000000000114</v>
      </c>
      <c r="B304">
        <f t="shared" si="92"/>
        <v>0.316</v>
      </c>
      <c r="C304">
        <f t="shared" si="93"/>
        <v>-12.608695652173989</v>
      </c>
      <c r="D304">
        <v>2.4486889399844833</v>
      </c>
      <c r="E304">
        <f t="shared" si="83"/>
        <v>0</v>
      </c>
      <c r="F304">
        <f t="shared" si="94"/>
        <v>4.8605058816845369E-2</v>
      </c>
      <c r="G304">
        <f t="shared" si="95"/>
        <v>39.513748498891111</v>
      </c>
      <c r="H304">
        <f t="shared" si="96"/>
        <v>0</v>
      </c>
      <c r="I304" s="1">
        <f t="shared" si="84"/>
        <v>0</v>
      </c>
      <c r="J304">
        <f t="shared" si="97"/>
        <v>0</v>
      </c>
      <c r="K304">
        <f t="shared" si="85"/>
        <v>0</v>
      </c>
      <c r="L304" cm="1">
        <f t="array" ref="L304">IF(E304*J304=0,0,$C$21*INDEX([3]Sheet1!$C$4:$Q$23,MATCH(K304,[3]Sheet1!$B$4:$B$23,1),MATCH(D304,[3]Sheet1!$C$3:$Q$3,1))
+(K304-INDEX([3]Sheet1!$B$4:$B$23,MATCH(K304,[3]Sheet1!$B$4:$B$23,1),1))/(INDEX([3]Sheet1!$B$4:$B$23,MATCH(K304,[3]Sheet1!$B$4:$B$23,1)+1,1)-INDEX([3]Sheet1!$B$4:$B$23,
MATCH(K304,[3]Sheet1!$B$4:$B$23,1),1))*(INDEX([3]Sheet1!$C$4:$Q$23,MATCH(K304,[3]Sheet1!$B$4:$B$23,1)+1,MATCH(D304,[3]Sheet1!$C$3:$Q$3,1))-INDEX([3]Sheet1!$C$4:$Q$23,
MATCH(K304,[3]Sheet1!$B$4:$B$23,1),MATCH(D304,[3]Sheet1!$C$3:$Q$3,1)))
+(D304-INDEX([3]Sheet1!$C$3:$Q$3,1,MATCH(D304,[3]Sheet1!$C$3:$Q$3)))/(INDEX([3]Sheet1!$C$3:$Q$3,1,MATCH(D304,[3]Sheet1!$C$3:$Q$3)+1)-INDEX([3]Sheet1!$C$3:$Q$3,1,MATCH(
D304,[3]Sheet1!$C$3:$Q$3)))*(INDEX([3]Sheet1!$C$4:$Q$23,MATCH(K304,[3]Sheet1!$B$4:$B$23,1),MATCH(D304,[3]Sheet1!$C$3:$Q$3,1)+1)-INDEX([3]Sheet1!$C$4:$Q$23,MATCH(K304,[3]Sheet1!$B$4:$B$23,1),MATCH(D304,[3]Sheet1!$C$3:$Q$3,1))))</f>
        <v>0</v>
      </c>
      <c r="M304" cm="1">
        <f t="array" ref="M304" xml:space="preserve"> IF(E304*J304=0,0,(INDEX([2]Sheet1!$C$4:$Q$23,MATCH(K304,[2]Sheet1!$B$4:$B$23,1),MATCH(D304,[2]Sheet1!$C$3:$Q$3,1))
+ (K304 - INDEX([2]Sheet1!$B$4:$B$23,MATCH(K304,[2]Sheet1!$B$4:$B$23,1),1))/(INDEX([2]Sheet1!$B$4:$B$23,MATCH(K304,[2]Sheet1!$B$4:$B$23,1)+1,1) - INDEX([2]Sheet1!$B$4:$B$23,MATCH(K304,[2]Sheet1!$B$4:$B$23,1),1))*(INDEX([2]Sheet1!$C$4:$Q$23,MATCH(K304,[2]Sheet1!$B$4:$B$23,1)+1,MATCH(D304,[2]Sheet1!$C$3:$Q$3,1)) - INDEX([2]Sheet1!$C$4:$Q$23,MATCH(K304,[2]Sheet1!$B$4:$B$23,1),MATCH(D304,[2]Sheet1!$C$3:$Q$3,1)))
+ (D304 - INDEX([2]Sheet1!$C$3:$Q$3,1,MATCH(D304,[2]Sheet1!$C$3:$Q$3)))/(INDEX([2]Sheet1!$C$3:$Q$3,1,MATCH(D304,[2]Sheet1!$C$3:$Q$3)+1) - INDEX([2]Sheet1!$C$3:$Q$3,1,MATCH(D304,[2]Sheet1!$C$3:$Q$3)))*(
INDEX([2]Sheet1!$C$4:$Q$23,MATCH(K304,[2]Sheet1!$B$4:$B$23,1),MATCH(D304,[2]Sheet1!$C$3:$Q$3,1)+1) - INDEX([2]Sheet1!$C$4:$Q$23,MATCH(K304,[2]Sheet1!$B$4:$B$23,1),MATCH(D304,[2]Sheet1!$C$3:$Q$3,1)))))</f>
        <v>0</v>
      </c>
      <c r="N304">
        <f t="shared" si="98"/>
        <v>12</v>
      </c>
      <c r="O304">
        <v>8.9547552237774941E-2</v>
      </c>
      <c r="P304" t="e">
        <f t="shared" si="99"/>
        <v>#DIV/0!</v>
      </c>
      <c r="Q304">
        <f t="shared" si="86"/>
        <v>0</v>
      </c>
      <c r="R304">
        <f t="shared" si="100"/>
        <v>741.9099431943954</v>
      </c>
      <c r="T304" t="e">
        <f t="shared" si="89"/>
        <v>#DIV/0!</v>
      </c>
      <c r="U304" t="e">
        <f t="shared" si="90"/>
        <v>#DIV/0!</v>
      </c>
      <c r="V304">
        <f t="shared" si="91"/>
        <v>0</v>
      </c>
      <c r="W304" t="e">
        <f t="shared" si="87"/>
        <v>#DIV/0!</v>
      </c>
    </row>
    <row r="305" spans="1:23" x14ac:dyDescent="0.55000000000000004">
      <c r="A305">
        <f t="shared" si="88"/>
        <v>27.100000000000115</v>
      </c>
      <c r="B305">
        <f t="shared" si="92"/>
        <v>0.316</v>
      </c>
      <c r="C305">
        <f t="shared" si="93"/>
        <v>-12.67391304347834</v>
      </c>
      <c r="D305">
        <v>2.448580030434147</v>
      </c>
      <c r="E305">
        <f t="shared" si="83"/>
        <v>0</v>
      </c>
      <c r="F305">
        <f t="shared" si="94"/>
        <v>4.8605058816845369E-2</v>
      </c>
      <c r="G305">
        <f t="shared" si="95"/>
        <v>39.513748498891111</v>
      </c>
      <c r="H305">
        <f t="shared" si="96"/>
        <v>0</v>
      </c>
      <c r="I305" s="1">
        <f t="shared" si="84"/>
        <v>0</v>
      </c>
      <c r="J305">
        <f t="shared" si="97"/>
        <v>0</v>
      </c>
      <c r="K305">
        <f t="shared" si="85"/>
        <v>0</v>
      </c>
      <c r="L305" cm="1">
        <f t="array" ref="L305">IF(E305*J305=0,0,$C$21*INDEX([3]Sheet1!$C$4:$Q$23,MATCH(K305,[3]Sheet1!$B$4:$B$23,1),MATCH(D305,[3]Sheet1!$C$3:$Q$3,1))
+(K305-INDEX([3]Sheet1!$B$4:$B$23,MATCH(K305,[3]Sheet1!$B$4:$B$23,1),1))/(INDEX([3]Sheet1!$B$4:$B$23,MATCH(K305,[3]Sheet1!$B$4:$B$23,1)+1,1)-INDEX([3]Sheet1!$B$4:$B$23,
MATCH(K305,[3]Sheet1!$B$4:$B$23,1),1))*(INDEX([3]Sheet1!$C$4:$Q$23,MATCH(K305,[3]Sheet1!$B$4:$B$23,1)+1,MATCH(D305,[3]Sheet1!$C$3:$Q$3,1))-INDEX([3]Sheet1!$C$4:$Q$23,
MATCH(K305,[3]Sheet1!$B$4:$B$23,1),MATCH(D305,[3]Sheet1!$C$3:$Q$3,1)))
+(D305-INDEX([3]Sheet1!$C$3:$Q$3,1,MATCH(D305,[3]Sheet1!$C$3:$Q$3)))/(INDEX([3]Sheet1!$C$3:$Q$3,1,MATCH(D305,[3]Sheet1!$C$3:$Q$3)+1)-INDEX([3]Sheet1!$C$3:$Q$3,1,MATCH(
D305,[3]Sheet1!$C$3:$Q$3)))*(INDEX([3]Sheet1!$C$4:$Q$23,MATCH(K305,[3]Sheet1!$B$4:$B$23,1),MATCH(D305,[3]Sheet1!$C$3:$Q$3,1)+1)-INDEX([3]Sheet1!$C$4:$Q$23,MATCH(K305,[3]Sheet1!$B$4:$B$23,1),MATCH(D305,[3]Sheet1!$C$3:$Q$3,1))))</f>
        <v>0</v>
      </c>
      <c r="M305" cm="1">
        <f t="array" ref="M305" xml:space="preserve"> IF(E305*J305=0,0,(INDEX([2]Sheet1!$C$4:$Q$23,MATCH(K305,[2]Sheet1!$B$4:$B$23,1),MATCH(D305,[2]Sheet1!$C$3:$Q$3,1))
+ (K305 - INDEX([2]Sheet1!$B$4:$B$23,MATCH(K305,[2]Sheet1!$B$4:$B$23,1),1))/(INDEX([2]Sheet1!$B$4:$B$23,MATCH(K305,[2]Sheet1!$B$4:$B$23,1)+1,1) - INDEX([2]Sheet1!$B$4:$B$23,MATCH(K305,[2]Sheet1!$B$4:$B$23,1),1))*(INDEX([2]Sheet1!$C$4:$Q$23,MATCH(K305,[2]Sheet1!$B$4:$B$23,1)+1,MATCH(D305,[2]Sheet1!$C$3:$Q$3,1)) - INDEX([2]Sheet1!$C$4:$Q$23,MATCH(K305,[2]Sheet1!$B$4:$B$23,1),MATCH(D305,[2]Sheet1!$C$3:$Q$3,1)))
+ (D305 - INDEX([2]Sheet1!$C$3:$Q$3,1,MATCH(D305,[2]Sheet1!$C$3:$Q$3)))/(INDEX([2]Sheet1!$C$3:$Q$3,1,MATCH(D305,[2]Sheet1!$C$3:$Q$3)+1) - INDEX([2]Sheet1!$C$3:$Q$3,1,MATCH(D305,[2]Sheet1!$C$3:$Q$3)))*(
INDEX([2]Sheet1!$C$4:$Q$23,MATCH(K305,[2]Sheet1!$B$4:$B$23,1),MATCH(D305,[2]Sheet1!$C$3:$Q$3,1)+1) - INDEX([2]Sheet1!$C$4:$Q$23,MATCH(K305,[2]Sheet1!$B$4:$B$23,1),MATCH(D305,[2]Sheet1!$C$3:$Q$3,1)))))</f>
        <v>0</v>
      </c>
      <c r="N305">
        <f t="shared" si="98"/>
        <v>12</v>
      </c>
      <c r="O305">
        <v>8.952526358157753E-2</v>
      </c>
      <c r="P305" t="e">
        <f t="shared" si="99"/>
        <v>#DIV/0!</v>
      </c>
      <c r="Q305">
        <f t="shared" si="86"/>
        <v>0</v>
      </c>
      <c r="R305">
        <f t="shared" si="100"/>
        <v>741.9099431943954</v>
      </c>
      <c r="T305" t="e">
        <f t="shared" si="89"/>
        <v>#DIV/0!</v>
      </c>
      <c r="U305" t="e">
        <f t="shared" si="90"/>
        <v>#DIV/0!</v>
      </c>
      <c r="V305">
        <f t="shared" si="91"/>
        <v>0</v>
      </c>
      <c r="W305" t="e">
        <f t="shared" si="87"/>
        <v>#DIV/0!</v>
      </c>
    </row>
    <row r="306" spans="1:23" x14ac:dyDescent="0.55000000000000004">
      <c r="A306">
        <f t="shared" si="88"/>
        <v>27.200000000000117</v>
      </c>
      <c r="B306">
        <f t="shared" si="92"/>
        <v>0.316</v>
      </c>
      <c r="C306">
        <f t="shared" si="93"/>
        <v>-12.739130434782687</v>
      </c>
      <c r="D306">
        <v>2.4484713420482458</v>
      </c>
      <c r="E306">
        <f t="shared" si="83"/>
        <v>0</v>
      </c>
      <c r="F306">
        <f t="shared" si="94"/>
        <v>4.8605058816845369E-2</v>
      </c>
      <c r="G306">
        <f t="shared" si="95"/>
        <v>39.513748498891111</v>
      </c>
      <c r="H306">
        <f t="shared" si="96"/>
        <v>0</v>
      </c>
      <c r="I306" s="1">
        <f t="shared" si="84"/>
        <v>0</v>
      </c>
      <c r="J306">
        <f t="shared" si="97"/>
        <v>0</v>
      </c>
      <c r="K306">
        <f t="shared" si="85"/>
        <v>0</v>
      </c>
      <c r="L306" cm="1">
        <f t="array" ref="L306">IF(E306*J306=0,0,$C$21*INDEX([3]Sheet1!$C$4:$Q$23,MATCH(K306,[3]Sheet1!$B$4:$B$23,1),MATCH(D306,[3]Sheet1!$C$3:$Q$3,1))
+(K306-INDEX([3]Sheet1!$B$4:$B$23,MATCH(K306,[3]Sheet1!$B$4:$B$23,1),1))/(INDEX([3]Sheet1!$B$4:$B$23,MATCH(K306,[3]Sheet1!$B$4:$B$23,1)+1,1)-INDEX([3]Sheet1!$B$4:$B$23,
MATCH(K306,[3]Sheet1!$B$4:$B$23,1),1))*(INDEX([3]Sheet1!$C$4:$Q$23,MATCH(K306,[3]Sheet1!$B$4:$B$23,1)+1,MATCH(D306,[3]Sheet1!$C$3:$Q$3,1))-INDEX([3]Sheet1!$C$4:$Q$23,
MATCH(K306,[3]Sheet1!$B$4:$B$23,1),MATCH(D306,[3]Sheet1!$C$3:$Q$3,1)))
+(D306-INDEX([3]Sheet1!$C$3:$Q$3,1,MATCH(D306,[3]Sheet1!$C$3:$Q$3)))/(INDEX([3]Sheet1!$C$3:$Q$3,1,MATCH(D306,[3]Sheet1!$C$3:$Q$3)+1)-INDEX([3]Sheet1!$C$3:$Q$3,1,MATCH(
D306,[3]Sheet1!$C$3:$Q$3)))*(INDEX([3]Sheet1!$C$4:$Q$23,MATCH(K306,[3]Sheet1!$B$4:$B$23,1),MATCH(D306,[3]Sheet1!$C$3:$Q$3,1)+1)-INDEX([3]Sheet1!$C$4:$Q$23,MATCH(K306,[3]Sheet1!$B$4:$B$23,1),MATCH(D306,[3]Sheet1!$C$3:$Q$3,1))))</f>
        <v>0</v>
      </c>
      <c r="M306" cm="1">
        <f t="array" ref="M306" xml:space="preserve"> IF(E306*J306=0,0,(INDEX([2]Sheet1!$C$4:$Q$23,MATCH(K306,[2]Sheet1!$B$4:$B$23,1),MATCH(D306,[2]Sheet1!$C$3:$Q$3,1))
+ (K306 - INDEX([2]Sheet1!$B$4:$B$23,MATCH(K306,[2]Sheet1!$B$4:$B$23,1),1))/(INDEX([2]Sheet1!$B$4:$B$23,MATCH(K306,[2]Sheet1!$B$4:$B$23,1)+1,1) - INDEX([2]Sheet1!$B$4:$B$23,MATCH(K306,[2]Sheet1!$B$4:$B$23,1),1))*(INDEX([2]Sheet1!$C$4:$Q$23,MATCH(K306,[2]Sheet1!$B$4:$B$23,1)+1,MATCH(D306,[2]Sheet1!$C$3:$Q$3,1)) - INDEX([2]Sheet1!$C$4:$Q$23,MATCH(K306,[2]Sheet1!$B$4:$B$23,1),MATCH(D306,[2]Sheet1!$C$3:$Q$3,1)))
+ (D306 - INDEX([2]Sheet1!$C$3:$Q$3,1,MATCH(D306,[2]Sheet1!$C$3:$Q$3)))/(INDEX([2]Sheet1!$C$3:$Q$3,1,MATCH(D306,[2]Sheet1!$C$3:$Q$3)+1) - INDEX([2]Sheet1!$C$3:$Q$3,1,MATCH(D306,[2]Sheet1!$C$3:$Q$3)))*(
INDEX([2]Sheet1!$C$4:$Q$23,MATCH(K306,[2]Sheet1!$B$4:$B$23,1),MATCH(D306,[2]Sheet1!$C$3:$Q$3,1)+1) - INDEX([2]Sheet1!$C$4:$Q$23,MATCH(K306,[2]Sheet1!$B$4:$B$23,1),MATCH(D306,[2]Sheet1!$C$3:$Q$3,1)))))</f>
        <v>0</v>
      </c>
      <c r="N306">
        <f t="shared" si="98"/>
        <v>12</v>
      </c>
      <c r="O306">
        <v>8.9503026529069704E-2</v>
      </c>
      <c r="P306" t="e">
        <f t="shared" si="99"/>
        <v>#DIV/0!</v>
      </c>
      <c r="Q306">
        <f t="shared" si="86"/>
        <v>0</v>
      </c>
      <c r="R306">
        <f t="shared" si="100"/>
        <v>741.9099431943954</v>
      </c>
      <c r="T306" t="e">
        <f t="shared" si="89"/>
        <v>#DIV/0!</v>
      </c>
      <c r="U306" t="e">
        <f t="shared" si="90"/>
        <v>#DIV/0!</v>
      </c>
      <c r="V306">
        <f t="shared" si="91"/>
        <v>0</v>
      </c>
      <c r="W306" t="e">
        <f t="shared" si="87"/>
        <v>#DIV/0!</v>
      </c>
    </row>
    <row r="307" spans="1:23" x14ac:dyDescent="0.55000000000000004">
      <c r="A307">
        <f t="shared" si="88"/>
        <v>27.300000000000118</v>
      </c>
      <c r="B307">
        <f t="shared" si="92"/>
        <v>0.316</v>
      </c>
      <c r="C307">
        <f t="shared" si="93"/>
        <v>-12.804347826087032</v>
      </c>
      <c r="D307">
        <v>2.4483628739023131</v>
      </c>
      <c r="E307">
        <f t="shared" si="83"/>
        <v>0</v>
      </c>
      <c r="F307">
        <f t="shared" si="94"/>
        <v>4.8605058816845369E-2</v>
      </c>
      <c r="G307">
        <f t="shared" si="95"/>
        <v>39.513748498891111</v>
      </c>
      <c r="H307">
        <f t="shared" si="96"/>
        <v>0</v>
      </c>
      <c r="I307" s="1">
        <f t="shared" si="84"/>
        <v>0</v>
      </c>
      <c r="J307">
        <f t="shared" si="97"/>
        <v>0</v>
      </c>
      <c r="K307">
        <f t="shared" si="85"/>
        <v>0</v>
      </c>
      <c r="L307" cm="1">
        <f t="array" ref="L307">IF(E307*J307=0,0,$C$21*INDEX([3]Sheet1!$C$4:$Q$23,MATCH(K307,[3]Sheet1!$B$4:$B$23,1),MATCH(D307,[3]Sheet1!$C$3:$Q$3,1))
+(K307-INDEX([3]Sheet1!$B$4:$B$23,MATCH(K307,[3]Sheet1!$B$4:$B$23,1),1))/(INDEX([3]Sheet1!$B$4:$B$23,MATCH(K307,[3]Sheet1!$B$4:$B$23,1)+1,1)-INDEX([3]Sheet1!$B$4:$B$23,
MATCH(K307,[3]Sheet1!$B$4:$B$23,1),1))*(INDEX([3]Sheet1!$C$4:$Q$23,MATCH(K307,[3]Sheet1!$B$4:$B$23,1)+1,MATCH(D307,[3]Sheet1!$C$3:$Q$3,1))-INDEX([3]Sheet1!$C$4:$Q$23,
MATCH(K307,[3]Sheet1!$B$4:$B$23,1),MATCH(D307,[3]Sheet1!$C$3:$Q$3,1)))
+(D307-INDEX([3]Sheet1!$C$3:$Q$3,1,MATCH(D307,[3]Sheet1!$C$3:$Q$3)))/(INDEX([3]Sheet1!$C$3:$Q$3,1,MATCH(D307,[3]Sheet1!$C$3:$Q$3)+1)-INDEX([3]Sheet1!$C$3:$Q$3,1,MATCH(
D307,[3]Sheet1!$C$3:$Q$3)))*(INDEX([3]Sheet1!$C$4:$Q$23,MATCH(K307,[3]Sheet1!$B$4:$B$23,1),MATCH(D307,[3]Sheet1!$C$3:$Q$3,1)+1)-INDEX([3]Sheet1!$C$4:$Q$23,MATCH(K307,[3]Sheet1!$B$4:$B$23,1),MATCH(D307,[3]Sheet1!$C$3:$Q$3,1))))</f>
        <v>0</v>
      </c>
      <c r="M307" cm="1">
        <f t="array" ref="M307" xml:space="preserve"> IF(E307*J307=0,0,(INDEX([2]Sheet1!$C$4:$Q$23,MATCH(K307,[2]Sheet1!$B$4:$B$23,1),MATCH(D307,[2]Sheet1!$C$3:$Q$3,1))
+ (K307 - INDEX([2]Sheet1!$B$4:$B$23,MATCH(K307,[2]Sheet1!$B$4:$B$23,1),1))/(INDEX([2]Sheet1!$B$4:$B$23,MATCH(K307,[2]Sheet1!$B$4:$B$23,1)+1,1) - INDEX([2]Sheet1!$B$4:$B$23,MATCH(K307,[2]Sheet1!$B$4:$B$23,1),1))*(INDEX([2]Sheet1!$C$4:$Q$23,MATCH(K307,[2]Sheet1!$B$4:$B$23,1)+1,MATCH(D307,[2]Sheet1!$C$3:$Q$3,1)) - INDEX([2]Sheet1!$C$4:$Q$23,MATCH(K307,[2]Sheet1!$B$4:$B$23,1),MATCH(D307,[2]Sheet1!$C$3:$Q$3,1)))
+ (D307 - INDEX([2]Sheet1!$C$3:$Q$3,1,MATCH(D307,[2]Sheet1!$C$3:$Q$3)))/(INDEX([2]Sheet1!$C$3:$Q$3,1,MATCH(D307,[2]Sheet1!$C$3:$Q$3)+1) - INDEX([2]Sheet1!$C$3:$Q$3,1,MATCH(D307,[2]Sheet1!$C$3:$Q$3)))*(
INDEX([2]Sheet1!$C$4:$Q$23,MATCH(K307,[2]Sheet1!$B$4:$B$23,1),MATCH(D307,[2]Sheet1!$C$3:$Q$3,1)+1) - INDEX([2]Sheet1!$C$4:$Q$23,MATCH(K307,[2]Sheet1!$B$4:$B$23,1),MATCH(D307,[2]Sheet1!$C$3:$Q$3,1)))))</f>
        <v>0</v>
      </c>
      <c r="N307">
        <f t="shared" si="98"/>
        <v>12</v>
      </c>
      <c r="O307">
        <v>8.9480840858511893E-2</v>
      </c>
      <c r="P307" t="e">
        <f t="shared" si="99"/>
        <v>#DIV/0!</v>
      </c>
      <c r="Q307">
        <f t="shared" si="86"/>
        <v>0</v>
      </c>
      <c r="R307">
        <f t="shared" si="100"/>
        <v>741.9099431943954</v>
      </c>
      <c r="T307" t="e">
        <f t="shared" si="89"/>
        <v>#DIV/0!</v>
      </c>
      <c r="U307" t="e">
        <f t="shared" si="90"/>
        <v>#DIV/0!</v>
      </c>
      <c r="V307">
        <f t="shared" si="91"/>
        <v>0</v>
      </c>
      <c r="W307" t="e">
        <f t="shared" si="87"/>
        <v>#DIV/0!</v>
      </c>
    </row>
    <row r="308" spans="1:23" x14ac:dyDescent="0.55000000000000004">
      <c r="A308">
        <f t="shared" si="88"/>
        <v>27.400000000000119</v>
      </c>
      <c r="B308">
        <f t="shared" si="92"/>
        <v>0.316</v>
      </c>
      <c r="C308">
        <f t="shared" si="93"/>
        <v>-12.869565217391383</v>
      </c>
      <c r="D308">
        <v>2.448254625077698</v>
      </c>
      <c r="E308">
        <f t="shared" si="83"/>
        <v>0</v>
      </c>
      <c r="F308">
        <f t="shared" si="94"/>
        <v>4.8605058816845369E-2</v>
      </c>
      <c r="G308">
        <f t="shared" si="95"/>
        <v>39.513748498891111</v>
      </c>
      <c r="H308">
        <f t="shared" si="96"/>
        <v>0</v>
      </c>
      <c r="I308" s="1">
        <f t="shared" si="84"/>
        <v>0</v>
      </c>
      <c r="J308">
        <f t="shared" si="97"/>
        <v>0</v>
      </c>
      <c r="K308">
        <f t="shared" si="85"/>
        <v>0</v>
      </c>
      <c r="L308" cm="1">
        <f t="array" ref="L308">IF(E308*J308=0,0,$C$21*INDEX([3]Sheet1!$C$4:$Q$23,MATCH(K308,[3]Sheet1!$B$4:$B$23,1),MATCH(D308,[3]Sheet1!$C$3:$Q$3,1))
+(K308-INDEX([3]Sheet1!$B$4:$B$23,MATCH(K308,[3]Sheet1!$B$4:$B$23,1),1))/(INDEX([3]Sheet1!$B$4:$B$23,MATCH(K308,[3]Sheet1!$B$4:$B$23,1)+1,1)-INDEX([3]Sheet1!$B$4:$B$23,
MATCH(K308,[3]Sheet1!$B$4:$B$23,1),1))*(INDEX([3]Sheet1!$C$4:$Q$23,MATCH(K308,[3]Sheet1!$B$4:$B$23,1)+1,MATCH(D308,[3]Sheet1!$C$3:$Q$3,1))-INDEX([3]Sheet1!$C$4:$Q$23,
MATCH(K308,[3]Sheet1!$B$4:$B$23,1),MATCH(D308,[3]Sheet1!$C$3:$Q$3,1)))
+(D308-INDEX([3]Sheet1!$C$3:$Q$3,1,MATCH(D308,[3]Sheet1!$C$3:$Q$3)))/(INDEX([3]Sheet1!$C$3:$Q$3,1,MATCH(D308,[3]Sheet1!$C$3:$Q$3)+1)-INDEX([3]Sheet1!$C$3:$Q$3,1,MATCH(
D308,[3]Sheet1!$C$3:$Q$3)))*(INDEX([3]Sheet1!$C$4:$Q$23,MATCH(K308,[3]Sheet1!$B$4:$B$23,1),MATCH(D308,[3]Sheet1!$C$3:$Q$3,1)+1)-INDEX([3]Sheet1!$C$4:$Q$23,MATCH(K308,[3]Sheet1!$B$4:$B$23,1),MATCH(D308,[3]Sheet1!$C$3:$Q$3,1))))</f>
        <v>0</v>
      </c>
      <c r="M308" cm="1">
        <f t="array" ref="M308" xml:space="preserve"> IF(E308*J308=0,0,(INDEX([2]Sheet1!$C$4:$Q$23,MATCH(K308,[2]Sheet1!$B$4:$B$23,1),MATCH(D308,[2]Sheet1!$C$3:$Q$3,1))
+ (K308 - INDEX([2]Sheet1!$B$4:$B$23,MATCH(K308,[2]Sheet1!$B$4:$B$23,1),1))/(INDEX([2]Sheet1!$B$4:$B$23,MATCH(K308,[2]Sheet1!$B$4:$B$23,1)+1,1) - INDEX([2]Sheet1!$B$4:$B$23,MATCH(K308,[2]Sheet1!$B$4:$B$23,1),1))*(INDEX([2]Sheet1!$C$4:$Q$23,MATCH(K308,[2]Sheet1!$B$4:$B$23,1)+1,MATCH(D308,[2]Sheet1!$C$3:$Q$3,1)) - INDEX([2]Sheet1!$C$4:$Q$23,MATCH(K308,[2]Sheet1!$B$4:$B$23,1),MATCH(D308,[2]Sheet1!$C$3:$Q$3,1)))
+ (D308 - INDEX([2]Sheet1!$C$3:$Q$3,1,MATCH(D308,[2]Sheet1!$C$3:$Q$3)))/(INDEX([2]Sheet1!$C$3:$Q$3,1,MATCH(D308,[2]Sheet1!$C$3:$Q$3)+1) - INDEX([2]Sheet1!$C$3:$Q$3,1,MATCH(D308,[2]Sheet1!$C$3:$Q$3)))*(
INDEX([2]Sheet1!$C$4:$Q$23,MATCH(K308,[2]Sheet1!$B$4:$B$23,1),MATCH(D308,[2]Sheet1!$C$3:$Q$3,1)+1) - INDEX([2]Sheet1!$C$4:$Q$23,MATCH(K308,[2]Sheet1!$B$4:$B$23,1),MATCH(D308,[2]Sheet1!$C$3:$Q$3,1)))))</f>
        <v>0</v>
      </c>
      <c r="N308">
        <f t="shared" si="98"/>
        <v>12</v>
      </c>
      <c r="O308">
        <v>8.9458706349575826E-2</v>
      </c>
      <c r="P308" t="e">
        <f t="shared" si="99"/>
        <v>#DIV/0!</v>
      </c>
      <c r="Q308">
        <f t="shared" si="86"/>
        <v>0</v>
      </c>
      <c r="R308">
        <f t="shared" si="100"/>
        <v>741.9099431943954</v>
      </c>
      <c r="T308" t="e">
        <f t="shared" si="89"/>
        <v>#DIV/0!</v>
      </c>
      <c r="U308" t="e">
        <f t="shared" si="90"/>
        <v>#DIV/0!</v>
      </c>
      <c r="V308">
        <f t="shared" si="91"/>
        <v>0</v>
      </c>
      <c r="W308" t="e">
        <f t="shared" si="87"/>
        <v>#DIV/0!</v>
      </c>
    </row>
    <row r="309" spans="1:23" x14ac:dyDescent="0.55000000000000004">
      <c r="A309">
        <f t="shared" si="88"/>
        <v>27.500000000000121</v>
      </c>
      <c r="B309">
        <f t="shared" si="92"/>
        <v>0.316</v>
      </c>
      <c r="C309">
        <f t="shared" si="93"/>
        <v>-12.934782608695734</v>
      </c>
      <c r="D309">
        <v>2.4481465946615235</v>
      </c>
      <c r="E309">
        <f t="shared" si="83"/>
        <v>0</v>
      </c>
      <c r="F309">
        <f t="shared" si="94"/>
        <v>4.8605058816845369E-2</v>
      </c>
      <c r="G309">
        <f t="shared" si="95"/>
        <v>39.513748498891111</v>
      </c>
      <c r="H309">
        <f t="shared" si="96"/>
        <v>0</v>
      </c>
      <c r="I309" s="1">
        <f t="shared" si="84"/>
        <v>0</v>
      </c>
      <c r="J309">
        <f t="shared" si="97"/>
        <v>0</v>
      </c>
      <c r="K309">
        <f t="shared" si="85"/>
        <v>0</v>
      </c>
      <c r="L309" cm="1">
        <f t="array" ref="L309">IF(E309*J309=0,0,$C$21*INDEX([3]Sheet1!$C$4:$Q$23,MATCH(K309,[3]Sheet1!$B$4:$B$23,1),MATCH(D309,[3]Sheet1!$C$3:$Q$3,1))
+(K309-INDEX([3]Sheet1!$B$4:$B$23,MATCH(K309,[3]Sheet1!$B$4:$B$23,1),1))/(INDEX([3]Sheet1!$B$4:$B$23,MATCH(K309,[3]Sheet1!$B$4:$B$23,1)+1,1)-INDEX([3]Sheet1!$B$4:$B$23,
MATCH(K309,[3]Sheet1!$B$4:$B$23,1),1))*(INDEX([3]Sheet1!$C$4:$Q$23,MATCH(K309,[3]Sheet1!$B$4:$B$23,1)+1,MATCH(D309,[3]Sheet1!$C$3:$Q$3,1))-INDEX([3]Sheet1!$C$4:$Q$23,
MATCH(K309,[3]Sheet1!$B$4:$B$23,1),MATCH(D309,[3]Sheet1!$C$3:$Q$3,1)))
+(D309-INDEX([3]Sheet1!$C$3:$Q$3,1,MATCH(D309,[3]Sheet1!$C$3:$Q$3)))/(INDEX([3]Sheet1!$C$3:$Q$3,1,MATCH(D309,[3]Sheet1!$C$3:$Q$3)+1)-INDEX([3]Sheet1!$C$3:$Q$3,1,MATCH(
D309,[3]Sheet1!$C$3:$Q$3)))*(INDEX([3]Sheet1!$C$4:$Q$23,MATCH(K309,[3]Sheet1!$B$4:$B$23,1),MATCH(D309,[3]Sheet1!$C$3:$Q$3,1)+1)-INDEX([3]Sheet1!$C$4:$Q$23,MATCH(K309,[3]Sheet1!$B$4:$B$23,1),MATCH(D309,[3]Sheet1!$C$3:$Q$3,1))))</f>
        <v>0</v>
      </c>
      <c r="M309" cm="1">
        <f t="array" ref="M309" xml:space="preserve"> IF(E309*J309=0,0,(INDEX([2]Sheet1!$C$4:$Q$23,MATCH(K309,[2]Sheet1!$B$4:$B$23,1),MATCH(D309,[2]Sheet1!$C$3:$Q$3,1))
+ (K309 - INDEX([2]Sheet1!$B$4:$B$23,MATCH(K309,[2]Sheet1!$B$4:$B$23,1),1))/(INDEX([2]Sheet1!$B$4:$B$23,MATCH(K309,[2]Sheet1!$B$4:$B$23,1)+1,1) - INDEX([2]Sheet1!$B$4:$B$23,MATCH(K309,[2]Sheet1!$B$4:$B$23,1),1))*(INDEX([2]Sheet1!$C$4:$Q$23,MATCH(K309,[2]Sheet1!$B$4:$B$23,1)+1,MATCH(D309,[2]Sheet1!$C$3:$Q$3,1)) - INDEX([2]Sheet1!$C$4:$Q$23,MATCH(K309,[2]Sheet1!$B$4:$B$23,1),MATCH(D309,[2]Sheet1!$C$3:$Q$3,1)))
+ (D309 - INDEX([2]Sheet1!$C$3:$Q$3,1,MATCH(D309,[2]Sheet1!$C$3:$Q$3)))/(INDEX([2]Sheet1!$C$3:$Q$3,1,MATCH(D309,[2]Sheet1!$C$3:$Q$3)+1) - INDEX([2]Sheet1!$C$3:$Q$3,1,MATCH(D309,[2]Sheet1!$C$3:$Q$3)))*(
INDEX([2]Sheet1!$C$4:$Q$23,MATCH(K309,[2]Sheet1!$B$4:$B$23,1),MATCH(D309,[2]Sheet1!$C$3:$Q$3,1)+1) - INDEX([2]Sheet1!$C$4:$Q$23,MATCH(K309,[2]Sheet1!$B$4:$B$23,1),MATCH(D309,[2]Sheet1!$C$3:$Q$3,1)))))</f>
        <v>0</v>
      </c>
      <c r="N309">
        <f t="shared" si="98"/>
        <v>12</v>
      </c>
      <c r="O309">
        <v>8.9436622783334835E-2</v>
      </c>
      <c r="P309" t="e">
        <f t="shared" si="99"/>
        <v>#DIV/0!</v>
      </c>
      <c r="Q309">
        <f t="shared" si="86"/>
        <v>0</v>
      </c>
      <c r="R309">
        <f t="shared" si="100"/>
        <v>741.9099431943954</v>
      </c>
      <c r="T309" t="e">
        <f t="shared" si="89"/>
        <v>#DIV/0!</v>
      </c>
      <c r="U309" t="e">
        <f t="shared" si="90"/>
        <v>#DIV/0!</v>
      </c>
      <c r="V309">
        <f t="shared" si="91"/>
        <v>0</v>
      </c>
      <c r="W309" t="e">
        <f t="shared" si="87"/>
        <v>#DIV/0!</v>
      </c>
    </row>
    <row r="310" spans="1:23" x14ac:dyDescent="0.55000000000000004">
      <c r="A310">
        <f t="shared" si="88"/>
        <v>27.600000000000122</v>
      </c>
      <c r="B310">
        <f t="shared" si="92"/>
        <v>0.316</v>
      </c>
      <c r="C310">
        <f t="shared" si="93"/>
        <v>-13.000000000000082</v>
      </c>
      <c r="D310">
        <v>2.4480387817466314</v>
      </c>
      <c r="E310">
        <f t="shared" si="83"/>
        <v>0</v>
      </c>
      <c r="F310">
        <f t="shared" si="94"/>
        <v>4.8605058816845369E-2</v>
      </c>
      <c r="G310">
        <f t="shared" si="95"/>
        <v>39.513748498891111</v>
      </c>
      <c r="H310">
        <f t="shared" si="96"/>
        <v>0</v>
      </c>
      <c r="I310" s="1">
        <f t="shared" si="84"/>
        <v>0</v>
      </c>
      <c r="J310">
        <f t="shared" si="97"/>
        <v>0</v>
      </c>
      <c r="K310">
        <f t="shared" si="85"/>
        <v>0</v>
      </c>
      <c r="L310" cm="1">
        <f t="array" ref="L310">IF(E310*J310=0,0,$C$21*INDEX([3]Sheet1!$C$4:$Q$23,MATCH(K310,[3]Sheet1!$B$4:$B$23,1),MATCH(D310,[3]Sheet1!$C$3:$Q$3,1))
+(K310-INDEX([3]Sheet1!$B$4:$B$23,MATCH(K310,[3]Sheet1!$B$4:$B$23,1),1))/(INDEX([3]Sheet1!$B$4:$B$23,MATCH(K310,[3]Sheet1!$B$4:$B$23,1)+1,1)-INDEX([3]Sheet1!$B$4:$B$23,
MATCH(K310,[3]Sheet1!$B$4:$B$23,1),1))*(INDEX([3]Sheet1!$C$4:$Q$23,MATCH(K310,[3]Sheet1!$B$4:$B$23,1)+1,MATCH(D310,[3]Sheet1!$C$3:$Q$3,1))-INDEX([3]Sheet1!$C$4:$Q$23,
MATCH(K310,[3]Sheet1!$B$4:$B$23,1),MATCH(D310,[3]Sheet1!$C$3:$Q$3,1)))
+(D310-INDEX([3]Sheet1!$C$3:$Q$3,1,MATCH(D310,[3]Sheet1!$C$3:$Q$3)))/(INDEX([3]Sheet1!$C$3:$Q$3,1,MATCH(D310,[3]Sheet1!$C$3:$Q$3)+1)-INDEX([3]Sheet1!$C$3:$Q$3,1,MATCH(
D310,[3]Sheet1!$C$3:$Q$3)))*(INDEX([3]Sheet1!$C$4:$Q$23,MATCH(K310,[3]Sheet1!$B$4:$B$23,1),MATCH(D310,[3]Sheet1!$C$3:$Q$3,1)+1)-INDEX([3]Sheet1!$C$4:$Q$23,MATCH(K310,[3]Sheet1!$B$4:$B$23,1),MATCH(D310,[3]Sheet1!$C$3:$Q$3,1))))</f>
        <v>0</v>
      </c>
      <c r="M310" cm="1">
        <f t="array" ref="M310" xml:space="preserve"> IF(E310*J310=0,0,(INDEX([2]Sheet1!$C$4:$Q$23,MATCH(K310,[2]Sheet1!$B$4:$B$23,1),MATCH(D310,[2]Sheet1!$C$3:$Q$3,1))
+ (K310 - INDEX([2]Sheet1!$B$4:$B$23,MATCH(K310,[2]Sheet1!$B$4:$B$23,1),1))/(INDEX([2]Sheet1!$B$4:$B$23,MATCH(K310,[2]Sheet1!$B$4:$B$23,1)+1,1) - INDEX([2]Sheet1!$B$4:$B$23,MATCH(K310,[2]Sheet1!$B$4:$B$23,1),1))*(INDEX([2]Sheet1!$C$4:$Q$23,MATCH(K310,[2]Sheet1!$B$4:$B$23,1)+1,MATCH(D310,[2]Sheet1!$C$3:$Q$3,1)) - INDEX([2]Sheet1!$C$4:$Q$23,MATCH(K310,[2]Sheet1!$B$4:$B$23,1),MATCH(D310,[2]Sheet1!$C$3:$Q$3,1)))
+ (D310 - INDEX([2]Sheet1!$C$3:$Q$3,1,MATCH(D310,[2]Sheet1!$C$3:$Q$3)))/(INDEX([2]Sheet1!$C$3:$Q$3,1,MATCH(D310,[2]Sheet1!$C$3:$Q$3)+1) - INDEX([2]Sheet1!$C$3:$Q$3,1,MATCH(D310,[2]Sheet1!$C$3:$Q$3)))*(
INDEX([2]Sheet1!$C$4:$Q$23,MATCH(K310,[2]Sheet1!$B$4:$B$23,1),MATCH(D310,[2]Sheet1!$C$3:$Q$3,1)+1) - INDEX([2]Sheet1!$C$4:$Q$23,MATCH(K310,[2]Sheet1!$B$4:$B$23,1),MATCH(D310,[2]Sheet1!$C$3:$Q$3,1)))))</f>
        <v>0</v>
      </c>
      <c r="N310">
        <f t="shared" si="98"/>
        <v>12</v>
      </c>
      <c r="O310">
        <v>8.9414589942249253E-2</v>
      </c>
      <c r="P310" t="e">
        <f t="shared" si="99"/>
        <v>#DIV/0!</v>
      </c>
      <c r="Q310">
        <f t="shared" si="86"/>
        <v>0</v>
      </c>
      <c r="R310">
        <f t="shared" si="100"/>
        <v>741.9099431943954</v>
      </c>
      <c r="T310" t="e">
        <f t="shared" si="89"/>
        <v>#DIV/0!</v>
      </c>
      <c r="U310" t="e">
        <f t="shared" si="90"/>
        <v>#DIV/0!</v>
      </c>
      <c r="V310">
        <f t="shared" si="91"/>
        <v>0</v>
      </c>
      <c r="W310" t="e">
        <f t="shared" si="87"/>
        <v>#DIV/0!</v>
      </c>
    </row>
    <row r="311" spans="1:23" x14ac:dyDescent="0.55000000000000004">
      <c r="A311">
        <f t="shared" si="88"/>
        <v>27.700000000000124</v>
      </c>
      <c r="B311">
        <f t="shared" si="92"/>
        <v>0.316</v>
      </c>
      <c r="C311">
        <f t="shared" si="93"/>
        <v>-13.065217391304429</v>
      </c>
      <c r="D311">
        <v>2.4479311854315364</v>
      </c>
      <c r="E311">
        <f t="shared" si="83"/>
        <v>0</v>
      </c>
      <c r="F311">
        <f t="shared" si="94"/>
        <v>4.8605058816845369E-2</v>
      </c>
      <c r="G311">
        <f t="shared" si="95"/>
        <v>39.513748498891111</v>
      </c>
      <c r="H311">
        <f t="shared" si="96"/>
        <v>0</v>
      </c>
      <c r="I311" s="1">
        <f t="shared" si="84"/>
        <v>0</v>
      </c>
      <c r="J311">
        <f t="shared" si="97"/>
        <v>0</v>
      </c>
      <c r="K311">
        <f t="shared" si="85"/>
        <v>0</v>
      </c>
      <c r="L311" cm="1">
        <f t="array" ref="L311">IF(E311*J311=0,0,$C$21*INDEX([3]Sheet1!$C$4:$Q$23,MATCH(K311,[3]Sheet1!$B$4:$B$23,1),MATCH(D311,[3]Sheet1!$C$3:$Q$3,1))
+(K311-INDEX([3]Sheet1!$B$4:$B$23,MATCH(K311,[3]Sheet1!$B$4:$B$23,1),1))/(INDEX([3]Sheet1!$B$4:$B$23,MATCH(K311,[3]Sheet1!$B$4:$B$23,1)+1,1)-INDEX([3]Sheet1!$B$4:$B$23,
MATCH(K311,[3]Sheet1!$B$4:$B$23,1),1))*(INDEX([3]Sheet1!$C$4:$Q$23,MATCH(K311,[3]Sheet1!$B$4:$B$23,1)+1,MATCH(D311,[3]Sheet1!$C$3:$Q$3,1))-INDEX([3]Sheet1!$C$4:$Q$23,
MATCH(K311,[3]Sheet1!$B$4:$B$23,1),MATCH(D311,[3]Sheet1!$C$3:$Q$3,1)))
+(D311-INDEX([3]Sheet1!$C$3:$Q$3,1,MATCH(D311,[3]Sheet1!$C$3:$Q$3)))/(INDEX([3]Sheet1!$C$3:$Q$3,1,MATCH(D311,[3]Sheet1!$C$3:$Q$3)+1)-INDEX([3]Sheet1!$C$3:$Q$3,1,MATCH(
D311,[3]Sheet1!$C$3:$Q$3)))*(INDEX([3]Sheet1!$C$4:$Q$23,MATCH(K311,[3]Sheet1!$B$4:$B$23,1),MATCH(D311,[3]Sheet1!$C$3:$Q$3,1)+1)-INDEX([3]Sheet1!$C$4:$Q$23,MATCH(K311,[3]Sheet1!$B$4:$B$23,1),MATCH(D311,[3]Sheet1!$C$3:$Q$3,1))))</f>
        <v>0</v>
      </c>
      <c r="M311" cm="1">
        <f t="array" ref="M311" xml:space="preserve"> IF(E311*J311=0,0,(INDEX([2]Sheet1!$C$4:$Q$23,MATCH(K311,[2]Sheet1!$B$4:$B$23,1),MATCH(D311,[2]Sheet1!$C$3:$Q$3,1))
+ (K311 - INDEX([2]Sheet1!$B$4:$B$23,MATCH(K311,[2]Sheet1!$B$4:$B$23,1),1))/(INDEX([2]Sheet1!$B$4:$B$23,MATCH(K311,[2]Sheet1!$B$4:$B$23,1)+1,1) - INDEX([2]Sheet1!$B$4:$B$23,MATCH(K311,[2]Sheet1!$B$4:$B$23,1),1))*(INDEX([2]Sheet1!$C$4:$Q$23,MATCH(K311,[2]Sheet1!$B$4:$B$23,1)+1,MATCH(D311,[2]Sheet1!$C$3:$Q$3,1)) - INDEX([2]Sheet1!$C$4:$Q$23,MATCH(K311,[2]Sheet1!$B$4:$B$23,1),MATCH(D311,[2]Sheet1!$C$3:$Q$3,1)))
+ (D311 - INDEX([2]Sheet1!$C$3:$Q$3,1,MATCH(D311,[2]Sheet1!$C$3:$Q$3)))/(INDEX([2]Sheet1!$C$3:$Q$3,1,MATCH(D311,[2]Sheet1!$C$3:$Q$3)+1) - INDEX([2]Sheet1!$C$3:$Q$3,1,MATCH(D311,[2]Sheet1!$C$3:$Q$3)))*(
INDEX([2]Sheet1!$C$4:$Q$23,MATCH(K311,[2]Sheet1!$B$4:$B$23,1),MATCH(D311,[2]Sheet1!$C$3:$Q$3,1)+1) - INDEX([2]Sheet1!$C$4:$Q$23,MATCH(K311,[2]Sheet1!$B$4:$B$23,1),MATCH(D311,[2]Sheet1!$C$3:$Q$3,1)))))</f>
        <v>0</v>
      </c>
      <c r="N311">
        <f t="shared" si="98"/>
        <v>12</v>
      </c>
      <c r="O311">
        <v>8.9392607610157174E-2</v>
      </c>
      <c r="P311" t="e">
        <f t="shared" si="99"/>
        <v>#DIV/0!</v>
      </c>
      <c r="Q311">
        <f t="shared" si="86"/>
        <v>0</v>
      </c>
      <c r="R311">
        <f t="shared" si="100"/>
        <v>741.9099431943954</v>
      </c>
      <c r="T311" t="e">
        <f t="shared" si="89"/>
        <v>#DIV/0!</v>
      </c>
      <c r="U311" t="e">
        <f t="shared" si="90"/>
        <v>#DIV/0!</v>
      </c>
      <c r="V311">
        <f t="shared" si="91"/>
        <v>0</v>
      </c>
      <c r="W311" t="e">
        <f t="shared" si="87"/>
        <v>#DIV/0!</v>
      </c>
    </row>
    <row r="312" spans="1:23" x14ac:dyDescent="0.55000000000000004">
      <c r="A312">
        <f t="shared" si="88"/>
        <v>27.800000000000125</v>
      </c>
      <c r="B312">
        <f t="shared" si="92"/>
        <v>0.316</v>
      </c>
      <c r="C312">
        <f t="shared" si="93"/>
        <v>-13.130434782608777</v>
      </c>
      <c r="D312">
        <v>2.4478238048203811</v>
      </c>
      <c r="E312">
        <f t="shared" si="83"/>
        <v>0</v>
      </c>
      <c r="F312">
        <f t="shared" si="94"/>
        <v>4.8605058816845369E-2</v>
      </c>
      <c r="G312">
        <f t="shared" si="95"/>
        <v>39.513748498891111</v>
      </c>
      <c r="H312">
        <f t="shared" si="96"/>
        <v>0</v>
      </c>
      <c r="I312" s="1">
        <f t="shared" si="84"/>
        <v>0</v>
      </c>
      <c r="J312">
        <f t="shared" si="97"/>
        <v>0</v>
      </c>
      <c r="K312">
        <f t="shared" si="85"/>
        <v>0</v>
      </c>
      <c r="L312" cm="1">
        <f t="array" ref="L312">IF(E312*J312=0,0,$C$21*INDEX([3]Sheet1!$C$4:$Q$23,MATCH(K312,[3]Sheet1!$B$4:$B$23,1),MATCH(D312,[3]Sheet1!$C$3:$Q$3,1))
+(K312-INDEX([3]Sheet1!$B$4:$B$23,MATCH(K312,[3]Sheet1!$B$4:$B$23,1),1))/(INDEX([3]Sheet1!$B$4:$B$23,MATCH(K312,[3]Sheet1!$B$4:$B$23,1)+1,1)-INDEX([3]Sheet1!$B$4:$B$23,
MATCH(K312,[3]Sheet1!$B$4:$B$23,1),1))*(INDEX([3]Sheet1!$C$4:$Q$23,MATCH(K312,[3]Sheet1!$B$4:$B$23,1)+1,MATCH(D312,[3]Sheet1!$C$3:$Q$3,1))-INDEX([3]Sheet1!$C$4:$Q$23,
MATCH(K312,[3]Sheet1!$B$4:$B$23,1),MATCH(D312,[3]Sheet1!$C$3:$Q$3,1)))
+(D312-INDEX([3]Sheet1!$C$3:$Q$3,1,MATCH(D312,[3]Sheet1!$C$3:$Q$3)))/(INDEX([3]Sheet1!$C$3:$Q$3,1,MATCH(D312,[3]Sheet1!$C$3:$Q$3)+1)-INDEX([3]Sheet1!$C$3:$Q$3,1,MATCH(
D312,[3]Sheet1!$C$3:$Q$3)))*(INDEX([3]Sheet1!$C$4:$Q$23,MATCH(K312,[3]Sheet1!$B$4:$B$23,1),MATCH(D312,[3]Sheet1!$C$3:$Q$3,1)+1)-INDEX([3]Sheet1!$C$4:$Q$23,MATCH(K312,[3]Sheet1!$B$4:$B$23,1),MATCH(D312,[3]Sheet1!$C$3:$Q$3,1))))</f>
        <v>0</v>
      </c>
      <c r="M312" cm="1">
        <f t="array" ref="M312" xml:space="preserve"> IF(E312*J312=0,0,(INDEX([2]Sheet1!$C$4:$Q$23,MATCH(K312,[2]Sheet1!$B$4:$B$23,1),MATCH(D312,[2]Sheet1!$C$3:$Q$3,1))
+ (K312 - INDEX([2]Sheet1!$B$4:$B$23,MATCH(K312,[2]Sheet1!$B$4:$B$23,1),1))/(INDEX([2]Sheet1!$B$4:$B$23,MATCH(K312,[2]Sheet1!$B$4:$B$23,1)+1,1) - INDEX([2]Sheet1!$B$4:$B$23,MATCH(K312,[2]Sheet1!$B$4:$B$23,1),1))*(INDEX([2]Sheet1!$C$4:$Q$23,MATCH(K312,[2]Sheet1!$B$4:$B$23,1)+1,MATCH(D312,[2]Sheet1!$C$3:$Q$3,1)) - INDEX([2]Sheet1!$C$4:$Q$23,MATCH(K312,[2]Sheet1!$B$4:$B$23,1),MATCH(D312,[2]Sheet1!$C$3:$Q$3,1)))
+ (D312 - INDEX([2]Sheet1!$C$3:$Q$3,1,MATCH(D312,[2]Sheet1!$C$3:$Q$3)))/(INDEX([2]Sheet1!$C$3:$Q$3,1,MATCH(D312,[2]Sheet1!$C$3:$Q$3)+1) - INDEX([2]Sheet1!$C$3:$Q$3,1,MATCH(D312,[2]Sheet1!$C$3:$Q$3)))*(
INDEX([2]Sheet1!$C$4:$Q$23,MATCH(K312,[2]Sheet1!$B$4:$B$23,1),MATCH(D312,[2]Sheet1!$C$3:$Q$3,1)+1) - INDEX([2]Sheet1!$C$4:$Q$23,MATCH(K312,[2]Sheet1!$B$4:$B$23,1),MATCH(D312,[2]Sheet1!$C$3:$Q$3,1)))))</f>
        <v>0</v>
      </c>
      <c r="N312">
        <f t="shared" si="98"/>
        <v>12</v>
      </c>
      <c r="O312">
        <v>8.9370675572261027E-2</v>
      </c>
      <c r="P312" t="e">
        <f t="shared" si="99"/>
        <v>#DIV/0!</v>
      </c>
      <c r="Q312">
        <f t="shared" si="86"/>
        <v>0</v>
      </c>
      <c r="R312">
        <f t="shared" si="100"/>
        <v>741.9099431943954</v>
      </c>
      <c r="T312" t="e">
        <f t="shared" si="89"/>
        <v>#DIV/0!</v>
      </c>
      <c r="U312" t="e">
        <f t="shared" si="90"/>
        <v>#DIV/0!</v>
      </c>
      <c r="V312">
        <f t="shared" si="91"/>
        <v>0</v>
      </c>
      <c r="W312" t="e">
        <f t="shared" si="87"/>
        <v>#DIV/0!</v>
      </c>
    </row>
    <row r="313" spans="1:23" x14ac:dyDescent="0.55000000000000004">
      <c r="A313">
        <f t="shared" si="88"/>
        <v>27.900000000000126</v>
      </c>
      <c r="B313">
        <f t="shared" si="92"/>
        <v>0.316</v>
      </c>
      <c r="C313">
        <f t="shared" si="93"/>
        <v>-13.195652173913128</v>
      </c>
      <c r="D313">
        <v>2.4477166390228873</v>
      </c>
      <c r="E313">
        <f t="shared" si="83"/>
        <v>0</v>
      </c>
      <c r="F313">
        <f t="shared" si="94"/>
        <v>4.8605058816845369E-2</v>
      </c>
      <c r="G313">
        <f t="shared" si="95"/>
        <v>39.513748498891111</v>
      </c>
      <c r="H313">
        <f t="shared" si="96"/>
        <v>0</v>
      </c>
      <c r="I313" s="1">
        <f t="shared" si="84"/>
        <v>0</v>
      </c>
      <c r="J313">
        <f t="shared" si="97"/>
        <v>0</v>
      </c>
      <c r="K313">
        <f t="shared" si="85"/>
        <v>0</v>
      </c>
      <c r="L313" cm="1">
        <f t="array" ref="L313">IF(E313*J313=0,0,$C$21*INDEX([3]Sheet1!$C$4:$Q$23,MATCH(K313,[3]Sheet1!$B$4:$B$23,1),MATCH(D313,[3]Sheet1!$C$3:$Q$3,1))
+(K313-INDEX([3]Sheet1!$B$4:$B$23,MATCH(K313,[3]Sheet1!$B$4:$B$23,1),1))/(INDEX([3]Sheet1!$B$4:$B$23,MATCH(K313,[3]Sheet1!$B$4:$B$23,1)+1,1)-INDEX([3]Sheet1!$B$4:$B$23,
MATCH(K313,[3]Sheet1!$B$4:$B$23,1),1))*(INDEX([3]Sheet1!$C$4:$Q$23,MATCH(K313,[3]Sheet1!$B$4:$B$23,1)+1,MATCH(D313,[3]Sheet1!$C$3:$Q$3,1))-INDEX([3]Sheet1!$C$4:$Q$23,
MATCH(K313,[3]Sheet1!$B$4:$B$23,1),MATCH(D313,[3]Sheet1!$C$3:$Q$3,1)))
+(D313-INDEX([3]Sheet1!$C$3:$Q$3,1,MATCH(D313,[3]Sheet1!$C$3:$Q$3)))/(INDEX([3]Sheet1!$C$3:$Q$3,1,MATCH(D313,[3]Sheet1!$C$3:$Q$3)+1)-INDEX([3]Sheet1!$C$3:$Q$3,1,MATCH(
D313,[3]Sheet1!$C$3:$Q$3)))*(INDEX([3]Sheet1!$C$4:$Q$23,MATCH(K313,[3]Sheet1!$B$4:$B$23,1),MATCH(D313,[3]Sheet1!$C$3:$Q$3,1)+1)-INDEX([3]Sheet1!$C$4:$Q$23,MATCH(K313,[3]Sheet1!$B$4:$B$23,1),MATCH(D313,[3]Sheet1!$C$3:$Q$3,1))))</f>
        <v>0</v>
      </c>
      <c r="M313" cm="1">
        <f t="array" ref="M313" xml:space="preserve"> IF(E313*J313=0,0,(INDEX([2]Sheet1!$C$4:$Q$23,MATCH(K313,[2]Sheet1!$B$4:$B$23,1),MATCH(D313,[2]Sheet1!$C$3:$Q$3,1))
+ (K313 - INDEX([2]Sheet1!$B$4:$B$23,MATCH(K313,[2]Sheet1!$B$4:$B$23,1),1))/(INDEX([2]Sheet1!$B$4:$B$23,MATCH(K313,[2]Sheet1!$B$4:$B$23,1)+1,1) - INDEX([2]Sheet1!$B$4:$B$23,MATCH(K313,[2]Sheet1!$B$4:$B$23,1),1))*(INDEX([2]Sheet1!$C$4:$Q$23,MATCH(K313,[2]Sheet1!$B$4:$B$23,1)+1,MATCH(D313,[2]Sheet1!$C$3:$Q$3,1)) - INDEX([2]Sheet1!$C$4:$Q$23,MATCH(K313,[2]Sheet1!$B$4:$B$23,1),MATCH(D313,[2]Sheet1!$C$3:$Q$3,1)))
+ (D313 - INDEX([2]Sheet1!$C$3:$Q$3,1,MATCH(D313,[2]Sheet1!$C$3:$Q$3)))/(INDEX([2]Sheet1!$C$3:$Q$3,1,MATCH(D313,[2]Sheet1!$C$3:$Q$3)+1) - INDEX([2]Sheet1!$C$3:$Q$3,1,MATCH(D313,[2]Sheet1!$C$3:$Q$3)))*(
INDEX([2]Sheet1!$C$4:$Q$23,MATCH(K313,[2]Sheet1!$B$4:$B$23,1),MATCH(D313,[2]Sheet1!$C$3:$Q$3,1)+1) - INDEX([2]Sheet1!$C$4:$Q$23,MATCH(K313,[2]Sheet1!$B$4:$B$23,1),MATCH(D313,[2]Sheet1!$C$3:$Q$3,1)))))</f>
        <v>0</v>
      </c>
      <c r="N313">
        <f t="shared" si="98"/>
        <v>12</v>
      </c>
      <c r="O313">
        <v>8.9348793615117897E-2</v>
      </c>
      <c r="P313" t="e">
        <f t="shared" si="99"/>
        <v>#DIV/0!</v>
      </c>
      <c r="Q313">
        <f t="shared" si="86"/>
        <v>0</v>
      </c>
      <c r="R313">
        <f t="shared" si="100"/>
        <v>741.9099431943954</v>
      </c>
      <c r="T313" t="e">
        <f t="shared" si="89"/>
        <v>#DIV/0!</v>
      </c>
      <c r="U313" t="e">
        <f t="shared" si="90"/>
        <v>#DIV/0!</v>
      </c>
      <c r="V313">
        <f t="shared" si="91"/>
        <v>0</v>
      </c>
      <c r="W313" t="e">
        <f t="shared" si="87"/>
        <v>#DIV/0!</v>
      </c>
    </row>
    <row r="314" spans="1:23" x14ac:dyDescent="0.55000000000000004">
      <c r="A314">
        <f t="shared" si="88"/>
        <v>28.000000000000128</v>
      </c>
      <c r="B314">
        <f t="shared" si="92"/>
        <v>0.316</v>
      </c>
      <c r="C314">
        <f t="shared" si="93"/>
        <v>-13.260869565217476</v>
      </c>
      <c r="D314">
        <v>2.4476096871543094</v>
      </c>
      <c r="E314">
        <f t="shared" si="83"/>
        <v>0</v>
      </c>
      <c r="F314">
        <f t="shared" si="94"/>
        <v>4.8605058816845369E-2</v>
      </c>
      <c r="G314">
        <f t="shared" si="95"/>
        <v>39.513748498891111</v>
      </c>
      <c r="H314">
        <f t="shared" si="96"/>
        <v>0</v>
      </c>
      <c r="I314" s="1">
        <f t="shared" si="84"/>
        <v>0</v>
      </c>
      <c r="J314">
        <f t="shared" si="97"/>
        <v>0</v>
      </c>
      <c r="K314">
        <f t="shared" si="85"/>
        <v>0</v>
      </c>
      <c r="L314" cm="1">
        <f t="array" ref="L314">IF(E314*J314=0,0,$C$21*INDEX([3]Sheet1!$C$4:$Q$23,MATCH(K314,[3]Sheet1!$B$4:$B$23,1),MATCH(D314,[3]Sheet1!$C$3:$Q$3,1))
+(K314-INDEX([3]Sheet1!$B$4:$B$23,MATCH(K314,[3]Sheet1!$B$4:$B$23,1),1))/(INDEX([3]Sheet1!$B$4:$B$23,MATCH(K314,[3]Sheet1!$B$4:$B$23,1)+1,1)-INDEX([3]Sheet1!$B$4:$B$23,
MATCH(K314,[3]Sheet1!$B$4:$B$23,1),1))*(INDEX([3]Sheet1!$C$4:$Q$23,MATCH(K314,[3]Sheet1!$B$4:$B$23,1)+1,MATCH(D314,[3]Sheet1!$C$3:$Q$3,1))-INDEX([3]Sheet1!$C$4:$Q$23,
MATCH(K314,[3]Sheet1!$B$4:$B$23,1),MATCH(D314,[3]Sheet1!$C$3:$Q$3,1)))
+(D314-INDEX([3]Sheet1!$C$3:$Q$3,1,MATCH(D314,[3]Sheet1!$C$3:$Q$3)))/(INDEX([3]Sheet1!$C$3:$Q$3,1,MATCH(D314,[3]Sheet1!$C$3:$Q$3)+1)-INDEX([3]Sheet1!$C$3:$Q$3,1,MATCH(
D314,[3]Sheet1!$C$3:$Q$3)))*(INDEX([3]Sheet1!$C$4:$Q$23,MATCH(K314,[3]Sheet1!$B$4:$B$23,1),MATCH(D314,[3]Sheet1!$C$3:$Q$3,1)+1)-INDEX([3]Sheet1!$C$4:$Q$23,MATCH(K314,[3]Sheet1!$B$4:$B$23,1),MATCH(D314,[3]Sheet1!$C$3:$Q$3,1))))</f>
        <v>0</v>
      </c>
      <c r="M314" cm="1">
        <f t="array" ref="M314" xml:space="preserve"> IF(E314*J314=0,0,(INDEX([2]Sheet1!$C$4:$Q$23,MATCH(K314,[2]Sheet1!$B$4:$B$23,1),MATCH(D314,[2]Sheet1!$C$3:$Q$3,1))
+ (K314 - INDEX([2]Sheet1!$B$4:$B$23,MATCH(K314,[2]Sheet1!$B$4:$B$23,1),1))/(INDEX([2]Sheet1!$B$4:$B$23,MATCH(K314,[2]Sheet1!$B$4:$B$23,1)+1,1) - INDEX([2]Sheet1!$B$4:$B$23,MATCH(K314,[2]Sheet1!$B$4:$B$23,1),1))*(INDEX([2]Sheet1!$C$4:$Q$23,MATCH(K314,[2]Sheet1!$B$4:$B$23,1)+1,MATCH(D314,[2]Sheet1!$C$3:$Q$3,1)) - INDEX([2]Sheet1!$C$4:$Q$23,MATCH(K314,[2]Sheet1!$B$4:$B$23,1),MATCH(D314,[2]Sheet1!$C$3:$Q$3,1)))
+ (D314 - INDEX([2]Sheet1!$C$3:$Q$3,1,MATCH(D314,[2]Sheet1!$C$3:$Q$3)))/(INDEX([2]Sheet1!$C$3:$Q$3,1,MATCH(D314,[2]Sheet1!$C$3:$Q$3)+1) - INDEX([2]Sheet1!$C$3:$Q$3,1,MATCH(D314,[2]Sheet1!$C$3:$Q$3)))*(
INDEX([2]Sheet1!$C$4:$Q$23,MATCH(K314,[2]Sheet1!$B$4:$B$23,1),MATCH(D314,[2]Sheet1!$C$3:$Q$3,1)+1) - INDEX([2]Sheet1!$C$4:$Q$23,MATCH(K314,[2]Sheet1!$B$4:$B$23,1),MATCH(D314,[2]Sheet1!$C$3:$Q$3,1)))))</f>
        <v>0</v>
      </c>
      <c r="N314">
        <f t="shared" si="98"/>
        <v>12</v>
      </c>
      <c r="O314">
        <v>8.9326961526626641E-2</v>
      </c>
      <c r="P314" t="e">
        <f t="shared" si="99"/>
        <v>#DIV/0!</v>
      </c>
      <c r="Q314">
        <f t="shared" si="86"/>
        <v>0</v>
      </c>
      <c r="R314">
        <f t="shared" si="100"/>
        <v>741.9099431943954</v>
      </c>
      <c r="T314" t="e">
        <f t="shared" si="89"/>
        <v>#DIV/0!</v>
      </c>
      <c r="U314" t="e">
        <f t="shared" si="90"/>
        <v>#DIV/0!</v>
      </c>
      <c r="V314">
        <f t="shared" si="91"/>
        <v>0</v>
      </c>
      <c r="W314" t="e">
        <f t="shared" si="87"/>
        <v>#DIV/0!</v>
      </c>
    </row>
    <row r="315" spans="1:23" x14ac:dyDescent="0.55000000000000004">
      <c r="A315">
        <f t="shared" si="88"/>
        <v>28.100000000000129</v>
      </c>
      <c r="B315">
        <f t="shared" si="92"/>
        <v>0.316</v>
      </c>
      <c r="C315">
        <f t="shared" si="93"/>
        <v>-13.326086956521824</v>
      </c>
      <c r="D315">
        <v>2.447502948335389</v>
      </c>
      <c r="E315">
        <f t="shared" si="83"/>
        <v>0</v>
      </c>
      <c r="F315">
        <f t="shared" si="94"/>
        <v>4.8605058816845369E-2</v>
      </c>
      <c r="G315">
        <f t="shared" si="95"/>
        <v>39.513748498891111</v>
      </c>
      <c r="H315">
        <f t="shared" si="96"/>
        <v>0</v>
      </c>
      <c r="I315" s="1">
        <f t="shared" si="84"/>
        <v>0</v>
      </c>
      <c r="J315">
        <f t="shared" si="97"/>
        <v>0</v>
      </c>
      <c r="K315">
        <f t="shared" si="85"/>
        <v>0</v>
      </c>
      <c r="L315" cm="1">
        <f t="array" ref="L315">IF(E315*J315=0,0,$C$21*INDEX([3]Sheet1!$C$4:$Q$23,MATCH(K315,[3]Sheet1!$B$4:$B$23,1),MATCH(D315,[3]Sheet1!$C$3:$Q$3,1))
+(K315-INDEX([3]Sheet1!$B$4:$B$23,MATCH(K315,[3]Sheet1!$B$4:$B$23,1),1))/(INDEX([3]Sheet1!$B$4:$B$23,MATCH(K315,[3]Sheet1!$B$4:$B$23,1)+1,1)-INDEX([3]Sheet1!$B$4:$B$23,
MATCH(K315,[3]Sheet1!$B$4:$B$23,1),1))*(INDEX([3]Sheet1!$C$4:$Q$23,MATCH(K315,[3]Sheet1!$B$4:$B$23,1)+1,MATCH(D315,[3]Sheet1!$C$3:$Q$3,1))-INDEX([3]Sheet1!$C$4:$Q$23,
MATCH(K315,[3]Sheet1!$B$4:$B$23,1),MATCH(D315,[3]Sheet1!$C$3:$Q$3,1)))
+(D315-INDEX([3]Sheet1!$C$3:$Q$3,1,MATCH(D315,[3]Sheet1!$C$3:$Q$3)))/(INDEX([3]Sheet1!$C$3:$Q$3,1,MATCH(D315,[3]Sheet1!$C$3:$Q$3)+1)-INDEX([3]Sheet1!$C$3:$Q$3,1,MATCH(
D315,[3]Sheet1!$C$3:$Q$3)))*(INDEX([3]Sheet1!$C$4:$Q$23,MATCH(K315,[3]Sheet1!$B$4:$B$23,1),MATCH(D315,[3]Sheet1!$C$3:$Q$3,1)+1)-INDEX([3]Sheet1!$C$4:$Q$23,MATCH(K315,[3]Sheet1!$B$4:$B$23,1),MATCH(D315,[3]Sheet1!$C$3:$Q$3,1))))</f>
        <v>0</v>
      </c>
      <c r="M315" cm="1">
        <f t="array" ref="M315" xml:space="preserve"> IF(E315*J315=0,0,(INDEX([2]Sheet1!$C$4:$Q$23,MATCH(K315,[2]Sheet1!$B$4:$B$23,1),MATCH(D315,[2]Sheet1!$C$3:$Q$3,1))
+ (K315 - INDEX([2]Sheet1!$B$4:$B$23,MATCH(K315,[2]Sheet1!$B$4:$B$23,1),1))/(INDEX([2]Sheet1!$B$4:$B$23,MATCH(K315,[2]Sheet1!$B$4:$B$23,1)+1,1) - INDEX([2]Sheet1!$B$4:$B$23,MATCH(K315,[2]Sheet1!$B$4:$B$23,1),1))*(INDEX([2]Sheet1!$C$4:$Q$23,MATCH(K315,[2]Sheet1!$B$4:$B$23,1)+1,MATCH(D315,[2]Sheet1!$C$3:$Q$3,1)) - INDEX([2]Sheet1!$C$4:$Q$23,MATCH(K315,[2]Sheet1!$B$4:$B$23,1),MATCH(D315,[2]Sheet1!$C$3:$Q$3,1)))
+ (D315 - INDEX([2]Sheet1!$C$3:$Q$3,1,MATCH(D315,[2]Sheet1!$C$3:$Q$3)))/(INDEX([2]Sheet1!$C$3:$Q$3,1,MATCH(D315,[2]Sheet1!$C$3:$Q$3)+1) - INDEX([2]Sheet1!$C$3:$Q$3,1,MATCH(D315,[2]Sheet1!$C$3:$Q$3)))*(
INDEX([2]Sheet1!$C$4:$Q$23,MATCH(K315,[2]Sheet1!$B$4:$B$23,1),MATCH(D315,[2]Sheet1!$C$3:$Q$3,1)+1) - INDEX([2]Sheet1!$C$4:$Q$23,MATCH(K315,[2]Sheet1!$B$4:$B$23,1),MATCH(D315,[2]Sheet1!$C$3:$Q$3,1)))))</f>
        <v>0</v>
      </c>
      <c r="N315">
        <f t="shared" si="98"/>
        <v>12</v>
      </c>
      <c r="O315">
        <v>8.9305179096017345E-2</v>
      </c>
      <c r="P315" t="e">
        <f t="shared" si="99"/>
        <v>#DIV/0!</v>
      </c>
      <c r="Q315">
        <f t="shared" si="86"/>
        <v>0</v>
      </c>
      <c r="R315">
        <f t="shared" si="100"/>
        <v>741.9099431943954</v>
      </c>
      <c r="T315" t="e">
        <f t="shared" si="89"/>
        <v>#DIV/0!</v>
      </c>
      <c r="U315" t="e">
        <f t="shared" si="90"/>
        <v>#DIV/0!</v>
      </c>
      <c r="V315">
        <f t="shared" si="91"/>
        <v>0</v>
      </c>
      <c r="W315" t="e">
        <f t="shared" si="87"/>
        <v>#DIV/0!</v>
      </c>
    </row>
    <row r="316" spans="1:23" x14ac:dyDescent="0.55000000000000004">
      <c r="A316">
        <f t="shared" si="88"/>
        <v>28.200000000000131</v>
      </c>
      <c r="B316">
        <f t="shared" si="92"/>
        <v>0.316</v>
      </c>
      <c r="C316">
        <f t="shared" si="93"/>
        <v>-13.391304347826175</v>
      </c>
      <c r="D316">
        <v>2.4473964216923099</v>
      </c>
      <c r="E316">
        <f t="shared" si="83"/>
        <v>0</v>
      </c>
      <c r="F316">
        <f t="shared" si="94"/>
        <v>4.8605058816845369E-2</v>
      </c>
      <c r="G316">
        <f t="shared" si="95"/>
        <v>39.513748498891111</v>
      </c>
      <c r="H316">
        <f t="shared" si="96"/>
        <v>0</v>
      </c>
      <c r="I316" s="1">
        <f t="shared" si="84"/>
        <v>0</v>
      </c>
      <c r="J316">
        <f t="shared" si="97"/>
        <v>0</v>
      </c>
      <c r="K316">
        <f t="shared" si="85"/>
        <v>0</v>
      </c>
      <c r="L316" cm="1">
        <f t="array" ref="L316">IF(E316*J316=0,0,$C$21*INDEX([3]Sheet1!$C$4:$Q$23,MATCH(K316,[3]Sheet1!$B$4:$B$23,1),MATCH(D316,[3]Sheet1!$C$3:$Q$3,1))
+(K316-INDEX([3]Sheet1!$B$4:$B$23,MATCH(K316,[3]Sheet1!$B$4:$B$23,1),1))/(INDEX([3]Sheet1!$B$4:$B$23,MATCH(K316,[3]Sheet1!$B$4:$B$23,1)+1,1)-INDEX([3]Sheet1!$B$4:$B$23,
MATCH(K316,[3]Sheet1!$B$4:$B$23,1),1))*(INDEX([3]Sheet1!$C$4:$Q$23,MATCH(K316,[3]Sheet1!$B$4:$B$23,1)+1,MATCH(D316,[3]Sheet1!$C$3:$Q$3,1))-INDEX([3]Sheet1!$C$4:$Q$23,
MATCH(K316,[3]Sheet1!$B$4:$B$23,1),MATCH(D316,[3]Sheet1!$C$3:$Q$3,1)))
+(D316-INDEX([3]Sheet1!$C$3:$Q$3,1,MATCH(D316,[3]Sheet1!$C$3:$Q$3)))/(INDEX([3]Sheet1!$C$3:$Q$3,1,MATCH(D316,[3]Sheet1!$C$3:$Q$3)+1)-INDEX([3]Sheet1!$C$3:$Q$3,1,MATCH(
D316,[3]Sheet1!$C$3:$Q$3)))*(INDEX([3]Sheet1!$C$4:$Q$23,MATCH(K316,[3]Sheet1!$B$4:$B$23,1),MATCH(D316,[3]Sheet1!$C$3:$Q$3,1)+1)-INDEX([3]Sheet1!$C$4:$Q$23,MATCH(K316,[3]Sheet1!$B$4:$B$23,1),MATCH(D316,[3]Sheet1!$C$3:$Q$3,1))))</f>
        <v>0</v>
      </c>
      <c r="M316" cm="1">
        <f t="array" ref="M316" xml:space="preserve"> IF(E316*J316=0,0,(INDEX([2]Sheet1!$C$4:$Q$23,MATCH(K316,[2]Sheet1!$B$4:$B$23,1),MATCH(D316,[2]Sheet1!$C$3:$Q$3,1))
+ (K316 - INDEX([2]Sheet1!$B$4:$B$23,MATCH(K316,[2]Sheet1!$B$4:$B$23,1),1))/(INDEX([2]Sheet1!$B$4:$B$23,MATCH(K316,[2]Sheet1!$B$4:$B$23,1)+1,1) - INDEX([2]Sheet1!$B$4:$B$23,MATCH(K316,[2]Sheet1!$B$4:$B$23,1),1))*(INDEX([2]Sheet1!$C$4:$Q$23,MATCH(K316,[2]Sheet1!$B$4:$B$23,1)+1,MATCH(D316,[2]Sheet1!$C$3:$Q$3,1)) - INDEX([2]Sheet1!$C$4:$Q$23,MATCH(K316,[2]Sheet1!$B$4:$B$23,1),MATCH(D316,[2]Sheet1!$C$3:$Q$3,1)))
+ (D316 - INDEX([2]Sheet1!$C$3:$Q$3,1,MATCH(D316,[2]Sheet1!$C$3:$Q$3)))/(INDEX([2]Sheet1!$C$3:$Q$3,1,MATCH(D316,[2]Sheet1!$C$3:$Q$3)+1) - INDEX([2]Sheet1!$C$3:$Q$3,1,MATCH(D316,[2]Sheet1!$C$3:$Q$3)))*(
INDEX([2]Sheet1!$C$4:$Q$23,MATCH(K316,[2]Sheet1!$B$4:$B$23,1),MATCH(D316,[2]Sheet1!$C$3:$Q$3,1)+1) - INDEX([2]Sheet1!$C$4:$Q$23,MATCH(K316,[2]Sheet1!$B$4:$B$23,1),MATCH(D316,[2]Sheet1!$C$3:$Q$3,1)))))</f>
        <v>0</v>
      </c>
      <c r="N316">
        <f t="shared" si="98"/>
        <v>12</v>
      </c>
      <c r="O316">
        <v>8.9283446113841342E-2</v>
      </c>
      <c r="P316" t="e">
        <f t="shared" si="99"/>
        <v>#DIV/0!</v>
      </c>
      <c r="Q316">
        <f t="shared" si="86"/>
        <v>0</v>
      </c>
      <c r="R316">
        <f t="shared" si="100"/>
        <v>741.9099431943954</v>
      </c>
      <c r="T316" t="e">
        <f t="shared" si="89"/>
        <v>#DIV/0!</v>
      </c>
      <c r="U316" t="e">
        <f t="shared" si="90"/>
        <v>#DIV/0!</v>
      </c>
      <c r="V316">
        <f t="shared" si="91"/>
        <v>0</v>
      </c>
      <c r="W316" t="e">
        <f t="shared" si="87"/>
        <v>#DIV/0!</v>
      </c>
    </row>
    <row r="317" spans="1:23" x14ac:dyDescent="0.55000000000000004">
      <c r="A317">
        <f t="shared" si="88"/>
        <v>28.300000000000132</v>
      </c>
      <c r="B317">
        <f t="shared" si="92"/>
        <v>0.316</v>
      </c>
      <c r="C317">
        <f t="shared" si="93"/>
        <v>-13.456521739130523</v>
      </c>
      <c r="D317">
        <v>2.4472901063566534</v>
      </c>
      <c r="E317">
        <f t="shared" si="83"/>
        <v>0</v>
      </c>
      <c r="F317">
        <f t="shared" si="94"/>
        <v>4.8605058816845369E-2</v>
      </c>
      <c r="G317">
        <f t="shared" si="95"/>
        <v>39.513748498891111</v>
      </c>
      <c r="H317">
        <f t="shared" si="96"/>
        <v>0</v>
      </c>
      <c r="I317" s="1">
        <f t="shared" si="84"/>
        <v>0</v>
      </c>
      <c r="J317">
        <f t="shared" si="97"/>
        <v>0</v>
      </c>
      <c r="K317">
        <f t="shared" si="85"/>
        <v>0</v>
      </c>
      <c r="L317" cm="1">
        <f t="array" ref="L317">IF(E317*J317=0,0,$C$21*INDEX([3]Sheet1!$C$4:$Q$23,MATCH(K317,[3]Sheet1!$B$4:$B$23,1),MATCH(D317,[3]Sheet1!$C$3:$Q$3,1))
+(K317-INDEX([3]Sheet1!$B$4:$B$23,MATCH(K317,[3]Sheet1!$B$4:$B$23,1),1))/(INDEX([3]Sheet1!$B$4:$B$23,MATCH(K317,[3]Sheet1!$B$4:$B$23,1)+1,1)-INDEX([3]Sheet1!$B$4:$B$23,
MATCH(K317,[3]Sheet1!$B$4:$B$23,1),1))*(INDEX([3]Sheet1!$C$4:$Q$23,MATCH(K317,[3]Sheet1!$B$4:$B$23,1)+1,MATCH(D317,[3]Sheet1!$C$3:$Q$3,1))-INDEX([3]Sheet1!$C$4:$Q$23,
MATCH(K317,[3]Sheet1!$B$4:$B$23,1),MATCH(D317,[3]Sheet1!$C$3:$Q$3,1)))
+(D317-INDEX([3]Sheet1!$C$3:$Q$3,1,MATCH(D317,[3]Sheet1!$C$3:$Q$3)))/(INDEX([3]Sheet1!$C$3:$Q$3,1,MATCH(D317,[3]Sheet1!$C$3:$Q$3)+1)-INDEX([3]Sheet1!$C$3:$Q$3,1,MATCH(
D317,[3]Sheet1!$C$3:$Q$3)))*(INDEX([3]Sheet1!$C$4:$Q$23,MATCH(K317,[3]Sheet1!$B$4:$B$23,1),MATCH(D317,[3]Sheet1!$C$3:$Q$3,1)+1)-INDEX([3]Sheet1!$C$4:$Q$23,MATCH(K317,[3]Sheet1!$B$4:$B$23,1),MATCH(D317,[3]Sheet1!$C$3:$Q$3,1))))</f>
        <v>0</v>
      </c>
      <c r="M317" cm="1">
        <f t="array" ref="M317" xml:space="preserve"> IF(E317*J317=0,0,(INDEX([2]Sheet1!$C$4:$Q$23,MATCH(K317,[2]Sheet1!$B$4:$B$23,1),MATCH(D317,[2]Sheet1!$C$3:$Q$3,1))
+ (K317 - INDEX([2]Sheet1!$B$4:$B$23,MATCH(K317,[2]Sheet1!$B$4:$B$23,1),1))/(INDEX([2]Sheet1!$B$4:$B$23,MATCH(K317,[2]Sheet1!$B$4:$B$23,1)+1,1) - INDEX([2]Sheet1!$B$4:$B$23,MATCH(K317,[2]Sheet1!$B$4:$B$23,1),1))*(INDEX([2]Sheet1!$C$4:$Q$23,MATCH(K317,[2]Sheet1!$B$4:$B$23,1)+1,MATCH(D317,[2]Sheet1!$C$3:$Q$3,1)) - INDEX([2]Sheet1!$C$4:$Q$23,MATCH(K317,[2]Sheet1!$B$4:$B$23,1),MATCH(D317,[2]Sheet1!$C$3:$Q$3,1)))
+ (D317 - INDEX([2]Sheet1!$C$3:$Q$3,1,MATCH(D317,[2]Sheet1!$C$3:$Q$3)))/(INDEX([2]Sheet1!$C$3:$Q$3,1,MATCH(D317,[2]Sheet1!$C$3:$Q$3)+1) - INDEX([2]Sheet1!$C$3:$Q$3,1,MATCH(D317,[2]Sheet1!$C$3:$Q$3)))*(
INDEX([2]Sheet1!$C$4:$Q$23,MATCH(K317,[2]Sheet1!$B$4:$B$23,1),MATCH(D317,[2]Sheet1!$C$3:$Q$3,1)+1) - INDEX([2]Sheet1!$C$4:$Q$23,MATCH(K317,[2]Sheet1!$B$4:$B$23,1),MATCH(D317,[2]Sheet1!$C$3:$Q$3,1)))))</f>
        <v>0</v>
      </c>
      <c r="N317">
        <f t="shared" si="98"/>
        <v>12</v>
      </c>
      <c r="O317">
        <v>8.9261762371957654E-2</v>
      </c>
      <c r="P317" t="e">
        <f t="shared" si="99"/>
        <v>#DIV/0!</v>
      </c>
      <c r="Q317">
        <f t="shared" si="86"/>
        <v>0</v>
      </c>
      <c r="R317">
        <f t="shared" si="100"/>
        <v>741.9099431943954</v>
      </c>
      <c r="T317" t="e">
        <f t="shared" si="89"/>
        <v>#DIV/0!</v>
      </c>
      <c r="U317" t="e">
        <f t="shared" si="90"/>
        <v>#DIV/0!</v>
      </c>
      <c r="V317">
        <f t="shared" si="91"/>
        <v>0</v>
      </c>
      <c r="W317" t="e">
        <f t="shared" si="87"/>
        <v>#DIV/0!</v>
      </c>
    </row>
    <row r="318" spans="1:23" x14ac:dyDescent="0.55000000000000004">
      <c r="A318">
        <f t="shared" si="88"/>
        <v>28.400000000000134</v>
      </c>
      <c r="B318">
        <f t="shared" si="92"/>
        <v>0.316</v>
      </c>
      <c r="C318">
        <f t="shared" si="93"/>
        <v>-13.52173913043487</v>
      </c>
      <c r="D318">
        <v>2.4471840014653519</v>
      </c>
      <c r="E318">
        <f t="shared" si="83"/>
        <v>0</v>
      </c>
      <c r="F318">
        <f t="shared" si="94"/>
        <v>4.8605058816845369E-2</v>
      </c>
      <c r="G318">
        <f t="shared" si="95"/>
        <v>39.513748498891111</v>
      </c>
      <c r="H318">
        <f t="shared" si="96"/>
        <v>0</v>
      </c>
      <c r="I318" s="1">
        <f t="shared" si="84"/>
        <v>0</v>
      </c>
      <c r="J318">
        <f t="shared" si="97"/>
        <v>0</v>
      </c>
      <c r="K318">
        <f t="shared" si="85"/>
        <v>0</v>
      </c>
      <c r="L318" cm="1">
        <f t="array" ref="L318">IF(E318*J318=0,0,$C$21*INDEX([3]Sheet1!$C$4:$Q$23,MATCH(K318,[3]Sheet1!$B$4:$B$23,1),MATCH(D318,[3]Sheet1!$C$3:$Q$3,1))
+(K318-INDEX([3]Sheet1!$B$4:$B$23,MATCH(K318,[3]Sheet1!$B$4:$B$23,1),1))/(INDEX([3]Sheet1!$B$4:$B$23,MATCH(K318,[3]Sheet1!$B$4:$B$23,1)+1,1)-INDEX([3]Sheet1!$B$4:$B$23,
MATCH(K318,[3]Sheet1!$B$4:$B$23,1),1))*(INDEX([3]Sheet1!$C$4:$Q$23,MATCH(K318,[3]Sheet1!$B$4:$B$23,1)+1,MATCH(D318,[3]Sheet1!$C$3:$Q$3,1))-INDEX([3]Sheet1!$C$4:$Q$23,
MATCH(K318,[3]Sheet1!$B$4:$B$23,1),MATCH(D318,[3]Sheet1!$C$3:$Q$3,1)))
+(D318-INDEX([3]Sheet1!$C$3:$Q$3,1,MATCH(D318,[3]Sheet1!$C$3:$Q$3)))/(INDEX([3]Sheet1!$C$3:$Q$3,1,MATCH(D318,[3]Sheet1!$C$3:$Q$3)+1)-INDEX([3]Sheet1!$C$3:$Q$3,1,MATCH(
D318,[3]Sheet1!$C$3:$Q$3)))*(INDEX([3]Sheet1!$C$4:$Q$23,MATCH(K318,[3]Sheet1!$B$4:$B$23,1),MATCH(D318,[3]Sheet1!$C$3:$Q$3,1)+1)-INDEX([3]Sheet1!$C$4:$Q$23,MATCH(K318,[3]Sheet1!$B$4:$B$23,1),MATCH(D318,[3]Sheet1!$C$3:$Q$3,1))))</f>
        <v>0</v>
      </c>
      <c r="M318" cm="1">
        <f t="array" ref="M318" xml:space="preserve"> IF(E318*J318=0,0,(INDEX([2]Sheet1!$C$4:$Q$23,MATCH(K318,[2]Sheet1!$B$4:$B$23,1),MATCH(D318,[2]Sheet1!$C$3:$Q$3,1))
+ (K318 - INDEX([2]Sheet1!$B$4:$B$23,MATCH(K318,[2]Sheet1!$B$4:$B$23,1),1))/(INDEX([2]Sheet1!$B$4:$B$23,MATCH(K318,[2]Sheet1!$B$4:$B$23,1)+1,1) - INDEX([2]Sheet1!$B$4:$B$23,MATCH(K318,[2]Sheet1!$B$4:$B$23,1),1))*(INDEX([2]Sheet1!$C$4:$Q$23,MATCH(K318,[2]Sheet1!$B$4:$B$23,1)+1,MATCH(D318,[2]Sheet1!$C$3:$Q$3,1)) - INDEX([2]Sheet1!$C$4:$Q$23,MATCH(K318,[2]Sheet1!$B$4:$B$23,1),MATCH(D318,[2]Sheet1!$C$3:$Q$3,1)))
+ (D318 - INDEX([2]Sheet1!$C$3:$Q$3,1,MATCH(D318,[2]Sheet1!$C$3:$Q$3)))/(INDEX([2]Sheet1!$C$3:$Q$3,1,MATCH(D318,[2]Sheet1!$C$3:$Q$3)+1) - INDEX([2]Sheet1!$C$3:$Q$3,1,MATCH(D318,[2]Sheet1!$C$3:$Q$3)))*(
INDEX([2]Sheet1!$C$4:$Q$23,MATCH(K318,[2]Sheet1!$B$4:$B$23,1),MATCH(D318,[2]Sheet1!$C$3:$Q$3,1)+1) - INDEX([2]Sheet1!$C$4:$Q$23,MATCH(K318,[2]Sheet1!$B$4:$B$23,1),MATCH(D318,[2]Sheet1!$C$3:$Q$3,1)))))</f>
        <v>0</v>
      </c>
      <c r="N318">
        <f t="shared" si="98"/>
        <v>12</v>
      </c>
      <c r="O318">
        <v>8.9240127663524335E-2</v>
      </c>
      <c r="P318" t="e">
        <f t="shared" si="99"/>
        <v>#DIV/0!</v>
      </c>
      <c r="Q318">
        <f t="shared" si="86"/>
        <v>0</v>
      </c>
      <c r="R318">
        <f t="shared" si="100"/>
        <v>741.9099431943954</v>
      </c>
      <c r="T318" t="e">
        <f t="shared" si="89"/>
        <v>#DIV/0!</v>
      </c>
      <c r="U318" t="e">
        <f t="shared" si="90"/>
        <v>#DIV/0!</v>
      </c>
      <c r="V318">
        <f t="shared" si="91"/>
        <v>0</v>
      </c>
      <c r="W318" t="e">
        <f t="shared" si="87"/>
        <v>#DIV/0!</v>
      </c>
    </row>
    <row r="319" spans="1:23" x14ac:dyDescent="0.55000000000000004">
      <c r="A319">
        <f t="shared" si="88"/>
        <v>28.500000000000135</v>
      </c>
      <c r="B319">
        <f t="shared" si="92"/>
        <v>0.316</v>
      </c>
      <c r="C319">
        <f t="shared" si="93"/>
        <v>-13.586956521739218</v>
      </c>
      <c r="D319">
        <v>2.4470781061606477</v>
      </c>
      <c r="E319">
        <f t="shared" si="83"/>
        <v>0</v>
      </c>
      <c r="F319">
        <f t="shared" si="94"/>
        <v>4.8605058816845369E-2</v>
      </c>
      <c r="G319">
        <f t="shared" si="95"/>
        <v>39.513748498891111</v>
      </c>
      <c r="H319">
        <f t="shared" si="96"/>
        <v>0</v>
      </c>
      <c r="I319" s="1">
        <f t="shared" si="84"/>
        <v>0</v>
      </c>
      <c r="J319">
        <f t="shared" si="97"/>
        <v>0</v>
      </c>
      <c r="K319">
        <f t="shared" si="85"/>
        <v>0</v>
      </c>
      <c r="L319" cm="1">
        <f t="array" ref="L319">IF(E319*J319=0,0,$C$21*INDEX([3]Sheet1!$C$4:$Q$23,MATCH(K319,[3]Sheet1!$B$4:$B$23,1),MATCH(D319,[3]Sheet1!$C$3:$Q$3,1))
+(K319-INDEX([3]Sheet1!$B$4:$B$23,MATCH(K319,[3]Sheet1!$B$4:$B$23,1),1))/(INDEX([3]Sheet1!$B$4:$B$23,MATCH(K319,[3]Sheet1!$B$4:$B$23,1)+1,1)-INDEX([3]Sheet1!$B$4:$B$23,
MATCH(K319,[3]Sheet1!$B$4:$B$23,1),1))*(INDEX([3]Sheet1!$C$4:$Q$23,MATCH(K319,[3]Sheet1!$B$4:$B$23,1)+1,MATCH(D319,[3]Sheet1!$C$3:$Q$3,1))-INDEX([3]Sheet1!$C$4:$Q$23,
MATCH(K319,[3]Sheet1!$B$4:$B$23,1),MATCH(D319,[3]Sheet1!$C$3:$Q$3,1)))
+(D319-INDEX([3]Sheet1!$C$3:$Q$3,1,MATCH(D319,[3]Sheet1!$C$3:$Q$3)))/(INDEX([3]Sheet1!$C$3:$Q$3,1,MATCH(D319,[3]Sheet1!$C$3:$Q$3)+1)-INDEX([3]Sheet1!$C$3:$Q$3,1,MATCH(
D319,[3]Sheet1!$C$3:$Q$3)))*(INDEX([3]Sheet1!$C$4:$Q$23,MATCH(K319,[3]Sheet1!$B$4:$B$23,1),MATCH(D319,[3]Sheet1!$C$3:$Q$3,1)+1)-INDEX([3]Sheet1!$C$4:$Q$23,MATCH(K319,[3]Sheet1!$B$4:$B$23,1),MATCH(D319,[3]Sheet1!$C$3:$Q$3,1))))</f>
        <v>0</v>
      </c>
      <c r="M319" cm="1">
        <f t="array" ref="M319" xml:space="preserve"> IF(E319*J319=0,0,(INDEX([2]Sheet1!$C$4:$Q$23,MATCH(K319,[2]Sheet1!$B$4:$B$23,1),MATCH(D319,[2]Sheet1!$C$3:$Q$3,1))
+ (K319 - INDEX([2]Sheet1!$B$4:$B$23,MATCH(K319,[2]Sheet1!$B$4:$B$23,1),1))/(INDEX([2]Sheet1!$B$4:$B$23,MATCH(K319,[2]Sheet1!$B$4:$B$23,1)+1,1) - INDEX([2]Sheet1!$B$4:$B$23,MATCH(K319,[2]Sheet1!$B$4:$B$23,1),1))*(INDEX([2]Sheet1!$C$4:$Q$23,MATCH(K319,[2]Sheet1!$B$4:$B$23,1)+1,MATCH(D319,[2]Sheet1!$C$3:$Q$3,1)) - INDEX([2]Sheet1!$C$4:$Q$23,MATCH(K319,[2]Sheet1!$B$4:$B$23,1),MATCH(D319,[2]Sheet1!$C$3:$Q$3,1)))
+ (D319 - INDEX([2]Sheet1!$C$3:$Q$3,1,MATCH(D319,[2]Sheet1!$C$3:$Q$3)))/(INDEX([2]Sheet1!$C$3:$Q$3,1,MATCH(D319,[2]Sheet1!$C$3:$Q$3)+1) - INDEX([2]Sheet1!$C$3:$Q$3,1,MATCH(D319,[2]Sheet1!$C$3:$Q$3)))*(
INDEX([2]Sheet1!$C$4:$Q$23,MATCH(K319,[2]Sheet1!$B$4:$B$23,1),MATCH(D319,[2]Sheet1!$C$3:$Q$3,1)+1) - INDEX([2]Sheet1!$C$4:$Q$23,MATCH(K319,[2]Sheet1!$B$4:$B$23,1),MATCH(D319,[2]Sheet1!$C$3:$Q$3,1)))))</f>
        <v>0</v>
      </c>
      <c r="N319">
        <f t="shared" si="98"/>
        <v>12</v>
      </c>
      <c r="O319">
        <v>8.921854178298759E-2</v>
      </c>
      <c r="P319" t="e">
        <f t="shared" si="99"/>
        <v>#DIV/0!</v>
      </c>
      <c r="Q319">
        <f t="shared" si="86"/>
        <v>0</v>
      </c>
      <c r="R319">
        <f t="shared" si="100"/>
        <v>741.9099431943954</v>
      </c>
      <c r="T319" t="e">
        <f t="shared" si="89"/>
        <v>#DIV/0!</v>
      </c>
      <c r="U319" t="e">
        <f t="shared" si="90"/>
        <v>#DIV/0!</v>
      </c>
      <c r="V319">
        <f t="shared" si="91"/>
        <v>0</v>
      </c>
      <c r="W319" t="e">
        <f t="shared" si="87"/>
        <v>#DIV/0!</v>
      </c>
    </row>
    <row r="320" spans="1:23" x14ac:dyDescent="0.55000000000000004">
      <c r="A320">
        <f t="shared" si="88"/>
        <v>28.600000000000136</v>
      </c>
      <c r="B320">
        <f t="shared" si="92"/>
        <v>0.316</v>
      </c>
      <c r="C320">
        <f t="shared" si="93"/>
        <v>-13.652173913043569</v>
      </c>
      <c r="D320">
        <v>2.4469724195900473</v>
      </c>
      <c r="E320">
        <f t="shared" si="83"/>
        <v>0</v>
      </c>
      <c r="F320">
        <f t="shared" si="94"/>
        <v>4.8605058816845369E-2</v>
      </c>
      <c r="G320">
        <f t="shared" si="95"/>
        <v>39.513748498891111</v>
      </c>
      <c r="H320">
        <f t="shared" si="96"/>
        <v>0</v>
      </c>
      <c r="I320" s="1">
        <f t="shared" si="84"/>
        <v>0</v>
      </c>
      <c r="J320">
        <f t="shared" si="97"/>
        <v>0</v>
      </c>
      <c r="K320">
        <f t="shared" si="85"/>
        <v>0</v>
      </c>
      <c r="L320" cm="1">
        <f t="array" ref="L320">IF(E320*J320=0,0,$C$21*INDEX([3]Sheet1!$C$4:$Q$23,MATCH(K320,[3]Sheet1!$B$4:$B$23,1),MATCH(D320,[3]Sheet1!$C$3:$Q$3,1))
+(K320-INDEX([3]Sheet1!$B$4:$B$23,MATCH(K320,[3]Sheet1!$B$4:$B$23,1),1))/(INDEX([3]Sheet1!$B$4:$B$23,MATCH(K320,[3]Sheet1!$B$4:$B$23,1)+1,1)-INDEX([3]Sheet1!$B$4:$B$23,
MATCH(K320,[3]Sheet1!$B$4:$B$23,1),1))*(INDEX([3]Sheet1!$C$4:$Q$23,MATCH(K320,[3]Sheet1!$B$4:$B$23,1)+1,MATCH(D320,[3]Sheet1!$C$3:$Q$3,1))-INDEX([3]Sheet1!$C$4:$Q$23,
MATCH(K320,[3]Sheet1!$B$4:$B$23,1),MATCH(D320,[3]Sheet1!$C$3:$Q$3,1)))
+(D320-INDEX([3]Sheet1!$C$3:$Q$3,1,MATCH(D320,[3]Sheet1!$C$3:$Q$3)))/(INDEX([3]Sheet1!$C$3:$Q$3,1,MATCH(D320,[3]Sheet1!$C$3:$Q$3)+1)-INDEX([3]Sheet1!$C$3:$Q$3,1,MATCH(
D320,[3]Sheet1!$C$3:$Q$3)))*(INDEX([3]Sheet1!$C$4:$Q$23,MATCH(K320,[3]Sheet1!$B$4:$B$23,1),MATCH(D320,[3]Sheet1!$C$3:$Q$3,1)+1)-INDEX([3]Sheet1!$C$4:$Q$23,MATCH(K320,[3]Sheet1!$B$4:$B$23,1),MATCH(D320,[3]Sheet1!$C$3:$Q$3,1))))</f>
        <v>0</v>
      </c>
      <c r="M320" cm="1">
        <f t="array" ref="M320" xml:space="preserve"> IF(E320*J320=0,0,(INDEX([2]Sheet1!$C$4:$Q$23,MATCH(K320,[2]Sheet1!$B$4:$B$23,1),MATCH(D320,[2]Sheet1!$C$3:$Q$3,1))
+ (K320 - INDEX([2]Sheet1!$B$4:$B$23,MATCH(K320,[2]Sheet1!$B$4:$B$23,1),1))/(INDEX([2]Sheet1!$B$4:$B$23,MATCH(K320,[2]Sheet1!$B$4:$B$23,1)+1,1) - INDEX([2]Sheet1!$B$4:$B$23,MATCH(K320,[2]Sheet1!$B$4:$B$23,1),1))*(INDEX([2]Sheet1!$C$4:$Q$23,MATCH(K320,[2]Sheet1!$B$4:$B$23,1)+1,MATCH(D320,[2]Sheet1!$C$3:$Q$3,1)) - INDEX([2]Sheet1!$C$4:$Q$23,MATCH(K320,[2]Sheet1!$B$4:$B$23,1),MATCH(D320,[2]Sheet1!$C$3:$Q$3,1)))
+ (D320 - INDEX([2]Sheet1!$C$3:$Q$3,1,MATCH(D320,[2]Sheet1!$C$3:$Q$3)))/(INDEX([2]Sheet1!$C$3:$Q$3,1,MATCH(D320,[2]Sheet1!$C$3:$Q$3)+1) - INDEX([2]Sheet1!$C$3:$Q$3,1,MATCH(D320,[2]Sheet1!$C$3:$Q$3)))*(
INDEX([2]Sheet1!$C$4:$Q$23,MATCH(K320,[2]Sheet1!$B$4:$B$23,1),MATCH(D320,[2]Sheet1!$C$3:$Q$3,1)+1) - INDEX([2]Sheet1!$C$4:$Q$23,MATCH(K320,[2]Sheet1!$B$4:$B$23,1),MATCH(D320,[2]Sheet1!$C$3:$Q$3,1)))))</f>
        <v>0</v>
      </c>
      <c r="N320">
        <f t="shared" si="98"/>
        <v>12</v>
      </c>
      <c r="O320">
        <v>8.9197004526070059E-2</v>
      </c>
      <c r="P320" t="e">
        <f t="shared" si="99"/>
        <v>#DIV/0!</v>
      </c>
      <c r="Q320">
        <f t="shared" si="86"/>
        <v>0</v>
      </c>
      <c r="R320">
        <f t="shared" si="100"/>
        <v>741.9099431943954</v>
      </c>
      <c r="T320" t="e">
        <f t="shared" si="89"/>
        <v>#DIV/0!</v>
      </c>
      <c r="U320" t="e">
        <f t="shared" si="90"/>
        <v>#DIV/0!</v>
      </c>
      <c r="V320">
        <f t="shared" si="91"/>
        <v>0</v>
      </c>
      <c r="W320" t="e">
        <f t="shared" si="87"/>
        <v>#DIV/0!</v>
      </c>
    </row>
    <row r="321" spans="1:23" x14ac:dyDescent="0.55000000000000004">
      <c r="A321">
        <f t="shared" si="88"/>
        <v>28.700000000000138</v>
      </c>
      <c r="B321">
        <f t="shared" si="92"/>
        <v>0.316</v>
      </c>
      <c r="C321">
        <f t="shared" si="93"/>
        <v>-13.71739130434792</v>
      </c>
      <c r="D321">
        <v>2.4468669409062809</v>
      </c>
      <c r="E321">
        <f t="shared" si="83"/>
        <v>0</v>
      </c>
      <c r="F321">
        <f t="shared" si="94"/>
        <v>4.8605058816845369E-2</v>
      </c>
      <c r="G321">
        <f t="shared" si="95"/>
        <v>39.513748498891111</v>
      </c>
      <c r="H321">
        <f t="shared" si="96"/>
        <v>0</v>
      </c>
      <c r="I321" s="1">
        <f t="shared" si="84"/>
        <v>0</v>
      </c>
      <c r="J321">
        <f t="shared" si="97"/>
        <v>0</v>
      </c>
      <c r="K321">
        <f t="shared" si="85"/>
        <v>0</v>
      </c>
      <c r="L321" cm="1">
        <f t="array" ref="L321">IF(E321*J321=0,0,$C$21*INDEX([3]Sheet1!$C$4:$Q$23,MATCH(K321,[3]Sheet1!$B$4:$B$23,1),MATCH(D321,[3]Sheet1!$C$3:$Q$3,1))
+(K321-INDEX([3]Sheet1!$B$4:$B$23,MATCH(K321,[3]Sheet1!$B$4:$B$23,1),1))/(INDEX([3]Sheet1!$B$4:$B$23,MATCH(K321,[3]Sheet1!$B$4:$B$23,1)+1,1)-INDEX([3]Sheet1!$B$4:$B$23,
MATCH(K321,[3]Sheet1!$B$4:$B$23,1),1))*(INDEX([3]Sheet1!$C$4:$Q$23,MATCH(K321,[3]Sheet1!$B$4:$B$23,1)+1,MATCH(D321,[3]Sheet1!$C$3:$Q$3,1))-INDEX([3]Sheet1!$C$4:$Q$23,
MATCH(K321,[3]Sheet1!$B$4:$B$23,1),MATCH(D321,[3]Sheet1!$C$3:$Q$3,1)))
+(D321-INDEX([3]Sheet1!$C$3:$Q$3,1,MATCH(D321,[3]Sheet1!$C$3:$Q$3)))/(INDEX([3]Sheet1!$C$3:$Q$3,1,MATCH(D321,[3]Sheet1!$C$3:$Q$3)+1)-INDEX([3]Sheet1!$C$3:$Q$3,1,MATCH(
D321,[3]Sheet1!$C$3:$Q$3)))*(INDEX([3]Sheet1!$C$4:$Q$23,MATCH(K321,[3]Sheet1!$B$4:$B$23,1),MATCH(D321,[3]Sheet1!$C$3:$Q$3,1)+1)-INDEX([3]Sheet1!$C$4:$Q$23,MATCH(K321,[3]Sheet1!$B$4:$B$23,1),MATCH(D321,[3]Sheet1!$C$3:$Q$3,1))))</f>
        <v>0</v>
      </c>
      <c r="M321" cm="1">
        <f t="array" ref="M321" xml:space="preserve"> IF(E321*J321=0,0,(INDEX([2]Sheet1!$C$4:$Q$23,MATCH(K321,[2]Sheet1!$B$4:$B$23,1),MATCH(D321,[2]Sheet1!$C$3:$Q$3,1))
+ (K321 - INDEX([2]Sheet1!$B$4:$B$23,MATCH(K321,[2]Sheet1!$B$4:$B$23,1),1))/(INDEX([2]Sheet1!$B$4:$B$23,MATCH(K321,[2]Sheet1!$B$4:$B$23,1)+1,1) - INDEX([2]Sheet1!$B$4:$B$23,MATCH(K321,[2]Sheet1!$B$4:$B$23,1),1))*(INDEX([2]Sheet1!$C$4:$Q$23,MATCH(K321,[2]Sheet1!$B$4:$B$23,1)+1,MATCH(D321,[2]Sheet1!$C$3:$Q$3,1)) - INDEX([2]Sheet1!$C$4:$Q$23,MATCH(K321,[2]Sheet1!$B$4:$B$23,1),MATCH(D321,[2]Sheet1!$C$3:$Q$3,1)))
+ (D321 - INDEX([2]Sheet1!$C$3:$Q$3,1,MATCH(D321,[2]Sheet1!$C$3:$Q$3)))/(INDEX([2]Sheet1!$C$3:$Q$3,1,MATCH(D321,[2]Sheet1!$C$3:$Q$3)+1) - INDEX([2]Sheet1!$C$3:$Q$3,1,MATCH(D321,[2]Sheet1!$C$3:$Q$3)))*(
INDEX([2]Sheet1!$C$4:$Q$23,MATCH(K321,[2]Sheet1!$B$4:$B$23,1),MATCH(D321,[2]Sheet1!$C$3:$Q$3,1)+1) - INDEX([2]Sheet1!$C$4:$Q$23,MATCH(K321,[2]Sheet1!$B$4:$B$23,1),MATCH(D321,[2]Sheet1!$C$3:$Q$3,1)))))</f>
        <v>0</v>
      </c>
      <c r="N321">
        <f t="shared" si="98"/>
        <v>12</v>
      </c>
      <c r="O321">
        <v>8.9175515689760995E-2</v>
      </c>
      <c r="P321" t="e">
        <f t="shared" si="99"/>
        <v>#DIV/0!</v>
      </c>
      <c r="Q321">
        <f t="shared" si="86"/>
        <v>0</v>
      </c>
      <c r="R321">
        <f t="shared" si="100"/>
        <v>741.9099431943954</v>
      </c>
      <c r="T321" t="e">
        <f t="shared" si="89"/>
        <v>#DIV/0!</v>
      </c>
      <c r="U321" t="e">
        <f t="shared" si="90"/>
        <v>#DIV/0!</v>
      </c>
      <c r="V321">
        <f t="shared" si="91"/>
        <v>0</v>
      </c>
      <c r="W321" t="e">
        <f t="shared" si="87"/>
        <v>#DIV/0!</v>
      </c>
    </row>
    <row r="322" spans="1:23" x14ac:dyDescent="0.55000000000000004">
      <c r="A322">
        <f t="shared" si="88"/>
        <v>28.800000000000139</v>
      </c>
      <c r="B322">
        <f t="shared" si="92"/>
        <v>0.316</v>
      </c>
      <c r="C322">
        <f t="shared" si="93"/>
        <v>-13.782608695652264</v>
      </c>
      <c r="D322">
        <v>2.4467616692672545</v>
      </c>
      <c r="E322">
        <f t="shared" si="83"/>
        <v>0</v>
      </c>
      <c r="F322">
        <f t="shared" si="94"/>
        <v>4.8605058816845369E-2</v>
      </c>
      <c r="G322">
        <f t="shared" si="95"/>
        <v>39.513748498891111</v>
      </c>
      <c r="H322">
        <f t="shared" si="96"/>
        <v>0</v>
      </c>
      <c r="I322" s="1">
        <f t="shared" si="84"/>
        <v>0</v>
      </c>
      <c r="J322">
        <f t="shared" si="97"/>
        <v>0</v>
      </c>
      <c r="K322">
        <f t="shared" si="85"/>
        <v>0</v>
      </c>
      <c r="L322" cm="1">
        <f t="array" ref="L322">IF(E322*J322=0,0,$C$21*INDEX([3]Sheet1!$C$4:$Q$23,MATCH(K322,[3]Sheet1!$B$4:$B$23,1),MATCH(D322,[3]Sheet1!$C$3:$Q$3,1))
+(K322-INDEX([3]Sheet1!$B$4:$B$23,MATCH(K322,[3]Sheet1!$B$4:$B$23,1),1))/(INDEX([3]Sheet1!$B$4:$B$23,MATCH(K322,[3]Sheet1!$B$4:$B$23,1)+1,1)-INDEX([3]Sheet1!$B$4:$B$23,
MATCH(K322,[3]Sheet1!$B$4:$B$23,1),1))*(INDEX([3]Sheet1!$C$4:$Q$23,MATCH(K322,[3]Sheet1!$B$4:$B$23,1)+1,MATCH(D322,[3]Sheet1!$C$3:$Q$3,1))-INDEX([3]Sheet1!$C$4:$Q$23,
MATCH(K322,[3]Sheet1!$B$4:$B$23,1),MATCH(D322,[3]Sheet1!$C$3:$Q$3,1)))
+(D322-INDEX([3]Sheet1!$C$3:$Q$3,1,MATCH(D322,[3]Sheet1!$C$3:$Q$3)))/(INDEX([3]Sheet1!$C$3:$Q$3,1,MATCH(D322,[3]Sheet1!$C$3:$Q$3)+1)-INDEX([3]Sheet1!$C$3:$Q$3,1,MATCH(
D322,[3]Sheet1!$C$3:$Q$3)))*(INDEX([3]Sheet1!$C$4:$Q$23,MATCH(K322,[3]Sheet1!$B$4:$B$23,1),MATCH(D322,[3]Sheet1!$C$3:$Q$3,1)+1)-INDEX([3]Sheet1!$C$4:$Q$23,MATCH(K322,[3]Sheet1!$B$4:$B$23,1),MATCH(D322,[3]Sheet1!$C$3:$Q$3,1))))</f>
        <v>0</v>
      </c>
      <c r="M322" cm="1">
        <f t="array" ref="M322" xml:space="preserve"> IF(E322*J322=0,0,(INDEX([2]Sheet1!$C$4:$Q$23,MATCH(K322,[2]Sheet1!$B$4:$B$23,1),MATCH(D322,[2]Sheet1!$C$3:$Q$3,1))
+ (K322 - INDEX([2]Sheet1!$B$4:$B$23,MATCH(K322,[2]Sheet1!$B$4:$B$23,1),1))/(INDEX([2]Sheet1!$B$4:$B$23,MATCH(K322,[2]Sheet1!$B$4:$B$23,1)+1,1) - INDEX([2]Sheet1!$B$4:$B$23,MATCH(K322,[2]Sheet1!$B$4:$B$23,1),1))*(INDEX([2]Sheet1!$C$4:$Q$23,MATCH(K322,[2]Sheet1!$B$4:$B$23,1)+1,MATCH(D322,[2]Sheet1!$C$3:$Q$3,1)) - INDEX([2]Sheet1!$C$4:$Q$23,MATCH(K322,[2]Sheet1!$B$4:$B$23,1),MATCH(D322,[2]Sheet1!$C$3:$Q$3,1)))
+ (D322 - INDEX([2]Sheet1!$C$3:$Q$3,1,MATCH(D322,[2]Sheet1!$C$3:$Q$3)))/(INDEX([2]Sheet1!$C$3:$Q$3,1,MATCH(D322,[2]Sheet1!$C$3:$Q$3)+1) - INDEX([2]Sheet1!$C$3:$Q$3,1,MATCH(D322,[2]Sheet1!$C$3:$Q$3)))*(
INDEX([2]Sheet1!$C$4:$Q$23,MATCH(K322,[2]Sheet1!$B$4:$B$23,1),MATCH(D322,[2]Sheet1!$C$3:$Q$3,1)+1) - INDEX([2]Sheet1!$C$4:$Q$23,MATCH(K322,[2]Sheet1!$B$4:$B$23,1),MATCH(D322,[2]Sheet1!$C$3:$Q$3,1)))))</f>
        <v>0</v>
      </c>
      <c r="N322">
        <f t="shared" si="98"/>
        <v>12</v>
      </c>
      <c r="O322">
        <v>8.9154075072305355E-2</v>
      </c>
      <c r="P322" t="e">
        <f t="shared" si="99"/>
        <v>#DIV/0!</v>
      </c>
      <c r="Q322">
        <f t="shared" si="86"/>
        <v>0</v>
      </c>
      <c r="R322">
        <f t="shared" si="100"/>
        <v>741.9099431943954</v>
      </c>
      <c r="T322" t="e">
        <f t="shared" si="89"/>
        <v>#DIV/0!</v>
      </c>
      <c r="U322" t="e">
        <f t="shared" si="90"/>
        <v>#DIV/0!</v>
      </c>
      <c r="V322">
        <f t="shared" si="91"/>
        <v>0</v>
      </c>
      <c r="W322" t="e">
        <f t="shared" si="87"/>
        <v>#DIV/0!</v>
      </c>
    </row>
    <row r="323" spans="1:23" x14ac:dyDescent="0.55000000000000004">
      <c r="A323">
        <f t="shared" si="88"/>
        <v>28.900000000000141</v>
      </c>
      <c r="B323">
        <f t="shared" si="92"/>
        <v>0.316</v>
      </c>
      <c r="C323">
        <f t="shared" si="93"/>
        <v>-13.847826086956612</v>
      </c>
      <c r="D323">
        <v>2.4466566038360149</v>
      </c>
      <c r="E323">
        <f t="shared" si="83"/>
        <v>0</v>
      </c>
      <c r="F323">
        <f t="shared" si="94"/>
        <v>4.8605058816845369E-2</v>
      </c>
      <c r="G323">
        <f t="shared" si="95"/>
        <v>39.513748498891111</v>
      </c>
      <c r="H323">
        <f t="shared" si="96"/>
        <v>0</v>
      </c>
      <c r="I323" s="1">
        <f t="shared" si="84"/>
        <v>0</v>
      </c>
      <c r="J323">
        <f t="shared" si="97"/>
        <v>0</v>
      </c>
      <c r="K323">
        <f t="shared" si="85"/>
        <v>0</v>
      </c>
      <c r="L323" cm="1">
        <f t="array" ref="L323">IF(E323*J323=0,0,$C$21*INDEX([3]Sheet1!$C$4:$Q$23,MATCH(K323,[3]Sheet1!$B$4:$B$23,1),MATCH(D323,[3]Sheet1!$C$3:$Q$3,1))
+(K323-INDEX([3]Sheet1!$B$4:$B$23,MATCH(K323,[3]Sheet1!$B$4:$B$23,1),1))/(INDEX([3]Sheet1!$B$4:$B$23,MATCH(K323,[3]Sheet1!$B$4:$B$23,1)+1,1)-INDEX([3]Sheet1!$B$4:$B$23,
MATCH(K323,[3]Sheet1!$B$4:$B$23,1),1))*(INDEX([3]Sheet1!$C$4:$Q$23,MATCH(K323,[3]Sheet1!$B$4:$B$23,1)+1,MATCH(D323,[3]Sheet1!$C$3:$Q$3,1))-INDEX([3]Sheet1!$C$4:$Q$23,
MATCH(K323,[3]Sheet1!$B$4:$B$23,1),MATCH(D323,[3]Sheet1!$C$3:$Q$3,1)))
+(D323-INDEX([3]Sheet1!$C$3:$Q$3,1,MATCH(D323,[3]Sheet1!$C$3:$Q$3)))/(INDEX([3]Sheet1!$C$3:$Q$3,1,MATCH(D323,[3]Sheet1!$C$3:$Q$3)+1)-INDEX([3]Sheet1!$C$3:$Q$3,1,MATCH(
D323,[3]Sheet1!$C$3:$Q$3)))*(INDEX([3]Sheet1!$C$4:$Q$23,MATCH(K323,[3]Sheet1!$B$4:$B$23,1),MATCH(D323,[3]Sheet1!$C$3:$Q$3,1)+1)-INDEX([3]Sheet1!$C$4:$Q$23,MATCH(K323,[3]Sheet1!$B$4:$B$23,1),MATCH(D323,[3]Sheet1!$C$3:$Q$3,1))))</f>
        <v>0</v>
      </c>
      <c r="M323" cm="1">
        <f t="array" ref="M323" xml:space="preserve"> IF(E323*J323=0,0,(INDEX([2]Sheet1!$C$4:$Q$23,MATCH(K323,[2]Sheet1!$B$4:$B$23,1),MATCH(D323,[2]Sheet1!$C$3:$Q$3,1))
+ (K323 - INDEX([2]Sheet1!$B$4:$B$23,MATCH(K323,[2]Sheet1!$B$4:$B$23,1),1))/(INDEX([2]Sheet1!$B$4:$B$23,MATCH(K323,[2]Sheet1!$B$4:$B$23,1)+1,1) - INDEX([2]Sheet1!$B$4:$B$23,MATCH(K323,[2]Sheet1!$B$4:$B$23,1),1))*(INDEX([2]Sheet1!$C$4:$Q$23,MATCH(K323,[2]Sheet1!$B$4:$B$23,1)+1,MATCH(D323,[2]Sheet1!$C$3:$Q$3,1)) - INDEX([2]Sheet1!$C$4:$Q$23,MATCH(K323,[2]Sheet1!$B$4:$B$23,1),MATCH(D323,[2]Sheet1!$C$3:$Q$3,1)))
+ (D323 - INDEX([2]Sheet1!$C$3:$Q$3,1,MATCH(D323,[2]Sheet1!$C$3:$Q$3)))/(INDEX([2]Sheet1!$C$3:$Q$3,1,MATCH(D323,[2]Sheet1!$C$3:$Q$3)+1) - INDEX([2]Sheet1!$C$3:$Q$3,1,MATCH(D323,[2]Sheet1!$C$3:$Q$3)))*(
INDEX([2]Sheet1!$C$4:$Q$23,MATCH(K323,[2]Sheet1!$B$4:$B$23,1),MATCH(D323,[2]Sheet1!$C$3:$Q$3,1)+1) - INDEX([2]Sheet1!$C$4:$Q$23,MATCH(K323,[2]Sheet1!$B$4:$B$23,1),MATCH(D323,[2]Sheet1!$C$3:$Q$3,1)))))</f>
        <v>0</v>
      </c>
      <c r="N323">
        <f t="shared" si="98"/>
        <v>12</v>
      </c>
      <c r="O323">
        <v>8.9132682473194433E-2</v>
      </c>
      <c r="P323" t="e">
        <f t="shared" si="99"/>
        <v>#DIV/0!</v>
      </c>
      <c r="Q323">
        <f t="shared" si="86"/>
        <v>0</v>
      </c>
      <c r="R323">
        <f t="shared" si="100"/>
        <v>741.9099431943954</v>
      </c>
      <c r="T323" t="e">
        <f t="shared" si="89"/>
        <v>#DIV/0!</v>
      </c>
      <c r="U323" t="e">
        <f t="shared" si="90"/>
        <v>#DIV/0!</v>
      </c>
      <c r="V323">
        <f t="shared" si="91"/>
        <v>0</v>
      </c>
      <c r="W323" t="e">
        <f t="shared" si="87"/>
        <v>#DIV/0!</v>
      </c>
    </row>
    <row r="324" spans="1:23" x14ac:dyDescent="0.55000000000000004">
      <c r="A324">
        <f t="shared" si="88"/>
        <v>29.000000000000142</v>
      </c>
      <c r="B324">
        <f t="shared" si="92"/>
        <v>0.316</v>
      </c>
      <c r="C324">
        <f t="shared" si="93"/>
        <v>-13.913043478260963</v>
      </c>
      <c r="D324">
        <v>2.4465517437807009</v>
      </c>
      <c r="E324">
        <f t="shared" si="83"/>
        <v>0</v>
      </c>
      <c r="F324">
        <f t="shared" si="94"/>
        <v>4.8605058816845369E-2</v>
      </c>
      <c r="G324">
        <f t="shared" si="95"/>
        <v>39.513748498891111</v>
      </c>
      <c r="H324">
        <f t="shared" si="96"/>
        <v>0</v>
      </c>
      <c r="I324" s="1">
        <f t="shared" si="84"/>
        <v>0</v>
      </c>
      <c r="J324">
        <f t="shared" si="97"/>
        <v>0</v>
      </c>
      <c r="K324">
        <f t="shared" si="85"/>
        <v>0</v>
      </c>
      <c r="L324" cm="1">
        <f t="array" ref="L324">IF(E324*J324=0,0,$C$21*INDEX([3]Sheet1!$C$4:$Q$23,MATCH(K324,[3]Sheet1!$B$4:$B$23,1),MATCH(D324,[3]Sheet1!$C$3:$Q$3,1))
+(K324-INDEX([3]Sheet1!$B$4:$B$23,MATCH(K324,[3]Sheet1!$B$4:$B$23,1),1))/(INDEX([3]Sheet1!$B$4:$B$23,MATCH(K324,[3]Sheet1!$B$4:$B$23,1)+1,1)-INDEX([3]Sheet1!$B$4:$B$23,
MATCH(K324,[3]Sheet1!$B$4:$B$23,1),1))*(INDEX([3]Sheet1!$C$4:$Q$23,MATCH(K324,[3]Sheet1!$B$4:$B$23,1)+1,MATCH(D324,[3]Sheet1!$C$3:$Q$3,1))-INDEX([3]Sheet1!$C$4:$Q$23,
MATCH(K324,[3]Sheet1!$B$4:$B$23,1),MATCH(D324,[3]Sheet1!$C$3:$Q$3,1)))
+(D324-INDEX([3]Sheet1!$C$3:$Q$3,1,MATCH(D324,[3]Sheet1!$C$3:$Q$3)))/(INDEX([3]Sheet1!$C$3:$Q$3,1,MATCH(D324,[3]Sheet1!$C$3:$Q$3)+1)-INDEX([3]Sheet1!$C$3:$Q$3,1,MATCH(
D324,[3]Sheet1!$C$3:$Q$3)))*(INDEX([3]Sheet1!$C$4:$Q$23,MATCH(K324,[3]Sheet1!$B$4:$B$23,1),MATCH(D324,[3]Sheet1!$C$3:$Q$3,1)+1)-INDEX([3]Sheet1!$C$4:$Q$23,MATCH(K324,[3]Sheet1!$B$4:$B$23,1),MATCH(D324,[3]Sheet1!$C$3:$Q$3,1))))</f>
        <v>0</v>
      </c>
      <c r="M324" cm="1">
        <f t="array" ref="M324" xml:space="preserve"> IF(E324*J324=0,0,(INDEX([2]Sheet1!$C$4:$Q$23,MATCH(K324,[2]Sheet1!$B$4:$B$23,1),MATCH(D324,[2]Sheet1!$C$3:$Q$3,1))
+ (K324 - INDEX([2]Sheet1!$B$4:$B$23,MATCH(K324,[2]Sheet1!$B$4:$B$23,1),1))/(INDEX([2]Sheet1!$B$4:$B$23,MATCH(K324,[2]Sheet1!$B$4:$B$23,1)+1,1) - INDEX([2]Sheet1!$B$4:$B$23,MATCH(K324,[2]Sheet1!$B$4:$B$23,1),1))*(INDEX([2]Sheet1!$C$4:$Q$23,MATCH(K324,[2]Sheet1!$B$4:$B$23,1)+1,MATCH(D324,[2]Sheet1!$C$3:$Q$3,1)) - INDEX([2]Sheet1!$C$4:$Q$23,MATCH(K324,[2]Sheet1!$B$4:$B$23,1),MATCH(D324,[2]Sheet1!$C$3:$Q$3,1)))
+ (D324 - INDEX([2]Sheet1!$C$3:$Q$3,1,MATCH(D324,[2]Sheet1!$C$3:$Q$3)))/(INDEX([2]Sheet1!$C$3:$Q$3,1,MATCH(D324,[2]Sheet1!$C$3:$Q$3)+1) - INDEX([2]Sheet1!$C$3:$Q$3,1,MATCH(D324,[2]Sheet1!$C$3:$Q$3)))*(
INDEX([2]Sheet1!$C$4:$Q$23,MATCH(K324,[2]Sheet1!$B$4:$B$23,1),MATCH(D324,[2]Sheet1!$C$3:$Q$3,1)+1) - INDEX([2]Sheet1!$C$4:$Q$23,MATCH(K324,[2]Sheet1!$B$4:$B$23,1),MATCH(D324,[2]Sheet1!$C$3:$Q$3,1)))))</f>
        <v>0</v>
      </c>
      <c r="N324">
        <f t="shared" si="98"/>
        <v>12</v>
      </c>
      <c r="O324">
        <v>8.9111337693154921E-2</v>
      </c>
      <c r="P324" t="e">
        <f t="shared" si="99"/>
        <v>#DIV/0!</v>
      </c>
      <c r="Q324">
        <f t="shared" si="86"/>
        <v>0</v>
      </c>
      <c r="R324">
        <f t="shared" si="100"/>
        <v>741.9099431943954</v>
      </c>
      <c r="T324" t="e">
        <f t="shared" si="89"/>
        <v>#DIV/0!</v>
      </c>
      <c r="U324" t="e">
        <f t="shared" si="90"/>
        <v>#DIV/0!</v>
      </c>
      <c r="V324">
        <f t="shared" si="91"/>
        <v>0</v>
      </c>
      <c r="W324" t="e">
        <f t="shared" si="87"/>
        <v>#DIV/0!</v>
      </c>
    </row>
    <row r="325" spans="1:23" x14ac:dyDescent="0.55000000000000004">
      <c r="A325">
        <f t="shared" si="88"/>
        <v>29.100000000000144</v>
      </c>
      <c r="B325">
        <f t="shared" si="92"/>
        <v>0.316</v>
      </c>
      <c r="C325">
        <f t="shared" si="93"/>
        <v>-13.978260869565315</v>
      </c>
      <c r="D325">
        <v>2.4464470882745095</v>
      </c>
      <c r="E325">
        <f t="shared" si="83"/>
        <v>0</v>
      </c>
      <c r="F325">
        <f t="shared" si="94"/>
        <v>4.8605058816845369E-2</v>
      </c>
      <c r="G325">
        <f t="shared" si="95"/>
        <v>39.513748498891111</v>
      </c>
      <c r="H325">
        <f t="shared" si="96"/>
        <v>0</v>
      </c>
      <c r="I325" s="1">
        <f t="shared" si="84"/>
        <v>0</v>
      </c>
      <c r="J325">
        <f t="shared" si="97"/>
        <v>0</v>
      </c>
      <c r="K325">
        <f t="shared" si="85"/>
        <v>0</v>
      </c>
      <c r="L325" cm="1">
        <f t="array" ref="L325">IF(E325*J325=0,0,$C$21*INDEX([3]Sheet1!$C$4:$Q$23,MATCH(K325,[3]Sheet1!$B$4:$B$23,1),MATCH(D325,[3]Sheet1!$C$3:$Q$3,1))
+(K325-INDEX([3]Sheet1!$B$4:$B$23,MATCH(K325,[3]Sheet1!$B$4:$B$23,1),1))/(INDEX([3]Sheet1!$B$4:$B$23,MATCH(K325,[3]Sheet1!$B$4:$B$23,1)+1,1)-INDEX([3]Sheet1!$B$4:$B$23,
MATCH(K325,[3]Sheet1!$B$4:$B$23,1),1))*(INDEX([3]Sheet1!$C$4:$Q$23,MATCH(K325,[3]Sheet1!$B$4:$B$23,1)+1,MATCH(D325,[3]Sheet1!$C$3:$Q$3,1))-INDEX([3]Sheet1!$C$4:$Q$23,
MATCH(K325,[3]Sheet1!$B$4:$B$23,1),MATCH(D325,[3]Sheet1!$C$3:$Q$3,1)))
+(D325-INDEX([3]Sheet1!$C$3:$Q$3,1,MATCH(D325,[3]Sheet1!$C$3:$Q$3)))/(INDEX([3]Sheet1!$C$3:$Q$3,1,MATCH(D325,[3]Sheet1!$C$3:$Q$3)+1)-INDEX([3]Sheet1!$C$3:$Q$3,1,MATCH(
D325,[3]Sheet1!$C$3:$Q$3)))*(INDEX([3]Sheet1!$C$4:$Q$23,MATCH(K325,[3]Sheet1!$B$4:$B$23,1),MATCH(D325,[3]Sheet1!$C$3:$Q$3,1)+1)-INDEX([3]Sheet1!$C$4:$Q$23,MATCH(K325,[3]Sheet1!$B$4:$B$23,1),MATCH(D325,[3]Sheet1!$C$3:$Q$3,1))))</f>
        <v>0</v>
      </c>
      <c r="M325" cm="1">
        <f t="array" ref="M325" xml:space="preserve"> IF(E325*J325=0,0,(INDEX([2]Sheet1!$C$4:$Q$23,MATCH(K325,[2]Sheet1!$B$4:$B$23,1),MATCH(D325,[2]Sheet1!$C$3:$Q$3,1))
+ (K325 - INDEX([2]Sheet1!$B$4:$B$23,MATCH(K325,[2]Sheet1!$B$4:$B$23,1),1))/(INDEX([2]Sheet1!$B$4:$B$23,MATCH(K325,[2]Sheet1!$B$4:$B$23,1)+1,1) - INDEX([2]Sheet1!$B$4:$B$23,MATCH(K325,[2]Sheet1!$B$4:$B$23,1),1))*(INDEX([2]Sheet1!$C$4:$Q$23,MATCH(K325,[2]Sheet1!$B$4:$B$23,1)+1,MATCH(D325,[2]Sheet1!$C$3:$Q$3,1)) - INDEX([2]Sheet1!$C$4:$Q$23,MATCH(K325,[2]Sheet1!$B$4:$B$23,1),MATCH(D325,[2]Sheet1!$C$3:$Q$3,1)))
+ (D325 - INDEX([2]Sheet1!$C$3:$Q$3,1,MATCH(D325,[2]Sheet1!$C$3:$Q$3)))/(INDEX([2]Sheet1!$C$3:$Q$3,1,MATCH(D325,[2]Sheet1!$C$3:$Q$3)+1) - INDEX([2]Sheet1!$C$3:$Q$3,1,MATCH(D325,[2]Sheet1!$C$3:$Q$3)))*(
INDEX([2]Sheet1!$C$4:$Q$23,MATCH(K325,[2]Sheet1!$B$4:$B$23,1),MATCH(D325,[2]Sheet1!$C$3:$Q$3,1)+1) - INDEX([2]Sheet1!$C$4:$Q$23,MATCH(K325,[2]Sheet1!$B$4:$B$23,1),MATCH(D325,[2]Sheet1!$C$3:$Q$3,1)))))</f>
        <v>0</v>
      </c>
      <c r="N325">
        <f t="shared" si="98"/>
        <v>12</v>
      </c>
      <c r="O325">
        <v>8.90900405341397E-2</v>
      </c>
      <c r="P325" t="e">
        <f t="shared" si="99"/>
        <v>#DIV/0!</v>
      </c>
      <c r="Q325">
        <f t="shared" si="86"/>
        <v>0</v>
      </c>
      <c r="R325">
        <f t="shared" si="100"/>
        <v>741.9099431943954</v>
      </c>
      <c r="T325" t="e">
        <f t="shared" si="89"/>
        <v>#DIV/0!</v>
      </c>
      <c r="U325" t="e">
        <f t="shared" si="90"/>
        <v>#DIV/0!</v>
      </c>
      <c r="V325">
        <f t="shared" si="91"/>
        <v>0</v>
      </c>
      <c r="W325" t="e">
        <f t="shared" si="87"/>
        <v>#DIV/0!</v>
      </c>
    </row>
    <row r="326" spans="1:23" x14ac:dyDescent="0.55000000000000004">
      <c r="A326">
        <f t="shared" si="88"/>
        <v>29.200000000000145</v>
      </c>
      <c r="B326">
        <f t="shared" si="92"/>
        <v>0.316</v>
      </c>
      <c r="C326">
        <f t="shared" si="93"/>
        <v>-14.043478260869662</v>
      </c>
      <c r="D326">
        <v>2.4463426364956451</v>
      </c>
      <c r="E326">
        <f t="shared" si="83"/>
        <v>0</v>
      </c>
      <c r="F326">
        <f t="shared" si="94"/>
        <v>4.8605058816845369E-2</v>
      </c>
      <c r="G326">
        <f t="shared" si="95"/>
        <v>39.513748498891111</v>
      </c>
      <c r="H326">
        <f t="shared" si="96"/>
        <v>0</v>
      </c>
      <c r="I326" s="1">
        <f t="shared" si="84"/>
        <v>0</v>
      </c>
      <c r="J326">
        <f t="shared" si="97"/>
        <v>0</v>
      </c>
      <c r="K326">
        <f t="shared" si="85"/>
        <v>0</v>
      </c>
      <c r="L326" cm="1">
        <f t="array" ref="L326">IF(E326*J326=0,0,$C$21*INDEX([3]Sheet1!$C$4:$Q$23,MATCH(K326,[3]Sheet1!$B$4:$B$23,1),MATCH(D326,[3]Sheet1!$C$3:$Q$3,1))
+(K326-INDEX([3]Sheet1!$B$4:$B$23,MATCH(K326,[3]Sheet1!$B$4:$B$23,1),1))/(INDEX([3]Sheet1!$B$4:$B$23,MATCH(K326,[3]Sheet1!$B$4:$B$23,1)+1,1)-INDEX([3]Sheet1!$B$4:$B$23,
MATCH(K326,[3]Sheet1!$B$4:$B$23,1),1))*(INDEX([3]Sheet1!$C$4:$Q$23,MATCH(K326,[3]Sheet1!$B$4:$B$23,1)+1,MATCH(D326,[3]Sheet1!$C$3:$Q$3,1))-INDEX([3]Sheet1!$C$4:$Q$23,
MATCH(K326,[3]Sheet1!$B$4:$B$23,1),MATCH(D326,[3]Sheet1!$C$3:$Q$3,1)))
+(D326-INDEX([3]Sheet1!$C$3:$Q$3,1,MATCH(D326,[3]Sheet1!$C$3:$Q$3)))/(INDEX([3]Sheet1!$C$3:$Q$3,1,MATCH(D326,[3]Sheet1!$C$3:$Q$3)+1)-INDEX([3]Sheet1!$C$3:$Q$3,1,MATCH(
D326,[3]Sheet1!$C$3:$Q$3)))*(INDEX([3]Sheet1!$C$4:$Q$23,MATCH(K326,[3]Sheet1!$B$4:$B$23,1),MATCH(D326,[3]Sheet1!$C$3:$Q$3,1)+1)-INDEX([3]Sheet1!$C$4:$Q$23,MATCH(K326,[3]Sheet1!$B$4:$B$23,1),MATCH(D326,[3]Sheet1!$C$3:$Q$3,1))))</f>
        <v>0</v>
      </c>
      <c r="M326" cm="1">
        <f t="array" ref="M326" xml:space="preserve"> IF(E326*J326=0,0,(INDEX([2]Sheet1!$C$4:$Q$23,MATCH(K326,[2]Sheet1!$B$4:$B$23,1),MATCH(D326,[2]Sheet1!$C$3:$Q$3,1))
+ (K326 - INDEX([2]Sheet1!$B$4:$B$23,MATCH(K326,[2]Sheet1!$B$4:$B$23,1),1))/(INDEX([2]Sheet1!$B$4:$B$23,MATCH(K326,[2]Sheet1!$B$4:$B$23,1)+1,1) - INDEX([2]Sheet1!$B$4:$B$23,MATCH(K326,[2]Sheet1!$B$4:$B$23,1),1))*(INDEX([2]Sheet1!$C$4:$Q$23,MATCH(K326,[2]Sheet1!$B$4:$B$23,1)+1,MATCH(D326,[2]Sheet1!$C$3:$Q$3,1)) - INDEX([2]Sheet1!$C$4:$Q$23,MATCH(K326,[2]Sheet1!$B$4:$B$23,1),MATCH(D326,[2]Sheet1!$C$3:$Q$3,1)))
+ (D326 - INDEX([2]Sheet1!$C$3:$Q$3,1,MATCH(D326,[2]Sheet1!$C$3:$Q$3)))/(INDEX([2]Sheet1!$C$3:$Q$3,1,MATCH(D326,[2]Sheet1!$C$3:$Q$3)+1) - INDEX([2]Sheet1!$C$3:$Q$3,1,MATCH(D326,[2]Sheet1!$C$3:$Q$3)))*(
INDEX([2]Sheet1!$C$4:$Q$23,MATCH(K326,[2]Sheet1!$B$4:$B$23,1),MATCH(D326,[2]Sheet1!$C$3:$Q$3,1)+1) - INDEX([2]Sheet1!$C$4:$Q$23,MATCH(K326,[2]Sheet1!$B$4:$B$23,1),MATCH(D326,[2]Sheet1!$C$3:$Q$3,1)))))</f>
        <v>0</v>
      </c>
      <c r="N326">
        <f t="shared" si="98"/>
        <v>12</v>
      </c>
      <c r="O326">
        <v>8.90687907993154E-2</v>
      </c>
      <c r="P326" t="e">
        <f t="shared" si="99"/>
        <v>#DIV/0!</v>
      </c>
      <c r="Q326">
        <f t="shared" si="86"/>
        <v>0</v>
      </c>
      <c r="R326">
        <f t="shared" si="100"/>
        <v>741.9099431943954</v>
      </c>
      <c r="T326" t="e">
        <f t="shared" si="89"/>
        <v>#DIV/0!</v>
      </c>
      <c r="U326" t="e">
        <f t="shared" si="90"/>
        <v>#DIV/0!</v>
      </c>
      <c r="V326">
        <f t="shared" si="91"/>
        <v>0</v>
      </c>
      <c r="W326" t="e">
        <f t="shared" si="87"/>
        <v>#DIV/0!</v>
      </c>
    </row>
    <row r="327" spans="1:23" x14ac:dyDescent="0.55000000000000004">
      <c r="A327">
        <f t="shared" si="88"/>
        <v>29.300000000000146</v>
      </c>
      <c r="B327">
        <f t="shared" si="92"/>
        <v>0.316</v>
      </c>
      <c r="C327">
        <f t="shared" si="93"/>
        <v>-14.10869565217401</v>
      </c>
      <c r="D327">
        <v>2.4462383876272904</v>
      </c>
      <c r="E327">
        <f t="shared" si="83"/>
        <v>0</v>
      </c>
      <c r="F327">
        <f t="shared" si="94"/>
        <v>4.8605058816845369E-2</v>
      </c>
      <c r="G327">
        <f t="shared" si="95"/>
        <v>39.513748498891111</v>
      </c>
      <c r="H327">
        <f t="shared" si="96"/>
        <v>0</v>
      </c>
      <c r="I327" s="1">
        <f t="shared" si="84"/>
        <v>0</v>
      </c>
      <c r="J327">
        <f t="shared" si="97"/>
        <v>0</v>
      </c>
      <c r="K327">
        <f t="shared" si="85"/>
        <v>0</v>
      </c>
      <c r="L327" cm="1">
        <f t="array" ref="L327">IF(E327*J327=0,0,$C$21*INDEX([3]Sheet1!$C$4:$Q$23,MATCH(K327,[3]Sheet1!$B$4:$B$23,1),MATCH(D327,[3]Sheet1!$C$3:$Q$3,1))
+(K327-INDEX([3]Sheet1!$B$4:$B$23,MATCH(K327,[3]Sheet1!$B$4:$B$23,1),1))/(INDEX([3]Sheet1!$B$4:$B$23,MATCH(K327,[3]Sheet1!$B$4:$B$23,1)+1,1)-INDEX([3]Sheet1!$B$4:$B$23,
MATCH(K327,[3]Sheet1!$B$4:$B$23,1),1))*(INDEX([3]Sheet1!$C$4:$Q$23,MATCH(K327,[3]Sheet1!$B$4:$B$23,1)+1,MATCH(D327,[3]Sheet1!$C$3:$Q$3,1))-INDEX([3]Sheet1!$C$4:$Q$23,
MATCH(K327,[3]Sheet1!$B$4:$B$23,1),MATCH(D327,[3]Sheet1!$C$3:$Q$3,1)))
+(D327-INDEX([3]Sheet1!$C$3:$Q$3,1,MATCH(D327,[3]Sheet1!$C$3:$Q$3)))/(INDEX([3]Sheet1!$C$3:$Q$3,1,MATCH(D327,[3]Sheet1!$C$3:$Q$3)+1)-INDEX([3]Sheet1!$C$3:$Q$3,1,MATCH(
D327,[3]Sheet1!$C$3:$Q$3)))*(INDEX([3]Sheet1!$C$4:$Q$23,MATCH(K327,[3]Sheet1!$B$4:$B$23,1),MATCH(D327,[3]Sheet1!$C$3:$Q$3,1)+1)-INDEX([3]Sheet1!$C$4:$Q$23,MATCH(K327,[3]Sheet1!$B$4:$B$23,1),MATCH(D327,[3]Sheet1!$C$3:$Q$3,1))))</f>
        <v>0</v>
      </c>
      <c r="M327" cm="1">
        <f t="array" ref="M327" xml:space="preserve"> IF(E327*J327=0,0,(INDEX([2]Sheet1!$C$4:$Q$23,MATCH(K327,[2]Sheet1!$B$4:$B$23,1),MATCH(D327,[2]Sheet1!$C$3:$Q$3,1))
+ (K327 - INDEX([2]Sheet1!$B$4:$B$23,MATCH(K327,[2]Sheet1!$B$4:$B$23,1),1))/(INDEX([2]Sheet1!$B$4:$B$23,MATCH(K327,[2]Sheet1!$B$4:$B$23,1)+1,1) - INDEX([2]Sheet1!$B$4:$B$23,MATCH(K327,[2]Sheet1!$B$4:$B$23,1),1))*(INDEX([2]Sheet1!$C$4:$Q$23,MATCH(K327,[2]Sheet1!$B$4:$B$23,1)+1,MATCH(D327,[2]Sheet1!$C$3:$Q$3,1)) - INDEX([2]Sheet1!$C$4:$Q$23,MATCH(K327,[2]Sheet1!$B$4:$B$23,1),MATCH(D327,[2]Sheet1!$C$3:$Q$3,1)))
+ (D327 - INDEX([2]Sheet1!$C$3:$Q$3,1,MATCH(D327,[2]Sheet1!$C$3:$Q$3)))/(INDEX([2]Sheet1!$C$3:$Q$3,1,MATCH(D327,[2]Sheet1!$C$3:$Q$3)+1) - INDEX([2]Sheet1!$C$3:$Q$3,1,MATCH(D327,[2]Sheet1!$C$3:$Q$3)))*(
INDEX([2]Sheet1!$C$4:$Q$23,MATCH(K327,[2]Sheet1!$B$4:$B$23,1),MATCH(D327,[2]Sheet1!$C$3:$Q$3,1)+1) - INDEX([2]Sheet1!$C$4:$Q$23,MATCH(K327,[2]Sheet1!$B$4:$B$23,1),MATCH(D327,[2]Sheet1!$C$3:$Q$3,1)))))</f>
        <v>0</v>
      </c>
      <c r="N327">
        <f t="shared" si="98"/>
        <v>12</v>
      </c>
      <c r="O327">
        <v>8.904758829305634E-2</v>
      </c>
      <c r="P327" t="e">
        <f t="shared" si="99"/>
        <v>#DIV/0!</v>
      </c>
      <c r="Q327">
        <f t="shared" si="86"/>
        <v>0</v>
      </c>
      <c r="R327">
        <f t="shared" si="100"/>
        <v>741.9099431943954</v>
      </c>
      <c r="T327" t="e">
        <f t="shared" si="89"/>
        <v>#DIV/0!</v>
      </c>
      <c r="U327" t="e">
        <f t="shared" si="90"/>
        <v>#DIV/0!</v>
      </c>
      <c r="V327">
        <f t="shared" si="91"/>
        <v>0</v>
      </c>
      <c r="W327" t="e">
        <f t="shared" si="87"/>
        <v>#DIV/0!</v>
      </c>
    </row>
    <row r="328" spans="1:23" x14ac:dyDescent="0.55000000000000004">
      <c r="A328">
        <f t="shared" si="88"/>
        <v>29.400000000000148</v>
      </c>
      <c r="B328">
        <f t="shared" si="92"/>
        <v>0.316</v>
      </c>
      <c r="C328">
        <f t="shared" si="93"/>
        <v>-14.173913043478358</v>
      </c>
      <c r="D328">
        <v>2.4461343408575553</v>
      </c>
      <c r="E328">
        <f t="shared" si="83"/>
        <v>0</v>
      </c>
      <c r="F328">
        <f t="shared" si="94"/>
        <v>4.8605058816845369E-2</v>
      </c>
      <c r="G328">
        <f t="shared" si="95"/>
        <v>39.513748498891111</v>
      </c>
      <c r="H328">
        <f t="shared" si="96"/>
        <v>0</v>
      </c>
      <c r="I328" s="1">
        <f t="shared" si="84"/>
        <v>0</v>
      </c>
      <c r="J328">
        <f t="shared" si="97"/>
        <v>0</v>
      </c>
      <c r="K328">
        <f t="shared" si="85"/>
        <v>0</v>
      </c>
      <c r="L328" cm="1">
        <f t="array" ref="L328">IF(E328*J328=0,0,$C$21*INDEX([3]Sheet1!$C$4:$Q$23,MATCH(K328,[3]Sheet1!$B$4:$B$23,1),MATCH(D328,[3]Sheet1!$C$3:$Q$3,1))
+(K328-INDEX([3]Sheet1!$B$4:$B$23,MATCH(K328,[3]Sheet1!$B$4:$B$23,1),1))/(INDEX([3]Sheet1!$B$4:$B$23,MATCH(K328,[3]Sheet1!$B$4:$B$23,1)+1,1)-INDEX([3]Sheet1!$B$4:$B$23,
MATCH(K328,[3]Sheet1!$B$4:$B$23,1),1))*(INDEX([3]Sheet1!$C$4:$Q$23,MATCH(K328,[3]Sheet1!$B$4:$B$23,1)+1,MATCH(D328,[3]Sheet1!$C$3:$Q$3,1))-INDEX([3]Sheet1!$C$4:$Q$23,
MATCH(K328,[3]Sheet1!$B$4:$B$23,1),MATCH(D328,[3]Sheet1!$C$3:$Q$3,1)))
+(D328-INDEX([3]Sheet1!$C$3:$Q$3,1,MATCH(D328,[3]Sheet1!$C$3:$Q$3)))/(INDEX([3]Sheet1!$C$3:$Q$3,1,MATCH(D328,[3]Sheet1!$C$3:$Q$3)+1)-INDEX([3]Sheet1!$C$3:$Q$3,1,MATCH(
D328,[3]Sheet1!$C$3:$Q$3)))*(INDEX([3]Sheet1!$C$4:$Q$23,MATCH(K328,[3]Sheet1!$B$4:$B$23,1),MATCH(D328,[3]Sheet1!$C$3:$Q$3,1)+1)-INDEX([3]Sheet1!$C$4:$Q$23,MATCH(K328,[3]Sheet1!$B$4:$B$23,1),MATCH(D328,[3]Sheet1!$C$3:$Q$3,1))))</f>
        <v>0</v>
      </c>
      <c r="M328" cm="1">
        <f t="array" ref="M328" xml:space="preserve"> IF(E328*J328=0,0,(INDEX([2]Sheet1!$C$4:$Q$23,MATCH(K328,[2]Sheet1!$B$4:$B$23,1),MATCH(D328,[2]Sheet1!$C$3:$Q$3,1))
+ (K328 - INDEX([2]Sheet1!$B$4:$B$23,MATCH(K328,[2]Sheet1!$B$4:$B$23,1),1))/(INDEX([2]Sheet1!$B$4:$B$23,MATCH(K328,[2]Sheet1!$B$4:$B$23,1)+1,1) - INDEX([2]Sheet1!$B$4:$B$23,MATCH(K328,[2]Sheet1!$B$4:$B$23,1),1))*(INDEX([2]Sheet1!$C$4:$Q$23,MATCH(K328,[2]Sheet1!$B$4:$B$23,1)+1,MATCH(D328,[2]Sheet1!$C$3:$Q$3,1)) - INDEX([2]Sheet1!$C$4:$Q$23,MATCH(K328,[2]Sheet1!$B$4:$B$23,1),MATCH(D328,[2]Sheet1!$C$3:$Q$3,1)))
+ (D328 - INDEX([2]Sheet1!$C$3:$Q$3,1,MATCH(D328,[2]Sheet1!$C$3:$Q$3)))/(INDEX([2]Sheet1!$C$3:$Q$3,1,MATCH(D328,[2]Sheet1!$C$3:$Q$3)+1) - INDEX([2]Sheet1!$C$3:$Q$3,1,MATCH(D328,[2]Sheet1!$C$3:$Q$3)))*(
INDEX([2]Sheet1!$C$4:$Q$23,MATCH(K328,[2]Sheet1!$B$4:$B$23,1),MATCH(D328,[2]Sheet1!$C$3:$Q$3,1)+1) - INDEX([2]Sheet1!$C$4:$Q$23,MATCH(K328,[2]Sheet1!$B$4:$B$23,1),MATCH(D328,[2]Sheet1!$C$3:$Q$3,1)))))</f>
        <v>0</v>
      </c>
      <c r="N328">
        <f t="shared" si="98"/>
        <v>12</v>
      </c>
      <c r="O328">
        <v>8.9026432820930868E-2</v>
      </c>
      <c r="P328" t="e">
        <f t="shared" si="99"/>
        <v>#DIV/0!</v>
      </c>
      <c r="Q328">
        <f t="shared" si="86"/>
        <v>0</v>
      </c>
      <c r="R328">
        <f t="shared" si="100"/>
        <v>741.9099431943954</v>
      </c>
      <c r="T328" t="e">
        <f t="shared" si="89"/>
        <v>#DIV/0!</v>
      </c>
      <c r="U328" t="e">
        <f t="shared" si="90"/>
        <v>#DIV/0!</v>
      </c>
      <c r="V328">
        <f t="shared" si="91"/>
        <v>0</v>
      </c>
      <c r="W328" t="e">
        <f t="shared" si="87"/>
        <v>#DIV/0!</v>
      </c>
    </row>
    <row r="329" spans="1:23" x14ac:dyDescent="0.55000000000000004">
      <c r="A329">
        <f t="shared" si="88"/>
        <v>29.500000000000149</v>
      </c>
      <c r="B329">
        <f t="shared" si="92"/>
        <v>0.316</v>
      </c>
      <c r="C329">
        <f t="shared" si="93"/>
        <v>-14.239130434782709</v>
      </c>
      <c r="D329">
        <v>2.4460304953794463</v>
      </c>
      <c r="E329">
        <f t="shared" si="83"/>
        <v>0</v>
      </c>
      <c r="F329">
        <f t="shared" si="94"/>
        <v>4.8605058816845369E-2</v>
      </c>
      <c r="G329">
        <f t="shared" si="95"/>
        <v>39.513748498891111</v>
      </c>
      <c r="H329">
        <f t="shared" si="96"/>
        <v>0</v>
      </c>
      <c r="I329" s="1">
        <f t="shared" si="84"/>
        <v>0</v>
      </c>
      <c r="J329">
        <f t="shared" si="97"/>
        <v>0</v>
      </c>
      <c r="K329">
        <f t="shared" si="85"/>
        <v>0</v>
      </c>
      <c r="L329" cm="1">
        <f t="array" ref="L329">IF(E329*J329=0,0,$C$21*INDEX([3]Sheet1!$C$4:$Q$23,MATCH(K329,[3]Sheet1!$B$4:$B$23,1),MATCH(D329,[3]Sheet1!$C$3:$Q$3,1))
+(K329-INDEX([3]Sheet1!$B$4:$B$23,MATCH(K329,[3]Sheet1!$B$4:$B$23,1),1))/(INDEX([3]Sheet1!$B$4:$B$23,MATCH(K329,[3]Sheet1!$B$4:$B$23,1)+1,1)-INDEX([3]Sheet1!$B$4:$B$23,
MATCH(K329,[3]Sheet1!$B$4:$B$23,1),1))*(INDEX([3]Sheet1!$C$4:$Q$23,MATCH(K329,[3]Sheet1!$B$4:$B$23,1)+1,MATCH(D329,[3]Sheet1!$C$3:$Q$3,1))-INDEX([3]Sheet1!$C$4:$Q$23,
MATCH(K329,[3]Sheet1!$B$4:$B$23,1),MATCH(D329,[3]Sheet1!$C$3:$Q$3,1)))
+(D329-INDEX([3]Sheet1!$C$3:$Q$3,1,MATCH(D329,[3]Sheet1!$C$3:$Q$3)))/(INDEX([3]Sheet1!$C$3:$Q$3,1,MATCH(D329,[3]Sheet1!$C$3:$Q$3)+1)-INDEX([3]Sheet1!$C$3:$Q$3,1,MATCH(
D329,[3]Sheet1!$C$3:$Q$3)))*(INDEX([3]Sheet1!$C$4:$Q$23,MATCH(K329,[3]Sheet1!$B$4:$B$23,1),MATCH(D329,[3]Sheet1!$C$3:$Q$3,1)+1)-INDEX([3]Sheet1!$C$4:$Q$23,MATCH(K329,[3]Sheet1!$B$4:$B$23,1),MATCH(D329,[3]Sheet1!$C$3:$Q$3,1))))</f>
        <v>0</v>
      </c>
      <c r="M329" cm="1">
        <f t="array" ref="M329" xml:space="preserve"> IF(E329*J329=0,0,(INDEX([2]Sheet1!$C$4:$Q$23,MATCH(K329,[2]Sheet1!$B$4:$B$23,1),MATCH(D329,[2]Sheet1!$C$3:$Q$3,1))
+ (K329 - INDEX([2]Sheet1!$B$4:$B$23,MATCH(K329,[2]Sheet1!$B$4:$B$23,1),1))/(INDEX([2]Sheet1!$B$4:$B$23,MATCH(K329,[2]Sheet1!$B$4:$B$23,1)+1,1) - INDEX([2]Sheet1!$B$4:$B$23,MATCH(K329,[2]Sheet1!$B$4:$B$23,1),1))*(INDEX([2]Sheet1!$C$4:$Q$23,MATCH(K329,[2]Sheet1!$B$4:$B$23,1)+1,MATCH(D329,[2]Sheet1!$C$3:$Q$3,1)) - INDEX([2]Sheet1!$C$4:$Q$23,MATCH(K329,[2]Sheet1!$B$4:$B$23,1),MATCH(D329,[2]Sheet1!$C$3:$Q$3,1)))
+ (D329 - INDEX([2]Sheet1!$C$3:$Q$3,1,MATCH(D329,[2]Sheet1!$C$3:$Q$3)))/(INDEX([2]Sheet1!$C$3:$Q$3,1,MATCH(D329,[2]Sheet1!$C$3:$Q$3)+1) - INDEX([2]Sheet1!$C$3:$Q$3,1,MATCH(D329,[2]Sheet1!$C$3:$Q$3)))*(
INDEX([2]Sheet1!$C$4:$Q$23,MATCH(K329,[2]Sheet1!$B$4:$B$23,1),MATCH(D329,[2]Sheet1!$C$3:$Q$3,1)+1) - INDEX([2]Sheet1!$C$4:$Q$23,MATCH(K329,[2]Sheet1!$B$4:$B$23,1),MATCH(D329,[2]Sheet1!$C$3:$Q$3,1)))))</f>
        <v>0</v>
      </c>
      <c r="N329">
        <f t="shared" si="98"/>
        <v>12</v>
      </c>
      <c r="O329">
        <v>8.9005870855985922E-2</v>
      </c>
      <c r="P329" t="e">
        <f t="shared" si="99"/>
        <v>#DIV/0!</v>
      </c>
      <c r="Q329">
        <f t="shared" si="86"/>
        <v>0</v>
      </c>
      <c r="R329">
        <f t="shared" si="100"/>
        <v>741.9099431943954</v>
      </c>
      <c r="T329" t="e">
        <f t="shared" si="89"/>
        <v>#DIV/0!</v>
      </c>
      <c r="U329" t="e">
        <f t="shared" si="90"/>
        <v>#DIV/0!</v>
      </c>
      <c r="V329">
        <f t="shared" si="91"/>
        <v>0</v>
      </c>
      <c r="W329" t="e">
        <f t="shared" si="87"/>
        <v>#DIV/0!</v>
      </c>
    </row>
    <row r="330" spans="1:23" x14ac:dyDescent="0.55000000000000004">
      <c r="A330">
        <f t="shared" si="88"/>
        <v>29.600000000000151</v>
      </c>
      <c r="B330">
        <f t="shared" si="92"/>
        <v>0.316</v>
      </c>
      <c r="C330">
        <f t="shared" si="93"/>
        <v>-14.304347826087056</v>
      </c>
      <c r="D330">
        <v>2.4459268503908209</v>
      </c>
      <c r="E330">
        <f t="shared" si="83"/>
        <v>0</v>
      </c>
      <c r="F330">
        <f t="shared" si="94"/>
        <v>4.8605058816845369E-2</v>
      </c>
      <c r="G330">
        <f t="shared" si="95"/>
        <v>39.513748498891111</v>
      </c>
      <c r="H330">
        <f t="shared" si="96"/>
        <v>0</v>
      </c>
      <c r="I330" s="1">
        <f t="shared" si="84"/>
        <v>0</v>
      </c>
      <c r="J330">
        <f t="shared" si="97"/>
        <v>0</v>
      </c>
      <c r="K330">
        <f t="shared" si="85"/>
        <v>0</v>
      </c>
      <c r="L330" cm="1">
        <f t="array" ref="L330">IF(E330*J330=0,0,$C$21*INDEX([3]Sheet1!$C$4:$Q$23,MATCH(K330,[3]Sheet1!$B$4:$B$23,1),MATCH(D330,[3]Sheet1!$C$3:$Q$3,1))
+(K330-INDEX([3]Sheet1!$B$4:$B$23,MATCH(K330,[3]Sheet1!$B$4:$B$23,1),1))/(INDEX([3]Sheet1!$B$4:$B$23,MATCH(K330,[3]Sheet1!$B$4:$B$23,1)+1,1)-INDEX([3]Sheet1!$B$4:$B$23,
MATCH(K330,[3]Sheet1!$B$4:$B$23,1),1))*(INDEX([3]Sheet1!$C$4:$Q$23,MATCH(K330,[3]Sheet1!$B$4:$B$23,1)+1,MATCH(D330,[3]Sheet1!$C$3:$Q$3,1))-INDEX([3]Sheet1!$C$4:$Q$23,
MATCH(K330,[3]Sheet1!$B$4:$B$23,1),MATCH(D330,[3]Sheet1!$C$3:$Q$3,1)))
+(D330-INDEX([3]Sheet1!$C$3:$Q$3,1,MATCH(D330,[3]Sheet1!$C$3:$Q$3)))/(INDEX([3]Sheet1!$C$3:$Q$3,1,MATCH(D330,[3]Sheet1!$C$3:$Q$3)+1)-INDEX([3]Sheet1!$C$3:$Q$3,1,MATCH(
D330,[3]Sheet1!$C$3:$Q$3)))*(INDEX([3]Sheet1!$C$4:$Q$23,MATCH(K330,[3]Sheet1!$B$4:$B$23,1),MATCH(D330,[3]Sheet1!$C$3:$Q$3,1)+1)-INDEX([3]Sheet1!$C$4:$Q$23,MATCH(K330,[3]Sheet1!$B$4:$B$23,1),MATCH(D330,[3]Sheet1!$C$3:$Q$3,1))))</f>
        <v>0</v>
      </c>
      <c r="M330" cm="1">
        <f t="array" ref="M330" xml:space="preserve"> IF(E330*J330=0,0,(INDEX([2]Sheet1!$C$4:$Q$23,MATCH(K330,[2]Sheet1!$B$4:$B$23,1),MATCH(D330,[2]Sheet1!$C$3:$Q$3,1))
+ (K330 - INDEX([2]Sheet1!$B$4:$B$23,MATCH(K330,[2]Sheet1!$B$4:$B$23,1),1))/(INDEX([2]Sheet1!$B$4:$B$23,MATCH(K330,[2]Sheet1!$B$4:$B$23,1)+1,1) - INDEX([2]Sheet1!$B$4:$B$23,MATCH(K330,[2]Sheet1!$B$4:$B$23,1),1))*(INDEX([2]Sheet1!$C$4:$Q$23,MATCH(K330,[2]Sheet1!$B$4:$B$23,1)+1,MATCH(D330,[2]Sheet1!$C$3:$Q$3,1)) - INDEX([2]Sheet1!$C$4:$Q$23,MATCH(K330,[2]Sheet1!$B$4:$B$23,1),MATCH(D330,[2]Sheet1!$C$3:$Q$3,1)))
+ (D330 - INDEX([2]Sheet1!$C$3:$Q$3,1,MATCH(D330,[2]Sheet1!$C$3:$Q$3)))/(INDEX([2]Sheet1!$C$3:$Q$3,1,MATCH(D330,[2]Sheet1!$C$3:$Q$3)+1) - INDEX([2]Sheet1!$C$3:$Q$3,1,MATCH(D330,[2]Sheet1!$C$3:$Q$3)))*(
INDEX([2]Sheet1!$C$4:$Q$23,MATCH(K330,[2]Sheet1!$B$4:$B$23,1),MATCH(D330,[2]Sheet1!$C$3:$Q$3,1)+1) - INDEX([2]Sheet1!$C$4:$Q$23,MATCH(K330,[2]Sheet1!$B$4:$B$23,1),MATCH(D330,[2]Sheet1!$C$3:$Q$3,1)))))</f>
        <v>0</v>
      </c>
      <c r="N330">
        <f t="shared" si="98"/>
        <v>12</v>
      </c>
      <c r="O330">
        <v>8.8984262207279535E-2</v>
      </c>
      <c r="P330" t="e">
        <f t="shared" si="99"/>
        <v>#DIV/0!</v>
      </c>
      <c r="Q330">
        <f t="shared" si="86"/>
        <v>0</v>
      </c>
      <c r="R330">
        <f t="shared" si="100"/>
        <v>741.9099431943954</v>
      </c>
      <c r="T330" t="e">
        <f t="shared" si="89"/>
        <v>#DIV/0!</v>
      </c>
      <c r="U330" t="e">
        <f t="shared" si="90"/>
        <v>#DIV/0!</v>
      </c>
      <c r="V330">
        <f t="shared" si="91"/>
        <v>0</v>
      </c>
      <c r="W330" t="e">
        <f t="shared" si="87"/>
        <v>#DIV/0!</v>
      </c>
    </row>
    <row r="331" spans="1:23" x14ac:dyDescent="0.55000000000000004">
      <c r="A331">
        <f t="shared" si="88"/>
        <v>29.700000000000152</v>
      </c>
      <c r="B331">
        <f t="shared" si="92"/>
        <v>0.316</v>
      </c>
      <c r="C331">
        <f t="shared" si="93"/>
        <v>-14.369565217391404</v>
      </c>
      <c r="D331">
        <v>2.4458234050943521</v>
      </c>
      <c r="E331">
        <f t="shared" si="83"/>
        <v>0</v>
      </c>
      <c r="F331">
        <f t="shared" si="94"/>
        <v>4.8605058816845369E-2</v>
      </c>
      <c r="G331">
        <f t="shared" si="95"/>
        <v>39.513748498891111</v>
      </c>
      <c r="H331">
        <f t="shared" si="96"/>
        <v>0</v>
      </c>
      <c r="I331" s="1">
        <f t="shared" si="84"/>
        <v>0</v>
      </c>
      <c r="J331">
        <f t="shared" si="97"/>
        <v>0</v>
      </c>
      <c r="K331">
        <f t="shared" si="85"/>
        <v>0</v>
      </c>
      <c r="L331" cm="1">
        <f t="array" ref="L331">IF(E331*J331=0,0,$C$21*INDEX([3]Sheet1!$C$4:$Q$23,MATCH(K331,[3]Sheet1!$B$4:$B$23,1),MATCH(D331,[3]Sheet1!$C$3:$Q$3,1))
+(K331-INDEX([3]Sheet1!$B$4:$B$23,MATCH(K331,[3]Sheet1!$B$4:$B$23,1),1))/(INDEX([3]Sheet1!$B$4:$B$23,MATCH(K331,[3]Sheet1!$B$4:$B$23,1)+1,1)-INDEX([3]Sheet1!$B$4:$B$23,
MATCH(K331,[3]Sheet1!$B$4:$B$23,1),1))*(INDEX([3]Sheet1!$C$4:$Q$23,MATCH(K331,[3]Sheet1!$B$4:$B$23,1)+1,MATCH(D331,[3]Sheet1!$C$3:$Q$3,1))-INDEX([3]Sheet1!$C$4:$Q$23,
MATCH(K331,[3]Sheet1!$B$4:$B$23,1),MATCH(D331,[3]Sheet1!$C$3:$Q$3,1)))
+(D331-INDEX([3]Sheet1!$C$3:$Q$3,1,MATCH(D331,[3]Sheet1!$C$3:$Q$3)))/(INDEX([3]Sheet1!$C$3:$Q$3,1,MATCH(D331,[3]Sheet1!$C$3:$Q$3)+1)-INDEX([3]Sheet1!$C$3:$Q$3,1,MATCH(
D331,[3]Sheet1!$C$3:$Q$3)))*(INDEX([3]Sheet1!$C$4:$Q$23,MATCH(K331,[3]Sheet1!$B$4:$B$23,1),MATCH(D331,[3]Sheet1!$C$3:$Q$3,1)+1)-INDEX([3]Sheet1!$C$4:$Q$23,MATCH(K331,[3]Sheet1!$B$4:$B$23,1),MATCH(D331,[3]Sheet1!$C$3:$Q$3,1))))</f>
        <v>0</v>
      </c>
      <c r="M331" cm="1">
        <f t="array" ref="M331" xml:space="preserve"> IF(E331*J331=0,0,(INDEX([2]Sheet1!$C$4:$Q$23,MATCH(K331,[2]Sheet1!$B$4:$B$23,1),MATCH(D331,[2]Sheet1!$C$3:$Q$3,1))
+ (K331 - INDEX([2]Sheet1!$B$4:$B$23,MATCH(K331,[2]Sheet1!$B$4:$B$23,1),1))/(INDEX([2]Sheet1!$B$4:$B$23,MATCH(K331,[2]Sheet1!$B$4:$B$23,1)+1,1) - INDEX([2]Sheet1!$B$4:$B$23,MATCH(K331,[2]Sheet1!$B$4:$B$23,1),1))*(INDEX([2]Sheet1!$C$4:$Q$23,MATCH(K331,[2]Sheet1!$B$4:$B$23,1)+1,MATCH(D331,[2]Sheet1!$C$3:$Q$3,1)) - INDEX([2]Sheet1!$C$4:$Q$23,MATCH(K331,[2]Sheet1!$B$4:$B$23,1),MATCH(D331,[2]Sheet1!$C$3:$Q$3,1)))
+ (D331 - INDEX([2]Sheet1!$C$3:$Q$3,1,MATCH(D331,[2]Sheet1!$C$3:$Q$3)))/(INDEX([2]Sheet1!$C$3:$Q$3,1,MATCH(D331,[2]Sheet1!$C$3:$Q$3)+1) - INDEX([2]Sheet1!$C$3:$Q$3,1,MATCH(D331,[2]Sheet1!$C$3:$Q$3)))*(
INDEX([2]Sheet1!$C$4:$Q$23,MATCH(K331,[2]Sheet1!$B$4:$B$23,1),MATCH(D331,[2]Sheet1!$C$3:$Q$3,1)+1) - INDEX([2]Sheet1!$C$4:$Q$23,MATCH(K331,[2]Sheet1!$B$4:$B$23,1),MATCH(D331,[2]Sheet1!$C$3:$Q$3,1)))))</f>
        <v>0</v>
      </c>
      <c r="N331">
        <f t="shared" si="98"/>
        <v>12</v>
      </c>
      <c r="O331">
        <v>8.8963246682784464E-2</v>
      </c>
      <c r="P331" t="e">
        <f t="shared" si="99"/>
        <v>#DIV/0!</v>
      </c>
      <c r="Q331">
        <f t="shared" si="86"/>
        <v>0</v>
      </c>
      <c r="R331">
        <f t="shared" si="100"/>
        <v>741.9099431943954</v>
      </c>
      <c r="T331" t="e">
        <f t="shared" si="89"/>
        <v>#DIV/0!</v>
      </c>
      <c r="U331" t="e">
        <f t="shared" si="90"/>
        <v>#DIV/0!</v>
      </c>
      <c r="V331">
        <f t="shared" si="91"/>
        <v>0</v>
      </c>
      <c r="W331" t="e">
        <f t="shared" si="87"/>
        <v>#DIV/0!</v>
      </c>
    </row>
    <row r="332" spans="1:23" x14ac:dyDescent="0.55000000000000004">
      <c r="A332">
        <f t="shared" si="88"/>
        <v>29.800000000000153</v>
      </c>
      <c r="B332">
        <f t="shared" si="92"/>
        <v>0.316</v>
      </c>
      <c r="C332">
        <f t="shared" si="93"/>
        <v>-14.434782608695755</v>
      </c>
      <c r="D332">
        <v>2.4457201586974886</v>
      </c>
      <c r="E332">
        <f t="shared" si="83"/>
        <v>0</v>
      </c>
      <c r="F332">
        <f t="shared" si="94"/>
        <v>4.8605058816845369E-2</v>
      </c>
      <c r="G332">
        <f t="shared" si="95"/>
        <v>39.513748498891111</v>
      </c>
      <c r="H332">
        <f t="shared" si="96"/>
        <v>0</v>
      </c>
      <c r="I332" s="1">
        <f t="shared" si="84"/>
        <v>0</v>
      </c>
      <c r="J332">
        <f t="shared" si="97"/>
        <v>0</v>
      </c>
      <c r="K332">
        <f t="shared" si="85"/>
        <v>0</v>
      </c>
      <c r="L332" cm="1">
        <f t="array" ref="L332">IF(E332*J332=0,0,$C$21*INDEX([3]Sheet1!$C$4:$Q$23,MATCH(K332,[3]Sheet1!$B$4:$B$23,1),MATCH(D332,[3]Sheet1!$C$3:$Q$3,1))
+(K332-INDEX([3]Sheet1!$B$4:$B$23,MATCH(K332,[3]Sheet1!$B$4:$B$23,1),1))/(INDEX([3]Sheet1!$B$4:$B$23,MATCH(K332,[3]Sheet1!$B$4:$B$23,1)+1,1)-INDEX([3]Sheet1!$B$4:$B$23,
MATCH(K332,[3]Sheet1!$B$4:$B$23,1),1))*(INDEX([3]Sheet1!$C$4:$Q$23,MATCH(K332,[3]Sheet1!$B$4:$B$23,1)+1,MATCH(D332,[3]Sheet1!$C$3:$Q$3,1))-INDEX([3]Sheet1!$C$4:$Q$23,
MATCH(K332,[3]Sheet1!$B$4:$B$23,1),MATCH(D332,[3]Sheet1!$C$3:$Q$3,1)))
+(D332-INDEX([3]Sheet1!$C$3:$Q$3,1,MATCH(D332,[3]Sheet1!$C$3:$Q$3)))/(INDEX([3]Sheet1!$C$3:$Q$3,1,MATCH(D332,[3]Sheet1!$C$3:$Q$3)+1)-INDEX([3]Sheet1!$C$3:$Q$3,1,MATCH(
D332,[3]Sheet1!$C$3:$Q$3)))*(INDEX([3]Sheet1!$C$4:$Q$23,MATCH(K332,[3]Sheet1!$B$4:$B$23,1),MATCH(D332,[3]Sheet1!$C$3:$Q$3,1)+1)-INDEX([3]Sheet1!$C$4:$Q$23,MATCH(K332,[3]Sheet1!$B$4:$B$23,1),MATCH(D332,[3]Sheet1!$C$3:$Q$3,1))))</f>
        <v>0</v>
      </c>
      <c r="M332" cm="1">
        <f t="array" ref="M332" xml:space="preserve"> IF(E332*J332=0,0,(INDEX([2]Sheet1!$C$4:$Q$23,MATCH(K332,[2]Sheet1!$B$4:$B$23,1),MATCH(D332,[2]Sheet1!$C$3:$Q$3,1))
+ (K332 - INDEX([2]Sheet1!$B$4:$B$23,MATCH(K332,[2]Sheet1!$B$4:$B$23,1),1))/(INDEX([2]Sheet1!$B$4:$B$23,MATCH(K332,[2]Sheet1!$B$4:$B$23,1)+1,1) - INDEX([2]Sheet1!$B$4:$B$23,MATCH(K332,[2]Sheet1!$B$4:$B$23,1),1))*(INDEX([2]Sheet1!$C$4:$Q$23,MATCH(K332,[2]Sheet1!$B$4:$B$23,1)+1,MATCH(D332,[2]Sheet1!$C$3:$Q$3,1)) - INDEX([2]Sheet1!$C$4:$Q$23,MATCH(K332,[2]Sheet1!$B$4:$B$23,1),MATCH(D332,[2]Sheet1!$C$3:$Q$3,1)))
+ (D332 - INDEX([2]Sheet1!$C$3:$Q$3,1,MATCH(D332,[2]Sheet1!$C$3:$Q$3)))/(INDEX([2]Sheet1!$C$3:$Q$3,1,MATCH(D332,[2]Sheet1!$C$3:$Q$3)+1) - INDEX([2]Sheet1!$C$3:$Q$3,1,MATCH(D332,[2]Sheet1!$C$3:$Q$3)))*(
INDEX([2]Sheet1!$C$4:$Q$23,MATCH(K332,[2]Sheet1!$B$4:$B$23,1),MATCH(D332,[2]Sheet1!$C$3:$Q$3,1)+1) - INDEX([2]Sheet1!$C$4:$Q$23,MATCH(K332,[2]Sheet1!$B$4:$B$23,1),MATCH(D332,[2]Sheet1!$C$3:$Q$3,1)))))</f>
        <v>0</v>
      </c>
      <c r="N332">
        <f t="shared" si="98"/>
        <v>12</v>
      </c>
      <c r="O332">
        <v>8.8942277426466307E-2</v>
      </c>
      <c r="P332" t="e">
        <f t="shared" si="99"/>
        <v>#DIV/0!</v>
      </c>
      <c r="Q332">
        <f t="shared" si="86"/>
        <v>0</v>
      </c>
      <c r="R332">
        <f t="shared" si="100"/>
        <v>741.9099431943954</v>
      </c>
      <c r="T332" t="e">
        <f t="shared" si="89"/>
        <v>#DIV/0!</v>
      </c>
      <c r="U332" t="e">
        <f t="shared" si="90"/>
        <v>#DIV/0!</v>
      </c>
      <c r="V332">
        <f t="shared" si="91"/>
        <v>0</v>
      </c>
      <c r="W332" t="e">
        <f t="shared" si="87"/>
        <v>#DIV/0!</v>
      </c>
    </row>
    <row r="333" spans="1:23" x14ac:dyDescent="0.55000000000000004">
      <c r="A333">
        <f t="shared" si="88"/>
        <v>29.900000000000155</v>
      </c>
      <c r="B333">
        <f t="shared" si="92"/>
        <v>0.316</v>
      </c>
      <c r="C333">
        <f t="shared" si="93"/>
        <v>-14.500000000000103</v>
      </c>
      <c r="D333">
        <v>2.4456171104124151</v>
      </c>
      <c r="E333">
        <f t="shared" si="83"/>
        <v>0</v>
      </c>
      <c r="F333">
        <f t="shared" si="94"/>
        <v>4.8605058816845369E-2</v>
      </c>
      <c r="G333">
        <f t="shared" si="95"/>
        <v>39.513748498891111</v>
      </c>
      <c r="H333">
        <f t="shared" si="96"/>
        <v>0</v>
      </c>
      <c r="I333" s="1">
        <f t="shared" si="84"/>
        <v>0</v>
      </c>
      <c r="J333">
        <f t="shared" si="97"/>
        <v>0</v>
      </c>
      <c r="K333">
        <f t="shared" si="85"/>
        <v>0</v>
      </c>
      <c r="L333" cm="1">
        <f t="array" ref="L333">IF(E333*J333=0,0,$C$21*INDEX([3]Sheet1!$C$4:$Q$23,MATCH(K333,[3]Sheet1!$B$4:$B$23,1),MATCH(D333,[3]Sheet1!$C$3:$Q$3,1))
+(K333-INDEX([3]Sheet1!$B$4:$B$23,MATCH(K333,[3]Sheet1!$B$4:$B$23,1),1))/(INDEX([3]Sheet1!$B$4:$B$23,MATCH(K333,[3]Sheet1!$B$4:$B$23,1)+1,1)-INDEX([3]Sheet1!$B$4:$B$23,
MATCH(K333,[3]Sheet1!$B$4:$B$23,1),1))*(INDEX([3]Sheet1!$C$4:$Q$23,MATCH(K333,[3]Sheet1!$B$4:$B$23,1)+1,MATCH(D333,[3]Sheet1!$C$3:$Q$3,1))-INDEX([3]Sheet1!$C$4:$Q$23,
MATCH(K333,[3]Sheet1!$B$4:$B$23,1),MATCH(D333,[3]Sheet1!$C$3:$Q$3,1)))
+(D333-INDEX([3]Sheet1!$C$3:$Q$3,1,MATCH(D333,[3]Sheet1!$C$3:$Q$3)))/(INDEX([3]Sheet1!$C$3:$Q$3,1,MATCH(D333,[3]Sheet1!$C$3:$Q$3)+1)-INDEX([3]Sheet1!$C$3:$Q$3,1,MATCH(
D333,[3]Sheet1!$C$3:$Q$3)))*(INDEX([3]Sheet1!$C$4:$Q$23,MATCH(K333,[3]Sheet1!$B$4:$B$23,1),MATCH(D333,[3]Sheet1!$C$3:$Q$3,1)+1)-INDEX([3]Sheet1!$C$4:$Q$23,MATCH(K333,[3]Sheet1!$B$4:$B$23,1),MATCH(D333,[3]Sheet1!$C$3:$Q$3,1))))</f>
        <v>0</v>
      </c>
      <c r="M333" cm="1">
        <f t="array" ref="M333" xml:space="preserve"> IF(E333*J333=0,0,(INDEX([2]Sheet1!$C$4:$Q$23,MATCH(K333,[2]Sheet1!$B$4:$B$23,1),MATCH(D333,[2]Sheet1!$C$3:$Q$3,1))
+ (K333 - INDEX([2]Sheet1!$B$4:$B$23,MATCH(K333,[2]Sheet1!$B$4:$B$23,1),1))/(INDEX([2]Sheet1!$B$4:$B$23,MATCH(K333,[2]Sheet1!$B$4:$B$23,1)+1,1) - INDEX([2]Sheet1!$B$4:$B$23,MATCH(K333,[2]Sheet1!$B$4:$B$23,1),1))*(INDEX([2]Sheet1!$C$4:$Q$23,MATCH(K333,[2]Sheet1!$B$4:$B$23,1)+1,MATCH(D333,[2]Sheet1!$C$3:$Q$3,1)) - INDEX([2]Sheet1!$C$4:$Q$23,MATCH(K333,[2]Sheet1!$B$4:$B$23,1),MATCH(D333,[2]Sheet1!$C$3:$Q$3,1)))
+ (D333 - INDEX([2]Sheet1!$C$3:$Q$3,1,MATCH(D333,[2]Sheet1!$C$3:$Q$3)))/(INDEX([2]Sheet1!$C$3:$Q$3,1,MATCH(D333,[2]Sheet1!$C$3:$Q$3)+1) - INDEX([2]Sheet1!$C$3:$Q$3,1,MATCH(D333,[2]Sheet1!$C$3:$Q$3)))*(
INDEX([2]Sheet1!$C$4:$Q$23,MATCH(K333,[2]Sheet1!$B$4:$B$23,1),MATCH(D333,[2]Sheet1!$C$3:$Q$3,1)+1) - INDEX([2]Sheet1!$C$4:$Q$23,MATCH(K333,[2]Sheet1!$B$4:$B$23,1),MATCH(D333,[2]Sheet1!$C$3:$Q$3,1)))))</f>
        <v>0</v>
      </c>
      <c r="N333">
        <f t="shared" si="98"/>
        <v>12</v>
      </c>
      <c r="O333">
        <v>8.892135424972919E-2</v>
      </c>
      <c r="P333" t="e">
        <f t="shared" si="99"/>
        <v>#DIV/0!</v>
      </c>
      <c r="Q333">
        <f t="shared" si="86"/>
        <v>0</v>
      </c>
      <c r="R333">
        <f t="shared" si="100"/>
        <v>741.9099431943954</v>
      </c>
      <c r="T333" t="e">
        <f t="shared" si="89"/>
        <v>#DIV/0!</v>
      </c>
      <c r="U333" t="e">
        <f t="shared" si="90"/>
        <v>#DIV/0!</v>
      </c>
      <c r="V333">
        <f t="shared" si="91"/>
        <v>0</v>
      </c>
      <c r="W333" t="e">
        <f t="shared" si="87"/>
        <v>#DIV/0!</v>
      </c>
    </row>
    <row r="334" spans="1:23" x14ac:dyDescent="0.55000000000000004">
      <c r="A334">
        <f t="shared" si="88"/>
        <v>30.000000000000156</v>
      </c>
      <c r="B334">
        <f t="shared" si="92"/>
        <v>0.316</v>
      </c>
      <c r="C334">
        <f t="shared" si="93"/>
        <v>-14.565217391304451</v>
      </c>
      <c r="D334">
        <v>2.4455142594560195</v>
      </c>
      <c r="E334">
        <f t="shared" si="83"/>
        <v>0</v>
      </c>
      <c r="F334">
        <f t="shared" si="94"/>
        <v>4.8605058816845369E-2</v>
      </c>
      <c r="G334">
        <f t="shared" si="95"/>
        <v>39.513748498891111</v>
      </c>
      <c r="H334">
        <f t="shared" si="96"/>
        <v>0</v>
      </c>
      <c r="I334" s="1">
        <f t="shared" si="84"/>
        <v>0</v>
      </c>
      <c r="J334">
        <f t="shared" si="97"/>
        <v>0</v>
      </c>
      <c r="K334">
        <f t="shared" si="85"/>
        <v>0</v>
      </c>
      <c r="L334" cm="1">
        <f t="array" ref="L334">IF(E334*J334=0,0,$C$21*INDEX([3]Sheet1!$C$4:$Q$23,MATCH(K334,[3]Sheet1!$B$4:$B$23,1),MATCH(D334,[3]Sheet1!$C$3:$Q$3,1))
+(K334-INDEX([3]Sheet1!$B$4:$B$23,MATCH(K334,[3]Sheet1!$B$4:$B$23,1),1))/(INDEX([3]Sheet1!$B$4:$B$23,MATCH(K334,[3]Sheet1!$B$4:$B$23,1)+1,1)-INDEX([3]Sheet1!$B$4:$B$23,
MATCH(K334,[3]Sheet1!$B$4:$B$23,1),1))*(INDEX([3]Sheet1!$C$4:$Q$23,MATCH(K334,[3]Sheet1!$B$4:$B$23,1)+1,MATCH(D334,[3]Sheet1!$C$3:$Q$3,1))-INDEX([3]Sheet1!$C$4:$Q$23,
MATCH(K334,[3]Sheet1!$B$4:$B$23,1),MATCH(D334,[3]Sheet1!$C$3:$Q$3,1)))
+(D334-INDEX([3]Sheet1!$C$3:$Q$3,1,MATCH(D334,[3]Sheet1!$C$3:$Q$3)))/(INDEX([3]Sheet1!$C$3:$Q$3,1,MATCH(D334,[3]Sheet1!$C$3:$Q$3)+1)-INDEX([3]Sheet1!$C$3:$Q$3,1,MATCH(
D334,[3]Sheet1!$C$3:$Q$3)))*(INDEX([3]Sheet1!$C$4:$Q$23,MATCH(K334,[3]Sheet1!$B$4:$B$23,1),MATCH(D334,[3]Sheet1!$C$3:$Q$3,1)+1)-INDEX([3]Sheet1!$C$4:$Q$23,MATCH(K334,[3]Sheet1!$B$4:$B$23,1),MATCH(D334,[3]Sheet1!$C$3:$Q$3,1))))</f>
        <v>0</v>
      </c>
      <c r="M334" cm="1">
        <f t="array" ref="M334" xml:space="preserve"> IF(E334*J334=0,0,(INDEX([2]Sheet1!$C$4:$Q$23,MATCH(K334,[2]Sheet1!$B$4:$B$23,1),MATCH(D334,[2]Sheet1!$C$3:$Q$3,1))
+ (K334 - INDEX([2]Sheet1!$B$4:$B$23,MATCH(K334,[2]Sheet1!$B$4:$B$23,1),1))/(INDEX([2]Sheet1!$B$4:$B$23,MATCH(K334,[2]Sheet1!$B$4:$B$23,1)+1,1) - INDEX([2]Sheet1!$B$4:$B$23,MATCH(K334,[2]Sheet1!$B$4:$B$23,1),1))*(INDEX([2]Sheet1!$C$4:$Q$23,MATCH(K334,[2]Sheet1!$B$4:$B$23,1)+1,MATCH(D334,[2]Sheet1!$C$3:$Q$3,1)) - INDEX([2]Sheet1!$C$4:$Q$23,MATCH(K334,[2]Sheet1!$B$4:$B$23,1),MATCH(D334,[2]Sheet1!$C$3:$Q$3,1)))
+ (D334 - INDEX([2]Sheet1!$C$3:$Q$3,1,MATCH(D334,[2]Sheet1!$C$3:$Q$3)))/(INDEX([2]Sheet1!$C$3:$Q$3,1,MATCH(D334,[2]Sheet1!$C$3:$Q$3)+1) - INDEX([2]Sheet1!$C$3:$Q$3,1,MATCH(D334,[2]Sheet1!$C$3:$Q$3)))*(
INDEX([2]Sheet1!$C$4:$Q$23,MATCH(K334,[2]Sheet1!$B$4:$B$23,1),MATCH(D334,[2]Sheet1!$C$3:$Q$3,1)+1) - INDEX([2]Sheet1!$C$4:$Q$23,MATCH(K334,[2]Sheet1!$B$4:$B$23,1),MATCH(D334,[2]Sheet1!$C$3:$Q$3,1)))))</f>
        <v>0</v>
      </c>
      <c r="N334">
        <f t="shared" si="98"/>
        <v>12</v>
      </c>
      <c r="O334">
        <v>8.8900476965117478E-2</v>
      </c>
      <c r="P334" t="e">
        <f t="shared" si="99"/>
        <v>#DIV/0!</v>
      </c>
      <c r="Q334">
        <f t="shared" si="86"/>
        <v>0</v>
      </c>
      <c r="R334">
        <f t="shared" si="100"/>
        <v>741.9099431943954</v>
      </c>
      <c r="T334" t="e">
        <f t="shared" si="89"/>
        <v>#DIV/0!</v>
      </c>
      <c r="U334" t="e">
        <f t="shared" si="90"/>
        <v>#DIV/0!</v>
      </c>
      <c r="V334">
        <f t="shared" si="91"/>
        <v>0</v>
      </c>
      <c r="W334" t="e">
        <f t="shared" si="87"/>
        <v>#DIV/0!</v>
      </c>
    </row>
    <row r="335" spans="1:23" x14ac:dyDescent="0.55000000000000004">
      <c r="A335">
        <f t="shared" si="88"/>
        <v>30.100000000000158</v>
      </c>
      <c r="B335">
        <f t="shared" si="92"/>
        <v>0.316</v>
      </c>
      <c r="C335">
        <f t="shared" si="93"/>
        <v>-14.630434782608798</v>
      </c>
      <c r="D335">
        <v>2.4454116050498489</v>
      </c>
      <c r="E335">
        <f t="shared" si="83"/>
        <v>0</v>
      </c>
      <c r="F335">
        <f t="shared" si="94"/>
        <v>4.8605058816845369E-2</v>
      </c>
      <c r="G335">
        <f t="shared" si="95"/>
        <v>39.513748498891111</v>
      </c>
      <c r="H335">
        <f t="shared" si="96"/>
        <v>0</v>
      </c>
      <c r="I335" s="1">
        <f t="shared" si="84"/>
        <v>0</v>
      </c>
      <c r="J335">
        <f t="shared" si="97"/>
        <v>0</v>
      </c>
      <c r="K335">
        <f t="shared" si="85"/>
        <v>0</v>
      </c>
      <c r="L335" cm="1">
        <f t="array" ref="L335">IF(E335*J335=0,0,$C$21*INDEX([3]Sheet1!$C$4:$Q$23,MATCH(K335,[3]Sheet1!$B$4:$B$23,1),MATCH(D335,[3]Sheet1!$C$3:$Q$3,1))
+(K335-INDEX([3]Sheet1!$B$4:$B$23,MATCH(K335,[3]Sheet1!$B$4:$B$23,1),1))/(INDEX([3]Sheet1!$B$4:$B$23,MATCH(K335,[3]Sheet1!$B$4:$B$23,1)+1,1)-INDEX([3]Sheet1!$B$4:$B$23,
MATCH(K335,[3]Sheet1!$B$4:$B$23,1),1))*(INDEX([3]Sheet1!$C$4:$Q$23,MATCH(K335,[3]Sheet1!$B$4:$B$23,1)+1,MATCH(D335,[3]Sheet1!$C$3:$Q$3,1))-INDEX([3]Sheet1!$C$4:$Q$23,
MATCH(K335,[3]Sheet1!$B$4:$B$23,1),MATCH(D335,[3]Sheet1!$C$3:$Q$3,1)))
+(D335-INDEX([3]Sheet1!$C$3:$Q$3,1,MATCH(D335,[3]Sheet1!$C$3:$Q$3)))/(INDEX([3]Sheet1!$C$3:$Q$3,1,MATCH(D335,[3]Sheet1!$C$3:$Q$3)+1)-INDEX([3]Sheet1!$C$3:$Q$3,1,MATCH(
D335,[3]Sheet1!$C$3:$Q$3)))*(INDEX([3]Sheet1!$C$4:$Q$23,MATCH(K335,[3]Sheet1!$B$4:$B$23,1),MATCH(D335,[3]Sheet1!$C$3:$Q$3,1)+1)-INDEX([3]Sheet1!$C$4:$Q$23,MATCH(K335,[3]Sheet1!$B$4:$B$23,1),MATCH(D335,[3]Sheet1!$C$3:$Q$3,1))))</f>
        <v>0</v>
      </c>
      <c r="M335" cm="1">
        <f t="array" ref="M335" xml:space="preserve"> IF(E335*J335=0,0,(INDEX([2]Sheet1!$C$4:$Q$23,MATCH(K335,[2]Sheet1!$B$4:$B$23,1),MATCH(D335,[2]Sheet1!$C$3:$Q$3,1))
+ (K335 - INDEX([2]Sheet1!$B$4:$B$23,MATCH(K335,[2]Sheet1!$B$4:$B$23,1),1))/(INDEX([2]Sheet1!$B$4:$B$23,MATCH(K335,[2]Sheet1!$B$4:$B$23,1)+1,1) - INDEX([2]Sheet1!$B$4:$B$23,MATCH(K335,[2]Sheet1!$B$4:$B$23,1),1))*(INDEX([2]Sheet1!$C$4:$Q$23,MATCH(K335,[2]Sheet1!$B$4:$B$23,1)+1,MATCH(D335,[2]Sheet1!$C$3:$Q$3,1)) - INDEX([2]Sheet1!$C$4:$Q$23,MATCH(K335,[2]Sheet1!$B$4:$B$23,1),MATCH(D335,[2]Sheet1!$C$3:$Q$3,1)))
+ (D335 - INDEX([2]Sheet1!$C$3:$Q$3,1,MATCH(D335,[2]Sheet1!$C$3:$Q$3)))/(INDEX([2]Sheet1!$C$3:$Q$3,1,MATCH(D335,[2]Sheet1!$C$3:$Q$3)+1) - INDEX([2]Sheet1!$C$3:$Q$3,1,MATCH(D335,[2]Sheet1!$C$3:$Q$3)))*(
INDEX([2]Sheet1!$C$4:$Q$23,MATCH(K335,[2]Sheet1!$B$4:$B$23,1),MATCH(D335,[2]Sheet1!$C$3:$Q$3,1)+1) - INDEX([2]Sheet1!$C$4:$Q$23,MATCH(K335,[2]Sheet1!$B$4:$B$23,1),MATCH(D335,[2]Sheet1!$C$3:$Q$3,1)))))</f>
        <v>0</v>
      </c>
      <c r="N335">
        <f t="shared" si="98"/>
        <v>12</v>
      </c>
      <c r="O335">
        <v>8.8879645386305384E-2</v>
      </c>
      <c r="P335" t="e">
        <f t="shared" si="99"/>
        <v>#DIV/0!</v>
      </c>
      <c r="Q335">
        <f t="shared" si="86"/>
        <v>0</v>
      </c>
      <c r="R335">
        <f t="shared" si="100"/>
        <v>741.9099431943954</v>
      </c>
      <c r="T335" t="e">
        <f t="shared" si="89"/>
        <v>#DIV/0!</v>
      </c>
      <c r="U335" t="e">
        <f t="shared" si="90"/>
        <v>#DIV/0!</v>
      </c>
      <c r="V335">
        <f t="shared" si="91"/>
        <v>0</v>
      </c>
      <c r="W335" t="e">
        <f t="shared" si="87"/>
        <v>#DIV/0!</v>
      </c>
    </row>
    <row r="336" spans="1:23" x14ac:dyDescent="0.55000000000000004">
      <c r="A336">
        <f t="shared" si="88"/>
        <v>30.200000000000159</v>
      </c>
      <c r="B336">
        <f t="shared" si="92"/>
        <v>0.316</v>
      </c>
      <c r="C336">
        <f t="shared" si="93"/>
        <v>-14.69565217391315</v>
      </c>
      <c r="D336">
        <v>2.44530914642008</v>
      </c>
      <c r="E336">
        <f t="shared" si="83"/>
        <v>0</v>
      </c>
      <c r="F336">
        <f t="shared" si="94"/>
        <v>4.8605058816845369E-2</v>
      </c>
      <c r="G336">
        <f t="shared" si="95"/>
        <v>39.513748498891111</v>
      </c>
      <c r="H336">
        <f t="shared" si="96"/>
        <v>0</v>
      </c>
      <c r="I336" s="1">
        <f t="shared" si="84"/>
        <v>0</v>
      </c>
      <c r="J336">
        <f t="shared" si="97"/>
        <v>0</v>
      </c>
      <c r="K336">
        <f t="shared" si="85"/>
        <v>0</v>
      </c>
      <c r="L336" cm="1">
        <f t="array" ref="L336">IF(E336*J336=0,0,$C$21*INDEX([3]Sheet1!$C$4:$Q$23,MATCH(K336,[3]Sheet1!$B$4:$B$23,1),MATCH(D336,[3]Sheet1!$C$3:$Q$3,1))
+(K336-INDEX([3]Sheet1!$B$4:$B$23,MATCH(K336,[3]Sheet1!$B$4:$B$23,1),1))/(INDEX([3]Sheet1!$B$4:$B$23,MATCH(K336,[3]Sheet1!$B$4:$B$23,1)+1,1)-INDEX([3]Sheet1!$B$4:$B$23,
MATCH(K336,[3]Sheet1!$B$4:$B$23,1),1))*(INDEX([3]Sheet1!$C$4:$Q$23,MATCH(K336,[3]Sheet1!$B$4:$B$23,1)+1,MATCH(D336,[3]Sheet1!$C$3:$Q$3,1))-INDEX([3]Sheet1!$C$4:$Q$23,
MATCH(K336,[3]Sheet1!$B$4:$B$23,1),MATCH(D336,[3]Sheet1!$C$3:$Q$3,1)))
+(D336-INDEX([3]Sheet1!$C$3:$Q$3,1,MATCH(D336,[3]Sheet1!$C$3:$Q$3)))/(INDEX([3]Sheet1!$C$3:$Q$3,1,MATCH(D336,[3]Sheet1!$C$3:$Q$3)+1)-INDEX([3]Sheet1!$C$3:$Q$3,1,MATCH(
D336,[3]Sheet1!$C$3:$Q$3)))*(INDEX([3]Sheet1!$C$4:$Q$23,MATCH(K336,[3]Sheet1!$B$4:$B$23,1),MATCH(D336,[3]Sheet1!$C$3:$Q$3,1)+1)-INDEX([3]Sheet1!$C$4:$Q$23,MATCH(K336,[3]Sheet1!$B$4:$B$23,1),MATCH(D336,[3]Sheet1!$C$3:$Q$3,1))))</f>
        <v>0</v>
      </c>
      <c r="M336" cm="1">
        <f t="array" ref="M336" xml:space="preserve"> IF(E336*J336=0,0,(INDEX([2]Sheet1!$C$4:$Q$23,MATCH(K336,[2]Sheet1!$B$4:$B$23,1),MATCH(D336,[2]Sheet1!$C$3:$Q$3,1))
+ (K336 - INDEX([2]Sheet1!$B$4:$B$23,MATCH(K336,[2]Sheet1!$B$4:$B$23,1),1))/(INDEX([2]Sheet1!$B$4:$B$23,MATCH(K336,[2]Sheet1!$B$4:$B$23,1)+1,1) - INDEX([2]Sheet1!$B$4:$B$23,MATCH(K336,[2]Sheet1!$B$4:$B$23,1),1))*(INDEX([2]Sheet1!$C$4:$Q$23,MATCH(K336,[2]Sheet1!$B$4:$B$23,1)+1,MATCH(D336,[2]Sheet1!$C$3:$Q$3,1)) - INDEX([2]Sheet1!$C$4:$Q$23,MATCH(K336,[2]Sheet1!$B$4:$B$23,1),MATCH(D336,[2]Sheet1!$C$3:$Q$3,1)))
+ (D336 - INDEX([2]Sheet1!$C$3:$Q$3,1,MATCH(D336,[2]Sheet1!$C$3:$Q$3)))/(INDEX([2]Sheet1!$C$3:$Q$3,1,MATCH(D336,[2]Sheet1!$C$3:$Q$3)+1) - INDEX([2]Sheet1!$C$3:$Q$3,1,MATCH(D336,[2]Sheet1!$C$3:$Q$3)))*(
INDEX([2]Sheet1!$C$4:$Q$23,MATCH(K336,[2]Sheet1!$B$4:$B$23,1),MATCH(D336,[2]Sheet1!$C$3:$Q$3,1)+1) - INDEX([2]Sheet1!$C$4:$Q$23,MATCH(K336,[2]Sheet1!$B$4:$B$23,1),MATCH(D336,[2]Sheet1!$C$3:$Q$3,1)))))</f>
        <v>0</v>
      </c>
      <c r="N336">
        <f t="shared" si="98"/>
        <v>12</v>
      </c>
      <c r="O336">
        <v>8.8858859328088236E-2</v>
      </c>
      <c r="P336" t="e">
        <f t="shared" si="99"/>
        <v>#DIV/0!</v>
      </c>
      <c r="Q336">
        <f t="shared" si="86"/>
        <v>0</v>
      </c>
      <c r="R336">
        <f t="shared" si="100"/>
        <v>741.9099431943954</v>
      </c>
      <c r="T336" t="e">
        <f t="shared" si="89"/>
        <v>#DIV/0!</v>
      </c>
      <c r="U336" t="e">
        <f t="shared" si="90"/>
        <v>#DIV/0!</v>
      </c>
      <c r="V336">
        <f t="shared" si="91"/>
        <v>0</v>
      </c>
      <c r="W336" t="e">
        <f t="shared" si="87"/>
        <v>#DIV/0!</v>
      </c>
    </row>
    <row r="337" spans="1:23" x14ac:dyDescent="0.55000000000000004">
      <c r="A337">
        <f t="shared" si="88"/>
        <v>30.300000000000161</v>
      </c>
      <c r="B337">
        <f t="shared" si="92"/>
        <v>0.316</v>
      </c>
      <c r="C337">
        <f t="shared" si="93"/>
        <v>-14.760869565217501</v>
      </c>
      <c r="D337">
        <v>2.445206882797474</v>
      </c>
      <c r="E337">
        <f t="shared" si="83"/>
        <v>0</v>
      </c>
      <c r="F337">
        <f t="shared" si="94"/>
        <v>4.8605058816845369E-2</v>
      </c>
      <c r="G337">
        <f t="shared" si="95"/>
        <v>39.513748498891111</v>
      </c>
      <c r="H337">
        <f t="shared" si="96"/>
        <v>0</v>
      </c>
      <c r="I337" s="1">
        <f t="shared" si="84"/>
        <v>0</v>
      </c>
      <c r="J337">
        <f t="shared" si="97"/>
        <v>0</v>
      </c>
      <c r="K337">
        <f t="shared" si="85"/>
        <v>0</v>
      </c>
      <c r="L337" cm="1">
        <f t="array" ref="L337">IF(E337*J337=0,0,$C$21*INDEX([3]Sheet1!$C$4:$Q$23,MATCH(K337,[3]Sheet1!$B$4:$B$23,1),MATCH(D337,[3]Sheet1!$C$3:$Q$3,1))
+(K337-INDEX([3]Sheet1!$B$4:$B$23,MATCH(K337,[3]Sheet1!$B$4:$B$23,1),1))/(INDEX([3]Sheet1!$B$4:$B$23,MATCH(K337,[3]Sheet1!$B$4:$B$23,1)+1,1)-INDEX([3]Sheet1!$B$4:$B$23,
MATCH(K337,[3]Sheet1!$B$4:$B$23,1),1))*(INDEX([3]Sheet1!$C$4:$Q$23,MATCH(K337,[3]Sheet1!$B$4:$B$23,1)+1,MATCH(D337,[3]Sheet1!$C$3:$Q$3,1))-INDEX([3]Sheet1!$C$4:$Q$23,
MATCH(K337,[3]Sheet1!$B$4:$B$23,1),MATCH(D337,[3]Sheet1!$C$3:$Q$3,1)))
+(D337-INDEX([3]Sheet1!$C$3:$Q$3,1,MATCH(D337,[3]Sheet1!$C$3:$Q$3)))/(INDEX([3]Sheet1!$C$3:$Q$3,1,MATCH(D337,[3]Sheet1!$C$3:$Q$3)+1)-INDEX([3]Sheet1!$C$3:$Q$3,1,MATCH(
D337,[3]Sheet1!$C$3:$Q$3)))*(INDEX([3]Sheet1!$C$4:$Q$23,MATCH(K337,[3]Sheet1!$B$4:$B$23,1),MATCH(D337,[3]Sheet1!$C$3:$Q$3,1)+1)-INDEX([3]Sheet1!$C$4:$Q$23,MATCH(K337,[3]Sheet1!$B$4:$B$23,1),MATCH(D337,[3]Sheet1!$C$3:$Q$3,1))))</f>
        <v>0</v>
      </c>
      <c r="M337" cm="1">
        <f t="array" ref="M337" xml:space="preserve"> IF(E337*J337=0,0,(INDEX([2]Sheet1!$C$4:$Q$23,MATCH(K337,[2]Sheet1!$B$4:$B$23,1),MATCH(D337,[2]Sheet1!$C$3:$Q$3,1))
+ (K337 - INDEX([2]Sheet1!$B$4:$B$23,MATCH(K337,[2]Sheet1!$B$4:$B$23,1),1))/(INDEX([2]Sheet1!$B$4:$B$23,MATCH(K337,[2]Sheet1!$B$4:$B$23,1)+1,1) - INDEX([2]Sheet1!$B$4:$B$23,MATCH(K337,[2]Sheet1!$B$4:$B$23,1),1))*(INDEX([2]Sheet1!$C$4:$Q$23,MATCH(K337,[2]Sheet1!$B$4:$B$23,1)+1,MATCH(D337,[2]Sheet1!$C$3:$Q$3,1)) - INDEX([2]Sheet1!$C$4:$Q$23,MATCH(K337,[2]Sheet1!$B$4:$B$23,1),MATCH(D337,[2]Sheet1!$C$3:$Q$3,1)))
+ (D337 - INDEX([2]Sheet1!$C$3:$Q$3,1,MATCH(D337,[2]Sheet1!$C$3:$Q$3)))/(INDEX([2]Sheet1!$C$3:$Q$3,1,MATCH(D337,[2]Sheet1!$C$3:$Q$3)+1) - INDEX([2]Sheet1!$C$3:$Q$3,1,MATCH(D337,[2]Sheet1!$C$3:$Q$3)))*(
INDEX([2]Sheet1!$C$4:$Q$23,MATCH(K337,[2]Sheet1!$B$4:$B$23,1),MATCH(D337,[2]Sheet1!$C$3:$Q$3,1)+1) - INDEX([2]Sheet1!$C$4:$Q$23,MATCH(K337,[2]Sheet1!$B$4:$B$23,1),MATCH(D337,[2]Sheet1!$C$3:$Q$3,1)))))</f>
        <v>0</v>
      </c>
      <c r="N337">
        <f t="shared" si="98"/>
        <v>12</v>
      </c>
      <c r="O337">
        <v>8.8838118606372543E-2</v>
      </c>
      <c r="P337" t="e">
        <f t="shared" si="99"/>
        <v>#DIV/0!</v>
      </c>
      <c r="Q337">
        <f t="shared" si="86"/>
        <v>0</v>
      </c>
      <c r="R337">
        <f t="shared" si="100"/>
        <v>741.9099431943954</v>
      </c>
      <c r="T337" t="e">
        <f t="shared" si="89"/>
        <v>#DIV/0!</v>
      </c>
      <c r="U337" t="e">
        <f t="shared" si="90"/>
        <v>#DIV/0!</v>
      </c>
      <c r="V337">
        <f t="shared" si="91"/>
        <v>0</v>
      </c>
      <c r="W337" t="e">
        <f t="shared" si="87"/>
        <v>#DIV/0!</v>
      </c>
    </row>
    <row r="338" spans="1:23" x14ac:dyDescent="0.55000000000000004">
      <c r="A338">
        <f t="shared" si="88"/>
        <v>30.400000000000162</v>
      </c>
      <c r="B338">
        <f t="shared" si="92"/>
        <v>0.316</v>
      </c>
      <c r="C338">
        <f t="shared" si="93"/>
        <v>-14.826086956521845</v>
      </c>
      <c r="D338">
        <v>2.4451048134173483</v>
      </c>
      <c r="E338">
        <f t="shared" si="83"/>
        <v>0</v>
      </c>
      <c r="F338">
        <f t="shared" si="94"/>
        <v>4.8605058816845369E-2</v>
      </c>
      <c r="G338">
        <f t="shared" si="95"/>
        <v>39.513748498891111</v>
      </c>
      <c r="H338">
        <f t="shared" si="96"/>
        <v>0</v>
      </c>
      <c r="I338" s="1">
        <f t="shared" si="84"/>
        <v>0</v>
      </c>
      <c r="J338">
        <f t="shared" si="97"/>
        <v>0</v>
      </c>
      <c r="K338">
        <f t="shared" si="85"/>
        <v>0</v>
      </c>
      <c r="L338" cm="1">
        <f t="array" ref="L338">IF(E338*J338=0,0,$C$21*INDEX([3]Sheet1!$C$4:$Q$23,MATCH(K338,[3]Sheet1!$B$4:$B$23,1),MATCH(D338,[3]Sheet1!$C$3:$Q$3,1))
+(K338-INDEX([3]Sheet1!$B$4:$B$23,MATCH(K338,[3]Sheet1!$B$4:$B$23,1),1))/(INDEX([3]Sheet1!$B$4:$B$23,MATCH(K338,[3]Sheet1!$B$4:$B$23,1)+1,1)-INDEX([3]Sheet1!$B$4:$B$23,
MATCH(K338,[3]Sheet1!$B$4:$B$23,1),1))*(INDEX([3]Sheet1!$C$4:$Q$23,MATCH(K338,[3]Sheet1!$B$4:$B$23,1)+1,MATCH(D338,[3]Sheet1!$C$3:$Q$3,1))-INDEX([3]Sheet1!$C$4:$Q$23,
MATCH(K338,[3]Sheet1!$B$4:$B$23,1),MATCH(D338,[3]Sheet1!$C$3:$Q$3,1)))
+(D338-INDEX([3]Sheet1!$C$3:$Q$3,1,MATCH(D338,[3]Sheet1!$C$3:$Q$3)))/(INDEX([3]Sheet1!$C$3:$Q$3,1,MATCH(D338,[3]Sheet1!$C$3:$Q$3)+1)-INDEX([3]Sheet1!$C$3:$Q$3,1,MATCH(
D338,[3]Sheet1!$C$3:$Q$3)))*(INDEX([3]Sheet1!$C$4:$Q$23,MATCH(K338,[3]Sheet1!$B$4:$B$23,1),MATCH(D338,[3]Sheet1!$C$3:$Q$3,1)+1)-INDEX([3]Sheet1!$C$4:$Q$23,MATCH(K338,[3]Sheet1!$B$4:$B$23,1),MATCH(D338,[3]Sheet1!$C$3:$Q$3,1))))</f>
        <v>0</v>
      </c>
      <c r="M338" cm="1">
        <f t="array" ref="M338" xml:space="preserve"> IF(E338*J338=0,0,(INDEX([2]Sheet1!$C$4:$Q$23,MATCH(K338,[2]Sheet1!$B$4:$B$23,1),MATCH(D338,[2]Sheet1!$C$3:$Q$3,1))
+ (K338 - INDEX([2]Sheet1!$B$4:$B$23,MATCH(K338,[2]Sheet1!$B$4:$B$23,1),1))/(INDEX([2]Sheet1!$B$4:$B$23,MATCH(K338,[2]Sheet1!$B$4:$B$23,1)+1,1) - INDEX([2]Sheet1!$B$4:$B$23,MATCH(K338,[2]Sheet1!$B$4:$B$23,1),1))*(INDEX([2]Sheet1!$C$4:$Q$23,MATCH(K338,[2]Sheet1!$B$4:$B$23,1)+1,MATCH(D338,[2]Sheet1!$C$3:$Q$3,1)) - INDEX([2]Sheet1!$C$4:$Q$23,MATCH(K338,[2]Sheet1!$B$4:$B$23,1),MATCH(D338,[2]Sheet1!$C$3:$Q$3,1)))
+ (D338 - INDEX([2]Sheet1!$C$3:$Q$3,1,MATCH(D338,[2]Sheet1!$C$3:$Q$3)))/(INDEX([2]Sheet1!$C$3:$Q$3,1,MATCH(D338,[2]Sheet1!$C$3:$Q$3)+1) - INDEX([2]Sheet1!$C$3:$Q$3,1,MATCH(D338,[2]Sheet1!$C$3:$Q$3)))*(
INDEX([2]Sheet1!$C$4:$Q$23,MATCH(K338,[2]Sheet1!$B$4:$B$23,1),MATCH(D338,[2]Sheet1!$C$3:$Q$3,1)+1) - INDEX([2]Sheet1!$C$4:$Q$23,MATCH(K338,[2]Sheet1!$B$4:$B$23,1),MATCH(D338,[2]Sheet1!$C$3:$Q$3,1)))))</f>
        <v>0</v>
      </c>
      <c r="N338">
        <f t="shared" si="98"/>
        <v>12</v>
      </c>
      <c r="O338">
        <v>8.8817423038169085E-2</v>
      </c>
      <c r="P338" t="e">
        <f>SQRT(2*(M338^2)/(M338-1)*((2/(M338+1))^((M338+1)/(M338-1)))*(1-(O338/D338)^((M338-1)/M338)))+((O338-$C$22)/D338)*(($C$24^2)/($C$23^2))</f>
        <v>#DIV/0!</v>
      </c>
      <c r="Q338">
        <f t="shared" si="86"/>
        <v>0</v>
      </c>
      <c r="R338">
        <f t="shared" si="100"/>
        <v>741.9099431943954</v>
      </c>
      <c r="T338" t="e">
        <f t="shared" si="89"/>
        <v>#DIV/0!</v>
      </c>
      <c r="U338" t="e">
        <f t="shared" si="90"/>
        <v>#DIV/0!</v>
      </c>
      <c r="V338">
        <f t="shared" si="91"/>
        <v>0</v>
      </c>
      <c r="W338" t="e">
        <f t="shared" si="87"/>
        <v>#DIV/0!</v>
      </c>
    </row>
    <row r="339" spans="1:23" x14ac:dyDescent="0.55000000000000004">
      <c r="A339">
        <f t="shared" si="88"/>
        <v>30.500000000000163</v>
      </c>
      <c r="B339">
        <f t="shared" si="92"/>
        <v>0.316</v>
      </c>
      <c r="C339">
        <f t="shared" si="93"/>
        <v>-14.891304347826193</v>
      </c>
      <c r="D339">
        <v>2.4450029375195337</v>
      </c>
      <c r="E339">
        <f t="shared" si="83"/>
        <v>0</v>
      </c>
      <c r="F339">
        <f t="shared" si="94"/>
        <v>4.8605058816845369E-2</v>
      </c>
      <c r="G339">
        <f t="shared" si="95"/>
        <v>39.513748498891111</v>
      </c>
      <c r="H339">
        <f t="shared" si="96"/>
        <v>0</v>
      </c>
      <c r="I339" s="1">
        <f t="shared" si="84"/>
        <v>0</v>
      </c>
      <c r="J339">
        <f t="shared" si="97"/>
        <v>0</v>
      </c>
      <c r="K339">
        <f t="shared" si="85"/>
        <v>0</v>
      </c>
      <c r="L339" cm="1">
        <f t="array" ref="L339">IF(E339*J339=0,0,$C$21*INDEX([3]Sheet1!$C$4:$Q$23,MATCH(K339,[3]Sheet1!$B$4:$B$23,1),MATCH(D339,[3]Sheet1!$C$3:$Q$3,1))
+(K339-INDEX([3]Sheet1!$B$4:$B$23,MATCH(K339,[3]Sheet1!$B$4:$B$23,1),1))/(INDEX([3]Sheet1!$B$4:$B$23,MATCH(K339,[3]Sheet1!$B$4:$B$23,1)+1,1)-INDEX([3]Sheet1!$B$4:$B$23,
MATCH(K339,[3]Sheet1!$B$4:$B$23,1),1))*(INDEX([3]Sheet1!$C$4:$Q$23,MATCH(K339,[3]Sheet1!$B$4:$B$23,1)+1,MATCH(D339,[3]Sheet1!$C$3:$Q$3,1))-INDEX([3]Sheet1!$C$4:$Q$23,
MATCH(K339,[3]Sheet1!$B$4:$B$23,1),MATCH(D339,[3]Sheet1!$C$3:$Q$3,1)))
+(D339-INDEX([3]Sheet1!$C$3:$Q$3,1,MATCH(D339,[3]Sheet1!$C$3:$Q$3)))/(INDEX([3]Sheet1!$C$3:$Q$3,1,MATCH(D339,[3]Sheet1!$C$3:$Q$3)+1)-INDEX([3]Sheet1!$C$3:$Q$3,1,MATCH(
D339,[3]Sheet1!$C$3:$Q$3)))*(INDEX([3]Sheet1!$C$4:$Q$23,MATCH(K339,[3]Sheet1!$B$4:$B$23,1),MATCH(D339,[3]Sheet1!$C$3:$Q$3,1)+1)-INDEX([3]Sheet1!$C$4:$Q$23,MATCH(K339,[3]Sheet1!$B$4:$B$23,1),MATCH(D339,[3]Sheet1!$C$3:$Q$3,1))))</f>
        <v>0</v>
      </c>
      <c r="M339" cm="1">
        <f t="array" ref="M339" xml:space="preserve"> IF(E339*J339=0,0,(INDEX([2]Sheet1!$C$4:$Q$23,MATCH(K339,[2]Sheet1!$B$4:$B$23,1),MATCH(D339,[2]Sheet1!$C$3:$Q$3,1))
+ (K339 - INDEX([2]Sheet1!$B$4:$B$23,MATCH(K339,[2]Sheet1!$B$4:$B$23,1),1))/(INDEX([2]Sheet1!$B$4:$B$23,MATCH(K339,[2]Sheet1!$B$4:$B$23,1)+1,1) - INDEX([2]Sheet1!$B$4:$B$23,MATCH(K339,[2]Sheet1!$B$4:$B$23,1),1))*(INDEX([2]Sheet1!$C$4:$Q$23,MATCH(K339,[2]Sheet1!$B$4:$B$23,1)+1,MATCH(D339,[2]Sheet1!$C$3:$Q$3,1)) - INDEX([2]Sheet1!$C$4:$Q$23,MATCH(K339,[2]Sheet1!$B$4:$B$23,1),MATCH(D339,[2]Sheet1!$C$3:$Q$3,1)))
+ (D339 - INDEX([2]Sheet1!$C$3:$Q$3,1,MATCH(D339,[2]Sheet1!$C$3:$Q$3)))/(INDEX([2]Sheet1!$C$3:$Q$3,1,MATCH(D339,[2]Sheet1!$C$3:$Q$3)+1) - INDEX([2]Sheet1!$C$3:$Q$3,1,MATCH(D339,[2]Sheet1!$C$3:$Q$3)))*(
INDEX([2]Sheet1!$C$4:$Q$23,MATCH(K339,[2]Sheet1!$B$4:$B$23,1),MATCH(D339,[2]Sheet1!$C$3:$Q$3,1)+1) - INDEX([2]Sheet1!$C$4:$Q$23,MATCH(K339,[2]Sheet1!$B$4:$B$23,1),MATCH(D339,[2]Sheet1!$C$3:$Q$3,1)))))</f>
        <v>0</v>
      </c>
      <c r="N339">
        <f t="shared" si="98"/>
        <v>12</v>
      </c>
      <c r="O339">
        <v>8.8796772441582128E-2</v>
      </c>
      <c r="P339" t="e">
        <f t="shared" si="99"/>
        <v>#DIV/0!</v>
      </c>
      <c r="Q339">
        <f t="shared" si="86"/>
        <v>0</v>
      </c>
      <c r="R339">
        <f t="shared" si="100"/>
        <v>741.9099431943954</v>
      </c>
      <c r="T339" t="e">
        <f t="shared" si="89"/>
        <v>#DIV/0!</v>
      </c>
      <c r="U339" t="e">
        <f t="shared" si="90"/>
        <v>#DIV/0!</v>
      </c>
      <c r="V339">
        <f t="shared" si="91"/>
        <v>0</v>
      </c>
      <c r="W339" t="e">
        <f t="shared" si="87"/>
        <v>#DIV/0!</v>
      </c>
    </row>
    <row r="340" spans="1:23" x14ac:dyDescent="0.55000000000000004">
      <c r="A340">
        <f t="shared" si="88"/>
        <v>30.600000000000165</v>
      </c>
      <c r="B340">
        <f t="shared" si="92"/>
        <v>0.316</v>
      </c>
      <c r="C340">
        <f t="shared" si="93"/>
        <v>-14.956521739130544</v>
      </c>
      <c r="D340">
        <v>2.4449012543483457</v>
      </c>
      <c r="E340">
        <f t="shared" si="83"/>
        <v>0</v>
      </c>
      <c r="F340">
        <f t="shared" si="94"/>
        <v>4.8605058816845369E-2</v>
      </c>
      <c r="G340">
        <f t="shared" si="95"/>
        <v>39.513748498891111</v>
      </c>
      <c r="H340">
        <f t="shared" si="96"/>
        <v>0</v>
      </c>
      <c r="I340" s="1">
        <f t="shared" si="84"/>
        <v>0</v>
      </c>
      <c r="J340">
        <f t="shared" si="97"/>
        <v>0</v>
      </c>
      <c r="K340">
        <f t="shared" si="85"/>
        <v>0</v>
      </c>
      <c r="L340" cm="1">
        <f t="array" ref="L340">IF(E340*J340=0,0,$C$21*INDEX([3]Sheet1!$C$4:$Q$23,MATCH(K340,[3]Sheet1!$B$4:$B$23,1),MATCH(D340,[3]Sheet1!$C$3:$Q$3,1))
+(K340-INDEX([3]Sheet1!$B$4:$B$23,MATCH(K340,[3]Sheet1!$B$4:$B$23,1),1))/(INDEX([3]Sheet1!$B$4:$B$23,MATCH(K340,[3]Sheet1!$B$4:$B$23,1)+1,1)-INDEX([3]Sheet1!$B$4:$B$23,
MATCH(K340,[3]Sheet1!$B$4:$B$23,1),1))*(INDEX([3]Sheet1!$C$4:$Q$23,MATCH(K340,[3]Sheet1!$B$4:$B$23,1)+1,MATCH(D340,[3]Sheet1!$C$3:$Q$3,1))-INDEX([3]Sheet1!$C$4:$Q$23,
MATCH(K340,[3]Sheet1!$B$4:$B$23,1),MATCH(D340,[3]Sheet1!$C$3:$Q$3,1)))
+(D340-INDEX([3]Sheet1!$C$3:$Q$3,1,MATCH(D340,[3]Sheet1!$C$3:$Q$3)))/(INDEX([3]Sheet1!$C$3:$Q$3,1,MATCH(D340,[3]Sheet1!$C$3:$Q$3)+1)-INDEX([3]Sheet1!$C$3:$Q$3,1,MATCH(
D340,[3]Sheet1!$C$3:$Q$3)))*(INDEX([3]Sheet1!$C$4:$Q$23,MATCH(K340,[3]Sheet1!$B$4:$B$23,1),MATCH(D340,[3]Sheet1!$C$3:$Q$3,1)+1)-INDEX([3]Sheet1!$C$4:$Q$23,MATCH(K340,[3]Sheet1!$B$4:$B$23,1),MATCH(D340,[3]Sheet1!$C$3:$Q$3,1))))</f>
        <v>0</v>
      </c>
      <c r="M340" cm="1">
        <f t="array" ref="M340" xml:space="preserve"> IF(E340*J340=0,0,(INDEX([2]Sheet1!$C$4:$Q$23,MATCH(K340,[2]Sheet1!$B$4:$B$23,1),MATCH(D340,[2]Sheet1!$C$3:$Q$3,1))
+ (K340 - INDEX([2]Sheet1!$B$4:$B$23,MATCH(K340,[2]Sheet1!$B$4:$B$23,1),1))/(INDEX([2]Sheet1!$B$4:$B$23,MATCH(K340,[2]Sheet1!$B$4:$B$23,1)+1,1) - INDEX([2]Sheet1!$B$4:$B$23,MATCH(K340,[2]Sheet1!$B$4:$B$23,1),1))*(INDEX([2]Sheet1!$C$4:$Q$23,MATCH(K340,[2]Sheet1!$B$4:$B$23,1)+1,MATCH(D340,[2]Sheet1!$C$3:$Q$3,1)) - INDEX([2]Sheet1!$C$4:$Q$23,MATCH(K340,[2]Sheet1!$B$4:$B$23,1),MATCH(D340,[2]Sheet1!$C$3:$Q$3,1)))
+ (D340 - INDEX([2]Sheet1!$C$3:$Q$3,1,MATCH(D340,[2]Sheet1!$C$3:$Q$3)))/(INDEX([2]Sheet1!$C$3:$Q$3,1,MATCH(D340,[2]Sheet1!$C$3:$Q$3)+1) - INDEX([2]Sheet1!$C$3:$Q$3,1,MATCH(D340,[2]Sheet1!$C$3:$Q$3)))*(
INDEX([2]Sheet1!$C$4:$Q$23,MATCH(K340,[2]Sheet1!$B$4:$B$23,1),MATCH(D340,[2]Sheet1!$C$3:$Q$3,1)+1) - INDEX([2]Sheet1!$C$4:$Q$23,MATCH(K340,[2]Sheet1!$B$4:$B$23,1),MATCH(D340,[2]Sheet1!$C$3:$Q$3,1)))))</f>
        <v>0</v>
      </c>
      <c r="N340">
        <f t="shared" si="98"/>
        <v>12</v>
      </c>
      <c r="O340">
        <v>8.8776166635802206E-2</v>
      </c>
      <c r="P340" t="e">
        <f t="shared" si="99"/>
        <v>#DIV/0!</v>
      </c>
      <c r="Q340">
        <f t="shared" si="86"/>
        <v>0</v>
      </c>
      <c r="R340">
        <f t="shared" si="100"/>
        <v>741.9099431943954</v>
      </c>
      <c r="T340" t="e">
        <f t="shared" si="89"/>
        <v>#DIV/0!</v>
      </c>
      <c r="U340" t="e">
        <f t="shared" si="90"/>
        <v>#DIV/0!</v>
      </c>
      <c r="V340">
        <f t="shared" si="91"/>
        <v>0</v>
      </c>
      <c r="W340" t="e">
        <f t="shared" si="87"/>
        <v>#DIV/0!</v>
      </c>
    </row>
    <row r="341" spans="1:23" x14ac:dyDescent="0.55000000000000004">
      <c r="A341">
        <f t="shared" si="88"/>
        <v>30.700000000000166</v>
      </c>
      <c r="B341">
        <f t="shared" si="92"/>
        <v>0.316</v>
      </c>
      <c r="C341">
        <f t="shared" si="93"/>
        <v>-15.021739130434895</v>
      </c>
      <c r="D341">
        <v>2.4447997631525431</v>
      </c>
      <c r="E341">
        <f t="shared" si="83"/>
        <v>0</v>
      </c>
      <c r="F341">
        <f t="shared" si="94"/>
        <v>4.8605058816845369E-2</v>
      </c>
      <c r="G341">
        <f t="shared" si="95"/>
        <v>39.513748498891111</v>
      </c>
      <c r="H341">
        <f t="shared" si="96"/>
        <v>0</v>
      </c>
      <c r="I341" s="1">
        <f t="shared" si="84"/>
        <v>0</v>
      </c>
      <c r="J341">
        <f t="shared" si="97"/>
        <v>0</v>
      </c>
      <c r="K341">
        <f t="shared" si="85"/>
        <v>0</v>
      </c>
      <c r="L341" cm="1">
        <f t="array" ref="L341">IF(E341*J341=0,0,$C$21*INDEX([3]Sheet1!$C$4:$Q$23,MATCH(K341,[3]Sheet1!$B$4:$B$23,1),MATCH(D341,[3]Sheet1!$C$3:$Q$3,1))
+(K341-INDEX([3]Sheet1!$B$4:$B$23,MATCH(K341,[3]Sheet1!$B$4:$B$23,1),1))/(INDEX([3]Sheet1!$B$4:$B$23,MATCH(K341,[3]Sheet1!$B$4:$B$23,1)+1,1)-INDEX([3]Sheet1!$B$4:$B$23,
MATCH(K341,[3]Sheet1!$B$4:$B$23,1),1))*(INDEX([3]Sheet1!$C$4:$Q$23,MATCH(K341,[3]Sheet1!$B$4:$B$23,1)+1,MATCH(D341,[3]Sheet1!$C$3:$Q$3,1))-INDEX([3]Sheet1!$C$4:$Q$23,
MATCH(K341,[3]Sheet1!$B$4:$B$23,1),MATCH(D341,[3]Sheet1!$C$3:$Q$3,1)))
+(D341-INDEX([3]Sheet1!$C$3:$Q$3,1,MATCH(D341,[3]Sheet1!$C$3:$Q$3)))/(INDEX([3]Sheet1!$C$3:$Q$3,1,MATCH(D341,[3]Sheet1!$C$3:$Q$3)+1)-INDEX([3]Sheet1!$C$3:$Q$3,1,MATCH(
D341,[3]Sheet1!$C$3:$Q$3)))*(INDEX([3]Sheet1!$C$4:$Q$23,MATCH(K341,[3]Sheet1!$B$4:$B$23,1),MATCH(D341,[3]Sheet1!$C$3:$Q$3,1)+1)-INDEX([3]Sheet1!$C$4:$Q$23,MATCH(K341,[3]Sheet1!$B$4:$B$23,1),MATCH(D341,[3]Sheet1!$C$3:$Q$3,1))))</f>
        <v>0</v>
      </c>
      <c r="M341" cm="1">
        <f t="array" ref="M341" xml:space="preserve"> IF(E341*J341=0,0,(INDEX([2]Sheet1!$C$4:$Q$23,MATCH(K341,[2]Sheet1!$B$4:$B$23,1),MATCH(D341,[2]Sheet1!$C$3:$Q$3,1))
+ (K341 - INDEX([2]Sheet1!$B$4:$B$23,MATCH(K341,[2]Sheet1!$B$4:$B$23,1),1))/(INDEX([2]Sheet1!$B$4:$B$23,MATCH(K341,[2]Sheet1!$B$4:$B$23,1)+1,1) - INDEX([2]Sheet1!$B$4:$B$23,MATCH(K341,[2]Sheet1!$B$4:$B$23,1),1))*(INDEX([2]Sheet1!$C$4:$Q$23,MATCH(K341,[2]Sheet1!$B$4:$B$23,1)+1,MATCH(D341,[2]Sheet1!$C$3:$Q$3,1)) - INDEX([2]Sheet1!$C$4:$Q$23,MATCH(K341,[2]Sheet1!$B$4:$B$23,1),MATCH(D341,[2]Sheet1!$C$3:$Q$3,1)))
+ (D341 - INDEX([2]Sheet1!$C$3:$Q$3,1,MATCH(D341,[2]Sheet1!$C$3:$Q$3)))/(INDEX([2]Sheet1!$C$3:$Q$3,1,MATCH(D341,[2]Sheet1!$C$3:$Q$3)+1) - INDEX([2]Sheet1!$C$3:$Q$3,1,MATCH(D341,[2]Sheet1!$C$3:$Q$3)))*(
INDEX([2]Sheet1!$C$4:$Q$23,MATCH(K341,[2]Sheet1!$B$4:$B$23,1),MATCH(D341,[2]Sheet1!$C$3:$Q$3,1)+1) - INDEX([2]Sheet1!$C$4:$Q$23,MATCH(K341,[2]Sheet1!$B$4:$B$23,1),MATCH(D341,[2]Sheet1!$C$3:$Q$3,1)))))</f>
        <v>0</v>
      </c>
      <c r="N341">
        <f t="shared" si="98"/>
        <v>12</v>
      </c>
      <c r="O341">
        <v>8.8755605441097299E-2</v>
      </c>
      <c r="P341" t="e">
        <f t="shared" si="99"/>
        <v>#DIV/0!</v>
      </c>
      <c r="Q341">
        <f t="shared" si="86"/>
        <v>0</v>
      </c>
      <c r="R341">
        <f t="shared" si="100"/>
        <v>741.9099431943954</v>
      </c>
      <c r="T341" t="e">
        <f t="shared" si="89"/>
        <v>#DIV/0!</v>
      </c>
      <c r="U341" t="e">
        <f t="shared" si="90"/>
        <v>#DIV/0!</v>
      </c>
      <c r="V341">
        <f t="shared" si="91"/>
        <v>0</v>
      </c>
      <c r="W341" t="e">
        <f t="shared" si="87"/>
        <v>#DIV/0!</v>
      </c>
    </row>
    <row r="342" spans="1:23" x14ac:dyDescent="0.55000000000000004">
      <c r="A342">
        <f t="shared" si="88"/>
        <v>30.800000000000168</v>
      </c>
      <c r="B342">
        <f t="shared" si="92"/>
        <v>0.316</v>
      </c>
      <c r="C342">
        <f t="shared" si="93"/>
        <v>-15.086956521739243</v>
      </c>
      <c r="D342">
        <v>2.4446984631852962</v>
      </c>
      <c r="E342">
        <f t="shared" si="83"/>
        <v>0</v>
      </c>
      <c r="F342">
        <f t="shared" si="94"/>
        <v>4.8605058816845369E-2</v>
      </c>
      <c r="G342">
        <f t="shared" si="95"/>
        <v>39.513748498891111</v>
      </c>
      <c r="H342">
        <f t="shared" si="96"/>
        <v>0</v>
      </c>
      <c r="I342" s="1">
        <f t="shared" si="84"/>
        <v>0</v>
      </c>
      <c r="J342">
        <f t="shared" si="97"/>
        <v>0</v>
      </c>
      <c r="K342">
        <f t="shared" si="85"/>
        <v>0</v>
      </c>
      <c r="L342" cm="1">
        <f t="array" ref="L342">IF(E342*J342=0,0,$C$21*INDEX([3]Sheet1!$C$4:$Q$23,MATCH(K342,[3]Sheet1!$B$4:$B$23,1),MATCH(D342,[3]Sheet1!$C$3:$Q$3,1))
+(K342-INDEX([3]Sheet1!$B$4:$B$23,MATCH(K342,[3]Sheet1!$B$4:$B$23,1),1))/(INDEX([3]Sheet1!$B$4:$B$23,MATCH(K342,[3]Sheet1!$B$4:$B$23,1)+1,1)-INDEX([3]Sheet1!$B$4:$B$23,
MATCH(K342,[3]Sheet1!$B$4:$B$23,1),1))*(INDEX([3]Sheet1!$C$4:$Q$23,MATCH(K342,[3]Sheet1!$B$4:$B$23,1)+1,MATCH(D342,[3]Sheet1!$C$3:$Q$3,1))-INDEX([3]Sheet1!$C$4:$Q$23,
MATCH(K342,[3]Sheet1!$B$4:$B$23,1),MATCH(D342,[3]Sheet1!$C$3:$Q$3,1)))
+(D342-INDEX([3]Sheet1!$C$3:$Q$3,1,MATCH(D342,[3]Sheet1!$C$3:$Q$3)))/(INDEX([3]Sheet1!$C$3:$Q$3,1,MATCH(D342,[3]Sheet1!$C$3:$Q$3)+1)-INDEX([3]Sheet1!$C$3:$Q$3,1,MATCH(
D342,[3]Sheet1!$C$3:$Q$3)))*(INDEX([3]Sheet1!$C$4:$Q$23,MATCH(K342,[3]Sheet1!$B$4:$B$23,1),MATCH(D342,[3]Sheet1!$C$3:$Q$3,1)+1)-INDEX([3]Sheet1!$C$4:$Q$23,MATCH(K342,[3]Sheet1!$B$4:$B$23,1),MATCH(D342,[3]Sheet1!$C$3:$Q$3,1))))</f>
        <v>0</v>
      </c>
      <c r="M342" cm="1">
        <f t="array" ref="M342" xml:space="preserve"> IF(E342*J342=0,0,(INDEX([2]Sheet1!$C$4:$Q$23,MATCH(K342,[2]Sheet1!$B$4:$B$23,1),MATCH(D342,[2]Sheet1!$C$3:$Q$3,1))
+ (K342 - INDEX([2]Sheet1!$B$4:$B$23,MATCH(K342,[2]Sheet1!$B$4:$B$23,1),1))/(INDEX([2]Sheet1!$B$4:$B$23,MATCH(K342,[2]Sheet1!$B$4:$B$23,1)+1,1) - INDEX([2]Sheet1!$B$4:$B$23,MATCH(K342,[2]Sheet1!$B$4:$B$23,1),1))*(INDEX([2]Sheet1!$C$4:$Q$23,MATCH(K342,[2]Sheet1!$B$4:$B$23,1)+1,MATCH(D342,[2]Sheet1!$C$3:$Q$3,1)) - INDEX([2]Sheet1!$C$4:$Q$23,MATCH(K342,[2]Sheet1!$B$4:$B$23,1),MATCH(D342,[2]Sheet1!$C$3:$Q$3,1)))
+ (D342 - INDEX([2]Sheet1!$C$3:$Q$3,1,MATCH(D342,[2]Sheet1!$C$3:$Q$3)))/(INDEX([2]Sheet1!$C$3:$Q$3,1,MATCH(D342,[2]Sheet1!$C$3:$Q$3)+1) - INDEX([2]Sheet1!$C$3:$Q$3,1,MATCH(D342,[2]Sheet1!$C$3:$Q$3)))*(
INDEX([2]Sheet1!$C$4:$Q$23,MATCH(K342,[2]Sheet1!$B$4:$B$23,1),MATCH(D342,[2]Sheet1!$C$3:$Q$3,1)+1) - INDEX([2]Sheet1!$C$4:$Q$23,MATCH(K342,[2]Sheet1!$B$4:$B$23,1),MATCH(D342,[2]Sheet1!$C$3:$Q$3,1)))))</f>
        <v>0</v>
      </c>
      <c r="N342">
        <f t="shared" si="98"/>
        <v>12</v>
      </c>
      <c r="O342">
        <v>8.8735088678803226E-2</v>
      </c>
      <c r="P342" t="e">
        <f t="shared" si="99"/>
        <v>#DIV/0!</v>
      </c>
      <c r="Q342">
        <f t="shared" si="86"/>
        <v>0</v>
      </c>
      <c r="R342">
        <f t="shared" si="100"/>
        <v>741.9099431943954</v>
      </c>
      <c r="T342" t="e">
        <f t="shared" si="89"/>
        <v>#DIV/0!</v>
      </c>
      <c r="U342" t="e">
        <f t="shared" si="90"/>
        <v>#DIV/0!</v>
      </c>
      <c r="V342">
        <f t="shared" si="91"/>
        <v>0</v>
      </c>
      <c r="W342" t="e">
        <f t="shared" si="87"/>
        <v>#DIV/0!</v>
      </c>
    </row>
    <row r="343" spans="1:23" x14ac:dyDescent="0.55000000000000004">
      <c r="A343">
        <f t="shared" si="88"/>
        <v>30.900000000000169</v>
      </c>
      <c r="B343">
        <f t="shared" si="92"/>
        <v>0.316</v>
      </c>
      <c r="C343">
        <f t="shared" si="93"/>
        <v>-15.152173913043587</v>
      </c>
      <c r="D343">
        <v>2.444597353704153</v>
      </c>
      <c r="E343">
        <f t="shared" si="83"/>
        <v>0</v>
      </c>
      <c r="F343">
        <f t="shared" si="94"/>
        <v>4.8605058816845369E-2</v>
      </c>
      <c r="G343">
        <f t="shared" si="95"/>
        <v>39.513748498891111</v>
      </c>
      <c r="H343">
        <f t="shared" si="96"/>
        <v>0</v>
      </c>
      <c r="I343" s="1">
        <f t="shared" si="84"/>
        <v>0</v>
      </c>
      <c r="J343">
        <f t="shared" si="97"/>
        <v>0</v>
      </c>
      <c r="K343">
        <f t="shared" si="85"/>
        <v>0</v>
      </c>
      <c r="L343" cm="1">
        <f t="array" ref="L343">IF(E343*J343=0,0,$C$21*INDEX([3]Sheet1!$C$4:$Q$23,MATCH(K343,[3]Sheet1!$B$4:$B$23,1),MATCH(D343,[3]Sheet1!$C$3:$Q$3,1))
+(K343-INDEX([3]Sheet1!$B$4:$B$23,MATCH(K343,[3]Sheet1!$B$4:$B$23,1),1))/(INDEX([3]Sheet1!$B$4:$B$23,MATCH(K343,[3]Sheet1!$B$4:$B$23,1)+1,1)-INDEX([3]Sheet1!$B$4:$B$23,
MATCH(K343,[3]Sheet1!$B$4:$B$23,1),1))*(INDEX([3]Sheet1!$C$4:$Q$23,MATCH(K343,[3]Sheet1!$B$4:$B$23,1)+1,MATCH(D343,[3]Sheet1!$C$3:$Q$3,1))-INDEX([3]Sheet1!$C$4:$Q$23,
MATCH(K343,[3]Sheet1!$B$4:$B$23,1),MATCH(D343,[3]Sheet1!$C$3:$Q$3,1)))
+(D343-INDEX([3]Sheet1!$C$3:$Q$3,1,MATCH(D343,[3]Sheet1!$C$3:$Q$3)))/(INDEX([3]Sheet1!$C$3:$Q$3,1,MATCH(D343,[3]Sheet1!$C$3:$Q$3)+1)-INDEX([3]Sheet1!$C$3:$Q$3,1,MATCH(
D343,[3]Sheet1!$C$3:$Q$3)))*(INDEX([3]Sheet1!$C$4:$Q$23,MATCH(K343,[3]Sheet1!$B$4:$B$23,1),MATCH(D343,[3]Sheet1!$C$3:$Q$3,1)+1)-INDEX([3]Sheet1!$C$4:$Q$23,MATCH(K343,[3]Sheet1!$B$4:$B$23,1),MATCH(D343,[3]Sheet1!$C$3:$Q$3,1))))</f>
        <v>0</v>
      </c>
      <c r="M343" cm="1">
        <f t="array" ref="M343" xml:space="preserve"> IF(E343*J343=0,0,(INDEX([2]Sheet1!$C$4:$Q$23,MATCH(K343,[2]Sheet1!$B$4:$B$23,1),MATCH(D343,[2]Sheet1!$C$3:$Q$3,1))
+ (K343 - INDEX([2]Sheet1!$B$4:$B$23,MATCH(K343,[2]Sheet1!$B$4:$B$23,1),1))/(INDEX([2]Sheet1!$B$4:$B$23,MATCH(K343,[2]Sheet1!$B$4:$B$23,1)+1,1) - INDEX([2]Sheet1!$B$4:$B$23,MATCH(K343,[2]Sheet1!$B$4:$B$23,1),1))*(INDEX([2]Sheet1!$C$4:$Q$23,MATCH(K343,[2]Sheet1!$B$4:$B$23,1)+1,MATCH(D343,[2]Sheet1!$C$3:$Q$3,1)) - INDEX([2]Sheet1!$C$4:$Q$23,MATCH(K343,[2]Sheet1!$B$4:$B$23,1),MATCH(D343,[2]Sheet1!$C$3:$Q$3,1)))
+ (D343 - INDEX([2]Sheet1!$C$3:$Q$3,1,MATCH(D343,[2]Sheet1!$C$3:$Q$3)))/(INDEX([2]Sheet1!$C$3:$Q$3,1,MATCH(D343,[2]Sheet1!$C$3:$Q$3)+1) - INDEX([2]Sheet1!$C$3:$Q$3,1,MATCH(D343,[2]Sheet1!$C$3:$Q$3)))*(
INDEX([2]Sheet1!$C$4:$Q$23,MATCH(K343,[2]Sheet1!$B$4:$B$23,1),MATCH(D343,[2]Sheet1!$C$3:$Q$3,1)+1) - INDEX([2]Sheet1!$C$4:$Q$23,MATCH(K343,[2]Sheet1!$B$4:$B$23,1),MATCH(D343,[2]Sheet1!$C$3:$Q$3,1)))))</f>
        <v>0</v>
      </c>
      <c r="N343">
        <f t="shared" si="98"/>
        <v>12</v>
      </c>
      <c r="O343">
        <v>8.871461617131729E-2</v>
      </c>
      <c r="P343" t="e">
        <f t="shared" si="99"/>
        <v>#DIV/0!</v>
      </c>
      <c r="Q343">
        <f t="shared" si="86"/>
        <v>0</v>
      </c>
      <c r="R343">
        <f t="shared" si="100"/>
        <v>741.9099431943954</v>
      </c>
      <c r="T343" t="e">
        <f t="shared" si="89"/>
        <v>#DIV/0!</v>
      </c>
      <c r="U343" t="e">
        <f t="shared" si="90"/>
        <v>#DIV/0!</v>
      </c>
      <c r="V343">
        <f t="shared" si="91"/>
        <v>0</v>
      </c>
      <c r="W343" t="e">
        <f t="shared" si="87"/>
        <v>#DIV/0!</v>
      </c>
    </row>
    <row r="344" spans="1:23" x14ac:dyDescent="0.55000000000000004">
      <c r="A344">
        <f t="shared" si="88"/>
        <v>31.000000000000171</v>
      </c>
      <c r="B344">
        <f t="shared" si="92"/>
        <v>0.316</v>
      </c>
      <c r="C344">
        <f t="shared" si="93"/>
        <v>-15.217391304347938</v>
      </c>
      <c r="D344">
        <v>2.4444964339710018</v>
      </c>
      <c r="E344">
        <f t="shared" si="83"/>
        <v>0</v>
      </c>
      <c r="F344">
        <f t="shared" si="94"/>
        <v>4.8605058816845369E-2</v>
      </c>
      <c r="G344">
        <f t="shared" si="95"/>
        <v>39.513748498891111</v>
      </c>
      <c r="H344">
        <f t="shared" si="96"/>
        <v>0</v>
      </c>
      <c r="I344" s="1">
        <f t="shared" si="84"/>
        <v>0</v>
      </c>
      <c r="J344">
        <f t="shared" si="97"/>
        <v>0</v>
      </c>
      <c r="K344">
        <f t="shared" si="85"/>
        <v>0</v>
      </c>
      <c r="L344" cm="1">
        <f t="array" ref="L344">IF(E344*J344=0,0,$C$21*INDEX([3]Sheet1!$C$4:$Q$23,MATCH(K344,[3]Sheet1!$B$4:$B$23,1),MATCH(D344,[3]Sheet1!$C$3:$Q$3,1))
+(K344-INDEX([3]Sheet1!$B$4:$B$23,MATCH(K344,[3]Sheet1!$B$4:$B$23,1),1))/(INDEX([3]Sheet1!$B$4:$B$23,MATCH(K344,[3]Sheet1!$B$4:$B$23,1)+1,1)-INDEX([3]Sheet1!$B$4:$B$23,
MATCH(K344,[3]Sheet1!$B$4:$B$23,1),1))*(INDEX([3]Sheet1!$C$4:$Q$23,MATCH(K344,[3]Sheet1!$B$4:$B$23,1)+1,MATCH(D344,[3]Sheet1!$C$3:$Q$3,1))-INDEX([3]Sheet1!$C$4:$Q$23,
MATCH(K344,[3]Sheet1!$B$4:$B$23,1),MATCH(D344,[3]Sheet1!$C$3:$Q$3,1)))
+(D344-INDEX([3]Sheet1!$C$3:$Q$3,1,MATCH(D344,[3]Sheet1!$C$3:$Q$3)))/(INDEX([3]Sheet1!$C$3:$Q$3,1,MATCH(D344,[3]Sheet1!$C$3:$Q$3)+1)-INDEX([3]Sheet1!$C$3:$Q$3,1,MATCH(
D344,[3]Sheet1!$C$3:$Q$3)))*(INDEX([3]Sheet1!$C$4:$Q$23,MATCH(K344,[3]Sheet1!$B$4:$B$23,1),MATCH(D344,[3]Sheet1!$C$3:$Q$3,1)+1)-INDEX([3]Sheet1!$C$4:$Q$23,MATCH(K344,[3]Sheet1!$B$4:$B$23,1),MATCH(D344,[3]Sheet1!$C$3:$Q$3,1))))</f>
        <v>0</v>
      </c>
      <c r="M344" cm="1">
        <f t="array" ref="M344" xml:space="preserve"> IF(E344*J344=0,0,(INDEX([2]Sheet1!$C$4:$Q$23,MATCH(K344,[2]Sheet1!$B$4:$B$23,1),MATCH(D344,[2]Sheet1!$C$3:$Q$3,1))
+ (K344 - INDEX([2]Sheet1!$B$4:$B$23,MATCH(K344,[2]Sheet1!$B$4:$B$23,1),1))/(INDEX([2]Sheet1!$B$4:$B$23,MATCH(K344,[2]Sheet1!$B$4:$B$23,1)+1,1) - INDEX([2]Sheet1!$B$4:$B$23,MATCH(K344,[2]Sheet1!$B$4:$B$23,1),1))*(INDEX([2]Sheet1!$C$4:$Q$23,MATCH(K344,[2]Sheet1!$B$4:$B$23,1)+1,MATCH(D344,[2]Sheet1!$C$3:$Q$3,1)) - INDEX([2]Sheet1!$C$4:$Q$23,MATCH(K344,[2]Sheet1!$B$4:$B$23,1),MATCH(D344,[2]Sheet1!$C$3:$Q$3,1)))
+ (D344 - INDEX([2]Sheet1!$C$3:$Q$3,1,MATCH(D344,[2]Sheet1!$C$3:$Q$3)))/(INDEX([2]Sheet1!$C$3:$Q$3,1,MATCH(D344,[2]Sheet1!$C$3:$Q$3)+1) - INDEX([2]Sheet1!$C$3:$Q$3,1,MATCH(D344,[2]Sheet1!$C$3:$Q$3)))*(
INDEX([2]Sheet1!$C$4:$Q$23,MATCH(K344,[2]Sheet1!$B$4:$B$23,1),MATCH(D344,[2]Sheet1!$C$3:$Q$3,1)+1) - INDEX([2]Sheet1!$C$4:$Q$23,MATCH(K344,[2]Sheet1!$B$4:$B$23,1),MATCH(D344,[2]Sheet1!$C$3:$Q$3,1)))))</f>
        <v>0</v>
      </c>
      <c r="N344">
        <f t="shared" si="98"/>
        <v>12</v>
      </c>
      <c r="O344">
        <v>8.8694187742087163E-2</v>
      </c>
      <c r="P344" t="e">
        <f t="shared" si="99"/>
        <v>#DIV/0!</v>
      </c>
      <c r="Q344">
        <f t="shared" si="86"/>
        <v>0</v>
      </c>
      <c r="R344">
        <f t="shared" si="100"/>
        <v>741.9099431943954</v>
      </c>
      <c r="T344" t="e">
        <f t="shared" si="89"/>
        <v>#DIV/0!</v>
      </c>
      <c r="U344" t="e">
        <f t="shared" si="90"/>
        <v>#DIV/0!</v>
      </c>
      <c r="V344">
        <f t="shared" si="91"/>
        <v>0</v>
      </c>
      <c r="W344" t="e">
        <f t="shared" si="87"/>
        <v>#DIV/0!</v>
      </c>
    </row>
    <row r="345" spans="1:23" x14ac:dyDescent="0.55000000000000004">
      <c r="A345">
        <f t="shared" si="88"/>
        <v>31.100000000000172</v>
      </c>
      <c r="B345">
        <f t="shared" si="92"/>
        <v>0.316</v>
      </c>
      <c r="C345">
        <f t="shared" si="93"/>
        <v>-15.282608695652289</v>
      </c>
      <c r="D345">
        <v>2.4443957032520416</v>
      </c>
      <c r="E345">
        <f t="shared" si="83"/>
        <v>0</v>
      </c>
      <c r="F345">
        <f t="shared" si="94"/>
        <v>4.8605058816845369E-2</v>
      </c>
      <c r="G345">
        <f t="shared" si="95"/>
        <v>39.513748498891111</v>
      </c>
      <c r="H345">
        <f t="shared" si="96"/>
        <v>0</v>
      </c>
      <c r="I345" s="1">
        <f t="shared" si="84"/>
        <v>0</v>
      </c>
      <c r="J345">
        <f t="shared" si="97"/>
        <v>0</v>
      </c>
      <c r="K345">
        <f t="shared" si="85"/>
        <v>0</v>
      </c>
      <c r="L345" cm="1">
        <f t="array" ref="L345">IF(E345*J345=0,0,$C$21*INDEX([3]Sheet1!$C$4:$Q$23,MATCH(K345,[3]Sheet1!$B$4:$B$23,1),MATCH(D345,[3]Sheet1!$C$3:$Q$3,1))
+(K345-INDEX([3]Sheet1!$B$4:$B$23,MATCH(K345,[3]Sheet1!$B$4:$B$23,1),1))/(INDEX([3]Sheet1!$B$4:$B$23,MATCH(K345,[3]Sheet1!$B$4:$B$23,1)+1,1)-INDEX([3]Sheet1!$B$4:$B$23,
MATCH(K345,[3]Sheet1!$B$4:$B$23,1),1))*(INDEX([3]Sheet1!$C$4:$Q$23,MATCH(K345,[3]Sheet1!$B$4:$B$23,1)+1,MATCH(D345,[3]Sheet1!$C$3:$Q$3,1))-INDEX([3]Sheet1!$C$4:$Q$23,
MATCH(K345,[3]Sheet1!$B$4:$B$23,1),MATCH(D345,[3]Sheet1!$C$3:$Q$3,1)))
+(D345-INDEX([3]Sheet1!$C$3:$Q$3,1,MATCH(D345,[3]Sheet1!$C$3:$Q$3)))/(INDEX([3]Sheet1!$C$3:$Q$3,1,MATCH(D345,[3]Sheet1!$C$3:$Q$3)+1)-INDEX([3]Sheet1!$C$3:$Q$3,1,MATCH(
D345,[3]Sheet1!$C$3:$Q$3)))*(INDEX([3]Sheet1!$C$4:$Q$23,MATCH(K345,[3]Sheet1!$B$4:$B$23,1),MATCH(D345,[3]Sheet1!$C$3:$Q$3,1)+1)-INDEX([3]Sheet1!$C$4:$Q$23,MATCH(K345,[3]Sheet1!$B$4:$B$23,1),MATCH(D345,[3]Sheet1!$C$3:$Q$3,1))))</f>
        <v>0</v>
      </c>
      <c r="M345" cm="1">
        <f t="array" ref="M345" xml:space="preserve"> IF(E345*J345=0,0,(INDEX([2]Sheet1!$C$4:$Q$23,MATCH(K345,[2]Sheet1!$B$4:$B$23,1),MATCH(D345,[2]Sheet1!$C$3:$Q$3,1))
+ (K345 - INDEX([2]Sheet1!$B$4:$B$23,MATCH(K345,[2]Sheet1!$B$4:$B$23,1),1))/(INDEX([2]Sheet1!$B$4:$B$23,MATCH(K345,[2]Sheet1!$B$4:$B$23,1)+1,1) - INDEX([2]Sheet1!$B$4:$B$23,MATCH(K345,[2]Sheet1!$B$4:$B$23,1),1))*(INDEX([2]Sheet1!$C$4:$Q$23,MATCH(K345,[2]Sheet1!$B$4:$B$23,1)+1,MATCH(D345,[2]Sheet1!$C$3:$Q$3,1)) - INDEX([2]Sheet1!$C$4:$Q$23,MATCH(K345,[2]Sheet1!$B$4:$B$23,1),MATCH(D345,[2]Sheet1!$C$3:$Q$3,1)))
+ (D345 - INDEX([2]Sheet1!$C$3:$Q$3,1,MATCH(D345,[2]Sheet1!$C$3:$Q$3)))/(INDEX([2]Sheet1!$C$3:$Q$3,1,MATCH(D345,[2]Sheet1!$C$3:$Q$3)+1) - INDEX([2]Sheet1!$C$3:$Q$3,1,MATCH(D345,[2]Sheet1!$C$3:$Q$3)))*(
INDEX([2]Sheet1!$C$4:$Q$23,MATCH(K345,[2]Sheet1!$B$4:$B$23,1),MATCH(D345,[2]Sheet1!$C$3:$Q$3,1)+1) - INDEX([2]Sheet1!$C$4:$Q$23,MATCH(K345,[2]Sheet1!$B$4:$B$23,1),MATCH(D345,[2]Sheet1!$C$3:$Q$3,1)))))</f>
        <v>0</v>
      </c>
      <c r="N345">
        <f t="shared" si="98"/>
        <v>12</v>
      </c>
      <c r="O345">
        <v>8.8673803215605321E-2</v>
      </c>
      <c r="P345" t="e">
        <f t="shared" si="99"/>
        <v>#DIV/0!</v>
      </c>
      <c r="Q345">
        <f t="shared" si="86"/>
        <v>0</v>
      </c>
      <c r="R345">
        <f t="shared" si="100"/>
        <v>741.9099431943954</v>
      </c>
      <c r="T345" t="e">
        <f t="shared" si="89"/>
        <v>#DIV/0!</v>
      </c>
      <c r="U345" t="e">
        <f t="shared" si="90"/>
        <v>#DIV/0!</v>
      </c>
      <c r="V345">
        <f t="shared" si="91"/>
        <v>0</v>
      </c>
      <c r="W345" t="e">
        <f t="shared" si="87"/>
        <v>#DIV/0!</v>
      </c>
    </row>
    <row r="346" spans="1:23" x14ac:dyDescent="0.55000000000000004">
      <c r="A346">
        <f t="shared" si="88"/>
        <v>31.200000000000173</v>
      </c>
      <c r="B346">
        <f t="shared" si="92"/>
        <v>0.316</v>
      </c>
      <c r="C346">
        <f t="shared" si="93"/>
        <v>-15.347826086956637</v>
      </c>
      <c r="D346">
        <v>2.4442951608177443</v>
      </c>
      <c r="E346">
        <f t="shared" si="83"/>
        <v>0</v>
      </c>
      <c r="F346">
        <f t="shared" si="94"/>
        <v>4.8605058816845369E-2</v>
      </c>
      <c r="G346">
        <f t="shared" si="95"/>
        <v>39.513748498891111</v>
      </c>
      <c r="H346">
        <f t="shared" si="96"/>
        <v>0</v>
      </c>
      <c r="I346" s="1">
        <f t="shared" si="84"/>
        <v>0</v>
      </c>
      <c r="J346">
        <f t="shared" si="97"/>
        <v>0</v>
      </c>
      <c r="K346">
        <f t="shared" si="85"/>
        <v>0</v>
      </c>
      <c r="L346" cm="1">
        <f t="array" ref="L346">IF(E346*J346=0,0,$C$21*INDEX([3]Sheet1!$C$4:$Q$23,MATCH(K346,[3]Sheet1!$B$4:$B$23,1),MATCH(D346,[3]Sheet1!$C$3:$Q$3,1))
+(K346-INDEX([3]Sheet1!$B$4:$B$23,MATCH(K346,[3]Sheet1!$B$4:$B$23,1),1))/(INDEX([3]Sheet1!$B$4:$B$23,MATCH(K346,[3]Sheet1!$B$4:$B$23,1)+1,1)-INDEX([3]Sheet1!$B$4:$B$23,
MATCH(K346,[3]Sheet1!$B$4:$B$23,1),1))*(INDEX([3]Sheet1!$C$4:$Q$23,MATCH(K346,[3]Sheet1!$B$4:$B$23,1)+1,MATCH(D346,[3]Sheet1!$C$3:$Q$3,1))-INDEX([3]Sheet1!$C$4:$Q$23,
MATCH(K346,[3]Sheet1!$B$4:$B$23,1),MATCH(D346,[3]Sheet1!$C$3:$Q$3,1)))
+(D346-INDEX([3]Sheet1!$C$3:$Q$3,1,MATCH(D346,[3]Sheet1!$C$3:$Q$3)))/(INDEX([3]Sheet1!$C$3:$Q$3,1,MATCH(D346,[3]Sheet1!$C$3:$Q$3)+1)-INDEX([3]Sheet1!$C$3:$Q$3,1,MATCH(
D346,[3]Sheet1!$C$3:$Q$3)))*(INDEX([3]Sheet1!$C$4:$Q$23,MATCH(K346,[3]Sheet1!$B$4:$B$23,1),MATCH(D346,[3]Sheet1!$C$3:$Q$3,1)+1)-INDEX([3]Sheet1!$C$4:$Q$23,MATCH(K346,[3]Sheet1!$B$4:$B$23,1),MATCH(D346,[3]Sheet1!$C$3:$Q$3,1))))</f>
        <v>0</v>
      </c>
      <c r="M346" cm="1">
        <f t="array" ref="M346" xml:space="preserve"> IF(E346*J346=0,0,(INDEX([2]Sheet1!$C$4:$Q$23,MATCH(K346,[2]Sheet1!$B$4:$B$23,1),MATCH(D346,[2]Sheet1!$C$3:$Q$3,1))
+ (K346 - INDEX([2]Sheet1!$B$4:$B$23,MATCH(K346,[2]Sheet1!$B$4:$B$23,1),1))/(INDEX([2]Sheet1!$B$4:$B$23,MATCH(K346,[2]Sheet1!$B$4:$B$23,1)+1,1) - INDEX([2]Sheet1!$B$4:$B$23,MATCH(K346,[2]Sheet1!$B$4:$B$23,1),1))*(INDEX([2]Sheet1!$C$4:$Q$23,MATCH(K346,[2]Sheet1!$B$4:$B$23,1)+1,MATCH(D346,[2]Sheet1!$C$3:$Q$3,1)) - INDEX([2]Sheet1!$C$4:$Q$23,MATCH(K346,[2]Sheet1!$B$4:$B$23,1),MATCH(D346,[2]Sheet1!$C$3:$Q$3,1)))
+ (D346 - INDEX([2]Sheet1!$C$3:$Q$3,1,MATCH(D346,[2]Sheet1!$C$3:$Q$3)))/(INDEX([2]Sheet1!$C$3:$Q$3,1,MATCH(D346,[2]Sheet1!$C$3:$Q$3)+1) - INDEX([2]Sheet1!$C$3:$Q$3,1,MATCH(D346,[2]Sheet1!$C$3:$Q$3)))*(
INDEX([2]Sheet1!$C$4:$Q$23,MATCH(K346,[2]Sheet1!$B$4:$B$23,1),MATCH(D346,[2]Sheet1!$C$3:$Q$3,1)+1) - INDEX([2]Sheet1!$C$4:$Q$23,MATCH(K346,[2]Sheet1!$B$4:$B$23,1),MATCH(D346,[2]Sheet1!$C$3:$Q$3,1)))))</f>
        <v>0</v>
      </c>
      <c r="N346">
        <f t="shared" si="98"/>
        <v>12</v>
      </c>
      <c r="O346">
        <v>8.8653462417399118E-2</v>
      </c>
      <c r="P346" t="e">
        <f t="shared" si="99"/>
        <v>#DIV/0!</v>
      </c>
      <c r="Q346">
        <f t="shared" si="86"/>
        <v>0</v>
      </c>
      <c r="R346">
        <f t="shared" si="100"/>
        <v>741.9099431943954</v>
      </c>
      <c r="T346" t="e">
        <f t="shared" si="89"/>
        <v>#DIV/0!</v>
      </c>
      <c r="U346" t="e">
        <f t="shared" si="90"/>
        <v>#DIV/0!</v>
      </c>
      <c r="V346">
        <f t="shared" si="91"/>
        <v>0</v>
      </c>
      <c r="W346" t="e">
        <f t="shared" si="87"/>
        <v>#DIV/0!</v>
      </c>
    </row>
    <row r="347" spans="1:23" x14ac:dyDescent="0.55000000000000004">
      <c r="A347">
        <f t="shared" si="88"/>
        <v>31.300000000000175</v>
      </c>
      <c r="B347">
        <f t="shared" si="92"/>
        <v>0.316</v>
      </c>
      <c r="C347">
        <f t="shared" si="93"/>
        <v>-15.413043478260985</v>
      </c>
      <c r="D347">
        <v>2.4441948059428245</v>
      </c>
      <c r="E347">
        <f t="shared" si="83"/>
        <v>0</v>
      </c>
      <c r="F347">
        <f t="shared" si="94"/>
        <v>4.8605058816845369E-2</v>
      </c>
      <c r="G347">
        <f t="shared" si="95"/>
        <v>39.513748498891111</v>
      </c>
      <c r="H347">
        <f t="shared" si="96"/>
        <v>0</v>
      </c>
      <c r="I347" s="1">
        <f t="shared" si="84"/>
        <v>0</v>
      </c>
      <c r="J347">
        <f t="shared" si="97"/>
        <v>0</v>
      </c>
      <c r="K347">
        <f t="shared" si="85"/>
        <v>0</v>
      </c>
      <c r="L347" cm="1">
        <f t="array" ref="L347">IF(E347*J347=0,0,$C$21*INDEX([3]Sheet1!$C$4:$Q$23,MATCH(K347,[3]Sheet1!$B$4:$B$23,1),MATCH(D347,[3]Sheet1!$C$3:$Q$3,1))
+(K347-INDEX([3]Sheet1!$B$4:$B$23,MATCH(K347,[3]Sheet1!$B$4:$B$23,1),1))/(INDEX([3]Sheet1!$B$4:$B$23,MATCH(K347,[3]Sheet1!$B$4:$B$23,1)+1,1)-INDEX([3]Sheet1!$B$4:$B$23,
MATCH(K347,[3]Sheet1!$B$4:$B$23,1),1))*(INDEX([3]Sheet1!$C$4:$Q$23,MATCH(K347,[3]Sheet1!$B$4:$B$23,1)+1,MATCH(D347,[3]Sheet1!$C$3:$Q$3,1))-INDEX([3]Sheet1!$C$4:$Q$23,
MATCH(K347,[3]Sheet1!$B$4:$B$23,1),MATCH(D347,[3]Sheet1!$C$3:$Q$3,1)))
+(D347-INDEX([3]Sheet1!$C$3:$Q$3,1,MATCH(D347,[3]Sheet1!$C$3:$Q$3)))/(INDEX([3]Sheet1!$C$3:$Q$3,1,MATCH(D347,[3]Sheet1!$C$3:$Q$3)+1)-INDEX([3]Sheet1!$C$3:$Q$3,1,MATCH(
D347,[3]Sheet1!$C$3:$Q$3)))*(INDEX([3]Sheet1!$C$4:$Q$23,MATCH(K347,[3]Sheet1!$B$4:$B$23,1),MATCH(D347,[3]Sheet1!$C$3:$Q$3,1)+1)-INDEX([3]Sheet1!$C$4:$Q$23,MATCH(K347,[3]Sheet1!$B$4:$B$23,1),MATCH(D347,[3]Sheet1!$C$3:$Q$3,1))))</f>
        <v>0</v>
      </c>
      <c r="M347" cm="1">
        <f t="array" ref="M347" xml:space="preserve"> IF(E347*J347=0,0,(INDEX([2]Sheet1!$C$4:$Q$23,MATCH(K347,[2]Sheet1!$B$4:$B$23,1),MATCH(D347,[2]Sheet1!$C$3:$Q$3,1))
+ (K347 - INDEX([2]Sheet1!$B$4:$B$23,MATCH(K347,[2]Sheet1!$B$4:$B$23,1),1))/(INDEX([2]Sheet1!$B$4:$B$23,MATCH(K347,[2]Sheet1!$B$4:$B$23,1)+1,1) - INDEX([2]Sheet1!$B$4:$B$23,MATCH(K347,[2]Sheet1!$B$4:$B$23,1),1))*(INDEX([2]Sheet1!$C$4:$Q$23,MATCH(K347,[2]Sheet1!$B$4:$B$23,1)+1,MATCH(D347,[2]Sheet1!$C$3:$Q$3,1)) - INDEX([2]Sheet1!$C$4:$Q$23,MATCH(K347,[2]Sheet1!$B$4:$B$23,1),MATCH(D347,[2]Sheet1!$C$3:$Q$3,1)))
+ (D347 - INDEX([2]Sheet1!$C$3:$Q$3,1,MATCH(D347,[2]Sheet1!$C$3:$Q$3)))/(INDEX([2]Sheet1!$C$3:$Q$3,1,MATCH(D347,[2]Sheet1!$C$3:$Q$3)+1) - INDEX([2]Sheet1!$C$3:$Q$3,1,MATCH(D347,[2]Sheet1!$C$3:$Q$3)))*(
INDEX([2]Sheet1!$C$4:$Q$23,MATCH(K347,[2]Sheet1!$B$4:$B$23,1),MATCH(D347,[2]Sheet1!$C$3:$Q$3,1)+1) - INDEX([2]Sheet1!$C$4:$Q$23,MATCH(K347,[2]Sheet1!$B$4:$B$23,1),MATCH(D347,[2]Sheet1!$C$3:$Q$3,1)))))</f>
        <v>0</v>
      </c>
      <c r="N347">
        <f t="shared" si="98"/>
        <v>12</v>
      </c>
      <c r="O347">
        <v>8.8633165174023615E-2</v>
      </c>
      <c r="P347" t="e">
        <f t="shared" si="99"/>
        <v>#DIV/0!</v>
      </c>
      <c r="Q347">
        <f t="shared" si="86"/>
        <v>0</v>
      </c>
      <c r="R347">
        <f t="shared" si="100"/>
        <v>741.9099431943954</v>
      </c>
      <c r="T347" t="e">
        <f t="shared" si="89"/>
        <v>#DIV/0!</v>
      </c>
      <c r="U347" t="e">
        <f t="shared" si="90"/>
        <v>#DIV/0!</v>
      </c>
      <c r="V347">
        <f t="shared" si="91"/>
        <v>0</v>
      </c>
      <c r="W347" t="e">
        <f t="shared" si="87"/>
        <v>#DIV/0!</v>
      </c>
    </row>
    <row r="348" spans="1:23" x14ac:dyDescent="0.55000000000000004">
      <c r="A348">
        <f t="shared" si="88"/>
        <v>31.400000000000176</v>
      </c>
      <c r="B348">
        <f t="shared" si="92"/>
        <v>0.316</v>
      </c>
      <c r="C348">
        <f t="shared" si="93"/>
        <v>-15.478260869565332</v>
      </c>
      <c r="D348">
        <v>2.4440946379061419</v>
      </c>
      <c r="E348">
        <f t="shared" si="83"/>
        <v>0</v>
      </c>
      <c r="F348">
        <f t="shared" si="94"/>
        <v>4.8605058816845369E-2</v>
      </c>
      <c r="G348">
        <f t="shared" si="95"/>
        <v>39.513748498891111</v>
      </c>
      <c r="H348">
        <f t="shared" si="96"/>
        <v>0</v>
      </c>
      <c r="I348" s="1">
        <f t="shared" si="84"/>
        <v>0</v>
      </c>
      <c r="J348">
        <f t="shared" si="97"/>
        <v>0</v>
      </c>
      <c r="K348">
        <f t="shared" si="85"/>
        <v>0</v>
      </c>
      <c r="L348" cm="1">
        <f t="array" ref="L348">IF(E348*J348=0,0,$C$21*INDEX([3]Sheet1!$C$4:$Q$23,MATCH(K348,[3]Sheet1!$B$4:$B$23,1),MATCH(D348,[3]Sheet1!$C$3:$Q$3,1))
+(K348-INDEX([3]Sheet1!$B$4:$B$23,MATCH(K348,[3]Sheet1!$B$4:$B$23,1),1))/(INDEX([3]Sheet1!$B$4:$B$23,MATCH(K348,[3]Sheet1!$B$4:$B$23,1)+1,1)-INDEX([3]Sheet1!$B$4:$B$23,
MATCH(K348,[3]Sheet1!$B$4:$B$23,1),1))*(INDEX([3]Sheet1!$C$4:$Q$23,MATCH(K348,[3]Sheet1!$B$4:$B$23,1)+1,MATCH(D348,[3]Sheet1!$C$3:$Q$3,1))-INDEX([3]Sheet1!$C$4:$Q$23,
MATCH(K348,[3]Sheet1!$B$4:$B$23,1),MATCH(D348,[3]Sheet1!$C$3:$Q$3,1)))
+(D348-INDEX([3]Sheet1!$C$3:$Q$3,1,MATCH(D348,[3]Sheet1!$C$3:$Q$3)))/(INDEX([3]Sheet1!$C$3:$Q$3,1,MATCH(D348,[3]Sheet1!$C$3:$Q$3)+1)-INDEX([3]Sheet1!$C$3:$Q$3,1,MATCH(
D348,[3]Sheet1!$C$3:$Q$3)))*(INDEX([3]Sheet1!$C$4:$Q$23,MATCH(K348,[3]Sheet1!$B$4:$B$23,1),MATCH(D348,[3]Sheet1!$C$3:$Q$3,1)+1)-INDEX([3]Sheet1!$C$4:$Q$23,MATCH(K348,[3]Sheet1!$B$4:$B$23,1),MATCH(D348,[3]Sheet1!$C$3:$Q$3,1))))</f>
        <v>0</v>
      </c>
      <c r="M348" cm="1">
        <f t="array" ref="M348" xml:space="preserve"> IF(E348*J348=0,0,(INDEX([2]Sheet1!$C$4:$Q$23,MATCH(K348,[2]Sheet1!$B$4:$B$23,1),MATCH(D348,[2]Sheet1!$C$3:$Q$3,1))
+ (K348 - INDEX([2]Sheet1!$B$4:$B$23,MATCH(K348,[2]Sheet1!$B$4:$B$23,1),1))/(INDEX([2]Sheet1!$B$4:$B$23,MATCH(K348,[2]Sheet1!$B$4:$B$23,1)+1,1) - INDEX([2]Sheet1!$B$4:$B$23,MATCH(K348,[2]Sheet1!$B$4:$B$23,1),1))*(INDEX([2]Sheet1!$C$4:$Q$23,MATCH(K348,[2]Sheet1!$B$4:$B$23,1)+1,MATCH(D348,[2]Sheet1!$C$3:$Q$3,1)) - INDEX([2]Sheet1!$C$4:$Q$23,MATCH(K348,[2]Sheet1!$B$4:$B$23,1),MATCH(D348,[2]Sheet1!$C$3:$Q$3,1)))
+ (D348 - INDEX([2]Sheet1!$C$3:$Q$3,1,MATCH(D348,[2]Sheet1!$C$3:$Q$3)))/(INDEX([2]Sheet1!$C$3:$Q$3,1,MATCH(D348,[2]Sheet1!$C$3:$Q$3)+1) - INDEX([2]Sheet1!$C$3:$Q$3,1,MATCH(D348,[2]Sheet1!$C$3:$Q$3)))*(
INDEX([2]Sheet1!$C$4:$Q$23,MATCH(K348,[2]Sheet1!$B$4:$B$23,1),MATCH(D348,[2]Sheet1!$C$3:$Q$3,1)+1) - INDEX([2]Sheet1!$C$4:$Q$23,MATCH(K348,[2]Sheet1!$B$4:$B$23,1),MATCH(D348,[2]Sheet1!$C$3:$Q$3,1)))))</f>
        <v>0</v>
      </c>
      <c r="N348">
        <f t="shared" si="98"/>
        <v>12</v>
      </c>
      <c r="O348">
        <v>8.8612911313041012E-2</v>
      </c>
      <c r="P348" t="e">
        <f t="shared" si="99"/>
        <v>#DIV/0!</v>
      </c>
      <c r="Q348">
        <f t="shared" si="86"/>
        <v>0</v>
      </c>
      <c r="R348">
        <f t="shared" si="100"/>
        <v>741.9099431943954</v>
      </c>
      <c r="T348" t="e">
        <f t="shared" si="89"/>
        <v>#DIV/0!</v>
      </c>
      <c r="U348" t="e">
        <f t="shared" si="90"/>
        <v>#DIV/0!</v>
      </c>
      <c r="V348">
        <f t="shared" si="91"/>
        <v>0</v>
      </c>
      <c r="W348" t="e">
        <f t="shared" si="87"/>
        <v>#DIV/0!</v>
      </c>
    </row>
    <row r="349" spans="1:23" x14ac:dyDescent="0.55000000000000004">
      <c r="A349">
        <f t="shared" si="88"/>
        <v>31.500000000000178</v>
      </c>
      <c r="B349">
        <f t="shared" si="92"/>
        <v>0.316</v>
      </c>
      <c r="C349">
        <f t="shared" si="93"/>
        <v>-15.543478260869684</v>
      </c>
      <c r="D349">
        <v>2.4439946559906884</v>
      </c>
      <c r="E349">
        <f t="shared" si="83"/>
        <v>0</v>
      </c>
      <c r="F349">
        <f t="shared" si="94"/>
        <v>4.8605058816845369E-2</v>
      </c>
      <c r="G349">
        <f t="shared" si="95"/>
        <v>39.513748498891111</v>
      </c>
      <c r="H349">
        <f t="shared" si="96"/>
        <v>0</v>
      </c>
      <c r="I349" s="1">
        <f t="shared" si="84"/>
        <v>0</v>
      </c>
      <c r="J349">
        <f t="shared" si="97"/>
        <v>0</v>
      </c>
      <c r="K349">
        <f t="shared" si="85"/>
        <v>0</v>
      </c>
      <c r="L349" cm="1">
        <f t="array" ref="L349">IF(E349*J349=0,0,$C$21*INDEX([3]Sheet1!$C$4:$Q$23,MATCH(K349,[3]Sheet1!$B$4:$B$23,1),MATCH(D349,[3]Sheet1!$C$3:$Q$3,1))
+(K349-INDEX([3]Sheet1!$B$4:$B$23,MATCH(K349,[3]Sheet1!$B$4:$B$23,1),1))/(INDEX([3]Sheet1!$B$4:$B$23,MATCH(K349,[3]Sheet1!$B$4:$B$23,1)+1,1)-INDEX([3]Sheet1!$B$4:$B$23,
MATCH(K349,[3]Sheet1!$B$4:$B$23,1),1))*(INDEX([3]Sheet1!$C$4:$Q$23,MATCH(K349,[3]Sheet1!$B$4:$B$23,1)+1,MATCH(D349,[3]Sheet1!$C$3:$Q$3,1))-INDEX([3]Sheet1!$C$4:$Q$23,
MATCH(K349,[3]Sheet1!$B$4:$B$23,1),MATCH(D349,[3]Sheet1!$C$3:$Q$3,1)))
+(D349-INDEX([3]Sheet1!$C$3:$Q$3,1,MATCH(D349,[3]Sheet1!$C$3:$Q$3)))/(INDEX([3]Sheet1!$C$3:$Q$3,1,MATCH(D349,[3]Sheet1!$C$3:$Q$3)+1)-INDEX([3]Sheet1!$C$3:$Q$3,1,MATCH(
D349,[3]Sheet1!$C$3:$Q$3)))*(INDEX([3]Sheet1!$C$4:$Q$23,MATCH(K349,[3]Sheet1!$B$4:$B$23,1),MATCH(D349,[3]Sheet1!$C$3:$Q$3,1)+1)-INDEX([3]Sheet1!$C$4:$Q$23,MATCH(K349,[3]Sheet1!$B$4:$B$23,1),MATCH(D349,[3]Sheet1!$C$3:$Q$3,1))))</f>
        <v>0</v>
      </c>
      <c r="M349" cm="1">
        <f t="array" ref="M349" xml:space="preserve"> IF(E349*J349=0,0,(INDEX([2]Sheet1!$C$4:$Q$23,MATCH(K349,[2]Sheet1!$B$4:$B$23,1),MATCH(D349,[2]Sheet1!$C$3:$Q$3,1))
+ (K349 - INDEX([2]Sheet1!$B$4:$B$23,MATCH(K349,[2]Sheet1!$B$4:$B$23,1),1))/(INDEX([2]Sheet1!$B$4:$B$23,MATCH(K349,[2]Sheet1!$B$4:$B$23,1)+1,1) - INDEX([2]Sheet1!$B$4:$B$23,MATCH(K349,[2]Sheet1!$B$4:$B$23,1),1))*(INDEX([2]Sheet1!$C$4:$Q$23,MATCH(K349,[2]Sheet1!$B$4:$B$23,1)+1,MATCH(D349,[2]Sheet1!$C$3:$Q$3,1)) - INDEX([2]Sheet1!$C$4:$Q$23,MATCH(K349,[2]Sheet1!$B$4:$B$23,1),MATCH(D349,[2]Sheet1!$C$3:$Q$3,1)))
+ (D349 - INDEX([2]Sheet1!$C$3:$Q$3,1,MATCH(D349,[2]Sheet1!$C$3:$Q$3)))/(INDEX([2]Sheet1!$C$3:$Q$3,1,MATCH(D349,[2]Sheet1!$C$3:$Q$3)+1) - INDEX([2]Sheet1!$C$3:$Q$3,1,MATCH(D349,[2]Sheet1!$C$3:$Q$3)))*(
INDEX([2]Sheet1!$C$4:$Q$23,MATCH(K349,[2]Sheet1!$B$4:$B$23,1),MATCH(D349,[2]Sheet1!$C$3:$Q$3,1)+1) - INDEX([2]Sheet1!$C$4:$Q$23,MATCH(K349,[2]Sheet1!$B$4:$B$23,1),MATCH(D349,[2]Sheet1!$C$3:$Q$3,1)))))</f>
        <v>0</v>
      </c>
      <c r="N349">
        <f t="shared" si="98"/>
        <v>12</v>
      </c>
      <c r="O349">
        <v>8.8592700663015861E-2</v>
      </c>
      <c r="P349" t="e">
        <f t="shared" si="99"/>
        <v>#DIV/0!</v>
      </c>
      <c r="Q349">
        <f t="shared" si="86"/>
        <v>0</v>
      </c>
      <c r="R349">
        <f t="shared" si="100"/>
        <v>741.9099431943954</v>
      </c>
      <c r="T349" t="e">
        <f t="shared" si="89"/>
        <v>#DIV/0!</v>
      </c>
      <c r="U349" t="e">
        <f t="shared" si="90"/>
        <v>#DIV/0!</v>
      </c>
      <c r="V349">
        <f t="shared" si="91"/>
        <v>0</v>
      </c>
      <c r="W349" t="e">
        <f t="shared" si="87"/>
        <v>#DIV/0!</v>
      </c>
    </row>
    <row r="350" spans="1:23" x14ac:dyDescent="0.55000000000000004">
      <c r="A350">
        <f t="shared" si="88"/>
        <v>31.600000000000179</v>
      </c>
      <c r="B350">
        <f t="shared" si="92"/>
        <v>0.316</v>
      </c>
      <c r="C350">
        <f t="shared" si="93"/>
        <v>-15.608695652174031</v>
      </c>
      <c r="D350">
        <v>2.4438948594838776</v>
      </c>
      <c r="E350">
        <f t="shared" si="83"/>
        <v>0</v>
      </c>
      <c r="F350">
        <f t="shared" si="94"/>
        <v>4.8605058816845369E-2</v>
      </c>
      <c r="G350">
        <f t="shared" si="95"/>
        <v>39.513748498891111</v>
      </c>
      <c r="H350">
        <f t="shared" si="96"/>
        <v>0</v>
      </c>
      <c r="I350" s="1">
        <f t="shared" si="84"/>
        <v>0</v>
      </c>
      <c r="J350">
        <f t="shared" si="97"/>
        <v>0</v>
      </c>
      <c r="K350">
        <f t="shared" si="85"/>
        <v>0</v>
      </c>
      <c r="L350" cm="1">
        <f t="array" ref="L350">IF(E350*J350=0,0,$C$21*INDEX([3]Sheet1!$C$4:$Q$23,MATCH(K350,[3]Sheet1!$B$4:$B$23,1),MATCH(D350,[3]Sheet1!$C$3:$Q$3,1))
+(K350-INDEX([3]Sheet1!$B$4:$B$23,MATCH(K350,[3]Sheet1!$B$4:$B$23,1),1))/(INDEX([3]Sheet1!$B$4:$B$23,MATCH(K350,[3]Sheet1!$B$4:$B$23,1)+1,1)-INDEX([3]Sheet1!$B$4:$B$23,
MATCH(K350,[3]Sheet1!$B$4:$B$23,1),1))*(INDEX([3]Sheet1!$C$4:$Q$23,MATCH(K350,[3]Sheet1!$B$4:$B$23,1)+1,MATCH(D350,[3]Sheet1!$C$3:$Q$3,1))-INDEX([3]Sheet1!$C$4:$Q$23,
MATCH(K350,[3]Sheet1!$B$4:$B$23,1),MATCH(D350,[3]Sheet1!$C$3:$Q$3,1)))
+(D350-INDEX([3]Sheet1!$C$3:$Q$3,1,MATCH(D350,[3]Sheet1!$C$3:$Q$3)))/(INDEX([3]Sheet1!$C$3:$Q$3,1,MATCH(D350,[3]Sheet1!$C$3:$Q$3)+1)-INDEX([3]Sheet1!$C$3:$Q$3,1,MATCH(
D350,[3]Sheet1!$C$3:$Q$3)))*(INDEX([3]Sheet1!$C$4:$Q$23,MATCH(K350,[3]Sheet1!$B$4:$B$23,1),MATCH(D350,[3]Sheet1!$C$3:$Q$3,1)+1)-INDEX([3]Sheet1!$C$4:$Q$23,MATCH(K350,[3]Sheet1!$B$4:$B$23,1),MATCH(D350,[3]Sheet1!$C$3:$Q$3,1))))</f>
        <v>0</v>
      </c>
      <c r="M350" cm="1">
        <f t="array" ref="M350" xml:space="preserve"> IF(E350*J350=0,0,(INDEX([2]Sheet1!$C$4:$Q$23,MATCH(K350,[2]Sheet1!$B$4:$B$23,1),MATCH(D350,[2]Sheet1!$C$3:$Q$3,1))
+ (K350 - INDEX([2]Sheet1!$B$4:$B$23,MATCH(K350,[2]Sheet1!$B$4:$B$23,1),1))/(INDEX([2]Sheet1!$B$4:$B$23,MATCH(K350,[2]Sheet1!$B$4:$B$23,1)+1,1) - INDEX([2]Sheet1!$B$4:$B$23,MATCH(K350,[2]Sheet1!$B$4:$B$23,1),1))*(INDEX([2]Sheet1!$C$4:$Q$23,MATCH(K350,[2]Sheet1!$B$4:$B$23,1)+1,MATCH(D350,[2]Sheet1!$C$3:$Q$3,1)) - INDEX([2]Sheet1!$C$4:$Q$23,MATCH(K350,[2]Sheet1!$B$4:$B$23,1),MATCH(D350,[2]Sheet1!$C$3:$Q$3,1)))
+ (D350 - INDEX([2]Sheet1!$C$3:$Q$3,1,MATCH(D350,[2]Sheet1!$C$3:$Q$3)))/(INDEX([2]Sheet1!$C$3:$Q$3,1,MATCH(D350,[2]Sheet1!$C$3:$Q$3)+1) - INDEX([2]Sheet1!$C$3:$Q$3,1,MATCH(D350,[2]Sheet1!$C$3:$Q$3)))*(
INDEX([2]Sheet1!$C$4:$Q$23,MATCH(K350,[2]Sheet1!$B$4:$B$23,1),MATCH(D350,[2]Sheet1!$C$3:$Q$3,1)+1) - INDEX([2]Sheet1!$C$4:$Q$23,MATCH(K350,[2]Sheet1!$B$4:$B$23,1),MATCH(D350,[2]Sheet1!$C$3:$Q$3,1)))))</f>
        <v>0</v>
      </c>
      <c r="N350">
        <f t="shared" si="98"/>
        <v>12</v>
      </c>
      <c r="O350">
        <v>8.8572533053570726E-2</v>
      </c>
      <c r="P350" t="e">
        <f t="shared" si="99"/>
        <v>#DIV/0!</v>
      </c>
      <c r="Q350">
        <f t="shared" si="86"/>
        <v>0</v>
      </c>
      <c r="R350">
        <f t="shared" si="100"/>
        <v>741.9099431943954</v>
      </c>
      <c r="T350" t="e">
        <f t="shared" si="89"/>
        <v>#DIV/0!</v>
      </c>
      <c r="U350" t="e">
        <f t="shared" si="90"/>
        <v>#DIV/0!</v>
      </c>
      <c r="V350">
        <f t="shared" si="91"/>
        <v>0</v>
      </c>
      <c r="W350" t="e">
        <f t="shared" si="87"/>
        <v>#DIV/0!</v>
      </c>
    </row>
    <row r="351" spans="1:23" x14ac:dyDescent="0.55000000000000004">
      <c r="A351">
        <f t="shared" si="88"/>
        <v>31.70000000000018</v>
      </c>
      <c r="B351">
        <f t="shared" si="92"/>
        <v>0.316</v>
      </c>
      <c r="C351">
        <f t="shared" si="93"/>
        <v>-15.673913043478379</v>
      </c>
      <c r="D351">
        <v>2.4437952476770661</v>
      </c>
      <c r="E351">
        <f t="shared" si="83"/>
        <v>0</v>
      </c>
      <c r="F351">
        <f t="shared" si="94"/>
        <v>4.8605058816845369E-2</v>
      </c>
      <c r="G351">
        <f t="shared" si="95"/>
        <v>39.513748498891111</v>
      </c>
      <c r="H351">
        <f t="shared" si="96"/>
        <v>0</v>
      </c>
      <c r="I351" s="1">
        <f t="shared" si="84"/>
        <v>0</v>
      </c>
      <c r="J351">
        <f t="shared" si="97"/>
        <v>0</v>
      </c>
      <c r="K351">
        <f t="shared" si="85"/>
        <v>0</v>
      </c>
      <c r="L351" cm="1">
        <f t="array" ref="L351">IF(E351*J351=0,0,$C$21*INDEX([3]Sheet1!$C$4:$Q$23,MATCH(K351,[3]Sheet1!$B$4:$B$23,1),MATCH(D351,[3]Sheet1!$C$3:$Q$3,1))
+(K351-INDEX([3]Sheet1!$B$4:$B$23,MATCH(K351,[3]Sheet1!$B$4:$B$23,1),1))/(INDEX([3]Sheet1!$B$4:$B$23,MATCH(K351,[3]Sheet1!$B$4:$B$23,1)+1,1)-INDEX([3]Sheet1!$B$4:$B$23,
MATCH(K351,[3]Sheet1!$B$4:$B$23,1),1))*(INDEX([3]Sheet1!$C$4:$Q$23,MATCH(K351,[3]Sheet1!$B$4:$B$23,1)+1,MATCH(D351,[3]Sheet1!$C$3:$Q$3,1))-INDEX([3]Sheet1!$C$4:$Q$23,
MATCH(K351,[3]Sheet1!$B$4:$B$23,1),MATCH(D351,[3]Sheet1!$C$3:$Q$3,1)))
+(D351-INDEX([3]Sheet1!$C$3:$Q$3,1,MATCH(D351,[3]Sheet1!$C$3:$Q$3)))/(INDEX([3]Sheet1!$C$3:$Q$3,1,MATCH(D351,[3]Sheet1!$C$3:$Q$3)+1)-INDEX([3]Sheet1!$C$3:$Q$3,1,MATCH(
D351,[3]Sheet1!$C$3:$Q$3)))*(INDEX([3]Sheet1!$C$4:$Q$23,MATCH(K351,[3]Sheet1!$B$4:$B$23,1),MATCH(D351,[3]Sheet1!$C$3:$Q$3,1)+1)-INDEX([3]Sheet1!$C$4:$Q$23,MATCH(K351,[3]Sheet1!$B$4:$B$23,1),MATCH(D351,[3]Sheet1!$C$3:$Q$3,1))))</f>
        <v>0</v>
      </c>
      <c r="M351" cm="1">
        <f t="array" ref="M351" xml:space="preserve"> IF(E351*J351=0,0,(INDEX([2]Sheet1!$C$4:$Q$23,MATCH(K351,[2]Sheet1!$B$4:$B$23,1),MATCH(D351,[2]Sheet1!$C$3:$Q$3,1))
+ (K351 - INDEX([2]Sheet1!$B$4:$B$23,MATCH(K351,[2]Sheet1!$B$4:$B$23,1),1))/(INDEX([2]Sheet1!$B$4:$B$23,MATCH(K351,[2]Sheet1!$B$4:$B$23,1)+1,1) - INDEX([2]Sheet1!$B$4:$B$23,MATCH(K351,[2]Sheet1!$B$4:$B$23,1),1))*(INDEX([2]Sheet1!$C$4:$Q$23,MATCH(K351,[2]Sheet1!$B$4:$B$23,1)+1,MATCH(D351,[2]Sheet1!$C$3:$Q$3,1)) - INDEX([2]Sheet1!$C$4:$Q$23,MATCH(K351,[2]Sheet1!$B$4:$B$23,1),MATCH(D351,[2]Sheet1!$C$3:$Q$3,1)))
+ (D351 - INDEX([2]Sheet1!$C$3:$Q$3,1,MATCH(D351,[2]Sheet1!$C$3:$Q$3)))/(INDEX([2]Sheet1!$C$3:$Q$3,1,MATCH(D351,[2]Sheet1!$C$3:$Q$3)+1) - INDEX([2]Sheet1!$C$3:$Q$3,1,MATCH(D351,[2]Sheet1!$C$3:$Q$3)))*(
INDEX([2]Sheet1!$C$4:$Q$23,MATCH(K351,[2]Sheet1!$B$4:$B$23,1),MATCH(D351,[2]Sheet1!$C$3:$Q$3,1)+1) - INDEX([2]Sheet1!$C$4:$Q$23,MATCH(K351,[2]Sheet1!$B$4:$B$23,1),MATCH(D351,[2]Sheet1!$C$3:$Q$3,1)))))</f>
        <v>0</v>
      </c>
      <c r="N351">
        <f t="shared" si="98"/>
        <v>12</v>
      </c>
      <c r="O351">
        <v>8.8552408315290224E-2</v>
      </c>
      <c r="P351" t="e">
        <f t="shared" si="99"/>
        <v>#DIV/0!</v>
      </c>
      <c r="Q351">
        <f t="shared" si="86"/>
        <v>0</v>
      </c>
      <c r="R351">
        <f t="shared" si="100"/>
        <v>741.9099431943954</v>
      </c>
      <c r="T351" t="e">
        <f t="shared" si="89"/>
        <v>#DIV/0!</v>
      </c>
      <c r="U351" t="e">
        <f t="shared" si="90"/>
        <v>#DIV/0!</v>
      </c>
      <c r="V351">
        <f t="shared" si="91"/>
        <v>0</v>
      </c>
      <c r="W351" t="e">
        <f t="shared" si="87"/>
        <v>#DIV/0!</v>
      </c>
    </row>
    <row r="352" spans="1:23" x14ac:dyDescent="0.55000000000000004">
      <c r="A352">
        <f t="shared" si="88"/>
        <v>31.800000000000182</v>
      </c>
      <c r="B352">
        <f t="shared" si="92"/>
        <v>0.316</v>
      </c>
      <c r="C352">
        <f t="shared" si="93"/>
        <v>-15.73913043478273</v>
      </c>
      <c r="D352">
        <v>2.4436958198656882</v>
      </c>
      <c r="E352">
        <f t="shared" si="83"/>
        <v>0</v>
      </c>
      <c r="F352">
        <f t="shared" si="94"/>
        <v>4.8605058816845369E-2</v>
      </c>
      <c r="G352">
        <f t="shared" si="95"/>
        <v>39.513748498891111</v>
      </c>
      <c r="H352">
        <f t="shared" si="96"/>
        <v>0</v>
      </c>
      <c r="I352" s="1">
        <f t="shared" si="84"/>
        <v>0</v>
      </c>
      <c r="J352">
        <f t="shared" si="97"/>
        <v>0</v>
      </c>
      <c r="K352">
        <f t="shared" si="85"/>
        <v>0</v>
      </c>
      <c r="L352" cm="1">
        <f t="array" ref="L352">IF(E352*J352=0,0,$C$21*INDEX([3]Sheet1!$C$4:$Q$23,MATCH(K352,[3]Sheet1!$B$4:$B$23,1),MATCH(D352,[3]Sheet1!$C$3:$Q$3,1))
+(K352-INDEX([3]Sheet1!$B$4:$B$23,MATCH(K352,[3]Sheet1!$B$4:$B$23,1),1))/(INDEX([3]Sheet1!$B$4:$B$23,MATCH(K352,[3]Sheet1!$B$4:$B$23,1)+1,1)-INDEX([3]Sheet1!$B$4:$B$23,
MATCH(K352,[3]Sheet1!$B$4:$B$23,1),1))*(INDEX([3]Sheet1!$C$4:$Q$23,MATCH(K352,[3]Sheet1!$B$4:$B$23,1)+1,MATCH(D352,[3]Sheet1!$C$3:$Q$3,1))-INDEX([3]Sheet1!$C$4:$Q$23,
MATCH(K352,[3]Sheet1!$B$4:$B$23,1),MATCH(D352,[3]Sheet1!$C$3:$Q$3,1)))
+(D352-INDEX([3]Sheet1!$C$3:$Q$3,1,MATCH(D352,[3]Sheet1!$C$3:$Q$3)))/(INDEX([3]Sheet1!$C$3:$Q$3,1,MATCH(D352,[3]Sheet1!$C$3:$Q$3)+1)-INDEX([3]Sheet1!$C$3:$Q$3,1,MATCH(
D352,[3]Sheet1!$C$3:$Q$3)))*(INDEX([3]Sheet1!$C$4:$Q$23,MATCH(K352,[3]Sheet1!$B$4:$B$23,1),MATCH(D352,[3]Sheet1!$C$3:$Q$3,1)+1)-INDEX([3]Sheet1!$C$4:$Q$23,MATCH(K352,[3]Sheet1!$B$4:$B$23,1),MATCH(D352,[3]Sheet1!$C$3:$Q$3,1))))</f>
        <v>0</v>
      </c>
      <c r="M352" cm="1">
        <f t="array" ref="M352" xml:space="preserve"> IF(E352*J352=0,0,(INDEX([2]Sheet1!$C$4:$Q$23,MATCH(K352,[2]Sheet1!$B$4:$B$23,1),MATCH(D352,[2]Sheet1!$C$3:$Q$3,1))
+ (K352 - INDEX([2]Sheet1!$B$4:$B$23,MATCH(K352,[2]Sheet1!$B$4:$B$23,1),1))/(INDEX([2]Sheet1!$B$4:$B$23,MATCH(K352,[2]Sheet1!$B$4:$B$23,1)+1,1) - INDEX([2]Sheet1!$B$4:$B$23,MATCH(K352,[2]Sheet1!$B$4:$B$23,1),1))*(INDEX([2]Sheet1!$C$4:$Q$23,MATCH(K352,[2]Sheet1!$B$4:$B$23,1)+1,MATCH(D352,[2]Sheet1!$C$3:$Q$3,1)) - INDEX([2]Sheet1!$C$4:$Q$23,MATCH(K352,[2]Sheet1!$B$4:$B$23,1),MATCH(D352,[2]Sheet1!$C$3:$Q$3,1)))
+ (D352 - INDEX([2]Sheet1!$C$3:$Q$3,1,MATCH(D352,[2]Sheet1!$C$3:$Q$3)))/(INDEX([2]Sheet1!$C$3:$Q$3,1,MATCH(D352,[2]Sheet1!$C$3:$Q$3)+1) - INDEX([2]Sheet1!$C$3:$Q$3,1,MATCH(D352,[2]Sheet1!$C$3:$Q$3)))*(
INDEX([2]Sheet1!$C$4:$Q$23,MATCH(K352,[2]Sheet1!$B$4:$B$23,1),MATCH(D352,[2]Sheet1!$C$3:$Q$3,1)+1) - INDEX([2]Sheet1!$C$4:$Q$23,MATCH(K352,[2]Sheet1!$B$4:$B$23,1),MATCH(D352,[2]Sheet1!$C$3:$Q$3,1)))))</f>
        <v>0</v>
      </c>
      <c r="N352">
        <f t="shared" si="98"/>
        <v>12</v>
      </c>
      <c r="O352">
        <v>8.8532326279747359E-2</v>
      </c>
      <c r="P352" t="e">
        <f t="shared" si="99"/>
        <v>#DIV/0!</v>
      </c>
      <c r="Q352">
        <f t="shared" si="86"/>
        <v>0</v>
      </c>
      <c r="R352">
        <f t="shared" si="100"/>
        <v>741.9099431943954</v>
      </c>
      <c r="T352" t="e">
        <f t="shared" si="89"/>
        <v>#DIV/0!</v>
      </c>
      <c r="U352" t="e">
        <f t="shared" si="90"/>
        <v>#DIV/0!</v>
      </c>
      <c r="V352">
        <f t="shared" si="91"/>
        <v>0</v>
      </c>
      <c r="W352" t="e">
        <f t="shared" si="87"/>
        <v>#DIV/0!</v>
      </c>
    </row>
    <row r="353" spans="1:23" x14ac:dyDescent="0.55000000000000004">
      <c r="A353">
        <f t="shared" si="88"/>
        <v>31.900000000000183</v>
      </c>
      <c r="B353">
        <f t="shared" si="92"/>
        <v>0.316</v>
      </c>
      <c r="C353">
        <f t="shared" si="93"/>
        <v>-15.804347826087078</v>
      </c>
      <c r="D353">
        <v>2.4435965753492304</v>
      </c>
      <c r="E353">
        <f t="shared" si="83"/>
        <v>0</v>
      </c>
      <c r="F353">
        <f t="shared" si="94"/>
        <v>4.8605058816845369E-2</v>
      </c>
      <c r="G353">
        <f t="shared" si="95"/>
        <v>39.513748498891111</v>
      </c>
      <c r="H353">
        <f t="shared" si="96"/>
        <v>0</v>
      </c>
      <c r="I353" s="1">
        <f t="shared" si="84"/>
        <v>0</v>
      </c>
      <c r="J353">
        <f t="shared" si="97"/>
        <v>0</v>
      </c>
      <c r="K353">
        <f t="shared" si="85"/>
        <v>0</v>
      </c>
      <c r="L353" cm="1">
        <f t="array" ref="L353">IF(E353*J353=0,0,$C$21*INDEX([3]Sheet1!$C$4:$Q$23,MATCH(K353,[3]Sheet1!$B$4:$B$23,1),MATCH(D353,[3]Sheet1!$C$3:$Q$3,1))
+(K353-INDEX([3]Sheet1!$B$4:$B$23,MATCH(K353,[3]Sheet1!$B$4:$B$23,1),1))/(INDEX([3]Sheet1!$B$4:$B$23,MATCH(K353,[3]Sheet1!$B$4:$B$23,1)+1,1)-INDEX([3]Sheet1!$B$4:$B$23,
MATCH(K353,[3]Sheet1!$B$4:$B$23,1),1))*(INDEX([3]Sheet1!$C$4:$Q$23,MATCH(K353,[3]Sheet1!$B$4:$B$23,1)+1,MATCH(D353,[3]Sheet1!$C$3:$Q$3,1))-INDEX([3]Sheet1!$C$4:$Q$23,
MATCH(K353,[3]Sheet1!$B$4:$B$23,1),MATCH(D353,[3]Sheet1!$C$3:$Q$3,1)))
+(D353-INDEX([3]Sheet1!$C$3:$Q$3,1,MATCH(D353,[3]Sheet1!$C$3:$Q$3)))/(INDEX([3]Sheet1!$C$3:$Q$3,1,MATCH(D353,[3]Sheet1!$C$3:$Q$3)+1)-INDEX([3]Sheet1!$C$3:$Q$3,1,MATCH(
D353,[3]Sheet1!$C$3:$Q$3)))*(INDEX([3]Sheet1!$C$4:$Q$23,MATCH(K353,[3]Sheet1!$B$4:$B$23,1),MATCH(D353,[3]Sheet1!$C$3:$Q$3,1)+1)-INDEX([3]Sheet1!$C$4:$Q$23,MATCH(K353,[3]Sheet1!$B$4:$B$23,1),MATCH(D353,[3]Sheet1!$C$3:$Q$3,1))))</f>
        <v>0</v>
      </c>
      <c r="M353" cm="1">
        <f t="array" ref="M353" xml:space="preserve"> IF(E353*J353=0,0,(INDEX([2]Sheet1!$C$4:$Q$23,MATCH(K353,[2]Sheet1!$B$4:$B$23,1),MATCH(D353,[2]Sheet1!$C$3:$Q$3,1))
+ (K353 - INDEX([2]Sheet1!$B$4:$B$23,MATCH(K353,[2]Sheet1!$B$4:$B$23,1),1))/(INDEX([2]Sheet1!$B$4:$B$23,MATCH(K353,[2]Sheet1!$B$4:$B$23,1)+1,1) - INDEX([2]Sheet1!$B$4:$B$23,MATCH(K353,[2]Sheet1!$B$4:$B$23,1),1))*(INDEX([2]Sheet1!$C$4:$Q$23,MATCH(K353,[2]Sheet1!$B$4:$B$23,1)+1,MATCH(D353,[2]Sheet1!$C$3:$Q$3,1)) - INDEX([2]Sheet1!$C$4:$Q$23,MATCH(K353,[2]Sheet1!$B$4:$B$23,1),MATCH(D353,[2]Sheet1!$C$3:$Q$3,1)))
+ (D353 - INDEX([2]Sheet1!$C$3:$Q$3,1,MATCH(D353,[2]Sheet1!$C$3:$Q$3)))/(INDEX([2]Sheet1!$C$3:$Q$3,1,MATCH(D353,[2]Sheet1!$C$3:$Q$3)+1) - INDEX([2]Sheet1!$C$3:$Q$3,1,MATCH(D353,[2]Sheet1!$C$3:$Q$3)))*(
INDEX([2]Sheet1!$C$4:$Q$23,MATCH(K353,[2]Sheet1!$B$4:$B$23,1),MATCH(D353,[2]Sheet1!$C$3:$Q$3,1)+1) - INDEX([2]Sheet1!$C$4:$Q$23,MATCH(K353,[2]Sheet1!$B$4:$B$23,1),MATCH(D353,[2]Sheet1!$C$3:$Q$3,1)))))</f>
        <v>0</v>
      </c>
      <c r="N353">
        <f t="shared" si="98"/>
        <v>12</v>
      </c>
      <c r="O353">
        <v>8.8512286779495838E-2</v>
      </c>
      <c r="P353" t="e">
        <f t="shared" si="99"/>
        <v>#DIV/0!</v>
      </c>
      <c r="Q353">
        <f t="shared" si="86"/>
        <v>0</v>
      </c>
      <c r="R353">
        <f t="shared" si="100"/>
        <v>741.9099431943954</v>
      </c>
      <c r="T353" t="e">
        <f t="shared" si="89"/>
        <v>#DIV/0!</v>
      </c>
      <c r="U353" t="e">
        <f t="shared" si="90"/>
        <v>#DIV/0!</v>
      </c>
      <c r="V353">
        <f t="shared" si="91"/>
        <v>0</v>
      </c>
      <c r="W353" t="e">
        <f t="shared" si="87"/>
        <v>#DIV/0!</v>
      </c>
    </row>
    <row r="354" spans="1:23" x14ac:dyDescent="0.55000000000000004">
      <c r="A354">
        <f t="shared" si="88"/>
        <v>32.000000000000185</v>
      </c>
      <c r="B354">
        <f t="shared" si="92"/>
        <v>0.316</v>
      </c>
      <c r="C354">
        <f t="shared" si="93"/>
        <v>-15.869565217391425</v>
      </c>
      <c r="D354">
        <v>2.4434975134311938</v>
      </c>
      <c r="E354">
        <f t="shared" si="83"/>
        <v>0</v>
      </c>
      <c r="F354">
        <f t="shared" si="94"/>
        <v>4.8605058816845369E-2</v>
      </c>
      <c r="G354">
        <f t="shared" si="95"/>
        <v>39.513748498891111</v>
      </c>
      <c r="H354">
        <f t="shared" si="96"/>
        <v>0</v>
      </c>
      <c r="I354" s="1">
        <f t="shared" si="84"/>
        <v>0</v>
      </c>
      <c r="J354">
        <f t="shared" si="97"/>
        <v>0</v>
      </c>
      <c r="K354">
        <f t="shared" si="85"/>
        <v>0</v>
      </c>
      <c r="L354" cm="1">
        <f t="array" ref="L354">IF(E354*J354=0,0,$C$21*INDEX([3]Sheet1!$C$4:$Q$23,MATCH(K354,[3]Sheet1!$B$4:$B$23,1),MATCH(D354,[3]Sheet1!$C$3:$Q$3,1))
+(K354-INDEX([3]Sheet1!$B$4:$B$23,MATCH(K354,[3]Sheet1!$B$4:$B$23,1),1))/(INDEX([3]Sheet1!$B$4:$B$23,MATCH(K354,[3]Sheet1!$B$4:$B$23,1)+1,1)-INDEX([3]Sheet1!$B$4:$B$23,
MATCH(K354,[3]Sheet1!$B$4:$B$23,1),1))*(INDEX([3]Sheet1!$C$4:$Q$23,MATCH(K354,[3]Sheet1!$B$4:$B$23,1)+1,MATCH(D354,[3]Sheet1!$C$3:$Q$3,1))-INDEX([3]Sheet1!$C$4:$Q$23,
MATCH(K354,[3]Sheet1!$B$4:$B$23,1),MATCH(D354,[3]Sheet1!$C$3:$Q$3,1)))
+(D354-INDEX([3]Sheet1!$C$3:$Q$3,1,MATCH(D354,[3]Sheet1!$C$3:$Q$3)))/(INDEX([3]Sheet1!$C$3:$Q$3,1,MATCH(D354,[3]Sheet1!$C$3:$Q$3)+1)-INDEX([3]Sheet1!$C$3:$Q$3,1,MATCH(
D354,[3]Sheet1!$C$3:$Q$3)))*(INDEX([3]Sheet1!$C$4:$Q$23,MATCH(K354,[3]Sheet1!$B$4:$B$23,1),MATCH(D354,[3]Sheet1!$C$3:$Q$3,1)+1)-INDEX([3]Sheet1!$C$4:$Q$23,MATCH(K354,[3]Sheet1!$B$4:$B$23,1),MATCH(D354,[3]Sheet1!$C$3:$Q$3,1))))</f>
        <v>0</v>
      </c>
      <c r="M354" cm="1">
        <f t="array" ref="M354" xml:space="preserve"> IF(E354*J354=0,0,(INDEX([2]Sheet1!$C$4:$Q$23,MATCH(K354,[2]Sheet1!$B$4:$B$23,1),MATCH(D354,[2]Sheet1!$C$3:$Q$3,1))
+ (K354 - INDEX([2]Sheet1!$B$4:$B$23,MATCH(K354,[2]Sheet1!$B$4:$B$23,1),1))/(INDEX([2]Sheet1!$B$4:$B$23,MATCH(K354,[2]Sheet1!$B$4:$B$23,1)+1,1) - INDEX([2]Sheet1!$B$4:$B$23,MATCH(K354,[2]Sheet1!$B$4:$B$23,1),1))*(INDEX([2]Sheet1!$C$4:$Q$23,MATCH(K354,[2]Sheet1!$B$4:$B$23,1)+1,MATCH(D354,[2]Sheet1!$C$3:$Q$3,1)) - INDEX([2]Sheet1!$C$4:$Q$23,MATCH(K354,[2]Sheet1!$B$4:$B$23,1),MATCH(D354,[2]Sheet1!$C$3:$Q$3,1)))
+ (D354 - INDEX([2]Sheet1!$C$3:$Q$3,1,MATCH(D354,[2]Sheet1!$C$3:$Q$3)))/(INDEX([2]Sheet1!$C$3:$Q$3,1,MATCH(D354,[2]Sheet1!$C$3:$Q$3)+1) - INDEX([2]Sheet1!$C$3:$Q$3,1,MATCH(D354,[2]Sheet1!$C$3:$Q$3)))*(
INDEX([2]Sheet1!$C$4:$Q$23,MATCH(K354,[2]Sheet1!$B$4:$B$23,1),MATCH(D354,[2]Sheet1!$C$3:$Q$3,1)+1) - INDEX([2]Sheet1!$C$4:$Q$23,MATCH(K354,[2]Sheet1!$B$4:$B$23,1),MATCH(D354,[2]Sheet1!$C$3:$Q$3,1)))))</f>
        <v>0</v>
      </c>
      <c r="N354">
        <f t="shared" si="98"/>
        <v>12</v>
      </c>
      <c r="O354">
        <v>8.8492289648061273E-2</v>
      </c>
      <c r="P354" t="e">
        <f t="shared" si="99"/>
        <v>#DIV/0!</v>
      </c>
      <c r="Q354">
        <f t="shared" si="86"/>
        <v>0</v>
      </c>
      <c r="R354">
        <f t="shared" si="100"/>
        <v>741.9099431943954</v>
      </c>
      <c r="T354" t="e">
        <f t="shared" si="89"/>
        <v>#DIV/0!</v>
      </c>
      <c r="U354" t="e">
        <f t="shared" si="90"/>
        <v>#DIV/0!</v>
      </c>
      <c r="V354">
        <f t="shared" si="91"/>
        <v>0</v>
      </c>
      <c r="W354" t="e">
        <f t="shared" si="87"/>
        <v>#DIV/0!</v>
      </c>
    </row>
    <row r="355" spans="1:23" x14ac:dyDescent="0.55000000000000004">
      <c r="A355">
        <f t="shared" si="88"/>
        <v>32.100000000000186</v>
      </c>
      <c r="B355">
        <f t="shared" si="92"/>
        <v>0.316</v>
      </c>
      <c r="C355">
        <f t="shared" si="93"/>
        <v>-15.934782608695773</v>
      </c>
      <c r="D355">
        <v>2.4433986334190694</v>
      </c>
      <c r="E355">
        <f t="shared" ref="E355:E418" si="101">IF(B355&lt;($C$5*$C$6*10^-6),$C$9*(PI()/4*($C$8*0.001)^2)*SQRT(2*$C$6*IF(C355&gt;D355,(C355-D355),0)*10^6),0)</f>
        <v>0</v>
      </c>
      <c r="F355">
        <f t="shared" si="94"/>
        <v>4.8605058816845369E-2</v>
      </c>
      <c r="G355">
        <f t="shared" si="95"/>
        <v>39.513748498891111</v>
      </c>
      <c r="H355">
        <f t="shared" si="96"/>
        <v>0</v>
      </c>
      <c r="I355" s="1">
        <f t="shared" ref="I355:I418" si="102">IF(G355=$C$14,0,$C$16*(H355)^$C$17)</f>
        <v>0</v>
      </c>
      <c r="J355">
        <f t="shared" si="97"/>
        <v>0</v>
      </c>
      <c r="K355">
        <f t="shared" ref="K355:K418" si="103">IF(E355*J355=0,0,E355/J355)</f>
        <v>0</v>
      </c>
      <c r="L355" cm="1">
        <f t="array" ref="L355">IF(E355*J355=0,0,$C$21*INDEX([3]Sheet1!$C$4:$Q$23,MATCH(K355,[3]Sheet1!$B$4:$B$23,1),MATCH(D355,[3]Sheet1!$C$3:$Q$3,1))
+(K355-INDEX([3]Sheet1!$B$4:$B$23,MATCH(K355,[3]Sheet1!$B$4:$B$23,1),1))/(INDEX([3]Sheet1!$B$4:$B$23,MATCH(K355,[3]Sheet1!$B$4:$B$23,1)+1,1)-INDEX([3]Sheet1!$B$4:$B$23,
MATCH(K355,[3]Sheet1!$B$4:$B$23,1),1))*(INDEX([3]Sheet1!$C$4:$Q$23,MATCH(K355,[3]Sheet1!$B$4:$B$23,1)+1,MATCH(D355,[3]Sheet1!$C$3:$Q$3,1))-INDEX([3]Sheet1!$C$4:$Q$23,
MATCH(K355,[3]Sheet1!$B$4:$B$23,1),MATCH(D355,[3]Sheet1!$C$3:$Q$3,1)))
+(D355-INDEX([3]Sheet1!$C$3:$Q$3,1,MATCH(D355,[3]Sheet1!$C$3:$Q$3)))/(INDEX([3]Sheet1!$C$3:$Q$3,1,MATCH(D355,[3]Sheet1!$C$3:$Q$3)+1)-INDEX([3]Sheet1!$C$3:$Q$3,1,MATCH(
D355,[3]Sheet1!$C$3:$Q$3)))*(INDEX([3]Sheet1!$C$4:$Q$23,MATCH(K355,[3]Sheet1!$B$4:$B$23,1),MATCH(D355,[3]Sheet1!$C$3:$Q$3,1)+1)-INDEX([3]Sheet1!$C$4:$Q$23,MATCH(K355,[3]Sheet1!$B$4:$B$23,1),MATCH(D355,[3]Sheet1!$C$3:$Q$3,1))))</f>
        <v>0</v>
      </c>
      <c r="M355" cm="1">
        <f t="array" ref="M355" xml:space="preserve"> IF(E355*J355=0,0,(INDEX([2]Sheet1!$C$4:$Q$23,MATCH(K355,[2]Sheet1!$B$4:$B$23,1),MATCH(D355,[2]Sheet1!$C$3:$Q$3,1))
+ (K355 - INDEX([2]Sheet1!$B$4:$B$23,MATCH(K355,[2]Sheet1!$B$4:$B$23,1),1))/(INDEX([2]Sheet1!$B$4:$B$23,MATCH(K355,[2]Sheet1!$B$4:$B$23,1)+1,1) - INDEX([2]Sheet1!$B$4:$B$23,MATCH(K355,[2]Sheet1!$B$4:$B$23,1),1))*(INDEX([2]Sheet1!$C$4:$Q$23,MATCH(K355,[2]Sheet1!$B$4:$B$23,1)+1,MATCH(D355,[2]Sheet1!$C$3:$Q$3,1)) - INDEX([2]Sheet1!$C$4:$Q$23,MATCH(K355,[2]Sheet1!$B$4:$B$23,1),MATCH(D355,[2]Sheet1!$C$3:$Q$3,1)))
+ (D355 - INDEX([2]Sheet1!$C$3:$Q$3,1,MATCH(D355,[2]Sheet1!$C$3:$Q$3)))/(INDEX([2]Sheet1!$C$3:$Q$3,1,MATCH(D355,[2]Sheet1!$C$3:$Q$3)+1) - INDEX([2]Sheet1!$C$3:$Q$3,1,MATCH(D355,[2]Sheet1!$C$3:$Q$3)))*(
INDEX([2]Sheet1!$C$4:$Q$23,MATCH(K355,[2]Sheet1!$B$4:$B$23,1),MATCH(D355,[2]Sheet1!$C$3:$Q$3,1)+1) - INDEX([2]Sheet1!$C$4:$Q$23,MATCH(K355,[2]Sheet1!$B$4:$B$23,1),MATCH(D355,[2]Sheet1!$C$3:$Q$3,1)))))</f>
        <v>0</v>
      </c>
      <c r="N355">
        <f t="shared" si="98"/>
        <v>12</v>
      </c>
      <c r="O355">
        <v>8.8472334719935763E-2</v>
      </c>
      <c r="P355" t="e">
        <f t="shared" si="99"/>
        <v>#DIV/0!</v>
      </c>
      <c r="Q355">
        <f t="shared" ref="Q355:Q418" si="104">IF(E355*J355=0,0,((1+COS(RADIANS($C$25)))/2)*P355*D355*(PI()*($C$23^2)/4))</f>
        <v>0</v>
      </c>
      <c r="R355">
        <f t="shared" si="100"/>
        <v>741.9099431943954</v>
      </c>
      <c r="T355" t="e">
        <f t="shared" si="89"/>
        <v>#DIV/0!</v>
      </c>
      <c r="U355" t="e">
        <f t="shared" si="90"/>
        <v>#DIV/0!</v>
      </c>
      <c r="V355">
        <f t="shared" si="91"/>
        <v>0</v>
      </c>
      <c r="W355" t="e">
        <f t="shared" ref="W355:W418" si="105">(D355-V355)/V355*100</f>
        <v>#DIV/0!</v>
      </c>
    </row>
    <row r="356" spans="1:23" x14ac:dyDescent="0.55000000000000004">
      <c r="A356">
        <f t="shared" ref="A356:A419" si="106">A355+$C$29</f>
        <v>32.200000000000188</v>
      </c>
      <c r="B356">
        <f t="shared" si="92"/>
        <v>0.316</v>
      </c>
      <c r="C356">
        <f t="shared" si="93"/>
        <v>-16.000000000000124</v>
      </c>
      <c r="D356">
        <v>2.4432999346243043</v>
      </c>
      <c r="E356">
        <f t="shared" si="101"/>
        <v>0</v>
      </c>
      <c r="F356">
        <f t="shared" si="94"/>
        <v>4.8605058816845369E-2</v>
      </c>
      <c r="G356">
        <f t="shared" si="95"/>
        <v>39.513748498891111</v>
      </c>
      <c r="H356">
        <f t="shared" si="96"/>
        <v>0</v>
      </c>
      <c r="I356" s="1">
        <f t="shared" si="102"/>
        <v>0</v>
      </c>
      <c r="J356">
        <f t="shared" si="97"/>
        <v>0</v>
      </c>
      <c r="K356">
        <f t="shared" si="103"/>
        <v>0</v>
      </c>
      <c r="L356" cm="1">
        <f t="array" ref="L356">IF(E356*J356=0,0,$C$21*INDEX([3]Sheet1!$C$4:$Q$23,MATCH(K356,[3]Sheet1!$B$4:$B$23,1),MATCH(D356,[3]Sheet1!$C$3:$Q$3,1))
+(K356-INDEX([3]Sheet1!$B$4:$B$23,MATCH(K356,[3]Sheet1!$B$4:$B$23,1),1))/(INDEX([3]Sheet1!$B$4:$B$23,MATCH(K356,[3]Sheet1!$B$4:$B$23,1)+1,1)-INDEX([3]Sheet1!$B$4:$B$23,
MATCH(K356,[3]Sheet1!$B$4:$B$23,1),1))*(INDEX([3]Sheet1!$C$4:$Q$23,MATCH(K356,[3]Sheet1!$B$4:$B$23,1)+1,MATCH(D356,[3]Sheet1!$C$3:$Q$3,1))-INDEX([3]Sheet1!$C$4:$Q$23,
MATCH(K356,[3]Sheet1!$B$4:$B$23,1),MATCH(D356,[3]Sheet1!$C$3:$Q$3,1)))
+(D356-INDEX([3]Sheet1!$C$3:$Q$3,1,MATCH(D356,[3]Sheet1!$C$3:$Q$3)))/(INDEX([3]Sheet1!$C$3:$Q$3,1,MATCH(D356,[3]Sheet1!$C$3:$Q$3)+1)-INDEX([3]Sheet1!$C$3:$Q$3,1,MATCH(
D356,[3]Sheet1!$C$3:$Q$3)))*(INDEX([3]Sheet1!$C$4:$Q$23,MATCH(K356,[3]Sheet1!$B$4:$B$23,1),MATCH(D356,[3]Sheet1!$C$3:$Q$3,1)+1)-INDEX([3]Sheet1!$C$4:$Q$23,MATCH(K356,[3]Sheet1!$B$4:$B$23,1),MATCH(D356,[3]Sheet1!$C$3:$Q$3,1))))</f>
        <v>0</v>
      </c>
      <c r="M356" cm="1">
        <f t="array" ref="M356" xml:space="preserve"> IF(E356*J356=0,0,(INDEX([2]Sheet1!$C$4:$Q$23,MATCH(K356,[2]Sheet1!$B$4:$B$23,1),MATCH(D356,[2]Sheet1!$C$3:$Q$3,1))
+ (K356 - INDEX([2]Sheet1!$B$4:$B$23,MATCH(K356,[2]Sheet1!$B$4:$B$23,1),1))/(INDEX([2]Sheet1!$B$4:$B$23,MATCH(K356,[2]Sheet1!$B$4:$B$23,1)+1,1) - INDEX([2]Sheet1!$B$4:$B$23,MATCH(K356,[2]Sheet1!$B$4:$B$23,1),1))*(INDEX([2]Sheet1!$C$4:$Q$23,MATCH(K356,[2]Sheet1!$B$4:$B$23,1)+1,MATCH(D356,[2]Sheet1!$C$3:$Q$3,1)) - INDEX([2]Sheet1!$C$4:$Q$23,MATCH(K356,[2]Sheet1!$B$4:$B$23,1),MATCH(D356,[2]Sheet1!$C$3:$Q$3,1)))
+ (D356 - INDEX([2]Sheet1!$C$3:$Q$3,1,MATCH(D356,[2]Sheet1!$C$3:$Q$3)))/(INDEX([2]Sheet1!$C$3:$Q$3,1,MATCH(D356,[2]Sheet1!$C$3:$Q$3)+1) - INDEX([2]Sheet1!$C$3:$Q$3,1,MATCH(D356,[2]Sheet1!$C$3:$Q$3)))*(
INDEX([2]Sheet1!$C$4:$Q$23,MATCH(K356,[2]Sheet1!$B$4:$B$23,1),MATCH(D356,[2]Sheet1!$C$3:$Q$3,1)+1) - INDEX([2]Sheet1!$C$4:$Q$23,MATCH(K356,[2]Sheet1!$B$4:$B$23,1),MATCH(D356,[2]Sheet1!$C$3:$Q$3,1)))))</f>
        <v>0</v>
      </c>
      <c r="N356">
        <f t="shared" si="98"/>
        <v>12</v>
      </c>
      <c r="O356">
        <v>8.8452421830568687E-2</v>
      </c>
      <c r="P356" t="e">
        <f t="shared" si="99"/>
        <v>#DIV/0!</v>
      </c>
      <c r="Q356">
        <f t="shared" si="104"/>
        <v>0</v>
      </c>
      <c r="R356">
        <f t="shared" si="100"/>
        <v>741.9099431943954</v>
      </c>
      <c r="T356" t="e">
        <f t="shared" si="89"/>
        <v>#DIV/0!</v>
      </c>
      <c r="U356" t="e">
        <f t="shared" si="90"/>
        <v>#DIV/0!</v>
      </c>
      <c r="V356">
        <f t="shared" si="91"/>
        <v>0</v>
      </c>
      <c r="W356" t="e">
        <f t="shared" si="105"/>
        <v>#DIV/0!</v>
      </c>
    </row>
    <row r="357" spans="1:23" x14ac:dyDescent="0.55000000000000004">
      <c r="A357">
        <f t="shared" si="106"/>
        <v>32.300000000000189</v>
      </c>
      <c r="B357">
        <f t="shared" si="92"/>
        <v>0.316</v>
      </c>
      <c r="C357">
        <f t="shared" si="93"/>
        <v>-16.065217391304476</v>
      </c>
      <c r="D357">
        <v>2.4432014163622706</v>
      </c>
      <c r="E357">
        <f t="shared" si="101"/>
        <v>0</v>
      </c>
      <c r="F357">
        <f t="shared" si="94"/>
        <v>4.8605058816845369E-2</v>
      </c>
      <c r="G357">
        <f t="shared" si="95"/>
        <v>39.513748498891111</v>
      </c>
      <c r="H357">
        <f t="shared" si="96"/>
        <v>0</v>
      </c>
      <c r="I357" s="1">
        <f t="shared" si="102"/>
        <v>0</v>
      </c>
      <c r="J357">
        <f t="shared" si="97"/>
        <v>0</v>
      </c>
      <c r="K357">
        <f t="shared" si="103"/>
        <v>0</v>
      </c>
      <c r="L357" cm="1">
        <f t="array" ref="L357">IF(E357*J357=0,0,$C$21*INDEX([3]Sheet1!$C$4:$Q$23,MATCH(K357,[3]Sheet1!$B$4:$B$23,1),MATCH(D357,[3]Sheet1!$C$3:$Q$3,1))
+(K357-INDEX([3]Sheet1!$B$4:$B$23,MATCH(K357,[3]Sheet1!$B$4:$B$23,1),1))/(INDEX([3]Sheet1!$B$4:$B$23,MATCH(K357,[3]Sheet1!$B$4:$B$23,1)+1,1)-INDEX([3]Sheet1!$B$4:$B$23,
MATCH(K357,[3]Sheet1!$B$4:$B$23,1),1))*(INDEX([3]Sheet1!$C$4:$Q$23,MATCH(K357,[3]Sheet1!$B$4:$B$23,1)+1,MATCH(D357,[3]Sheet1!$C$3:$Q$3,1))-INDEX([3]Sheet1!$C$4:$Q$23,
MATCH(K357,[3]Sheet1!$B$4:$B$23,1),MATCH(D357,[3]Sheet1!$C$3:$Q$3,1)))
+(D357-INDEX([3]Sheet1!$C$3:$Q$3,1,MATCH(D357,[3]Sheet1!$C$3:$Q$3)))/(INDEX([3]Sheet1!$C$3:$Q$3,1,MATCH(D357,[3]Sheet1!$C$3:$Q$3)+1)-INDEX([3]Sheet1!$C$3:$Q$3,1,MATCH(
D357,[3]Sheet1!$C$3:$Q$3)))*(INDEX([3]Sheet1!$C$4:$Q$23,MATCH(K357,[3]Sheet1!$B$4:$B$23,1),MATCH(D357,[3]Sheet1!$C$3:$Q$3,1)+1)-INDEX([3]Sheet1!$C$4:$Q$23,MATCH(K357,[3]Sheet1!$B$4:$B$23,1),MATCH(D357,[3]Sheet1!$C$3:$Q$3,1))))</f>
        <v>0</v>
      </c>
      <c r="M357" cm="1">
        <f t="array" ref="M357" xml:space="preserve"> IF(E357*J357=0,0,(INDEX([2]Sheet1!$C$4:$Q$23,MATCH(K357,[2]Sheet1!$B$4:$B$23,1),MATCH(D357,[2]Sheet1!$C$3:$Q$3,1))
+ (K357 - INDEX([2]Sheet1!$B$4:$B$23,MATCH(K357,[2]Sheet1!$B$4:$B$23,1),1))/(INDEX([2]Sheet1!$B$4:$B$23,MATCH(K357,[2]Sheet1!$B$4:$B$23,1)+1,1) - INDEX([2]Sheet1!$B$4:$B$23,MATCH(K357,[2]Sheet1!$B$4:$B$23,1),1))*(INDEX([2]Sheet1!$C$4:$Q$23,MATCH(K357,[2]Sheet1!$B$4:$B$23,1)+1,MATCH(D357,[2]Sheet1!$C$3:$Q$3,1)) - INDEX([2]Sheet1!$C$4:$Q$23,MATCH(K357,[2]Sheet1!$B$4:$B$23,1),MATCH(D357,[2]Sheet1!$C$3:$Q$3,1)))
+ (D357 - INDEX([2]Sheet1!$C$3:$Q$3,1,MATCH(D357,[2]Sheet1!$C$3:$Q$3)))/(INDEX([2]Sheet1!$C$3:$Q$3,1,MATCH(D357,[2]Sheet1!$C$3:$Q$3)+1) - INDEX([2]Sheet1!$C$3:$Q$3,1,MATCH(D357,[2]Sheet1!$C$3:$Q$3)))*(
INDEX([2]Sheet1!$C$4:$Q$23,MATCH(K357,[2]Sheet1!$B$4:$B$23,1),MATCH(D357,[2]Sheet1!$C$3:$Q$3,1)+1) - INDEX([2]Sheet1!$C$4:$Q$23,MATCH(K357,[2]Sheet1!$B$4:$B$23,1),MATCH(D357,[2]Sheet1!$C$3:$Q$3,1)))))</f>
        <v>0</v>
      </c>
      <c r="N357">
        <f t="shared" si="98"/>
        <v>12</v>
      </c>
      <c r="O357">
        <v>8.84325508163602E-2</v>
      </c>
      <c r="P357" t="e">
        <f t="shared" si="99"/>
        <v>#DIV/0!</v>
      </c>
      <c r="Q357">
        <f t="shared" si="104"/>
        <v>0</v>
      </c>
      <c r="R357">
        <f t="shared" si="100"/>
        <v>741.9099431943954</v>
      </c>
      <c r="T357" t="e">
        <f t="shared" ref="T357:T420" si="107">((2/(M357+1))^(1/(M357-1)))*((D357/O357)^(1/M357))/SQRT(((M357+1)/(M357-1))*(1-(O357/D357)^((M357-1)/M357)))</f>
        <v>#DIV/0!</v>
      </c>
      <c r="U357" t="e">
        <f t="shared" ref="U357:U420" si="108">(T357-(($C$24^2)/(N357^2)))/(($C$24^2)/(N357^2))*100</f>
        <v>#DIV/0!</v>
      </c>
      <c r="V357">
        <f t="shared" ref="V357:V420" si="109">4*L357*(E357+J357)/(PI()*N357^2)</f>
        <v>0</v>
      </c>
      <c r="W357" t="e">
        <f t="shared" si="105"/>
        <v>#DIV/0!</v>
      </c>
    </row>
    <row r="358" spans="1:23" x14ac:dyDescent="0.55000000000000004">
      <c r="A358">
        <f t="shared" si="106"/>
        <v>32.40000000000019</v>
      </c>
      <c r="B358">
        <f t="shared" ref="B358:B421" si="110">IF(B357+(E357+E356)*(A357-A356)/2&lt;$C$5*$C$6*10^-6,B357+(E357+E356)*(A357-A356)/2,$C$5*$C$6*10^-6)</f>
        <v>0.316</v>
      </c>
      <c r="C358">
        <f t="shared" ref="C358:C421" si="111">($C$3-$C$2)*A358/$C$4+$C$2</f>
        <v>-16.130434782608823</v>
      </c>
      <c r="D358">
        <v>2.4431030779522396</v>
      </c>
      <c r="E358">
        <f t="shared" si="101"/>
        <v>0</v>
      </c>
      <c r="F358">
        <f t="shared" ref="F358:F421" si="112">F357+(J357+J356)*(A358-A357)/2</f>
        <v>4.8605058816845369E-2</v>
      </c>
      <c r="G358">
        <f t="shared" ref="G358:G421" si="113">IF(SQRT(4*F358/($C$15*PI()*$C$11*$C$12*0.001)+($C$13*0.001)^2)*1000&lt;$C$14,SQRT(4*F358/($C$15*PI()*$C$11*$C$12*0.001)+($C$13*0.001)^2)*1000,$C$14)</f>
        <v>39.513748498891111</v>
      </c>
      <c r="H358">
        <f t="shared" ref="H358:H421" si="114">4*E358/($C$15*PI()*(G358*0.001)^2)</f>
        <v>0</v>
      </c>
      <c r="I358" s="1">
        <f t="shared" si="102"/>
        <v>0</v>
      </c>
      <c r="J358">
        <f t="shared" ref="J358:J421" si="115">($C$12*10^-3)*PI()*(G358*10^-3)*$C$11*(I358*10^-3)*$C$15</f>
        <v>0</v>
      </c>
      <c r="K358">
        <f t="shared" si="103"/>
        <v>0</v>
      </c>
      <c r="L358" cm="1">
        <f t="array" ref="L358">IF(E358*J358=0,0,$C$21*INDEX([3]Sheet1!$C$4:$Q$23,MATCH(K358,[3]Sheet1!$B$4:$B$23,1),MATCH(D358,[3]Sheet1!$C$3:$Q$3,1))
+(K358-INDEX([3]Sheet1!$B$4:$B$23,MATCH(K358,[3]Sheet1!$B$4:$B$23,1),1))/(INDEX([3]Sheet1!$B$4:$B$23,MATCH(K358,[3]Sheet1!$B$4:$B$23,1)+1,1)-INDEX([3]Sheet1!$B$4:$B$23,
MATCH(K358,[3]Sheet1!$B$4:$B$23,1),1))*(INDEX([3]Sheet1!$C$4:$Q$23,MATCH(K358,[3]Sheet1!$B$4:$B$23,1)+1,MATCH(D358,[3]Sheet1!$C$3:$Q$3,1))-INDEX([3]Sheet1!$C$4:$Q$23,
MATCH(K358,[3]Sheet1!$B$4:$B$23,1),MATCH(D358,[3]Sheet1!$C$3:$Q$3,1)))
+(D358-INDEX([3]Sheet1!$C$3:$Q$3,1,MATCH(D358,[3]Sheet1!$C$3:$Q$3)))/(INDEX([3]Sheet1!$C$3:$Q$3,1,MATCH(D358,[3]Sheet1!$C$3:$Q$3)+1)-INDEX([3]Sheet1!$C$3:$Q$3,1,MATCH(
D358,[3]Sheet1!$C$3:$Q$3)))*(INDEX([3]Sheet1!$C$4:$Q$23,MATCH(K358,[3]Sheet1!$B$4:$B$23,1),MATCH(D358,[3]Sheet1!$C$3:$Q$3,1)+1)-INDEX([3]Sheet1!$C$4:$Q$23,MATCH(K358,[3]Sheet1!$B$4:$B$23,1),MATCH(D358,[3]Sheet1!$C$3:$Q$3,1))))</f>
        <v>0</v>
      </c>
      <c r="M358" cm="1">
        <f t="array" ref="M358" xml:space="preserve"> IF(E358*J358=0,0,(INDEX([2]Sheet1!$C$4:$Q$23,MATCH(K358,[2]Sheet1!$B$4:$B$23,1),MATCH(D358,[2]Sheet1!$C$3:$Q$3,1))
+ (K358 - INDEX([2]Sheet1!$B$4:$B$23,MATCH(K358,[2]Sheet1!$B$4:$B$23,1),1))/(INDEX([2]Sheet1!$B$4:$B$23,MATCH(K358,[2]Sheet1!$B$4:$B$23,1)+1,1) - INDEX([2]Sheet1!$B$4:$B$23,MATCH(K358,[2]Sheet1!$B$4:$B$23,1),1))*(INDEX([2]Sheet1!$C$4:$Q$23,MATCH(K358,[2]Sheet1!$B$4:$B$23,1)+1,MATCH(D358,[2]Sheet1!$C$3:$Q$3,1)) - INDEX([2]Sheet1!$C$4:$Q$23,MATCH(K358,[2]Sheet1!$B$4:$B$23,1),MATCH(D358,[2]Sheet1!$C$3:$Q$3,1)))
+ (D358 - INDEX([2]Sheet1!$C$3:$Q$3,1,MATCH(D358,[2]Sheet1!$C$3:$Q$3)))/(INDEX([2]Sheet1!$C$3:$Q$3,1,MATCH(D358,[2]Sheet1!$C$3:$Q$3)+1) - INDEX([2]Sheet1!$C$3:$Q$3,1,MATCH(D358,[2]Sheet1!$C$3:$Q$3)))*(
INDEX([2]Sheet1!$C$4:$Q$23,MATCH(K358,[2]Sheet1!$B$4:$B$23,1),MATCH(D358,[2]Sheet1!$C$3:$Q$3,1)+1) - INDEX([2]Sheet1!$C$4:$Q$23,MATCH(K358,[2]Sheet1!$B$4:$B$23,1),MATCH(D358,[2]Sheet1!$C$3:$Q$3,1)))))</f>
        <v>0</v>
      </c>
      <c r="N358">
        <f t="shared" ref="N358:N421" si="116">C$23+$C$26*(A359-A358)</f>
        <v>12</v>
      </c>
      <c r="O358">
        <v>8.8412721514652945E-2</v>
      </c>
      <c r="P358" t="e">
        <f t="shared" ref="P358:P421" si="117">SQRT(2*(M358^2)/(M358-1)*((2/(M358+1))^((M358+1)/(M358-1)))*(1-(O358/D358)^((M358-1)/M358)))+((O358-$C$22)/D358)*(($C$24^2)/($C$23^2))</f>
        <v>#DIV/0!</v>
      </c>
      <c r="Q358">
        <f t="shared" si="104"/>
        <v>0</v>
      </c>
      <c r="R358">
        <f t="shared" ref="R358:R421" si="118">R357+(Q358+Q357)*(A358-A357)/2</f>
        <v>741.9099431943954</v>
      </c>
      <c r="T358" t="e">
        <f t="shared" si="107"/>
        <v>#DIV/0!</v>
      </c>
      <c r="U358" t="e">
        <f t="shared" si="108"/>
        <v>#DIV/0!</v>
      </c>
      <c r="V358">
        <f t="shared" si="109"/>
        <v>0</v>
      </c>
      <c r="W358" t="e">
        <f t="shared" si="105"/>
        <v>#DIV/0!</v>
      </c>
    </row>
    <row r="359" spans="1:23" x14ac:dyDescent="0.55000000000000004">
      <c r="A359">
        <f t="shared" si="106"/>
        <v>32.500000000000192</v>
      </c>
      <c r="B359">
        <f t="shared" si="110"/>
        <v>0.316</v>
      </c>
      <c r="C359">
        <f t="shared" si="111"/>
        <v>-16.195652173913167</v>
      </c>
      <c r="D359">
        <v>2.4430049187173477</v>
      </c>
      <c r="E359">
        <f t="shared" si="101"/>
        <v>0</v>
      </c>
      <c r="F359">
        <f t="shared" si="112"/>
        <v>4.8605058816845369E-2</v>
      </c>
      <c r="G359">
        <f t="shared" si="113"/>
        <v>39.513748498891111</v>
      </c>
      <c r="H359">
        <f t="shared" si="114"/>
        <v>0</v>
      </c>
      <c r="I359" s="1">
        <f t="shared" si="102"/>
        <v>0</v>
      </c>
      <c r="J359">
        <f t="shared" si="115"/>
        <v>0</v>
      </c>
      <c r="K359">
        <f t="shared" si="103"/>
        <v>0</v>
      </c>
      <c r="L359" cm="1">
        <f t="array" ref="L359">IF(E359*J359=0,0,$C$21*INDEX([3]Sheet1!$C$4:$Q$23,MATCH(K359,[3]Sheet1!$B$4:$B$23,1),MATCH(D359,[3]Sheet1!$C$3:$Q$3,1))
+(K359-INDEX([3]Sheet1!$B$4:$B$23,MATCH(K359,[3]Sheet1!$B$4:$B$23,1),1))/(INDEX([3]Sheet1!$B$4:$B$23,MATCH(K359,[3]Sheet1!$B$4:$B$23,1)+1,1)-INDEX([3]Sheet1!$B$4:$B$23,
MATCH(K359,[3]Sheet1!$B$4:$B$23,1),1))*(INDEX([3]Sheet1!$C$4:$Q$23,MATCH(K359,[3]Sheet1!$B$4:$B$23,1)+1,MATCH(D359,[3]Sheet1!$C$3:$Q$3,1))-INDEX([3]Sheet1!$C$4:$Q$23,
MATCH(K359,[3]Sheet1!$B$4:$B$23,1),MATCH(D359,[3]Sheet1!$C$3:$Q$3,1)))
+(D359-INDEX([3]Sheet1!$C$3:$Q$3,1,MATCH(D359,[3]Sheet1!$C$3:$Q$3)))/(INDEX([3]Sheet1!$C$3:$Q$3,1,MATCH(D359,[3]Sheet1!$C$3:$Q$3)+1)-INDEX([3]Sheet1!$C$3:$Q$3,1,MATCH(
D359,[3]Sheet1!$C$3:$Q$3)))*(INDEX([3]Sheet1!$C$4:$Q$23,MATCH(K359,[3]Sheet1!$B$4:$B$23,1),MATCH(D359,[3]Sheet1!$C$3:$Q$3,1)+1)-INDEX([3]Sheet1!$C$4:$Q$23,MATCH(K359,[3]Sheet1!$B$4:$B$23,1),MATCH(D359,[3]Sheet1!$C$3:$Q$3,1))))</f>
        <v>0</v>
      </c>
      <c r="M359" cm="1">
        <f t="array" ref="M359" xml:space="preserve"> IF(E359*J359=0,0,(INDEX([2]Sheet1!$C$4:$Q$23,MATCH(K359,[2]Sheet1!$B$4:$B$23,1),MATCH(D359,[2]Sheet1!$C$3:$Q$3,1))
+ (K359 - INDEX([2]Sheet1!$B$4:$B$23,MATCH(K359,[2]Sheet1!$B$4:$B$23,1),1))/(INDEX([2]Sheet1!$B$4:$B$23,MATCH(K359,[2]Sheet1!$B$4:$B$23,1)+1,1) - INDEX([2]Sheet1!$B$4:$B$23,MATCH(K359,[2]Sheet1!$B$4:$B$23,1),1))*(INDEX([2]Sheet1!$C$4:$Q$23,MATCH(K359,[2]Sheet1!$B$4:$B$23,1)+1,MATCH(D359,[2]Sheet1!$C$3:$Q$3,1)) - INDEX([2]Sheet1!$C$4:$Q$23,MATCH(K359,[2]Sheet1!$B$4:$B$23,1),MATCH(D359,[2]Sheet1!$C$3:$Q$3,1)))
+ (D359 - INDEX([2]Sheet1!$C$3:$Q$3,1,MATCH(D359,[2]Sheet1!$C$3:$Q$3)))/(INDEX([2]Sheet1!$C$3:$Q$3,1,MATCH(D359,[2]Sheet1!$C$3:$Q$3)+1) - INDEX([2]Sheet1!$C$3:$Q$3,1,MATCH(D359,[2]Sheet1!$C$3:$Q$3)))*(
INDEX([2]Sheet1!$C$4:$Q$23,MATCH(K359,[2]Sheet1!$B$4:$B$23,1),MATCH(D359,[2]Sheet1!$C$3:$Q$3,1)+1) - INDEX([2]Sheet1!$C$4:$Q$23,MATCH(K359,[2]Sheet1!$B$4:$B$23,1),MATCH(D359,[2]Sheet1!$C$3:$Q$3,1)))))</f>
        <v>0</v>
      </c>
      <c r="N359">
        <f t="shared" si="116"/>
        <v>12</v>
      </c>
      <c r="O359">
        <v>8.8392933763727283E-2</v>
      </c>
      <c r="P359" t="e">
        <f t="shared" si="117"/>
        <v>#DIV/0!</v>
      </c>
      <c r="Q359">
        <f t="shared" si="104"/>
        <v>0</v>
      </c>
      <c r="R359">
        <f t="shared" si="118"/>
        <v>741.9099431943954</v>
      </c>
      <c r="T359" t="e">
        <f t="shared" si="107"/>
        <v>#DIV/0!</v>
      </c>
      <c r="U359" t="e">
        <f t="shared" si="108"/>
        <v>#DIV/0!</v>
      </c>
      <c r="V359">
        <f t="shared" si="109"/>
        <v>0</v>
      </c>
      <c r="W359" t="e">
        <f t="shared" si="105"/>
        <v>#DIV/0!</v>
      </c>
    </row>
    <row r="360" spans="1:23" x14ac:dyDescent="0.55000000000000004">
      <c r="A360">
        <f t="shared" si="106"/>
        <v>32.600000000000193</v>
      </c>
      <c r="B360">
        <f t="shared" si="110"/>
        <v>0.316</v>
      </c>
      <c r="C360">
        <f t="shared" si="111"/>
        <v>-16.260869565217519</v>
      </c>
      <c r="D360">
        <v>2.442906937984572</v>
      </c>
      <c r="E360">
        <f t="shared" si="101"/>
        <v>0</v>
      </c>
      <c r="F360">
        <f t="shared" si="112"/>
        <v>4.8605058816845369E-2</v>
      </c>
      <c r="G360">
        <f t="shared" si="113"/>
        <v>39.513748498891111</v>
      </c>
      <c r="H360">
        <f t="shared" si="114"/>
        <v>0</v>
      </c>
      <c r="I360" s="1">
        <f t="shared" si="102"/>
        <v>0</v>
      </c>
      <c r="J360">
        <f t="shared" si="115"/>
        <v>0</v>
      </c>
      <c r="K360">
        <f t="shared" si="103"/>
        <v>0</v>
      </c>
      <c r="L360" cm="1">
        <f t="array" ref="L360">IF(E360*J360=0,0,$C$21*INDEX([3]Sheet1!$C$4:$Q$23,MATCH(K360,[3]Sheet1!$B$4:$B$23,1),MATCH(D360,[3]Sheet1!$C$3:$Q$3,1))
+(K360-INDEX([3]Sheet1!$B$4:$B$23,MATCH(K360,[3]Sheet1!$B$4:$B$23,1),1))/(INDEX([3]Sheet1!$B$4:$B$23,MATCH(K360,[3]Sheet1!$B$4:$B$23,1)+1,1)-INDEX([3]Sheet1!$B$4:$B$23,
MATCH(K360,[3]Sheet1!$B$4:$B$23,1),1))*(INDEX([3]Sheet1!$C$4:$Q$23,MATCH(K360,[3]Sheet1!$B$4:$B$23,1)+1,MATCH(D360,[3]Sheet1!$C$3:$Q$3,1))-INDEX([3]Sheet1!$C$4:$Q$23,
MATCH(K360,[3]Sheet1!$B$4:$B$23,1),MATCH(D360,[3]Sheet1!$C$3:$Q$3,1)))
+(D360-INDEX([3]Sheet1!$C$3:$Q$3,1,MATCH(D360,[3]Sheet1!$C$3:$Q$3)))/(INDEX([3]Sheet1!$C$3:$Q$3,1,MATCH(D360,[3]Sheet1!$C$3:$Q$3)+1)-INDEX([3]Sheet1!$C$3:$Q$3,1,MATCH(
D360,[3]Sheet1!$C$3:$Q$3)))*(INDEX([3]Sheet1!$C$4:$Q$23,MATCH(K360,[3]Sheet1!$B$4:$B$23,1),MATCH(D360,[3]Sheet1!$C$3:$Q$3,1)+1)-INDEX([3]Sheet1!$C$4:$Q$23,MATCH(K360,[3]Sheet1!$B$4:$B$23,1),MATCH(D360,[3]Sheet1!$C$3:$Q$3,1))))</f>
        <v>0</v>
      </c>
      <c r="M360" cm="1">
        <f t="array" ref="M360" xml:space="preserve"> IF(E360*J360=0,0,(INDEX([2]Sheet1!$C$4:$Q$23,MATCH(K360,[2]Sheet1!$B$4:$B$23,1),MATCH(D360,[2]Sheet1!$C$3:$Q$3,1))
+ (K360 - INDEX([2]Sheet1!$B$4:$B$23,MATCH(K360,[2]Sheet1!$B$4:$B$23,1),1))/(INDEX([2]Sheet1!$B$4:$B$23,MATCH(K360,[2]Sheet1!$B$4:$B$23,1)+1,1) - INDEX([2]Sheet1!$B$4:$B$23,MATCH(K360,[2]Sheet1!$B$4:$B$23,1),1))*(INDEX([2]Sheet1!$C$4:$Q$23,MATCH(K360,[2]Sheet1!$B$4:$B$23,1)+1,MATCH(D360,[2]Sheet1!$C$3:$Q$3,1)) - INDEX([2]Sheet1!$C$4:$Q$23,MATCH(K360,[2]Sheet1!$B$4:$B$23,1),MATCH(D360,[2]Sheet1!$C$3:$Q$3,1)))
+ (D360 - INDEX([2]Sheet1!$C$3:$Q$3,1,MATCH(D360,[2]Sheet1!$C$3:$Q$3)))/(INDEX([2]Sheet1!$C$3:$Q$3,1,MATCH(D360,[2]Sheet1!$C$3:$Q$3)+1) - INDEX([2]Sheet1!$C$3:$Q$3,1,MATCH(D360,[2]Sheet1!$C$3:$Q$3)))*(
INDEX([2]Sheet1!$C$4:$Q$23,MATCH(K360,[2]Sheet1!$B$4:$B$23,1),MATCH(D360,[2]Sheet1!$C$3:$Q$3,1)+1) - INDEX([2]Sheet1!$C$4:$Q$23,MATCH(K360,[2]Sheet1!$B$4:$B$23,1),MATCH(D360,[2]Sheet1!$C$3:$Q$3,1)))))</f>
        <v>0</v>
      </c>
      <c r="N360">
        <f t="shared" si="116"/>
        <v>12</v>
      </c>
      <c r="O360">
        <v>8.8373187402791126E-2</v>
      </c>
      <c r="P360" t="e">
        <f t="shared" si="117"/>
        <v>#DIV/0!</v>
      </c>
      <c r="Q360">
        <f t="shared" si="104"/>
        <v>0</v>
      </c>
      <c r="R360">
        <f t="shared" si="118"/>
        <v>741.9099431943954</v>
      </c>
      <c r="T360" t="e">
        <f t="shared" si="107"/>
        <v>#DIV/0!</v>
      </c>
      <c r="U360" t="e">
        <f t="shared" si="108"/>
        <v>#DIV/0!</v>
      </c>
      <c r="V360">
        <f t="shared" si="109"/>
        <v>0</v>
      </c>
      <c r="W360" t="e">
        <f t="shared" si="105"/>
        <v>#DIV/0!</v>
      </c>
    </row>
    <row r="361" spans="1:23" x14ac:dyDescent="0.55000000000000004">
      <c r="A361">
        <f t="shared" si="106"/>
        <v>32.700000000000195</v>
      </c>
      <c r="B361">
        <f t="shared" si="110"/>
        <v>0.316</v>
      </c>
      <c r="C361">
        <f t="shared" si="111"/>
        <v>-16.32608695652187</v>
      </c>
      <c r="D361">
        <v>2.4428091350846959</v>
      </c>
      <c r="E361">
        <f t="shared" si="101"/>
        <v>0</v>
      </c>
      <c r="F361">
        <f t="shared" si="112"/>
        <v>4.8605058816845369E-2</v>
      </c>
      <c r="G361">
        <f t="shared" si="113"/>
        <v>39.513748498891111</v>
      </c>
      <c r="H361">
        <f t="shared" si="114"/>
        <v>0</v>
      </c>
      <c r="I361" s="1">
        <f t="shared" si="102"/>
        <v>0</v>
      </c>
      <c r="J361">
        <f t="shared" si="115"/>
        <v>0</v>
      </c>
      <c r="K361">
        <f t="shared" si="103"/>
        <v>0</v>
      </c>
      <c r="L361" cm="1">
        <f t="array" ref="L361">IF(E361*J361=0,0,$C$21*INDEX([3]Sheet1!$C$4:$Q$23,MATCH(K361,[3]Sheet1!$B$4:$B$23,1),MATCH(D361,[3]Sheet1!$C$3:$Q$3,1))
+(K361-INDEX([3]Sheet1!$B$4:$B$23,MATCH(K361,[3]Sheet1!$B$4:$B$23,1),1))/(INDEX([3]Sheet1!$B$4:$B$23,MATCH(K361,[3]Sheet1!$B$4:$B$23,1)+1,1)-INDEX([3]Sheet1!$B$4:$B$23,
MATCH(K361,[3]Sheet1!$B$4:$B$23,1),1))*(INDEX([3]Sheet1!$C$4:$Q$23,MATCH(K361,[3]Sheet1!$B$4:$B$23,1)+1,MATCH(D361,[3]Sheet1!$C$3:$Q$3,1))-INDEX([3]Sheet1!$C$4:$Q$23,
MATCH(K361,[3]Sheet1!$B$4:$B$23,1),MATCH(D361,[3]Sheet1!$C$3:$Q$3,1)))
+(D361-INDEX([3]Sheet1!$C$3:$Q$3,1,MATCH(D361,[3]Sheet1!$C$3:$Q$3)))/(INDEX([3]Sheet1!$C$3:$Q$3,1,MATCH(D361,[3]Sheet1!$C$3:$Q$3)+1)-INDEX([3]Sheet1!$C$3:$Q$3,1,MATCH(
D361,[3]Sheet1!$C$3:$Q$3)))*(INDEX([3]Sheet1!$C$4:$Q$23,MATCH(K361,[3]Sheet1!$B$4:$B$23,1),MATCH(D361,[3]Sheet1!$C$3:$Q$3,1)+1)-INDEX([3]Sheet1!$C$4:$Q$23,MATCH(K361,[3]Sheet1!$B$4:$B$23,1),MATCH(D361,[3]Sheet1!$C$3:$Q$3,1))))</f>
        <v>0</v>
      </c>
      <c r="M361" cm="1">
        <f t="array" ref="M361" xml:space="preserve"> IF(E361*J361=0,0,(INDEX([2]Sheet1!$C$4:$Q$23,MATCH(K361,[2]Sheet1!$B$4:$B$23,1),MATCH(D361,[2]Sheet1!$C$3:$Q$3,1))
+ (K361 - INDEX([2]Sheet1!$B$4:$B$23,MATCH(K361,[2]Sheet1!$B$4:$B$23,1),1))/(INDEX([2]Sheet1!$B$4:$B$23,MATCH(K361,[2]Sheet1!$B$4:$B$23,1)+1,1) - INDEX([2]Sheet1!$B$4:$B$23,MATCH(K361,[2]Sheet1!$B$4:$B$23,1),1))*(INDEX([2]Sheet1!$C$4:$Q$23,MATCH(K361,[2]Sheet1!$B$4:$B$23,1)+1,MATCH(D361,[2]Sheet1!$C$3:$Q$3,1)) - INDEX([2]Sheet1!$C$4:$Q$23,MATCH(K361,[2]Sheet1!$B$4:$B$23,1),MATCH(D361,[2]Sheet1!$C$3:$Q$3,1)))
+ (D361 - INDEX([2]Sheet1!$C$3:$Q$3,1,MATCH(D361,[2]Sheet1!$C$3:$Q$3)))/(INDEX([2]Sheet1!$C$3:$Q$3,1,MATCH(D361,[2]Sheet1!$C$3:$Q$3)+1) - INDEX([2]Sheet1!$C$3:$Q$3,1,MATCH(D361,[2]Sheet1!$C$3:$Q$3)))*(
INDEX([2]Sheet1!$C$4:$Q$23,MATCH(K361,[2]Sheet1!$B$4:$B$23,1),MATCH(D361,[2]Sheet1!$C$3:$Q$3,1)+1) - INDEX([2]Sheet1!$C$4:$Q$23,MATCH(K361,[2]Sheet1!$B$4:$B$23,1),MATCH(D361,[2]Sheet1!$C$3:$Q$3,1)))))</f>
        <v>0</v>
      </c>
      <c r="N361">
        <f t="shared" si="116"/>
        <v>12</v>
      </c>
      <c r="O361">
        <v>8.8353482271974912E-2</v>
      </c>
      <c r="P361" t="e">
        <f t="shared" si="117"/>
        <v>#DIV/0!</v>
      </c>
      <c r="Q361">
        <f t="shared" si="104"/>
        <v>0</v>
      </c>
      <c r="R361">
        <f t="shared" si="118"/>
        <v>741.9099431943954</v>
      </c>
      <c r="T361" t="e">
        <f t="shared" si="107"/>
        <v>#DIV/0!</v>
      </c>
      <c r="U361" t="e">
        <f t="shared" si="108"/>
        <v>#DIV/0!</v>
      </c>
      <c r="V361">
        <f t="shared" si="109"/>
        <v>0</v>
      </c>
      <c r="W361" t="e">
        <f t="shared" si="105"/>
        <v>#DIV/0!</v>
      </c>
    </row>
    <row r="362" spans="1:23" x14ac:dyDescent="0.55000000000000004">
      <c r="A362">
        <f t="shared" si="106"/>
        <v>32.800000000000196</v>
      </c>
      <c r="B362">
        <f t="shared" si="110"/>
        <v>0.316</v>
      </c>
      <c r="C362">
        <f t="shared" si="111"/>
        <v>-16.391304347826217</v>
      </c>
      <c r="D362">
        <v>2.4427115093522849</v>
      </c>
      <c r="E362">
        <f t="shared" si="101"/>
        <v>0</v>
      </c>
      <c r="F362">
        <f t="shared" si="112"/>
        <v>4.8605058816845369E-2</v>
      </c>
      <c r="G362">
        <f t="shared" si="113"/>
        <v>39.513748498891111</v>
      </c>
      <c r="H362">
        <f t="shared" si="114"/>
        <v>0</v>
      </c>
      <c r="I362" s="1">
        <f t="shared" si="102"/>
        <v>0</v>
      </c>
      <c r="J362">
        <f t="shared" si="115"/>
        <v>0</v>
      </c>
      <c r="K362">
        <f t="shared" si="103"/>
        <v>0</v>
      </c>
      <c r="L362" cm="1">
        <f t="array" ref="L362">IF(E362*J362=0,0,$C$21*INDEX([3]Sheet1!$C$4:$Q$23,MATCH(K362,[3]Sheet1!$B$4:$B$23,1),MATCH(D362,[3]Sheet1!$C$3:$Q$3,1))
+(K362-INDEX([3]Sheet1!$B$4:$B$23,MATCH(K362,[3]Sheet1!$B$4:$B$23,1),1))/(INDEX([3]Sheet1!$B$4:$B$23,MATCH(K362,[3]Sheet1!$B$4:$B$23,1)+1,1)-INDEX([3]Sheet1!$B$4:$B$23,
MATCH(K362,[3]Sheet1!$B$4:$B$23,1),1))*(INDEX([3]Sheet1!$C$4:$Q$23,MATCH(K362,[3]Sheet1!$B$4:$B$23,1)+1,MATCH(D362,[3]Sheet1!$C$3:$Q$3,1))-INDEX([3]Sheet1!$C$4:$Q$23,
MATCH(K362,[3]Sheet1!$B$4:$B$23,1),MATCH(D362,[3]Sheet1!$C$3:$Q$3,1)))
+(D362-INDEX([3]Sheet1!$C$3:$Q$3,1,MATCH(D362,[3]Sheet1!$C$3:$Q$3)))/(INDEX([3]Sheet1!$C$3:$Q$3,1,MATCH(D362,[3]Sheet1!$C$3:$Q$3)+1)-INDEX([3]Sheet1!$C$3:$Q$3,1,MATCH(
D362,[3]Sheet1!$C$3:$Q$3)))*(INDEX([3]Sheet1!$C$4:$Q$23,MATCH(K362,[3]Sheet1!$B$4:$B$23,1),MATCH(D362,[3]Sheet1!$C$3:$Q$3,1)+1)-INDEX([3]Sheet1!$C$4:$Q$23,MATCH(K362,[3]Sheet1!$B$4:$B$23,1),MATCH(D362,[3]Sheet1!$C$3:$Q$3,1))))</f>
        <v>0</v>
      </c>
      <c r="M362" cm="1">
        <f t="array" ref="M362" xml:space="preserve"> IF(E362*J362=0,0,(INDEX([2]Sheet1!$C$4:$Q$23,MATCH(K362,[2]Sheet1!$B$4:$B$23,1),MATCH(D362,[2]Sheet1!$C$3:$Q$3,1))
+ (K362 - INDEX([2]Sheet1!$B$4:$B$23,MATCH(K362,[2]Sheet1!$B$4:$B$23,1),1))/(INDEX([2]Sheet1!$B$4:$B$23,MATCH(K362,[2]Sheet1!$B$4:$B$23,1)+1,1) - INDEX([2]Sheet1!$B$4:$B$23,MATCH(K362,[2]Sheet1!$B$4:$B$23,1),1))*(INDEX([2]Sheet1!$C$4:$Q$23,MATCH(K362,[2]Sheet1!$B$4:$B$23,1)+1,MATCH(D362,[2]Sheet1!$C$3:$Q$3,1)) - INDEX([2]Sheet1!$C$4:$Q$23,MATCH(K362,[2]Sheet1!$B$4:$B$23,1),MATCH(D362,[2]Sheet1!$C$3:$Q$3,1)))
+ (D362 - INDEX([2]Sheet1!$C$3:$Q$3,1,MATCH(D362,[2]Sheet1!$C$3:$Q$3)))/(INDEX([2]Sheet1!$C$3:$Q$3,1,MATCH(D362,[2]Sheet1!$C$3:$Q$3)+1) - INDEX([2]Sheet1!$C$3:$Q$3,1,MATCH(D362,[2]Sheet1!$C$3:$Q$3)))*(
INDEX([2]Sheet1!$C$4:$Q$23,MATCH(K362,[2]Sheet1!$B$4:$B$23,1),MATCH(D362,[2]Sheet1!$C$3:$Q$3,1)+1) - INDEX([2]Sheet1!$C$4:$Q$23,MATCH(K362,[2]Sheet1!$B$4:$B$23,1),MATCH(D362,[2]Sheet1!$C$3:$Q$3,1)))))</f>
        <v>0</v>
      </c>
      <c r="N362">
        <f t="shared" si="116"/>
        <v>12</v>
      </c>
      <c r="O362">
        <v>8.8333818212323889E-2</v>
      </c>
      <c r="P362" t="e">
        <f t="shared" si="117"/>
        <v>#DIV/0!</v>
      </c>
      <c r="Q362">
        <f t="shared" si="104"/>
        <v>0</v>
      </c>
      <c r="R362">
        <f t="shared" si="118"/>
        <v>741.9099431943954</v>
      </c>
      <c r="T362" t="e">
        <f t="shared" si="107"/>
        <v>#DIV/0!</v>
      </c>
      <c r="U362" t="e">
        <f t="shared" si="108"/>
        <v>#DIV/0!</v>
      </c>
      <c r="V362">
        <f t="shared" si="109"/>
        <v>0</v>
      </c>
      <c r="W362" t="e">
        <f t="shared" si="105"/>
        <v>#DIV/0!</v>
      </c>
    </row>
    <row r="363" spans="1:23" x14ac:dyDescent="0.55000000000000004">
      <c r="A363">
        <f t="shared" si="106"/>
        <v>32.900000000000198</v>
      </c>
      <c r="B363">
        <f t="shared" si="110"/>
        <v>0.316</v>
      </c>
      <c r="C363">
        <f t="shared" si="111"/>
        <v>-16.456521739130565</v>
      </c>
      <c r="D363">
        <v>2.4426140601256536</v>
      </c>
      <c r="E363">
        <f t="shared" si="101"/>
        <v>0</v>
      </c>
      <c r="F363">
        <f t="shared" si="112"/>
        <v>4.8605058816845369E-2</v>
      </c>
      <c r="G363">
        <f t="shared" si="113"/>
        <v>39.513748498891111</v>
      </c>
      <c r="H363">
        <f t="shared" si="114"/>
        <v>0</v>
      </c>
      <c r="I363" s="1">
        <f t="shared" si="102"/>
        <v>0</v>
      </c>
      <c r="J363">
        <f t="shared" si="115"/>
        <v>0</v>
      </c>
      <c r="K363">
        <f t="shared" si="103"/>
        <v>0</v>
      </c>
      <c r="L363" cm="1">
        <f t="array" ref="L363">IF(E363*J363=0,0,$C$21*INDEX([3]Sheet1!$C$4:$Q$23,MATCH(K363,[3]Sheet1!$B$4:$B$23,1),MATCH(D363,[3]Sheet1!$C$3:$Q$3,1))
+(K363-INDEX([3]Sheet1!$B$4:$B$23,MATCH(K363,[3]Sheet1!$B$4:$B$23,1),1))/(INDEX([3]Sheet1!$B$4:$B$23,MATCH(K363,[3]Sheet1!$B$4:$B$23,1)+1,1)-INDEX([3]Sheet1!$B$4:$B$23,
MATCH(K363,[3]Sheet1!$B$4:$B$23,1),1))*(INDEX([3]Sheet1!$C$4:$Q$23,MATCH(K363,[3]Sheet1!$B$4:$B$23,1)+1,MATCH(D363,[3]Sheet1!$C$3:$Q$3,1))-INDEX([3]Sheet1!$C$4:$Q$23,
MATCH(K363,[3]Sheet1!$B$4:$B$23,1),MATCH(D363,[3]Sheet1!$C$3:$Q$3,1)))
+(D363-INDEX([3]Sheet1!$C$3:$Q$3,1,MATCH(D363,[3]Sheet1!$C$3:$Q$3)))/(INDEX([3]Sheet1!$C$3:$Q$3,1,MATCH(D363,[3]Sheet1!$C$3:$Q$3)+1)-INDEX([3]Sheet1!$C$3:$Q$3,1,MATCH(
D363,[3]Sheet1!$C$3:$Q$3)))*(INDEX([3]Sheet1!$C$4:$Q$23,MATCH(K363,[3]Sheet1!$B$4:$B$23,1),MATCH(D363,[3]Sheet1!$C$3:$Q$3,1)+1)-INDEX([3]Sheet1!$C$4:$Q$23,MATCH(K363,[3]Sheet1!$B$4:$B$23,1),MATCH(D363,[3]Sheet1!$C$3:$Q$3,1))))</f>
        <v>0</v>
      </c>
      <c r="M363" cm="1">
        <f t="array" ref="M363" xml:space="preserve"> IF(E363*J363=0,0,(INDEX([2]Sheet1!$C$4:$Q$23,MATCH(K363,[2]Sheet1!$B$4:$B$23,1),MATCH(D363,[2]Sheet1!$C$3:$Q$3,1))
+ (K363 - INDEX([2]Sheet1!$B$4:$B$23,MATCH(K363,[2]Sheet1!$B$4:$B$23,1),1))/(INDEX([2]Sheet1!$B$4:$B$23,MATCH(K363,[2]Sheet1!$B$4:$B$23,1)+1,1) - INDEX([2]Sheet1!$B$4:$B$23,MATCH(K363,[2]Sheet1!$B$4:$B$23,1),1))*(INDEX([2]Sheet1!$C$4:$Q$23,MATCH(K363,[2]Sheet1!$B$4:$B$23,1)+1,MATCH(D363,[2]Sheet1!$C$3:$Q$3,1)) - INDEX([2]Sheet1!$C$4:$Q$23,MATCH(K363,[2]Sheet1!$B$4:$B$23,1),MATCH(D363,[2]Sheet1!$C$3:$Q$3,1)))
+ (D363 - INDEX([2]Sheet1!$C$3:$Q$3,1,MATCH(D363,[2]Sheet1!$C$3:$Q$3)))/(INDEX([2]Sheet1!$C$3:$Q$3,1,MATCH(D363,[2]Sheet1!$C$3:$Q$3)+1) - INDEX([2]Sheet1!$C$3:$Q$3,1,MATCH(D363,[2]Sheet1!$C$3:$Q$3)))*(
INDEX([2]Sheet1!$C$4:$Q$23,MATCH(K363,[2]Sheet1!$B$4:$B$23,1),MATCH(D363,[2]Sheet1!$C$3:$Q$3,1)+1) - INDEX([2]Sheet1!$C$4:$Q$23,MATCH(K363,[2]Sheet1!$B$4:$B$23,1),MATCH(D363,[2]Sheet1!$C$3:$Q$3,1)))))</f>
        <v>0</v>
      </c>
      <c r="N363">
        <f t="shared" si="116"/>
        <v>12</v>
      </c>
      <c r="O363">
        <v>8.8314195065790621E-2</v>
      </c>
      <c r="P363" t="e">
        <f t="shared" si="117"/>
        <v>#DIV/0!</v>
      </c>
      <c r="Q363">
        <f t="shared" si="104"/>
        <v>0</v>
      </c>
      <c r="R363">
        <f t="shared" si="118"/>
        <v>741.9099431943954</v>
      </c>
      <c r="T363" t="e">
        <f t="shared" si="107"/>
        <v>#DIV/0!</v>
      </c>
      <c r="U363" t="e">
        <f t="shared" si="108"/>
        <v>#DIV/0!</v>
      </c>
      <c r="V363">
        <f t="shared" si="109"/>
        <v>0</v>
      </c>
      <c r="W363" t="e">
        <f t="shared" si="105"/>
        <v>#DIV/0!</v>
      </c>
    </row>
    <row r="364" spans="1:23" x14ac:dyDescent="0.55000000000000004">
      <c r="A364">
        <f t="shared" si="106"/>
        <v>33.000000000000199</v>
      </c>
      <c r="B364">
        <f t="shared" si="110"/>
        <v>0.316</v>
      </c>
      <c r="C364">
        <f t="shared" si="111"/>
        <v>-16.521739130434913</v>
      </c>
      <c r="D364">
        <v>2.4425167867468431</v>
      </c>
      <c r="E364">
        <f t="shared" si="101"/>
        <v>0</v>
      </c>
      <c r="F364">
        <f t="shared" si="112"/>
        <v>4.8605058816845369E-2</v>
      </c>
      <c r="G364">
        <f t="shared" si="113"/>
        <v>39.513748498891111</v>
      </c>
      <c r="H364">
        <f t="shared" si="114"/>
        <v>0</v>
      </c>
      <c r="I364" s="1">
        <f t="shared" si="102"/>
        <v>0</v>
      </c>
      <c r="J364">
        <f t="shared" si="115"/>
        <v>0</v>
      </c>
      <c r="K364">
        <f t="shared" si="103"/>
        <v>0</v>
      </c>
      <c r="L364" cm="1">
        <f t="array" ref="L364">IF(E364*J364=0,0,$C$21*INDEX([3]Sheet1!$C$4:$Q$23,MATCH(K364,[3]Sheet1!$B$4:$B$23,1),MATCH(D364,[3]Sheet1!$C$3:$Q$3,1))
+(K364-INDEX([3]Sheet1!$B$4:$B$23,MATCH(K364,[3]Sheet1!$B$4:$B$23,1),1))/(INDEX([3]Sheet1!$B$4:$B$23,MATCH(K364,[3]Sheet1!$B$4:$B$23,1)+1,1)-INDEX([3]Sheet1!$B$4:$B$23,
MATCH(K364,[3]Sheet1!$B$4:$B$23,1),1))*(INDEX([3]Sheet1!$C$4:$Q$23,MATCH(K364,[3]Sheet1!$B$4:$B$23,1)+1,MATCH(D364,[3]Sheet1!$C$3:$Q$3,1))-INDEX([3]Sheet1!$C$4:$Q$23,
MATCH(K364,[3]Sheet1!$B$4:$B$23,1),MATCH(D364,[3]Sheet1!$C$3:$Q$3,1)))
+(D364-INDEX([3]Sheet1!$C$3:$Q$3,1,MATCH(D364,[3]Sheet1!$C$3:$Q$3)))/(INDEX([3]Sheet1!$C$3:$Q$3,1,MATCH(D364,[3]Sheet1!$C$3:$Q$3)+1)-INDEX([3]Sheet1!$C$3:$Q$3,1,MATCH(
D364,[3]Sheet1!$C$3:$Q$3)))*(INDEX([3]Sheet1!$C$4:$Q$23,MATCH(K364,[3]Sheet1!$B$4:$B$23,1),MATCH(D364,[3]Sheet1!$C$3:$Q$3,1)+1)-INDEX([3]Sheet1!$C$4:$Q$23,MATCH(K364,[3]Sheet1!$B$4:$B$23,1),MATCH(D364,[3]Sheet1!$C$3:$Q$3,1))))</f>
        <v>0</v>
      </c>
      <c r="M364" cm="1">
        <f t="array" ref="M364" xml:space="preserve"> IF(E364*J364=0,0,(INDEX([2]Sheet1!$C$4:$Q$23,MATCH(K364,[2]Sheet1!$B$4:$B$23,1),MATCH(D364,[2]Sheet1!$C$3:$Q$3,1))
+ (K364 - INDEX([2]Sheet1!$B$4:$B$23,MATCH(K364,[2]Sheet1!$B$4:$B$23,1),1))/(INDEX([2]Sheet1!$B$4:$B$23,MATCH(K364,[2]Sheet1!$B$4:$B$23,1)+1,1) - INDEX([2]Sheet1!$B$4:$B$23,MATCH(K364,[2]Sheet1!$B$4:$B$23,1),1))*(INDEX([2]Sheet1!$C$4:$Q$23,MATCH(K364,[2]Sheet1!$B$4:$B$23,1)+1,MATCH(D364,[2]Sheet1!$C$3:$Q$3,1)) - INDEX([2]Sheet1!$C$4:$Q$23,MATCH(K364,[2]Sheet1!$B$4:$B$23,1),MATCH(D364,[2]Sheet1!$C$3:$Q$3,1)))
+ (D364 - INDEX([2]Sheet1!$C$3:$Q$3,1,MATCH(D364,[2]Sheet1!$C$3:$Q$3)))/(INDEX([2]Sheet1!$C$3:$Q$3,1,MATCH(D364,[2]Sheet1!$C$3:$Q$3)+1) - INDEX([2]Sheet1!$C$3:$Q$3,1,MATCH(D364,[2]Sheet1!$C$3:$Q$3)))*(
INDEX([2]Sheet1!$C$4:$Q$23,MATCH(K364,[2]Sheet1!$B$4:$B$23,1),MATCH(D364,[2]Sheet1!$C$3:$Q$3,1)+1) - INDEX([2]Sheet1!$C$4:$Q$23,MATCH(K364,[2]Sheet1!$B$4:$B$23,1),MATCH(D364,[2]Sheet1!$C$3:$Q$3,1)))))</f>
        <v>0</v>
      </c>
      <c r="N364">
        <f t="shared" si="116"/>
        <v>12</v>
      </c>
      <c r="O364">
        <v>8.8294612675229783E-2</v>
      </c>
      <c r="P364" t="e">
        <f t="shared" si="117"/>
        <v>#DIV/0!</v>
      </c>
      <c r="Q364">
        <f t="shared" si="104"/>
        <v>0</v>
      </c>
      <c r="R364">
        <f t="shared" si="118"/>
        <v>741.9099431943954</v>
      </c>
      <c r="T364" t="e">
        <f t="shared" si="107"/>
        <v>#DIV/0!</v>
      </c>
      <c r="U364" t="e">
        <f t="shared" si="108"/>
        <v>#DIV/0!</v>
      </c>
      <c r="V364">
        <f t="shared" si="109"/>
        <v>0</v>
      </c>
      <c r="W364" t="e">
        <f t="shared" si="105"/>
        <v>#DIV/0!</v>
      </c>
    </row>
    <row r="365" spans="1:23" x14ac:dyDescent="0.55000000000000004">
      <c r="A365">
        <f t="shared" si="106"/>
        <v>33.1000000000002</v>
      </c>
      <c r="B365">
        <f t="shared" si="110"/>
        <v>0.316</v>
      </c>
      <c r="C365">
        <f t="shared" si="111"/>
        <v>-16.586956521739264</v>
      </c>
      <c r="D365">
        <v>2.4424196885615883</v>
      </c>
      <c r="E365">
        <f t="shared" si="101"/>
        <v>0</v>
      </c>
      <c r="F365">
        <f t="shared" si="112"/>
        <v>4.8605058816845369E-2</v>
      </c>
      <c r="G365">
        <f t="shared" si="113"/>
        <v>39.513748498891111</v>
      </c>
      <c r="H365">
        <f t="shared" si="114"/>
        <v>0</v>
      </c>
      <c r="I365" s="1">
        <f t="shared" si="102"/>
        <v>0</v>
      </c>
      <c r="J365">
        <f t="shared" si="115"/>
        <v>0</v>
      </c>
      <c r="K365">
        <f t="shared" si="103"/>
        <v>0</v>
      </c>
      <c r="L365" cm="1">
        <f t="array" ref="L365">IF(E365*J365=0,0,$C$21*INDEX([3]Sheet1!$C$4:$Q$23,MATCH(K365,[3]Sheet1!$B$4:$B$23,1),MATCH(D365,[3]Sheet1!$C$3:$Q$3,1))
+(K365-INDEX([3]Sheet1!$B$4:$B$23,MATCH(K365,[3]Sheet1!$B$4:$B$23,1),1))/(INDEX([3]Sheet1!$B$4:$B$23,MATCH(K365,[3]Sheet1!$B$4:$B$23,1)+1,1)-INDEX([3]Sheet1!$B$4:$B$23,
MATCH(K365,[3]Sheet1!$B$4:$B$23,1),1))*(INDEX([3]Sheet1!$C$4:$Q$23,MATCH(K365,[3]Sheet1!$B$4:$B$23,1)+1,MATCH(D365,[3]Sheet1!$C$3:$Q$3,1))-INDEX([3]Sheet1!$C$4:$Q$23,
MATCH(K365,[3]Sheet1!$B$4:$B$23,1),MATCH(D365,[3]Sheet1!$C$3:$Q$3,1)))
+(D365-INDEX([3]Sheet1!$C$3:$Q$3,1,MATCH(D365,[3]Sheet1!$C$3:$Q$3)))/(INDEX([3]Sheet1!$C$3:$Q$3,1,MATCH(D365,[3]Sheet1!$C$3:$Q$3)+1)-INDEX([3]Sheet1!$C$3:$Q$3,1,MATCH(
D365,[3]Sheet1!$C$3:$Q$3)))*(INDEX([3]Sheet1!$C$4:$Q$23,MATCH(K365,[3]Sheet1!$B$4:$B$23,1),MATCH(D365,[3]Sheet1!$C$3:$Q$3,1)+1)-INDEX([3]Sheet1!$C$4:$Q$23,MATCH(K365,[3]Sheet1!$B$4:$B$23,1),MATCH(D365,[3]Sheet1!$C$3:$Q$3,1))))</f>
        <v>0</v>
      </c>
      <c r="M365" cm="1">
        <f t="array" ref="M365" xml:space="preserve"> IF(E365*J365=0,0,(INDEX([2]Sheet1!$C$4:$Q$23,MATCH(K365,[2]Sheet1!$B$4:$B$23,1),MATCH(D365,[2]Sheet1!$C$3:$Q$3,1))
+ (K365 - INDEX([2]Sheet1!$B$4:$B$23,MATCH(K365,[2]Sheet1!$B$4:$B$23,1),1))/(INDEX([2]Sheet1!$B$4:$B$23,MATCH(K365,[2]Sheet1!$B$4:$B$23,1)+1,1) - INDEX([2]Sheet1!$B$4:$B$23,MATCH(K365,[2]Sheet1!$B$4:$B$23,1),1))*(INDEX([2]Sheet1!$C$4:$Q$23,MATCH(K365,[2]Sheet1!$B$4:$B$23,1)+1,MATCH(D365,[2]Sheet1!$C$3:$Q$3,1)) - INDEX([2]Sheet1!$C$4:$Q$23,MATCH(K365,[2]Sheet1!$B$4:$B$23,1),MATCH(D365,[2]Sheet1!$C$3:$Q$3,1)))
+ (D365 - INDEX([2]Sheet1!$C$3:$Q$3,1,MATCH(D365,[2]Sheet1!$C$3:$Q$3)))/(INDEX([2]Sheet1!$C$3:$Q$3,1,MATCH(D365,[2]Sheet1!$C$3:$Q$3)+1) - INDEX([2]Sheet1!$C$3:$Q$3,1,MATCH(D365,[2]Sheet1!$C$3:$Q$3)))*(
INDEX([2]Sheet1!$C$4:$Q$23,MATCH(K365,[2]Sheet1!$B$4:$B$23,1),MATCH(D365,[2]Sheet1!$C$3:$Q$3,1)+1) - INDEX([2]Sheet1!$C$4:$Q$23,MATCH(K365,[2]Sheet1!$B$4:$B$23,1),MATCH(D365,[2]Sheet1!$C$3:$Q$3,1)))))</f>
        <v>0</v>
      </c>
      <c r="N365">
        <f t="shared" si="116"/>
        <v>12</v>
      </c>
      <c r="O365">
        <v>8.8275070884389725E-2</v>
      </c>
      <c r="P365" t="e">
        <f t="shared" si="117"/>
        <v>#DIV/0!</v>
      </c>
      <c r="Q365">
        <f t="shared" si="104"/>
        <v>0</v>
      </c>
      <c r="R365">
        <f t="shared" si="118"/>
        <v>741.9099431943954</v>
      </c>
      <c r="T365" t="e">
        <f t="shared" si="107"/>
        <v>#DIV/0!</v>
      </c>
      <c r="U365" t="e">
        <f t="shared" si="108"/>
        <v>#DIV/0!</v>
      </c>
      <c r="V365">
        <f t="shared" si="109"/>
        <v>0</v>
      </c>
      <c r="W365" t="e">
        <f t="shared" si="105"/>
        <v>#DIV/0!</v>
      </c>
    </row>
    <row r="366" spans="1:23" x14ac:dyDescent="0.55000000000000004">
      <c r="A366">
        <f t="shared" si="106"/>
        <v>33.200000000000202</v>
      </c>
      <c r="B366">
        <f t="shared" si="110"/>
        <v>0.316</v>
      </c>
      <c r="C366">
        <f t="shared" si="111"/>
        <v>-16.652173913043612</v>
      </c>
      <c r="D366">
        <v>2.4423227649192922</v>
      </c>
      <c r="E366">
        <f t="shared" si="101"/>
        <v>0</v>
      </c>
      <c r="F366">
        <f t="shared" si="112"/>
        <v>4.8605058816845369E-2</v>
      </c>
      <c r="G366">
        <f t="shared" si="113"/>
        <v>39.513748498891111</v>
      </c>
      <c r="H366">
        <f t="shared" si="114"/>
        <v>0</v>
      </c>
      <c r="I366" s="1">
        <f t="shared" si="102"/>
        <v>0</v>
      </c>
      <c r="J366">
        <f t="shared" si="115"/>
        <v>0</v>
      </c>
      <c r="K366">
        <f t="shared" si="103"/>
        <v>0</v>
      </c>
      <c r="L366" cm="1">
        <f t="array" ref="L366">IF(E366*J366=0,0,$C$21*INDEX([3]Sheet1!$C$4:$Q$23,MATCH(K366,[3]Sheet1!$B$4:$B$23,1),MATCH(D366,[3]Sheet1!$C$3:$Q$3,1))
+(K366-INDEX([3]Sheet1!$B$4:$B$23,MATCH(K366,[3]Sheet1!$B$4:$B$23,1),1))/(INDEX([3]Sheet1!$B$4:$B$23,MATCH(K366,[3]Sheet1!$B$4:$B$23,1)+1,1)-INDEX([3]Sheet1!$B$4:$B$23,
MATCH(K366,[3]Sheet1!$B$4:$B$23,1),1))*(INDEX([3]Sheet1!$C$4:$Q$23,MATCH(K366,[3]Sheet1!$B$4:$B$23,1)+1,MATCH(D366,[3]Sheet1!$C$3:$Q$3,1))-INDEX([3]Sheet1!$C$4:$Q$23,
MATCH(K366,[3]Sheet1!$B$4:$B$23,1),MATCH(D366,[3]Sheet1!$C$3:$Q$3,1)))
+(D366-INDEX([3]Sheet1!$C$3:$Q$3,1,MATCH(D366,[3]Sheet1!$C$3:$Q$3)))/(INDEX([3]Sheet1!$C$3:$Q$3,1,MATCH(D366,[3]Sheet1!$C$3:$Q$3)+1)-INDEX([3]Sheet1!$C$3:$Q$3,1,MATCH(
D366,[3]Sheet1!$C$3:$Q$3)))*(INDEX([3]Sheet1!$C$4:$Q$23,MATCH(K366,[3]Sheet1!$B$4:$B$23,1),MATCH(D366,[3]Sheet1!$C$3:$Q$3,1)+1)-INDEX([3]Sheet1!$C$4:$Q$23,MATCH(K366,[3]Sheet1!$B$4:$B$23,1),MATCH(D366,[3]Sheet1!$C$3:$Q$3,1))))</f>
        <v>0</v>
      </c>
      <c r="M366" cm="1">
        <f t="array" ref="M366" xml:space="preserve"> IF(E366*J366=0,0,(INDEX([2]Sheet1!$C$4:$Q$23,MATCH(K366,[2]Sheet1!$B$4:$B$23,1),MATCH(D366,[2]Sheet1!$C$3:$Q$3,1))
+ (K366 - INDEX([2]Sheet1!$B$4:$B$23,MATCH(K366,[2]Sheet1!$B$4:$B$23,1),1))/(INDEX([2]Sheet1!$B$4:$B$23,MATCH(K366,[2]Sheet1!$B$4:$B$23,1)+1,1) - INDEX([2]Sheet1!$B$4:$B$23,MATCH(K366,[2]Sheet1!$B$4:$B$23,1),1))*(INDEX([2]Sheet1!$C$4:$Q$23,MATCH(K366,[2]Sheet1!$B$4:$B$23,1)+1,MATCH(D366,[2]Sheet1!$C$3:$Q$3,1)) - INDEX([2]Sheet1!$C$4:$Q$23,MATCH(K366,[2]Sheet1!$B$4:$B$23,1),MATCH(D366,[2]Sheet1!$C$3:$Q$3,1)))
+ (D366 - INDEX([2]Sheet1!$C$3:$Q$3,1,MATCH(D366,[2]Sheet1!$C$3:$Q$3)))/(INDEX([2]Sheet1!$C$3:$Q$3,1,MATCH(D366,[2]Sheet1!$C$3:$Q$3)+1) - INDEX([2]Sheet1!$C$3:$Q$3,1,MATCH(D366,[2]Sheet1!$C$3:$Q$3)))*(
INDEX([2]Sheet1!$C$4:$Q$23,MATCH(K366,[2]Sheet1!$B$4:$B$23,1),MATCH(D366,[2]Sheet1!$C$3:$Q$3,1)+1) - INDEX([2]Sheet1!$C$4:$Q$23,MATCH(K366,[2]Sheet1!$B$4:$B$23,1),MATCH(D366,[2]Sheet1!$C$3:$Q$3,1)))))</f>
        <v>0</v>
      </c>
      <c r="N366">
        <f t="shared" si="116"/>
        <v>12</v>
      </c>
      <c r="O366">
        <v>8.8255569537905781E-2</v>
      </c>
      <c r="P366" t="e">
        <f t="shared" si="117"/>
        <v>#DIV/0!</v>
      </c>
      <c r="Q366">
        <f t="shared" si="104"/>
        <v>0</v>
      </c>
      <c r="R366">
        <f t="shared" si="118"/>
        <v>741.9099431943954</v>
      </c>
      <c r="T366" t="e">
        <f t="shared" si="107"/>
        <v>#DIV/0!</v>
      </c>
      <c r="U366" t="e">
        <f t="shared" si="108"/>
        <v>#DIV/0!</v>
      </c>
      <c r="V366">
        <f t="shared" si="109"/>
        <v>0</v>
      </c>
      <c r="W366" t="e">
        <f t="shared" si="105"/>
        <v>#DIV/0!</v>
      </c>
    </row>
    <row r="367" spans="1:23" x14ac:dyDescent="0.55000000000000004">
      <c r="A367">
        <f t="shared" si="106"/>
        <v>33.300000000000203</v>
      </c>
      <c r="B367">
        <f t="shared" si="110"/>
        <v>0.316</v>
      </c>
      <c r="C367">
        <f t="shared" si="111"/>
        <v>-16.717391304347959</v>
      </c>
      <c r="D367">
        <v>2.4422260151729973</v>
      </c>
      <c r="E367">
        <f t="shared" si="101"/>
        <v>0</v>
      </c>
      <c r="F367">
        <f t="shared" si="112"/>
        <v>4.8605058816845369E-2</v>
      </c>
      <c r="G367">
        <f t="shared" si="113"/>
        <v>39.513748498891111</v>
      </c>
      <c r="H367">
        <f t="shared" si="114"/>
        <v>0</v>
      </c>
      <c r="I367" s="1">
        <f t="shared" si="102"/>
        <v>0</v>
      </c>
      <c r="J367">
        <f t="shared" si="115"/>
        <v>0</v>
      </c>
      <c r="K367">
        <f t="shared" si="103"/>
        <v>0</v>
      </c>
      <c r="L367" cm="1">
        <f t="array" ref="L367">IF(E367*J367=0,0,$C$21*INDEX([3]Sheet1!$C$4:$Q$23,MATCH(K367,[3]Sheet1!$B$4:$B$23,1),MATCH(D367,[3]Sheet1!$C$3:$Q$3,1))
+(K367-INDEX([3]Sheet1!$B$4:$B$23,MATCH(K367,[3]Sheet1!$B$4:$B$23,1),1))/(INDEX([3]Sheet1!$B$4:$B$23,MATCH(K367,[3]Sheet1!$B$4:$B$23,1)+1,1)-INDEX([3]Sheet1!$B$4:$B$23,
MATCH(K367,[3]Sheet1!$B$4:$B$23,1),1))*(INDEX([3]Sheet1!$C$4:$Q$23,MATCH(K367,[3]Sheet1!$B$4:$B$23,1)+1,MATCH(D367,[3]Sheet1!$C$3:$Q$3,1))-INDEX([3]Sheet1!$C$4:$Q$23,
MATCH(K367,[3]Sheet1!$B$4:$B$23,1),MATCH(D367,[3]Sheet1!$C$3:$Q$3,1)))
+(D367-INDEX([3]Sheet1!$C$3:$Q$3,1,MATCH(D367,[3]Sheet1!$C$3:$Q$3)))/(INDEX([3]Sheet1!$C$3:$Q$3,1,MATCH(D367,[3]Sheet1!$C$3:$Q$3)+1)-INDEX([3]Sheet1!$C$3:$Q$3,1,MATCH(
D367,[3]Sheet1!$C$3:$Q$3)))*(INDEX([3]Sheet1!$C$4:$Q$23,MATCH(K367,[3]Sheet1!$B$4:$B$23,1),MATCH(D367,[3]Sheet1!$C$3:$Q$3,1)+1)-INDEX([3]Sheet1!$C$4:$Q$23,MATCH(K367,[3]Sheet1!$B$4:$B$23,1),MATCH(D367,[3]Sheet1!$C$3:$Q$3,1))))</f>
        <v>0</v>
      </c>
      <c r="M367" cm="1">
        <f t="array" ref="M367" xml:space="preserve"> IF(E367*J367=0,0,(INDEX([2]Sheet1!$C$4:$Q$23,MATCH(K367,[2]Sheet1!$B$4:$B$23,1),MATCH(D367,[2]Sheet1!$C$3:$Q$3,1))
+ (K367 - INDEX([2]Sheet1!$B$4:$B$23,MATCH(K367,[2]Sheet1!$B$4:$B$23,1),1))/(INDEX([2]Sheet1!$B$4:$B$23,MATCH(K367,[2]Sheet1!$B$4:$B$23,1)+1,1) - INDEX([2]Sheet1!$B$4:$B$23,MATCH(K367,[2]Sheet1!$B$4:$B$23,1),1))*(INDEX([2]Sheet1!$C$4:$Q$23,MATCH(K367,[2]Sheet1!$B$4:$B$23,1)+1,MATCH(D367,[2]Sheet1!$C$3:$Q$3,1)) - INDEX([2]Sheet1!$C$4:$Q$23,MATCH(K367,[2]Sheet1!$B$4:$B$23,1),MATCH(D367,[2]Sheet1!$C$3:$Q$3,1)))
+ (D367 - INDEX([2]Sheet1!$C$3:$Q$3,1,MATCH(D367,[2]Sheet1!$C$3:$Q$3)))/(INDEX([2]Sheet1!$C$3:$Q$3,1,MATCH(D367,[2]Sheet1!$C$3:$Q$3)+1) - INDEX([2]Sheet1!$C$3:$Q$3,1,MATCH(D367,[2]Sheet1!$C$3:$Q$3)))*(
INDEX([2]Sheet1!$C$4:$Q$23,MATCH(K367,[2]Sheet1!$B$4:$B$23,1),MATCH(D367,[2]Sheet1!$C$3:$Q$3,1)+1) - INDEX([2]Sheet1!$C$4:$Q$23,MATCH(K367,[2]Sheet1!$B$4:$B$23,1),MATCH(D367,[2]Sheet1!$C$3:$Q$3,1)))))</f>
        <v>0</v>
      </c>
      <c r="N367">
        <f t="shared" si="116"/>
        <v>12</v>
      </c>
      <c r="O367">
        <v>8.8236108481294845E-2</v>
      </c>
      <c r="P367" t="e">
        <f t="shared" si="117"/>
        <v>#DIV/0!</v>
      </c>
      <c r="Q367">
        <f t="shared" si="104"/>
        <v>0</v>
      </c>
      <c r="R367">
        <f t="shared" si="118"/>
        <v>741.9099431943954</v>
      </c>
      <c r="T367" t="e">
        <f t="shared" si="107"/>
        <v>#DIV/0!</v>
      </c>
      <c r="U367" t="e">
        <f t="shared" si="108"/>
        <v>#DIV/0!</v>
      </c>
      <c r="V367">
        <f t="shared" si="109"/>
        <v>0</v>
      </c>
      <c r="W367" t="e">
        <f t="shared" si="105"/>
        <v>#DIV/0!</v>
      </c>
    </row>
    <row r="368" spans="1:23" x14ac:dyDescent="0.55000000000000004">
      <c r="A368">
        <f t="shared" si="106"/>
        <v>33.400000000000205</v>
      </c>
      <c r="B368">
        <f t="shared" si="110"/>
        <v>0.316</v>
      </c>
      <c r="C368">
        <f t="shared" si="111"/>
        <v>-16.782608695652311</v>
      </c>
      <c r="D368">
        <v>2.4421294386793626</v>
      </c>
      <c r="E368">
        <f t="shared" si="101"/>
        <v>0</v>
      </c>
      <c r="F368">
        <f t="shared" si="112"/>
        <v>4.8605058816845369E-2</v>
      </c>
      <c r="G368">
        <f t="shared" si="113"/>
        <v>39.513748498891111</v>
      </c>
      <c r="H368">
        <f t="shared" si="114"/>
        <v>0</v>
      </c>
      <c r="I368" s="1">
        <f t="shared" si="102"/>
        <v>0</v>
      </c>
      <c r="J368">
        <f t="shared" si="115"/>
        <v>0</v>
      </c>
      <c r="K368">
        <f t="shared" si="103"/>
        <v>0</v>
      </c>
      <c r="L368" cm="1">
        <f t="array" ref="L368">IF(E368*J368=0,0,$C$21*INDEX([3]Sheet1!$C$4:$Q$23,MATCH(K368,[3]Sheet1!$B$4:$B$23,1),MATCH(D368,[3]Sheet1!$C$3:$Q$3,1))
+(K368-INDEX([3]Sheet1!$B$4:$B$23,MATCH(K368,[3]Sheet1!$B$4:$B$23,1),1))/(INDEX([3]Sheet1!$B$4:$B$23,MATCH(K368,[3]Sheet1!$B$4:$B$23,1)+1,1)-INDEX([3]Sheet1!$B$4:$B$23,
MATCH(K368,[3]Sheet1!$B$4:$B$23,1),1))*(INDEX([3]Sheet1!$C$4:$Q$23,MATCH(K368,[3]Sheet1!$B$4:$B$23,1)+1,MATCH(D368,[3]Sheet1!$C$3:$Q$3,1))-INDEX([3]Sheet1!$C$4:$Q$23,
MATCH(K368,[3]Sheet1!$B$4:$B$23,1),MATCH(D368,[3]Sheet1!$C$3:$Q$3,1)))
+(D368-INDEX([3]Sheet1!$C$3:$Q$3,1,MATCH(D368,[3]Sheet1!$C$3:$Q$3)))/(INDEX([3]Sheet1!$C$3:$Q$3,1,MATCH(D368,[3]Sheet1!$C$3:$Q$3)+1)-INDEX([3]Sheet1!$C$3:$Q$3,1,MATCH(
D368,[3]Sheet1!$C$3:$Q$3)))*(INDEX([3]Sheet1!$C$4:$Q$23,MATCH(K368,[3]Sheet1!$B$4:$B$23,1),MATCH(D368,[3]Sheet1!$C$3:$Q$3,1)+1)-INDEX([3]Sheet1!$C$4:$Q$23,MATCH(K368,[3]Sheet1!$B$4:$B$23,1),MATCH(D368,[3]Sheet1!$C$3:$Q$3,1))))</f>
        <v>0</v>
      </c>
      <c r="M368" cm="1">
        <f t="array" ref="M368" xml:space="preserve"> IF(E368*J368=0,0,(INDEX([2]Sheet1!$C$4:$Q$23,MATCH(K368,[2]Sheet1!$B$4:$B$23,1),MATCH(D368,[2]Sheet1!$C$3:$Q$3,1))
+ (K368 - INDEX([2]Sheet1!$B$4:$B$23,MATCH(K368,[2]Sheet1!$B$4:$B$23,1),1))/(INDEX([2]Sheet1!$B$4:$B$23,MATCH(K368,[2]Sheet1!$B$4:$B$23,1)+1,1) - INDEX([2]Sheet1!$B$4:$B$23,MATCH(K368,[2]Sheet1!$B$4:$B$23,1),1))*(INDEX([2]Sheet1!$C$4:$Q$23,MATCH(K368,[2]Sheet1!$B$4:$B$23,1)+1,MATCH(D368,[2]Sheet1!$C$3:$Q$3,1)) - INDEX([2]Sheet1!$C$4:$Q$23,MATCH(K368,[2]Sheet1!$B$4:$B$23,1),MATCH(D368,[2]Sheet1!$C$3:$Q$3,1)))
+ (D368 - INDEX([2]Sheet1!$C$3:$Q$3,1,MATCH(D368,[2]Sheet1!$C$3:$Q$3)))/(INDEX([2]Sheet1!$C$3:$Q$3,1,MATCH(D368,[2]Sheet1!$C$3:$Q$3)+1) - INDEX([2]Sheet1!$C$3:$Q$3,1,MATCH(D368,[2]Sheet1!$C$3:$Q$3)))*(
INDEX([2]Sheet1!$C$4:$Q$23,MATCH(K368,[2]Sheet1!$B$4:$B$23,1),MATCH(D368,[2]Sheet1!$C$3:$Q$3,1)+1) - INDEX([2]Sheet1!$C$4:$Q$23,MATCH(K368,[2]Sheet1!$B$4:$B$23,1),MATCH(D368,[2]Sheet1!$C$3:$Q$3,1)))))</f>
        <v>0</v>
      </c>
      <c r="N368">
        <f t="shared" si="116"/>
        <v>12</v>
      </c>
      <c r="O368">
        <v>8.821668756094822E-2</v>
      </c>
      <c r="P368" t="e">
        <f t="shared" si="117"/>
        <v>#DIV/0!</v>
      </c>
      <c r="Q368">
        <f t="shared" si="104"/>
        <v>0</v>
      </c>
      <c r="R368">
        <f t="shared" si="118"/>
        <v>741.9099431943954</v>
      </c>
      <c r="T368" t="e">
        <f t="shared" si="107"/>
        <v>#DIV/0!</v>
      </c>
      <c r="U368" t="e">
        <f t="shared" si="108"/>
        <v>#DIV/0!</v>
      </c>
      <c r="V368">
        <f t="shared" si="109"/>
        <v>0</v>
      </c>
      <c r="W368" t="e">
        <f t="shared" si="105"/>
        <v>#DIV/0!</v>
      </c>
    </row>
    <row r="369" spans="1:23" x14ac:dyDescent="0.55000000000000004">
      <c r="A369">
        <f t="shared" si="106"/>
        <v>33.500000000000206</v>
      </c>
      <c r="B369">
        <f t="shared" si="110"/>
        <v>0.316</v>
      </c>
      <c r="C369">
        <f t="shared" si="111"/>
        <v>-16.847826086956658</v>
      </c>
      <c r="D369">
        <v>2.4420330347986279</v>
      </c>
      <c r="E369">
        <f t="shared" si="101"/>
        <v>0</v>
      </c>
      <c r="F369">
        <f t="shared" si="112"/>
        <v>4.8605058816845369E-2</v>
      </c>
      <c r="G369">
        <f t="shared" si="113"/>
        <v>39.513748498891111</v>
      </c>
      <c r="H369">
        <f t="shared" si="114"/>
        <v>0</v>
      </c>
      <c r="I369" s="1">
        <f t="shared" si="102"/>
        <v>0</v>
      </c>
      <c r="J369">
        <f t="shared" si="115"/>
        <v>0</v>
      </c>
      <c r="K369">
        <f t="shared" si="103"/>
        <v>0</v>
      </c>
      <c r="L369" cm="1">
        <f t="array" ref="L369">IF(E369*J369=0,0,$C$21*INDEX([3]Sheet1!$C$4:$Q$23,MATCH(K369,[3]Sheet1!$B$4:$B$23,1),MATCH(D369,[3]Sheet1!$C$3:$Q$3,1))
+(K369-INDEX([3]Sheet1!$B$4:$B$23,MATCH(K369,[3]Sheet1!$B$4:$B$23,1),1))/(INDEX([3]Sheet1!$B$4:$B$23,MATCH(K369,[3]Sheet1!$B$4:$B$23,1)+1,1)-INDEX([3]Sheet1!$B$4:$B$23,
MATCH(K369,[3]Sheet1!$B$4:$B$23,1),1))*(INDEX([3]Sheet1!$C$4:$Q$23,MATCH(K369,[3]Sheet1!$B$4:$B$23,1)+1,MATCH(D369,[3]Sheet1!$C$3:$Q$3,1))-INDEX([3]Sheet1!$C$4:$Q$23,
MATCH(K369,[3]Sheet1!$B$4:$B$23,1),MATCH(D369,[3]Sheet1!$C$3:$Q$3,1)))
+(D369-INDEX([3]Sheet1!$C$3:$Q$3,1,MATCH(D369,[3]Sheet1!$C$3:$Q$3)))/(INDEX([3]Sheet1!$C$3:$Q$3,1,MATCH(D369,[3]Sheet1!$C$3:$Q$3)+1)-INDEX([3]Sheet1!$C$3:$Q$3,1,MATCH(
D369,[3]Sheet1!$C$3:$Q$3)))*(INDEX([3]Sheet1!$C$4:$Q$23,MATCH(K369,[3]Sheet1!$B$4:$B$23,1),MATCH(D369,[3]Sheet1!$C$3:$Q$3,1)+1)-INDEX([3]Sheet1!$C$4:$Q$23,MATCH(K369,[3]Sheet1!$B$4:$B$23,1),MATCH(D369,[3]Sheet1!$C$3:$Q$3,1))))</f>
        <v>0</v>
      </c>
      <c r="M369" cm="1">
        <f t="array" ref="M369" xml:space="preserve"> IF(E369*J369=0,0,(INDEX([2]Sheet1!$C$4:$Q$23,MATCH(K369,[2]Sheet1!$B$4:$B$23,1),MATCH(D369,[2]Sheet1!$C$3:$Q$3,1))
+ (K369 - INDEX([2]Sheet1!$B$4:$B$23,MATCH(K369,[2]Sheet1!$B$4:$B$23,1),1))/(INDEX([2]Sheet1!$B$4:$B$23,MATCH(K369,[2]Sheet1!$B$4:$B$23,1)+1,1) - INDEX([2]Sheet1!$B$4:$B$23,MATCH(K369,[2]Sheet1!$B$4:$B$23,1),1))*(INDEX([2]Sheet1!$C$4:$Q$23,MATCH(K369,[2]Sheet1!$B$4:$B$23,1)+1,MATCH(D369,[2]Sheet1!$C$3:$Q$3,1)) - INDEX([2]Sheet1!$C$4:$Q$23,MATCH(K369,[2]Sheet1!$B$4:$B$23,1),MATCH(D369,[2]Sheet1!$C$3:$Q$3,1)))
+ (D369 - INDEX([2]Sheet1!$C$3:$Q$3,1,MATCH(D369,[2]Sheet1!$C$3:$Q$3)))/(INDEX([2]Sheet1!$C$3:$Q$3,1,MATCH(D369,[2]Sheet1!$C$3:$Q$3)+1) - INDEX([2]Sheet1!$C$3:$Q$3,1,MATCH(D369,[2]Sheet1!$C$3:$Q$3)))*(
INDEX([2]Sheet1!$C$4:$Q$23,MATCH(K369,[2]Sheet1!$B$4:$B$23,1),MATCH(D369,[2]Sheet1!$C$3:$Q$3,1)+1) - INDEX([2]Sheet1!$C$4:$Q$23,MATCH(K369,[2]Sheet1!$B$4:$B$23,1),MATCH(D369,[2]Sheet1!$C$3:$Q$3,1)))))</f>
        <v>0</v>
      </c>
      <c r="N369">
        <f t="shared" si="116"/>
        <v>12</v>
      </c>
      <c r="O369">
        <v>8.8197306624123936E-2</v>
      </c>
      <c r="P369" t="e">
        <f t="shared" si="117"/>
        <v>#DIV/0!</v>
      </c>
      <c r="Q369">
        <f t="shared" si="104"/>
        <v>0</v>
      </c>
      <c r="R369">
        <f t="shared" si="118"/>
        <v>741.9099431943954</v>
      </c>
      <c r="T369" t="e">
        <f t="shared" si="107"/>
        <v>#DIV/0!</v>
      </c>
      <c r="U369" t="e">
        <f t="shared" si="108"/>
        <v>#DIV/0!</v>
      </c>
      <c r="V369">
        <f t="shared" si="109"/>
        <v>0</v>
      </c>
      <c r="W369" t="e">
        <f t="shared" si="105"/>
        <v>#DIV/0!</v>
      </c>
    </row>
    <row r="370" spans="1:23" x14ac:dyDescent="0.55000000000000004">
      <c r="A370">
        <f t="shared" si="106"/>
        <v>33.600000000000207</v>
      </c>
      <c r="B370">
        <f t="shared" si="110"/>
        <v>0.316</v>
      </c>
      <c r="C370">
        <f t="shared" si="111"/>
        <v>-16.913043478261006</v>
      </c>
      <c r="D370">
        <v>2.4419368028945989</v>
      </c>
      <c r="E370">
        <f t="shared" si="101"/>
        <v>0</v>
      </c>
      <c r="F370">
        <f t="shared" si="112"/>
        <v>4.8605058816845369E-2</v>
      </c>
      <c r="G370">
        <f t="shared" si="113"/>
        <v>39.513748498891111</v>
      </c>
      <c r="H370">
        <f t="shared" si="114"/>
        <v>0</v>
      </c>
      <c r="I370" s="1">
        <f t="shared" si="102"/>
        <v>0</v>
      </c>
      <c r="J370">
        <f t="shared" si="115"/>
        <v>0</v>
      </c>
      <c r="K370">
        <f t="shared" si="103"/>
        <v>0</v>
      </c>
      <c r="L370" cm="1">
        <f t="array" ref="L370">IF(E370*J370=0,0,$C$21*INDEX([3]Sheet1!$C$4:$Q$23,MATCH(K370,[3]Sheet1!$B$4:$B$23,1),MATCH(D370,[3]Sheet1!$C$3:$Q$3,1))
+(K370-INDEX([3]Sheet1!$B$4:$B$23,MATCH(K370,[3]Sheet1!$B$4:$B$23,1),1))/(INDEX([3]Sheet1!$B$4:$B$23,MATCH(K370,[3]Sheet1!$B$4:$B$23,1)+1,1)-INDEX([3]Sheet1!$B$4:$B$23,
MATCH(K370,[3]Sheet1!$B$4:$B$23,1),1))*(INDEX([3]Sheet1!$C$4:$Q$23,MATCH(K370,[3]Sheet1!$B$4:$B$23,1)+1,MATCH(D370,[3]Sheet1!$C$3:$Q$3,1))-INDEX([3]Sheet1!$C$4:$Q$23,
MATCH(K370,[3]Sheet1!$B$4:$B$23,1),MATCH(D370,[3]Sheet1!$C$3:$Q$3,1)))
+(D370-INDEX([3]Sheet1!$C$3:$Q$3,1,MATCH(D370,[3]Sheet1!$C$3:$Q$3)))/(INDEX([3]Sheet1!$C$3:$Q$3,1,MATCH(D370,[3]Sheet1!$C$3:$Q$3)+1)-INDEX([3]Sheet1!$C$3:$Q$3,1,MATCH(
D370,[3]Sheet1!$C$3:$Q$3)))*(INDEX([3]Sheet1!$C$4:$Q$23,MATCH(K370,[3]Sheet1!$B$4:$B$23,1),MATCH(D370,[3]Sheet1!$C$3:$Q$3,1)+1)-INDEX([3]Sheet1!$C$4:$Q$23,MATCH(K370,[3]Sheet1!$B$4:$B$23,1),MATCH(D370,[3]Sheet1!$C$3:$Q$3,1))))</f>
        <v>0</v>
      </c>
      <c r="M370" cm="1">
        <f t="array" ref="M370" xml:space="preserve"> IF(E370*J370=0,0,(INDEX([2]Sheet1!$C$4:$Q$23,MATCH(K370,[2]Sheet1!$B$4:$B$23,1),MATCH(D370,[2]Sheet1!$C$3:$Q$3,1))
+ (K370 - INDEX([2]Sheet1!$B$4:$B$23,MATCH(K370,[2]Sheet1!$B$4:$B$23,1),1))/(INDEX([2]Sheet1!$B$4:$B$23,MATCH(K370,[2]Sheet1!$B$4:$B$23,1)+1,1) - INDEX([2]Sheet1!$B$4:$B$23,MATCH(K370,[2]Sheet1!$B$4:$B$23,1),1))*(INDEX([2]Sheet1!$C$4:$Q$23,MATCH(K370,[2]Sheet1!$B$4:$B$23,1)+1,MATCH(D370,[2]Sheet1!$C$3:$Q$3,1)) - INDEX([2]Sheet1!$C$4:$Q$23,MATCH(K370,[2]Sheet1!$B$4:$B$23,1),MATCH(D370,[2]Sheet1!$C$3:$Q$3,1)))
+ (D370 - INDEX([2]Sheet1!$C$3:$Q$3,1,MATCH(D370,[2]Sheet1!$C$3:$Q$3)))/(INDEX([2]Sheet1!$C$3:$Q$3,1,MATCH(D370,[2]Sheet1!$C$3:$Q$3)+1) - INDEX([2]Sheet1!$C$3:$Q$3,1,MATCH(D370,[2]Sheet1!$C$3:$Q$3)))*(
INDEX([2]Sheet1!$C$4:$Q$23,MATCH(K370,[2]Sheet1!$B$4:$B$23,1),MATCH(D370,[2]Sheet1!$C$3:$Q$3,1)+1) - INDEX([2]Sheet1!$C$4:$Q$23,MATCH(K370,[2]Sheet1!$B$4:$B$23,1),MATCH(D370,[2]Sheet1!$C$3:$Q$3,1)))))</f>
        <v>0</v>
      </c>
      <c r="N370">
        <f t="shared" si="116"/>
        <v>12</v>
      </c>
      <c r="O370">
        <v>8.8177965518941762E-2</v>
      </c>
      <c r="P370" t="e">
        <f t="shared" si="117"/>
        <v>#DIV/0!</v>
      </c>
      <c r="Q370">
        <f t="shared" si="104"/>
        <v>0</v>
      </c>
      <c r="R370">
        <f t="shared" si="118"/>
        <v>741.9099431943954</v>
      </c>
      <c r="T370" t="e">
        <f t="shared" si="107"/>
        <v>#DIV/0!</v>
      </c>
      <c r="U370" t="e">
        <f t="shared" si="108"/>
        <v>#DIV/0!</v>
      </c>
      <c r="V370">
        <f t="shared" si="109"/>
        <v>0</v>
      </c>
      <c r="W370" t="e">
        <f t="shared" si="105"/>
        <v>#DIV/0!</v>
      </c>
    </row>
    <row r="371" spans="1:23" x14ac:dyDescent="0.55000000000000004">
      <c r="A371">
        <f t="shared" si="106"/>
        <v>33.700000000000209</v>
      </c>
      <c r="B371">
        <f t="shared" si="110"/>
        <v>0.316</v>
      </c>
      <c r="C371">
        <f t="shared" si="111"/>
        <v>-16.978260869565354</v>
      </c>
      <c r="D371">
        <v>2.4418407423346107</v>
      </c>
      <c r="E371">
        <f t="shared" si="101"/>
        <v>0</v>
      </c>
      <c r="F371">
        <f t="shared" si="112"/>
        <v>4.8605058816845369E-2</v>
      </c>
      <c r="G371">
        <f t="shared" si="113"/>
        <v>39.513748498891111</v>
      </c>
      <c r="H371">
        <f t="shared" si="114"/>
        <v>0</v>
      </c>
      <c r="I371" s="1">
        <f t="shared" si="102"/>
        <v>0</v>
      </c>
      <c r="J371">
        <f t="shared" si="115"/>
        <v>0</v>
      </c>
      <c r="K371">
        <f t="shared" si="103"/>
        <v>0</v>
      </c>
      <c r="L371" cm="1">
        <f t="array" ref="L371">IF(E371*J371=0,0,$C$21*INDEX([3]Sheet1!$C$4:$Q$23,MATCH(K371,[3]Sheet1!$B$4:$B$23,1),MATCH(D371,[3]Sheet1!$C$3:$Q$3,1))
+(K371-INDEX([3]Sheet1!$B$4:$B$23,MATCH(K371,[3]Sheet1!$B$4:$B$23,1),1))/(INDEX([3]Sheet1!$B$4:$B$23,MATCH(K371,[3]Sheet1!$B$4:$B$23,1)+1,1)-INDEX([3]Sheet1!$B$4:$B$23,
MATCH(K371,[3]Sheet1!$B$4:$B$23,1),1))*(INDEX([3]Sheet1!$C$4:$Q$23,MATCH(K371,[3]Sheet1!$B$4:$B$23,1)+1,MATCH(D371,[3]Sheet1!$C$3:$Q$3,1))-INDEX([3]Sheet1!$C$4:$Q$23,
MATCH(K371,[3]Sheet1!$B$4:$B$23,1),MATCH(D371,[3]Sheet1!$C$3:$Q$3,1)))
+(D371-INDEX([3]Sheet1!$C$3:$Q$3,1,MATCH(D371,[3]Sheet1!$C$3:$Q$3)))/(INDEX([3]Sheet1!$C$3:$Q$3,1,MATCH(D371,[3]Sheet1!$C$3:$Q$3)+1)-INDEX([3]Sheet1!$C$3:$Q$3,1,MATCH(
D371,[3]Sheet1!$C$3:$Q$3)))*(INDEX([3]Sheet1!$C$4:$Q$23,MATCH(K371,[3]Sheet1!$B$4:$B$23,1),MATCH(D371,[3]Sheet1!$C$3:$Q$3,1)+1)-INDEX([3]Sheet1!$C$4:$Q$23,MATCH(K371,[3]Sheet1!$B$4:$B$23,1),MATCH(D371,[3]Sheet1!$C$3:$Q$3,1))))</f>
        <v>0</v>
      </c>
      <c r="M371" cm="1">
        <f t="array" ref="M371" xml:space="preserve"> IF(E371*J371=0,0,(INDEX([2]Sheet1!$C$4:$Q$23,MATCH(K371,[2]Sheet1!$B$4:$B$23,1),MATCH(D371,[2]Sheet1!$C$3:$Q$3,1))
+ (K371 - INDEX([2]Sheet1!$B$4:$B$23,MATCH(K371,[2]Sheet1!$B$4:$B$23,1),1))/(INDEX([2]Sheet1!$B$4:$B$23,MATCH(K371,[2]Sheet1!$B$4:$B$23,1)+1,1) - INDEX([2]Sheet1!$B$4:$B$23,MATCH(K371,[2]Sheet1!$B$4:$B$23,1),1))*(INDEX([2]Sheet1!$C$4:$Q$23,MATCH(K371,[2]Sheet1!$B$4:$B$23,1)+1,MATCH(D371,[2]Sheet1!$C$3:$Q$3,1)) - INDEX([2]Sheet1!$C$4:$Q$23,MATCH(K371,[2]Sheet1!$B$4:$B$23,1),MATCH(D371,[2]Sheet1!$C$3:$Q$3,1)))
+ (D371 - INDEX([2]Sheet1!$C$3:$Q$3,1,MATCH(D371,[2]Sheet1!$C$3:$Q$3)))/(INDEX([2]Sheet1!$C$3:$Q$3,1,MATCH(D371,[2]Sheet1!$C$3:$Q$3)+1) - INDEX([2]Sheet1!$C$3:$Q$3,1,MATCH(D371,[2]Sheet1!$C$3:$Q$3)))*(
INDEX([2]Sheet1!$C$4:$Q$23,MATCH(K371,[2]Sheet1!$B$4:$B$23,1),MATCH(D371,[2]Sheet1!$C$3:$Q$3,1)+1) - INDEX([2]Sheet1!$C$4:$Q$23,MATCH(K371,[2]Sheet1!$B$4:$B$23,1),MATCH(D371,[2]Sheet1!$C$3:$Q$3,1)))))</f>
        <v>0</v>
      </c>
      <c r="N371">
        <f t="shared" si="116"/>
        <v>12</v>
      </c>
      <c r="O371">
        <v>8.8158664094376019E-2</v>
      </c>
      <c r="P371" t="e">
        <f t="shared" si="117"/>
        <v>#DIV/0!</v>
      </c>
      <c r="Q371">
        <f t="shared" si="104"/>
        <v>0</v>
      </c>
      <c r="R371">
        <f t="shared" si="118"/>
        <v>741.9099431943954</v>
      </c>
      <c r="T371" t="e">
        <f t="shared" si="107"/>
        <v>#DIV/0!</v>
      </c>
      <c r="U371" t="e">
        <f t="shared" si="108"/>
        <v>#DIV/0!</v>
      </c>
      <c r="V371">
        <f t="shared" si="109"/>
        <v>0</v>
      </c>
      <c r="W371" t="e">
        <f t="shared" si="105"/>
        <v>#DIV/0!</v>
      </c>
    </row>
    <row r="372" spans="1:23" x14ac:dyDescent="0.55000000000000004">
      <c r="A372">
        <f t="shared" si="106"/>
        <v>33.80000000000021</v>
      </c>
      <c r="B372">
        <f t="shared" si="110"/>
        <v>0.316</v>
      </c>
      <c r="C372">
        <f t="shared" si="111"/>
        <v>-17.043478260869705</v>
      </c>
      <c r="D372">
        <v>2.4417448524895056</v>
      </c>
      <c r="E372">
        <f t="shared" si="101"/>
        <v>0</v>
      </c>
      <c r="F372">
        <f t="shared" si="112"/>
        <v>4.8605058816845369E-2</v>
      </c>
      <c r="G372">
        <f t="shared" si="113"/>
        <v>39.513748498891111</v>
      </c>
      <c r="H372">
        <f t="shared" si="114"/>
        <v>0</v>
      </c>
      <c r="I372" s="1">
        <f t="shared" si="102"/>
        <v>0</v>
      </c>
      <c r="J372">
        <f t="shared" si="115"/>
        <v>0</v>
      </c>
      <c r="K372">
        <f t="shared" si="103"/>
        <v>0</v>
      </c>
      <c r="L372" cm="1">
        <f t="array" ref="L372">IF(E372*J372=0,0,$C$21*INDEX([3]Sheet1!$C$4:$Q$23,MATCH(K372,[3]Sheet1!$B$4:$B$23,1),MATCH(D372,[3]Sheet1!$C$3:$Q$3,1))
+(K372-INDEX([3]Sheet1!$B$4:$B$23,MATCH(K372,[3]Sheet1!$B$4:$B$23,1),1))/(INDEX([3]Sheet1!$B$4:$B$23,MATCH(K372,[3]Sheet1!$B$4:$B$23,1)+1,1)-INDEX([3]Sheet1!$B$4:$B$23,
MATCH(K372,[3]Sheet1!$B$4:$B$23,1),1))*(INDEX([3]Sheet1!$C$4:$Q$23,MATCH(K372,[3]Sheet1!$B$4:$B$23,1)+1,MATCH(D372,[3]Sheet1!$C$3:$Q$3,1))-INDEX([3]Sheet1!$C$4:$Q$23,
MATCH(K372,[3]Sheet1!$B$4:$B$23,1),MATCH(D372,[3]Sheet1!$C$3:$Q$3,1)))
+(D372-INDEX([3]Sheet1!$C$3:$Q$3,1,MATCH(D372,[3]Sheet1!$C$3:$Q$3)))/(INDEX([3]Sheet1!$C$3:$Q$3,1,MATCH(D372,[3]Sheet1!$C$3:$Q$3)+1)-INDEX([3]Sheet1!$C$3:$Q$3,1,MATCH(
D372,[3]Sheet1!$C$3:$Q$3)))*(INDEX([3]Sheet1!$C$4:$Q$23,MATCH(K372,[3]Sheet1!$B$4:$B$23,1),MATCH(D372,[3]Sheet1!$C$3:$Q$3,1)+1)-INDEX([3]Sheet1!$C$4:$Q$23,MATCH(K372,[3]Sheet1!$B$4:$B$23,1),MATCH(D372,[3]Sheet1!$C$3:$Q$3,1))))</f>
        <v>0</v>
      </c>
      <c r="M372" cm="1">
        <f t="array" ref="M372" xml:space="preserve"> IF(E372*J372=0,0,(INDEX([2]Sheet1!$C$4:$Q$23,MATCH(K372,[2]Sheet1!$B$4:$B$23,1),MATCH(D372,[2]Sheet1!$C$3:$Q$3,1))
+ (K372 - INDEX([2]Sheet1!$B$4:$B$23,MATCH(K372,[2]Sheet1!$B$4:$B$23,1),1))/(INDEX([2]Sheet1!$B$4:$B$23,MATCH(K372,[2]Sheet1!$B$4:$B$23,1)+1,1) - INDEX([2]Sheet1!$B$4:$B$23,MATCH(K372,[2]Sheet1!$B$4:$B$23,1),1))*(INDEX([2]Sheet1!$C$4:$Q$23,MATCH(K372,[2]Sheet1!$B$4:$B$23,1)+1,MATCH(D372,[2]Sheet1!$C$3:$Q$3,1)) - INDEX([2]Sheet1!$C$4:$Q$23,MATCH(K372,[2]Sheet1!$B$4:$B$23,1),MATCH(D372,[2]Sheet1!$C$3:$Q$3,1)))
+ (D372 - INDEX([2]Sheet1!$C$3:$Q$3,1,MATCH(D372,[2]Sheet1!$C$3:$Q$3)))/(INDEX([2]Sheet1!$C$3:$Q$3,1,MATCH(D372,[2]Sheet1!$C$3:$Q$3)+1) - INDEX([2]Sheet1!$C$3:$Q$3,1,MATCH(D372,[2]Sheet1!$C$3:$Q$3)))*(
INDEX([2]Sheet1!$C$4:$Q$23,MATCH(K372,[2]Sheet1!$B$4:$B$23,1),MATCH(D372,[2]Sheet1!$C$3:$Q$3,1)+1) - INDEX([2]Sheet1!$C$4:$Q$23,MATCH(K372,[2]Sheet1!$B$4:$B$23,1),MATCH(D372,[2]Sheet1!$C$3:$Q$3,1)))))</f>
        <v>0</v>
      </c>
      <c r="N372">
        <f t="shared" si="116"/>
        <v>12</v>
      </c>
      <c r="O372">
        <v>8.8139402200249836E-2</v>
      </c>
      <c r="P372" t="e">
        <f t="shared" si="117"/>
        <v>#DIV/0!</v>
      </c>
      <c r="Q372">
        <f t="shared" si="104"/>
        <v>0</v>
      </c>
      <c r="R372">
        <f t="shared" si="118"/>
        <v>741.9099431943954</v>
      </c>
      <c r="T372" t="e">
        <f t="shared" si="107"/>
        <v>#DIV/0!</v>
      </c>
      <c r="U372" t="e">
        <f t="shared" si="108"/>
        <v>#DIV/0!</v>
      </c>
      <c r="V372">
        <f t="shared" si="109"/>
        <v>0</v>
      </c>
      <c r="W372" t="e">
        <f t="shared" si="105"/>
        <v>#DIV/0!</v>
      </c>
    </row>
    <row r="373" spans="1:23" x14ac:dyDescent="0.55000000000000004">
      <c r="A373">
        <f t="shared" si="106"/>
        <v>33.900000000000212</v>
      </c>
      <c r="B373">
        <f t="shared" si="110"/>
        <v>0.316</v>
      </c>
      <c r="C373">
        <f t="shared" si="111"/>
        <v>-17.108695652174056</v>
      </c>
      <c r="D373">
        <v>2.4416491327336081</v>
      </c>
      <c r="E373">
        <f t="shared" si="101"/>
        <v>0</v>
      </c>
      <c r="F373">
        <f t="shared" si="112"/>
        <v>4.8605058816845369E-2</v>
      </c>
      <c r="G373">
        <f t="shared" si="113"/>
        <v>39.513748498891111</v>
      </c>
      <c r="H373">
        <f t="shared" si="114"/>
        <v>0</v>
      </c>
      <c r="I373" s="1">
        <f t="shared" si="102"/>
        <v>0</v>
      </c>
      <c r="J373">
        <f t="shared" si="115"/>
        <v>0</v>
      </c>
      <c r="K373">
        <f t="shared" si="103"/>
        <v>0</v>
      </c>
      <c r="L373" cm="1">
        <f t="array" ref="L373">IF(E373*J373=0,0,$C$21*INDEX([3]Sheet1!$C$4:$Q$23,MATCH(K373,[3]Sheet1!$B$4:$B$23,1),MATCH(D373,[3]Sheet1!$C$3:$Q$3,1))
+(K373-INDEX([3]Sheet1!$B$4:$B$23,MATCH(K373,[3]Sheet1!$B$4:$B$23,1),1))/(INDEX([3]Sheet1!$B$4:$B$23,MATCH(K373,[3]Sheet1!$B$4:$B$23,1)+1,1)-INDEX([3]Sheet1!$B$4:$B$23,
MATCH(K373,[3]Sheet1!$B$4:$B$23,1),1))*(INDEX([3]Sheet1!$C$4:$Q$23,MATCH(K373,[3]Sheet1!$B$4:$B$23,1)+1,MATCH(D373,[3]Sheet1!$C$3:$Q$3,1))-INDEX([3]Sheet1!$C$4:$Q$23,
MATCH(K373,[3]Sheet1!$B$4:$B$23,1),MATCH(D373,[3]Sheet1!$C$3:$Q$3,1)))
+(D373-INDEX([3]Sheet1!$C$3:$Q$3,1,MATCH(D373,[3]Sheet1!$C$3:$Q$3)))/(INDEX([3]Sheet1!$C$3:$Q$3,1,MATCH(D373,[3]Sheet1!$C$3:$Q$3)+1)-INDEX([3]Sheet1!$C$3:$Q$3,1,MATCH(
D373,[3]Sheet1!$C$3:$Q$3)))*(INDEX([3]Sheet1!$C$4:$Q$23,MATCH(K373,[3]Sheet1!$B$4:$B$23,1),MATCH(D373,[3]Sheet1!$C$3:$Q$3,1)+1)-INDEX([3]Sheet1!$C$4:$Q$23,MATCH(K373,[3]Sheet1!$B$4:$B$23,1),MATCH(D373,[3]Sheet1!$C$3:$Q$3,1))))</f>
        <v>0</v>
      </c>
      <c r="M373" cm="1">
        <f t="array" ref="M373" xml:space="preserve"> IF(E373*J373=0,0,(INDEX([2]Sheet1!$C$4:$Q$23,MATCH(K373,[2]Sheet1!$B$4:$B$23,1),MATCH(D373,[2]Sheet1!$C$3:$Q$3,1))
+ (K373 - INDEX([2]Sheet1!$B$4:$B$23,MATCH(K373,[2]Sheet1!$B$4:$B$23,1),1))/(INDEX([2]Sheet1!$B$4:$B$23,MATCH(K373,[2]Sheet1!$B$4:$B$23,1)+1,1) - INDEX([2]Sheet1!$B$4:$B$23,MATCH(K373,[2]Sheet1!$B$4:$B$23,1),1))*(INDEX([2]Sheet1!$C$4:$Q$23,MATCH(K373,[2]Sheet1!$B$4:$B$23,1)+1,MATCH(D373,[2]Sheet1!$C$3:$Q$3,1)) - INDEX([2]Sheet1!$C$4:$Q$23,MATCH(K373,[2]Sheet1!$B$4:$B$23,1),MATCH(D373,[2]Sheet1!$C$3:$Q$3,1)))
+ (D373 - INDEX([2]Sheet1!$C$3:$Q$3,1,MATCH(D373,[2]Sheet1!$C$3:$Q$3)))/(INDEX([2]Sheet1!$C$3:$Q$3,1,MATCH(D373,[2]Sheet1!$C$3:$Q$3)+1) - INDEX([2]Sheet1!$C$3:$Q$3,1,MATCH(D373,[2]Sheet1!$C$3:$Q$3)))*(
INDEX([2]Sheet1!$C$4:$Q$23,MATCH(K373,[2]Sheet1!$B$4:$B$23,1),MATCH(D373,[2]Sheet1!$C$3:$Q$3,1)+1) - INDEX([2]Sheet1!$C$4:$Q$23,MATCH(K373,[2]Sheet1!$B$4:$B$23,1),MATCH(D373,[2]Sheet1!$C$3:$Q$3,1)))))</f>
        <v>0</v>
      </c>
      <c r="N373">
        <f t="shared" si="116"/>
        <v>12</v>
      </c>
      <c r="O373">
        <v>8.8120179687227254E-2</v>
      </c>
      <c r="P373" t="e">
        <f t="shared" si="117"/>
        <v>#DIV/0!</v>
      </c>
      <c r="Q373">
        <f t="shared" si="104"/>
        <v>0</v>
      </c>
      <c r="R373">
        <f t="shared" si="118"/>
        <v>741.9099431943954</v>
      </c>
      <c r="T373" t="e">
        <f t="shared" si="107"/>
        <v>#DIV/0!</v>
      </c>
      <c r="U373" t="e">
        <f t="shared" si="108"/>
        <v>#DIV/0!</v>
      </c>
      <c r="V373">
        <f t="shared" si="109"/>
        <v>0</v>
      </c>
      <c r="W373" t="e">
        <f t="shared" si="105"/>
        <v>#DIV/0!</v>
      </c>
    </row>
    <row r="374" spans="1:23" x14ac:dyDescent="0.55000000000000004">
      <c r="A374">
        <f t="shared" si="106"/>
        <v>34.000000000000213</v>
      </c>
      <c r="B374">
        <f t="shared" si="110"/>
        <v>0.316</v>
      </c>
      <c r="C374">
        <f t="shared" si="111"/>
        <v>-17.1739130434784</v>
      </c>
      <c r="D374">
        <v>2.4415535824446981</v>
      </c>
      <c r="E374">
        <f t="shared" si="101"/>
        <v>0</v>
      </c>
      <c r="F374">
        <f t="shared" si="112"/>
        <v>4.8605058816845369E-2</v>
      </c>
      <c r="G374">
        <f t="shared" si="113"/>
        <v>39.513748498891111</v>
      </c>
      <c r="H374">
        <f t="shared" si="114"/>
        <v>0</v>
      </c>
      <c r="I374" s="1">
        <f t="shared" si="102"/>
        <v>0</v>
      </c>
      <c r="J374">
        <f t="shared" si="115"/>
        <v>0</v>
      </c>
      <c r="K374">
        <f t="shared" si="103"/>
        <v>0</v>
      </c>
      <c r="L374" cm="1">
        <f t="array" ref="L374">IF(E374*J374=0,0,$C$21*INDEX([3]Sheet1!$C$4:$Q$23,MATCH(K374,[3]Sheet1!$B$4:$B$23,1),MATCH(D374,[3]Sheet1!$C$3:$Q$3,1))
+(K374-INDEX([3]Sheet1!$B$4:$B$23,MATCH(K374,[3]Sheet1!$B$4:$B$23,1),1))/(INDEX([3]Sheet1!$B$4:$B$23,MATCH(K374,[3]Sheet1!$B$4:$B$23,1)+1,1)-INDEX([3]Sheet1!$B$4:$B$23,
MATCH(K374,[3]Sheet1!$B$4:$B$23,1),1))*(INDEX([3]Sheet1!$C$4:$Q$23,MATCH(K374,[3]Sheet1!$B$4:$B$23,1)+1,MATCH(D374,[3]Sheet1!$C$3:$Q$3,1))-INDEX([3]Sheet1!$C$4:$Q$23,
MATCH(K374,[3]Sheet1!$B$4:$B$23,1),MATCH(D374,[3]Sheet1!$C$3:$Q$3,1)))
+(D374-INDEX([3]Sheet1!$C$3:$Q$3,1,MATCH(D374,[3]Sheet1!$C$3:$Q$3)))/(INDEX([3]Sheet1!$C$3:$Q$3,1,MATCH(D374,[3]Sheet1!$C$3:$Q$3)+1)-INDEX([3]Sheet1!$C$3:$Q$3,1,MATCH(
D374,[3]Sheet1!$C$3:$Q$3)))*(INDEX([3]Sheet1!$C$4:$Q$23,MATCH(K374,[3]Sheet1!$B$4:$B$23,1),MATCH(D374,[3]Sheet1!$C$3:$Q$3,1)+1)-INDEX([3]Sheet1!$C$4:$Q$23,MATCH(K374,[3]Sheet1!$B$4:$B$23,1),MATCH(D374,[3]Sheet1!$C$3:$Q$3,1))))</f>
        <v>0</v>
      </c>
      <c r="M374" cm="1">
        <f t="array" ref="M374" xml:space="preserve"> IF(E374*J374=0,0,(INDEX([2]Sheet1!$C$4:$Q$23,MATCH(K374,[2]Sheet1!$B$4:$B$23,1),MATCH(D374,[2]Sheet1!$C$3:$Q$3,1))
+ (K374 - INDEX([2]Sheet1!$B$4:$B$23,MATCH(K374,[2]Sheet1!$B$4:$B$23,1),1))/(INDEX([2]Sheet1!$B$4:$B$23,MATCH(K374,[2]Sheet1!$B$4:$B$23,1)+1,1) - INDEX([2]Sheet1!$B$4:$B$23,MATCH(K374,[2]Sheet1!$B$4:$B$23,1),1))*(INDEX([2]Sheet1!$C$4:$Q$23,MATCH(K374,[2]Sheet1!$B$4:$B$23,1)+1,MATCH(D374,[2]Sheet1!$C$3:$Q$3,1)) - INDEX([2]Sheet1!$C$4:$Q$23,MATCH(K374,[2]Sheet1!$B$4:$B$23,1),MATCH(D374,[2]Sheet1!$C$3:$Q$3,1)))
+ (D374 - INDEX([2]Sheet1!$C$3:$Q$3,1,MATCH(D374,[2]Sheet1!$C$3:$Q$3)))/(INDEX([2]Sheet1!$C$3:$Q$3,1,MATCH(D374,[2]Sheet1!$C$3:$Q$3)+1) - INDEX([2]Sheet1!$C$3:$Q$3,1,MATCH(D374,[2]Sheet1!$C$3:$Q$3)))*(
INDEX([2]Sheet1!$C$4:$Q$23,MATCH(K374,[2]Sheet1!$B$4:$B$23,1),MATCH(D374,[2]Sheet1!$C$3:$Q$3,1)+1) - INDEX([2]Sheet1!$C$4:$Q$23,MATCH(K374,[2]Sheet1!$B$4:$B$23,1),MATCH(D374,[2]Sheet1!$C$3:$Q$3,1)))))</f>
        <v>0</v>
      </c>
      <c r="N374">
        <f t="shared" si="116"/>
        <v>12</v>
      </c>
      <c r="O374">
        <v>8.810099640680906E-2</v>
      </c>
      <c r="P374" t="e">
        <f t="shared" si="117"/>
        <v>#DIV/0!</v>
      </c>
      <c r="Q374">
        <f t="shared" si="104"/>
        <v>0</v>
      </c>
      <c r="R374">
        <f t="shared" si="118"/>
        <v>741.9099431943954</v>
      </c>
      <c r="T374" t="e">
        <f t="shared" si="107"/>
        <v>#DIV/0!</v>
      </c>
      <c r="U374" t="e">
        <f t="shared" si="108"/>
        <v>#DIV/0!</v>
      </c>
      <c r="V374">
        <f t="shared" si="109"/>
        <v>0</v>
      </c>
      <c r="W374" t="e">
        <f t="shared" si="105"/>
        <v>#DIV/0!</v>
      </c>
    </row>
    <row r="375" spans="1:23" x14ac:dyDescent="0.55000000000000004">
      <c r="A375">
        <f t="shared" si="106"/>
        <v>34.100000000000215</v>
      </c>
      <c r="B375">
        <f t="shared" si="110"/>
        <v>0.316</v>
      </c>
      <c r="C375">
        <f t="shared" si="111"/>
        <v>-17.239130434782748</v>
      </c>
      <c r="D375">
        <v>2.4414582010039854</v>
      </c>
      <c r="E375">
        <f t="shared" si="101"/>
        <v>0</v>
      </c>
      <c r="F375">
        <f t="shared" si="112"/>
        <v>4.8605058816845369E-2</v>
      </c>
      <c r="G375">
        <f t="shared" si="113"/>
        <v>39.513748498891111</v>
      </c>
      <c r="H375">
        <f t="shared" si="114"/>
        <v>0</v>
      </c>
      <c r="I375" s="1">
        <f t="shared" si="102"/>
        <v>0</v>
      </c>
      <c r="J375">
        <f t="shared" si="115"/>
        <v>0</v>
      </c>
      <c r="K375">
        <f t="shared" si="103"/>
        <v>0</v>
      </c>
      <c r="L375" cm="1">
        <f t="array" ref="L375">IF(E375*J375=0,0,$C$21*INDEX([3]Sheet1!$C$4:$Q$23,MATCH(K375,[3]Sheet1!$B$4:$B$23,1),MATCH(D375,[3]Sheet1!$C$3:$Q$3,1))
+(K375-INDEX([3]Sheet1!$B$4:$B$23,MATCH(K375,[3]Sheet1!$B$4:$B$23,1),1))/(INDEX([3]Sheet1!$B$4:$B$23,MATCH(K375,[3]Sheet1!$B$4:$B$23,1)+1,1)-INDEX([3]Sheet1!$B$4:$B$23,
MATCH(K375,[3]Sheet1!$B$4:$B$23,1),1))*(INDEX([3]Sheet1!$C$4:$Q$23,MATCH(K375,[3]Sheet1!$B$4:$B$23,1)+1,MATCH(D375,[3]Sheet1!$C$3:$Q$3,1))-INDEX([3]Sheet1!$C$4:$Q$23,
MATCH(K375,[3]Sheet1!$B$4:$B$23,1),MATCH(D375,[3]Sheet1!$C$3:$Q$3,1)))
+(D375-INDEX([3]Sheet1!$C$3:$Q$3,1,MATCH(D375,[3]Sheet1!$C$3:$Q$3)))/(INDEX([3]Sheet1!$C$3:$Q$3,1,MATCH(D375,[3]Sheet1!$C$3:$Q$3)+1)-INDEX([3]Sheet1!$C$3:$Q$3,1,MATCH(
D375,[3]Sheet1!$C$3:$Q$3)))*(INDEX([3]Sheet1!$C$4:$Q$23,MATCH(K375,[3]Sheet1!$B$4:$B$23,1),MATCH(D375,[3]Sheet1!$C$3:$Q$3,1)+1)-INDEX([3]Sheet1!$C$4:$Q$23,MATCH(K375,[3]Sheet1!$B$4:$B$23,1),MATCH(D375,[3]Sheet1!$C$3:$Q$3,1))))</f>
        <v>0</v>
      </c>
      <c r="M375" cm="1">
        <f t="array" ref="M375" xml:space="preserve"> IF(E375*J375=0,0,(INDEX([2]Sheet1!$C$4:$Q$23,MATCH(K375,[2]Sheet1!$B$4:$B$23,1),MATCH(D375,[2]Sheet1!$C$3:$Q$3,1))
+ (K375 - INDEX([2]Sheet1!$B$4:$B$23,MATCH(K375,[2]Sheet1!$B$4:$B$23,1),1))/(INDEX([2]Sheet1!$B$4:$B$23,MATCH(K375,[2]Sheet1!$B$4:$B$23,1)+1,1) - INDEX([2]Sheet1!$B$4:$B$23,MATCH(K375,[2]Sheet1!$B$4:$B$23,1),1))*(INDEX([2]Sheet1!$C$4:$Q$23,MATCH(K375,[2]Sheet1!$B$4:$B$23,1)+1,MATCH(D375,[2]Sheet1!$C$3:$Q$3,1)) - INDEX([2]Sheet1!$C$4:$Q$23,MATCH(K375,[2]Sheet1!$B$4:$B$23,1),MATCH(D375,[2]Sheet1!$C$3:$Q$3,1)))
+ (D375 - INDEX([2]Sheet1!$C$3:$Q$3,1,MATCH(D375,[2]Sheet1!$C$3:$Q$3)))/(INDEX([2]Sheet1!$C$3:$Q$3,1,MATCH(D375,[2]Sheet1!$C$3:$Q$3)+1) - INDEX([2]Sheet1!$C$3:$Q$3,1,MATCH(D375,[2]Sheet1!$C$3:$Q$3)))*(
INDEX([2]Sheet1!$C$4:$Q$23,MATCH(K375,[2]Sheet1!$B$4:$B$23,1),MATCH(D375,[2]Sheet1!$C$3:$Q$3,1)+1) - INDEX([2]Sheet1!$C$4:$Q$23,MATCH(K375,[2]Sheet1!$B$4:$B$23,1),MATCH(D375,[2]Sheet1!$C$3:$Q$3,1)))))</f>
        <v>0</v>
      </c>
      <c r="N375">
        <f t="shared" si="116"/>
        <v>12</v>
      </c>
      <c r="O375">
        <v>8.8081852211325321E-2</v>
      </c>
      <c r="P375" t="e">
        <f t="shared" si="117"/>
        <v>#DIV/0!</v>
      </c>
      <c r="Q375">
        <f t="shared" si="104"/>
        <v>0</v>
      </c>
      <c r="R375">
        <f t="shared" si="118"/>
        <v>741.9099431943954</v>
      </c>
      <c r="T375" t="e">
        <f t="shared" si="107"/>
        <v>#DIV/0!</v>
      </c>
      <c r="U375" t="e">
        <f t="shared" si="108"/>
        <v>#DIV/0!</v>
      </c>
      <c r="V375">
        <f t="shared" si="109"/>
        <v>0</v>
      </c>
      <c r="W375" t="e">
        <f t="shared" si="105"/>
        <v>#DIV/0!</v>
      </c>
    </row>
    <row r="376" spans="1:23" x14ac:dyDescent="0.55000000000000004">
      <c r="A376">
        <f t="shared" si="106"/>
        <v>34.200000000000216</v>
      </c>
      <c r="B376">
        <f t="shared" si="110"/>
        <v>0.316</v>
      </c>
      <c r="C376">
        <f t="shared" si="111"/>
        <v>-17.304347826087099</v>
      </c>
      <c r="D376">
        <v>2.4413629877960838</v>
      </c>
      <c r="E376">
        <f t="shared" si="101"/>
        <v>0</v>
      </c>
      <c r="F376">
        <f t="shared" si="112"/>
        <v>4.8605058816845369E-2</v>
      </c>
      <c r="G376">
        <f t="shared" si="113"/>
        <v>39.513748498891111</v>
      </c>
      <c r="H376">
        <f t="shared" si="114"/>
        <v>0</v>
      </c>
      <c r="I376" s="1">
        <f t="shared" si="102"/>
        <v>0</v>
      </c>
      <c r="J376">
        <f t="shared" si="115"/>
        <v>0</v>
      </c>
      <c r="K376">
        <f t="shared" si="103"/>
        <v>0</v>
      </c>
      <c r="L376" cm="1">
        <f t="array" ref="L376">IF(E376*J376=0,0,$C$21*INDEX([3]Sheet1!$C$4:$Q$23,MATCH(K376,[3]Sheet1!$B$4:$B$23,1),MATCH(D376,[3]Sheet1!$C$3:$Q$3,1))
+(K376-INDEX([3]Sheet1!$B$4:$B$23,MATCH(K376,[3]Sheet1!$B$4:$B$23,1),1))/(INDEX([3]Sheet1!$B$4:$B$23,MATCH(K376,[3]Sheet1!$B$4:$B$23,1)+1,1)-INDEX([3]Sheet1!$B$4:$B$23,
MATCH(K376,[3]Sheet1!$B$4:$B$23,1),1))*(INDEX([3]Sheet1!$C$4:$Q$23,MATCH(K376,[3]Sheet1!$B$4:$B$23,1)+1,MATCH(D376,[3]Sheet1!$C$3:$Q$3,1))-INDEX([3]Sheet1!$C$4:$Q$23,
MATCH(K376,[3]Sheet1!$B$4:$B$23,1),MATCH(D376,[3]Sheet1!$C$3:$Q$3,1)))
+(D376-INDEX([3]Sheet1!$C$3:$Q$3,1,MATCH(D376,[3]Sheet1!$C$3:$Q$3)))/(INDEX([3]Sheet1!$C$3:$Q$3,1,MATCH(D376,[3]Sheet1!$C$3:$Q$3)+1)-INDEX([3]Sheet1!$C$3:$Q$3,1,MATCH(
D376,[3]Sheet1!$C$3:$Q$3)))*(INDEX([3]Sheet1!$C$4:$Q$23,MATCH(K376,[3]Sheet1!$B$4:$B$23,1),MATCH(D376,[3]Sheet1!$C$3:$Q$3,1)+1)-INDEX([3]Sheet1!$C$4:$Q$23,MATCH(K376,[3]Sheet1!$B$4:$B$23,1),MATCH(D376,[3]Sheet1!$C$3:$Q$3,1))))</f>
        <v>0</v>
      </c>
      <c r="M376" cm="1">
        <f t="array" ref="M376" xml:space="preserve"> IF(E376*J376=0,0,(INDEX([2]Sheet1!$C$4:$Q$23,MATCH(K376,[2]Sheet1!$B$4:$B$23,1),MATCH(D376,[2]Sheet1!$C$3:$Q$3,1))
+ (K376 - INDEX([2]Sheet1!$B$4:$B$23,MATCH(K376,[2]Sheet1!$B$4:$B$23,1),1))/(INDEX([2]Sheet1!$B$4:$B$23,MATCH(K376,[2]Sheet1!$B$4:$B$23,1)+1,1) - INDEX([2]Sheet1!$B$4:$B$23,MATCH(K376,[2]Sheet1!$B$4:$B$23,1),1))*(INDEX([2]Sheet1!$C$4:$Q$23,MATCH(K376,[2]Sheet1!$B$4:$B$23,1)+1,MATCH(D376,[2]Sheet1!$C$3:$Q$3,1)) - INDEX([2]Sheet1!$C$4:$Q$23,MATCH(K376,[2]Sheet1!$B$4:$B$23,1),MATCH(D376,[2]Sheet1!$C$3:$Q$3,1)))
+ (D376 - INDEX([2]Sheet1!$C$3:$Q$3,1,MATCH(D376,[2]Sheet1!$C$3:$Q$3)))/(INDEX([2]Sheet1!$C$3:$Q$3,1,MATCH(D376,[2]Sheet1!$C$3:$Q$3)+1) - INDEX([2]Sheet1!$C$3:$Q$3,1,MATCH(D376,[2]Sheet1!$C$3:$Q$3)))*(
INDEX([2]Sheet1!$C$4:$Q$23,MATCH(K376,[2]Sheet1!$B$4:$B$23,1),MATCH(D376,[2]Sheet1!$C$3:$Q$3,1)+1) - INDEX([2]Sheet1!$C$4:$Q$23,MATCH(K376,[2]Sheet1!$B$4:$B$23,1),MATCH(D376,[2]Sheet1!$C$3:$Q$3,1)))))</f>
        <v>0</v>
      </c>
      <c r="N376">
        <f t="shared" si="116"/>
        <v>12</v>
      </c>
      <c r="O376">
        <v>8.8062746953929683E-2</v>
      </c>
      <c r="P376" t="e">
        <f t="shared" si="117"/>
        <v>#DIV/0!</v>
      </c>
      <c r="Q376">
        <f t="shared" si="104"/>
        <v>0</v>
      </c>
      <c r="R376">
        <f t="shared" si="118"/>
        <v>741.9099431943954</v>
      </c>
      <c r="T376" t="e">
        <f t="shared" si="107"/>
        <v>#DIV/0!</v>
      </c>
      <c r="U376" t="e">
        <f t="shared" si="108"/>
        <v>#DIV/0!</v>
      </c>
      <c r="V376">
        <f t="shared" si="109"/>
        <v>0</v>
      </c>
      <c r="W376" t="e">
        <f t="shared" si="105"/>
        <v>#DIV/0!</v>
      </c>
    </row>
    <row r="377" spans="1:23" x14ac:dyDescent="0.55000000000000004">
      <c r="A377">
        <f t="shared" si="106"/>
        <v>34.300000000000217</v>
      </c>
      <c r="B377">
        <f t="shared" si="110"/>
        <v>0.316</v>
      </c>
      <c r="C377">
        <f t="shared" si="111"/>
        <v>-17.36956521739145</v>
      </c>
      <c r="D377">
        <v>2.4412679422089885</v>
      </c>
      <c r="E377">
        <f t="shared" si="101"/>
        <v>0</v>
      </c>
      <c r="F377">
        <f t="shared" si="112"/>
        <v>4.8605058816845369E-2</v>
      </c>
      <c r="G377">
        <f t="shared" si="113"/>
        <v>39.513748498891111</v>
      </c>
      <c r="H377">
        <f t="shared" si="114"/>
        <v>0</v>
      </c>
      <c r="I377" s="1">
        <f t="shared" si="102"/>
        <v>0</v>
      </c>
      <c r="J377">
        <f t="shared" si="115"/>
        <v>0</v>
      </c>
      <c r="K377">
        <f t="shared" si="103"/>
        <v>0</v>
      </c>
      <c r="L377" cm="1">
        <f t="array" ref="L377">IF(E377*J377=0,0,$C$21*INDEX([3]Sheet1!$C$4:$Q$23,MATCH(K377,[3]Sheet1!$B$4:$B$23,1),MATCH(D377,[3]Sheet1!$C$3:$Q$3,1))
+(K377-INDEX([3]Sheet1!$B$4:$B$23,MATCH(K377,[3]Sheet1!$B$4:$B$23,1),1))/(INDEX([3]Sheet1!$B$4:$B$23,MATCH(K377,[3]Sheet1!$B$4:$B$23,1)+1,1)-INDEX([3]Sheet1!$B$4:$B$23,
MATCH(K377,[3]Sheet1!$B$4:$B$23,1),1))*(INDEX([3]Sheet1!$C$4:$Q$23,MATCH(K377,[3]Sheet1!$B$4:$B$23,1)+1,MATCH(D377,[3]Sheet1!$C$3:$Q$3,1))-INDEX([3]Sheet1!$C$4:$Q$23,
MATCH(K377,[3]Sheet1!$B$4:$B$23,1),MATCH(D377,[3]Sheet1!$C$3:$Q$3,1)))
+(D377-INDEX([3]Sheet1!$C$3:$Q$3,1,MATCH(D377,[3]Sheet1!$C$3:$Q$3)))/(INDEX([3]Sheet1!$C$3:$Q$3,1,MATCH(D377,[3]Sheet1!$C$3:$Q$3)+1)-INDEX([3]Sheet1!$C$3:$Q$3,1,MATCH(
D377,[3]Sheet1!$C$3:$Q$3)))*(INDEX([3]Sheet1!$C$4:$Q$23,MATCH(K377,[3]Sheet1!$B$4:$B$23,1),MATCH(D377,[3]Sheet1!$C$3:$Q$3,1)+1)-INDEX([3]Sheet1!$C$4:$Q$23,MATCH(K377,[3]Sheet1!$B$4:$B$23,1),MATCH(D377,[3]Sheet1!$C$3:$Q$3,1))))</f>
        <v>0</v>
      </c>
      <c r="M377" cm="1">
        <f t="array" ref="M377" xml:space="preserve"> IF(E377*J377=0,0,(INDEX([2]Sheet1!$C$4:$Q$23,MATCH(K377,[2]Sheet1!$B$4:$B$23,1),MATCH(D377,[2]Sheet1!$C$3:$Q$3,1))
+ (K377 - INDEX([2]Sheet1!$B$4:$B$23,MATCH(K377,[2]Sheet1!$B$4:$B$23,1),1))/(INDEX([2]Sheet1!$B$4:$B$23,MATCH(K377,[2]Sheet1!$B$4:$B$23,1)+1,1) - INDEX([2]Sheet1!$B$4:$B$23,MATCH(K377,[2]Sheet1!$B$4:$B$23,1),1))*(INDEX([2]Sheet1!$C$4:$Q$23,MATCH(K377,[2]Sheet1!$B$4:$B$23,1)+1,MATCH(D377,[2]Sheet1!$C$3:$Q$3,1)) - INDEX([2]Sheet1!$C$4:$Q$23,MATCH(K377,[2]Sheet1!$B$4:$B$23,1),MATCH(D377,[2]Sheet1!$C$3:$Q$3,1)))
+ (D377 - INDEX([2]Sheet1!$C$3:$Q$3,1,MATCH(D377,[2]Sheet1!$C$3:$Q$3)))/(INDEX([2]Sheet1!$C$3:$Q$3,1,MATCH(D377,[2]Sheet1!$C$3:$Q$3)+1) - INDEX([2]Sheet1!$C$3:$Q$3,1,MATCH(D377,[2]Sheet1!$C$3:$Q$3)))*(
INDEX([2]Sheet1!$C$4:$Q$23,MATCH(K377,[2]Sheet1!$B$4:$B$23,1),MATCH(D377,[2]Sheet1!$C$3:$Q$3,1)+1) - INDEX([2]Sheet1!$C$4:$Q$23,MATCH(K377,[2]Sheet1!$B$4:$B$23,1),MATCH(D377,[2]Sheet1!$C$3:$Q$3,1)))))</f>
        <v>0</v>
      </c>
      <c r="N377">
        <f t="shared" si="116"/>
        <v>12</v>
      </c>
      <c r="O377">
        <v>8.8043680488592443E-2</v>
      </c>
      <c r="P377" t="e">
        <f t="shared" si="117"/>
        <v>#DIV/0!</v>
      </c>
      <c r="Q377">
        <f t="shared" si="104"/>
        <v>0</v>
      </c>
      <c r="R377">
        <f t="shared" si="118"/>
        <v>741.9099431943954</v>
      </c>
      <c r="T377" t="e">
        <f t="shared" si="107"/>
        <v>#DIV/0!</v>
      </c>
      <c r="U377" t="e">
        <f t="shared" si="108"/>
        <v>#DIV/0!</v>
      </c>
      <c r="V377">
        <f t="shared" si="109"/>
        <v>0</v>
      </c>
      <c r="W377" t="e">
        <f t="shared" si="105"/>
        <v>#DIV/0!</v>
      </c>
    </row>
    <row r="378" spans="1:23" x14ac:dyDescent="0.55000000000000004">
      <c r="A378">
        <f t="shared" si="106"/>
        <v>34.400000000000219</v>
      </c>
      <c r="B378">
        <f t="shared" si="110"/>
        <v>0.316</v>
      </c>
      <c r="C378">
        <f t="shared" si="111"/>
        <v>-17.434782608695798</v>
      </c>
      <c r="D378">
        <v>2.4411730636340487</v>
      </c>
      <c r="E378">
        <f t="shared" si="101"/>
        <v>0</v>
      </c>
      <c r="F378">
        <f t="shared" si="112"/>
        <v>4.8605058816845369E-2</v>
      </c>
      <c r="G378">
        <f t="shared" si="113"/>
        <v>39.513748498891111</v>
      </c>
      <c r="H378">
        <f t="shared" si="114"/>
        <v>0</v>
      </c>
      <c r="I378" s="1">
        <f t="shared" si="102"/>
        <v>0</v>
      </c>
      <c r="J378">
        <f t="shared" si="115"/>
        <v>0</v>
      </c>
      <c r="K378">
        <f t="shared" si="103"/>
        <v>0</v>
      </c>
      <c r="L378" cm="1">
        <f t="array" ref="L378">IF(E378*J378=0,0,$C$21*INDEX([3]Sheet1!$C$4:$Q$23,MATCH(K378,[3]Sheet1!$B$4:$B$23,1),MATCH(D378,[3]Sheet1!$C$3:$Q$3,1))
+(K378-INDEX([3]Sheet1!$B$4:$B$23,MATCH(K378,[3]Sheet1!$B$4:$B$23,1),1))/(INDEX([3]Sheet1!$B$4:$B$23,MATCH(K378,[3]Sheet1!$B$4:$B$23,1)+1,1)-INDEX([3]Sheet1!$B$4:$B$23,
MATCH(K378,[3]Sheet1!$B$4:$B$23,1),1))*(INDEX([3]Sheet1!$C$4:$Q$23,MATCH(K378,[3]Sheet1!$B$4:$B$23,1)+1,MATCH(D378,[3]Sheet1!$C$3:$Q$3,1))-INDEX([3]Sheet1!$C$4:$Q$23,
MATCH(K378,[3]Sheet1!$B$4:$B$23,1),MATCH(D378,[3]Sheet1!$C$3:$Q$3,1)))
+(D378-INDEX([3]Sheet1!$C$3:$Q$3,1,MATCH(D378,[3]Sheet1!$C$3:$Q$3)))/(INDEX([3]Sheet1!$C$3:$Q$3,1,MATCH(D378,[3]Sheet1!$C$3:$Q$3)+1)-INDEX([3]Sheet1!$C$3:$Q$3,1,MATCH(
D378,[3]Sheet1!$C$3:$Q$3)))*(INDEX([3]Sheet1!$C$4:$Q$23,MATCH(K378,[3]Sheet1!$B$4:$B$23,1),MATCH(D378,[3]Sheet1!$C$3:$Q$3,1)+1)-INDEX([3]Sheet1!$C$4:$Q$23,MATCH(K378,[3]Sheet1!$B$4:$B$23,1),MATCH(D378,[3]Sheet1!$C$3:$Q$3,1))))</f>
        <v>0</v>
      </c>
      <c r="M378" cm="1">
        <f t="array" ref="M378" xml:space="preserve"> IF(E378*J378=0,0,(INDEX([2]Sheet1!$C$4:$Q$23,MATCH(K378,[2]Sheet1!$B$4:$B$23,1),MATCH(D378,[2]Sheet1!$C$3:$Q$3,1))
+ (K378 - INDEX([2]Sheet1!$B$4:$B$23,MATCH(K378,[2]Sheet1!$B$4:$B$23,1),1))/(INDEX([2]Sheet1!$B$4:$B$23,MATCH(K378,[2]Sheet1!$B$4:$B$23,1)+1,1) - INDEX([2]Sheet1!$B$4:$B$23,MATCH(K378,[2]Sheet1!$B$4:$B$23,1),1))*(INDEX([2]Sheet1!$C$4:$Q$23,MATCH(K378,[2]Sheet1!$B$4:$B$23,1)+1,MATCH(D378,[2]Sheet1!$C$3:$Q$3,1)) - INDEX([2]Sheet1!$C$4:$Q$23,MATCH(K378,[2]Sheet1!$B$4:$B$23,1),MATCH(D378,[2]Sheet1!$C$3:$Q$3,1)))
+ (D378 - INDEX([2]Sheet1!$C$3:$Q$3,1,MATCH(D378,[2]Sheet1!$C$3:$Q$3)))/(INDEX([2]Sheet1!$C$3:$Q$3,1,MATCH(D378,[2]Sheet1!$C$3:$Q$3)+1) - INDEX([2]Sheet1!$C$3:$Q$3,1,MATCH(D378,[2]Sheet1!$C$3:$Q$3)))*(
INDEX([2]Sheet1!$C$4:$Q$23,MATCH(K378,[2]Sheet1!$B$4:$B$23,1),MATCH(D378,[2]Sheet1!$C$3:$Q$3,1)+1) - INDEX([2]Sheet1!$C$4:$Q$23,MATCH(K378,[2]Sheet1!$B$4:$B$23,1),MATCH(D378,[2]Sheet1!$C$3:$Q$3,1)))))</f>
        <v>0</v>
      </c>
      <c r="N378">
        <f t="shared" si="116"/>
        <v>12</v>
      </c>
      <c r="O378">
        <v>8.8024652670096057E-2</v>
      </c>
      <c r="P378" t="e">
        <f t="shared" si="117"/>
        <v>#DIV/0!</v>
      </c>
      <c r="Q378">
        <f t="shared" si="104"/>
        <v>0</v>
      </c>
      <c r="R378">
        <f t="shared" si="118"/>
        <v>741.9099431943954</v>
      </c>
      <c r="T378" t="e">
        <f t="shared" si="107"/>
        <v>#DIV/0!</v>
      </c>
      <c r="U378" t="e">
        <f t="shared" si="108"/>
        <v>#DIV/0!</v>
      </c>
      <c r="V378">
        <f t="shared" si="109"/>
        <v>0</v>
      </c>
      <c r="W378" t="e">
        <f t="shared" si="105"/>
        <v>#DIV/0!</v>
      </c>
    </row>
    <row r="379" spans="1:23" x14ac:dyDescent="0.55000000000000004">
      <c r="A379">
        <f t="shared" si="106"/>
        <v>34.50000000000022</v>
      </c>
      <c r="B379">
        <f t="shared" si="110"/>
        <v>0.316</v>
      </c>
      <c r="C379">
        <f t="shared" si="111"/>
        <v>-17.500000000000142</v>
      </c>
      <c r="D379">
        <v>2.4410783514659431</v>
      </c>
      <c r="E379">
        <f t="shared" si="101"/>
        <v>0</v>
      </c>
      <c r="F379">
        <f t="shared" si="112"/>
        <v>4.8605058816845369E-2</v>
      </c>
      <c r="G379">
        <f t="shared" si="113"/>
        <v>39.513748498891111</v>
      </c>
      <c r="H379">
        <f t="shared" si="114"/>
        <v>0</v>
      </c>
      <c r="I379" s="1">
        <f t="shared" si="102"/>
        <v>0</v>
      </c>
      <c r="J379">
        <f t="shared" si="115"/>
        <v>0</v>
      </c>
      <c r="K379">
        <f t="shared" si="103"/>
        <v>0</v>
      </c>
      <c r="L379" cm="1">
        <f t="array" ref="L379">IF(E379*J379=0,0,$C$21*INDEX([3]Sheet1!$C$4:$Q$23,MATCH(K379,[3]Sheet1!$B$4:$B$23,1),MATCH(D379,[3]Sheet1!$C$3:$Q$3,1))
+(K379-INDEX([3]Sheet1!$B$4:$B$23,MATCH(K379,[3]Sheet1!$B$4:$B$23,1),1))/(INDEX([3]Sheet1!$B$4:$B$23,MATCH(K379,[3]Sheet1!$B$4:$B$23,1)+1,1)-INDEX([3]Sheet1!$B$4:$B$23,
MATCH(K379,[3]Sheet1!$B$4:$B$23,1),1))*(INDEX([3]Sheet1!$C$4:$Q$23,MATCH(K379,[3]Sheet1!$B$4:$B$23,1)+1,MATCH(D379,[3]Sheet1!$C$3:$Q$3,1))-INDEX([3]Sheet1!$C$4:$Q$23,
MATCH(K379,[3]Sheet1!$B$4:$B$23,1),MATCH(D379,[3]Sheet1!$C$3:$Q$3,1)))
+(D379-INDEX([3]Sheet1!$C$3:$Q$3,1,MATCH(D379,[3]Sheet1!$C$3:$Q$3)))/(INDEX([3]Sheet1!$C$3:$Q$3,1,MATCH(D379,[3]Sheet1!$C$3:$Q$3)+1)-INDEX([3]Sheet1!$C$3:$Q$3,1,MATCH(
D379,[3]Sheet1!$C$3:$Q$3)))*(INDEX([3]Sheet1!$C$4:$Q$23,MATCH(K379,[3]Sheet1!$B$4:$B$23,1),MATCH(D379,[3]Sheet1!$C$3:$Q$3,1)+1)-INDEX([3]Sheet1!$C$4:$Q$23,MATCH(K379,[3]Sheet1!$B$4:$B$23,1),MATCH(D379,[3]Sheet1!$C$3:$Q$3,1))))</f>
        <v>0</v>
      </c>
      <c r="M379" cm="1">
        <f t="array" ref="M379" xml:space="preserve"> IF(E379*J379=0,0,(INDEX([2]Sheet1!$C$4:$Q$23,MATCH(K379,[2]Sheet1!$B$4:$B$23,1),MATCH(D379,[2]Sheet1!$C$3:$Q$3,1))
+ (K379 - INDEX([2]Sheet1!$B$4:$B$23,MATCH(K379,[2]Sheet1!$B$4:$B$23,1),1))/(INDEX([2]Sheet1!$B$4:$B$23,MATCH(K379,[2]Sheet1!$B$4:$B$23,1)+1,1) - INDEX([2]Sheet1!$B$4:$B$23,MATCH(K379,[2]Sheet1!$B$4:$B$23,1),1))*(INDEX([2]Sheet1!$C$4:$Q$23,MATCH(K379,[2]Sheet1!$B$4:$B$23,1)+1,MATCH(D379,[2]Sheet1!$C$3:$Q$3,1)) - INDEX([2]Sheet1!$C$4:$Q$23,MATCH(K379,[2]Sheet1!$B$4:$B$23,1),MATCH(D379,[2]Sheet1!$C$3:$Q$3,1)))
+ (D379 - INDEX([2]Sheet1!$C$3:$Q$3,1,MATCH(D379,[2]Sheet1!$C$3:$Q$3)))/(INDEX([2]Sheet1!$C$3:$Q$3,1,MATCH(D379,[2]Sheet1!$C$3:$Q$3)+1) - INDEX([2]Sheet1!$C$3:$Q$3,1,MATCH(D379,[2]Sheet1!$C$3:$Q$3)))*(
INDEX([2]Sheet1!$C$4:$Q$23,MATCH(K379,[2]Sheet1!$B$4:$B$23,1),MATCH(D379,[2]Sheet1!$C$3:$Q$3,1)+1) - INDEX([2]Sheet1!$C$4:$Q$23,MATCH(K379,[2]Sheet1!$B$4:$B$23,1),MATCH(D379,[2]Sheet1!$C$3:$Q$3,1)))))</f>
        <v>0</v>
      </c>
      <c r="N379">
        <f t="shared" si="116"/>
        <v>12</v>
      </c>
      <c r="O379">
        <v>8.80044889409477E-2</v>
      </c>
      <c r="P379" t="e">
        <f t="shared" si="117"/>
        <v>#DIV/0!</v>
      </c>
      <c r="Q379">
        <f t="shared" si="104"/>
        <v>0</v>
      </c>
      <c r="R379">
        <f t="shared" si="118"/>
        <v>741.9099431943954</v>
      </c>
      <c r="T379" t="e">
        <f t="shared" si="107"/>
        <v>#DIV/0!</v>
      </c>
      <c r="U379" t="e">
        <f t="shared" si="108"/>
        <v>#DIV/0!</v>
      </c>
      <c r="V379">
        <f t="shared" si="109"/>
        <v>0</v>
      </c>
      <c r="W379" t="e">
        <f t="shared" si="105"/>
        <v>#DIV/0!</v>
      </c>
    </row>
    <row r="380" spans="1:23" x14ac:dyDescent="0.55000000000000004">
      <c r="A380">
        <f t="shared" si="106"/>
        <v>34.600000000000222</v>
      </c>
      <c r="B380">
        <f t="shared" si="110"/>
        <v>0.316</v>
      </c>
      <c r="C380">
        <f t="shared" si="111"/>
        <v>-17.565217391304493</v>
      </c>
      <c r="D380">
        <v>2.440983805102658</v>
      </c>
      <c r="E380">
        <f t="shared" si="101"/>
        <v>0</v>
      </c>
      <c r="F380">
        <f t="shared" si="112"/>
        <v>4.8605058816845369E-2</v>
      </c>
      <c r="G380">
        <f t="shared" si="113"/>
        <v>39.513748498891111</v>
      </c>
      <c r="H380">
        <f t="shared" si="114"/>
        <v>0</v>
      </c>
      <c r="I380" s="1">
        <f t="shared" si="102"/>
        <v>0</v>
      </c>
      <c r="J380">
        <f t="shared" si="115"/>
        <v>0</v>
      </c>
      <c r="K380">
        <f t="shared" si="103"/>
        <v>0</v>
      </c>
      <c r="L380" cm="1">
        <f t="array" ref="L380">IF(E380*J380=0,0,$C$21*INDEX([3]Sheet1!$C$4:$Q$23,MATCH(K380,[3]Sheet1!$B$4:$B$23,1),MATCH(D380,[3]Sheet1!$C$3:$Q$3,1))
+(K380-INDEX([3]Sheet1!$B$4:$B$23,MATCH(K380,[3]Sheet1!$B$4:$B$23,1),1))/(INDEX([3]Sheet1!$B$4:$B$23,MATCH(K380,[3]Sheet1!$B$4:$B$23,1)+1,1)-INDEX([3]Sheet1!$B$4:$B$23,
MATCH(K380,[3]Sheet1!$B$4:$B$23,1),1))*(INDEX([3]Sheet1!$C$4:$Q$23,MATCH(K380,[3]Sheet1!$B$4:$B$23,1)+1,MATCH(D380,[3]Sheet1!$C$3:$Q$3,1))-INDEX([3]Sheet1!$C$4:$Q$23,
MATCH(K380,[3]Sheet1!$B$4:$B$23,1),MATCH(D380,[3]Sheet1!$C$3:$Q$3,1)))
+(D380-INDEX([3]Sheet1!$C$3:$Q$3,1,MATCH(D380,[3]Sheet1!$C$3:$Q$3)))/(INDEX([3]Sheet1!$C$3:$Q$3,1,MATCH(D380,[3]Sheet1!$C$3:$Q$3)+1)-INDEX([3]Sheet1!$C$3:$Q$3,1,MATCH(
D380,[3]Sheet1!$C$3:$Q$3)))*(INDEX([3]Sheet1!$C$4:$Q$23,MATCH(K380,[3]Sheet1!$B$4:$B$23,1),MATCH(D380,[3]Sheet1!$C$3:$Q$3,1)+1)-INDEX([3]Sheet1!$C$4:$Q$23,MATCH(K380,[3]Sheet1!$B$4:$B$23,1),MATCH(D380,[3]Sheet1!$C$3:$Q$3,1))))</f>
        <v>0</v>
      </c>
      <c r="M380" cm="1">
        <f t="array" ref="M380" xml:space="preserve"> IF(E380*J380=0,0,(INDEX([2]Sheet1!$C$4:$Q$23,MATCH(K380,[2]Sheet1!$B$4:$B$23,1),MATCH(D380,[2]Sheet1!$C$3:$Q$3,1))
+ (K380 - INDEX([2]Sheet1!$B$4:$B$23,MATCH(K380,[2]Sheet1!$B$4:$B$23,1),1))/(INDEX([2]Sheet1!$B$4:$B$23,MATCH(K380,[2]Sheet1!$B$4:$B$23,1)+1,1) - INDEX([2]Sheet1!$B$4:$B$23,MATCH(K380,[2]Sheet1!$B$4:$B$23,1),1))*(INDEX([2]Sheet1!$C$4:$Q$23,MATCH(K380,[2]Sheet1!$B$4:$B$23,1)+1,MATCH(D380,[2]Sheet1!$C$3:$Q$3,1)) - INDEX([2]Sheet1!$C$4:$Q$23,MATCH(K380,[2]Sheet1!$B$4:$B$23,1),MATCH(D380,[2]Sheet1!$C$3:$Q$3,1)))
+ (D380 - INDEX([2]Sheet1!$C$3:$Q$3,1,MATCH(D380,[2]Sheet1!$C$3:$Q$3)))/(INDEX([2]Sheet1!$C$3:$Q$3,1,MATCH(D380,[2]Sheet1!$C$3:$Q$3)+1) - INDEX([2]Sheet1!$C$3:$Q$3,1,MATCH(D380,[2]Sheet1!$C$3:$Q$3)))*(
INDEX([2]Sheet1!$C$4:$Q$23,MATCH(K380,[2]Sheet1!$B$4:$B$23,1),MATCH(D380,[2]Sheet1!$C$3:$Q$3,1)+1) - INDEX([2]Sheet1!$C$4:$Q$23,MATCH(K380,[2]Sheet1!$B$4:$B$23,1),MATCH(D380,[2]Sheet1!$C$3:$Q$3,1)))))</f>
        <v>0</v>
      </c>
      <c r="N380">
        <f t="shared" si="116"/>
        <v>12</v>
      </c>
      <c r="O380">
        <v>8.7985490210386763E-2</v>
      </c>
      <c r="P380" t="e">
        <f t="shared" si="117"/>
        <v>#DIV/0!</v>
      </c>
      <c r="Q380">
        <f t="shared" si="104"/>
        <v>0</v>
      </c>
      <c r="R380">
        <f t="shared" si="118"/>
        <v>741.9099431943954</v>
      </c>
      <c r="T380" t="e">
        <f t="shared" si="107"/>
        <v>#DIV/0!</v>
      </c>
      <c r="U380" t="e">
        <f t="shared" si="108"/>
        <v>#DIV/0!</v>
      </c>
      <c r="V380">
        <f t="shared" si="109"/>
        <v>0</v>
      </c>
      <c r="W380" t="e">
        <f t="shared" si="105"/>
        <v>#DIV/0!</v>
      </c>
    </row>
    <row r="381" spans="1:23" x14ac:dyDescent="0.55000000000000004">
      <c r="A381">
        <f t="shared" si="106"/>
        <v>34.700000000000223</v>
      </c>
      <c r="B381">
        <f t="shared" si="110"/>
        <v>0.316</v>
      </c>
      <c r="C381">
        <f t="shared" si="111"/>
        <v>-17.630434782608845</v>
      </c>
      <c r="D381">
        <v>2.4408894239454626</v>
      </c>
      <c r="E381">
        <f t="shared" si="101"/>
        <v>0</v>
      </c>
      <c r="F381">
        <f t="shared" si="112"/>
        <v>4.8605058816845369E-2</v>
      </c>
      <c r="G381">
        <f t="shared" si="113"/>
        <v>39.513748498891111</v>
      </c>
      <c r="H381">
        <f t="shared" si="114"/>
        <v>0</v>
      </c>
      <c r="I381" s="1">
        <f t="shared" si="102"/>
        <v>0</v>
      </c>
      <c r="J381">
        <f t="shared" si="115"/>
        <v>0</v>
      </c>
      <c r="K381">
        <f t="shared" si="103"/>
        <v>0</v>
      </c>
      <c r="L381" cm="1">
        <f t="array" ref="L381">IF(E381*J381=0,0,$C$21*INDEX([3]Sheet1!$C$4:$Q$23,MATCH(K381,[3]Sheet1!$B$4:$B$23,1),MATCH(D381,[3]Sheet1!$C$3:$Q$3,1))
+(K381-INDEX([3]Sheet1!$B$4:$B$23,MATCH(K381,[3]Sheet1!$B$4:$B$23,1),1))/(INDEX([3]Sheet1!$B$4:$B$23,MATCH(K381,[3]Sheet1!$B$4:$B$23,1)+1,1)-INDEX([3]Sheet1!$B$4:$B$23,
MATCH(K381,[3]Sheet1!$B$4:$B$23,1),1))*(INDEX([3]Sheet1!$C$4:$Q$23,MATCH(K381,[3]Sheet1!$B$4:$B$23,1)+1,MATCH(D381,[3]Sheet1!$C$3:$Q$3,1))-INDEX([3]Sheet1!$C$4:$Q$23,
MATCH(K381,[3]Sheet1!$B$4:$B$23,1),MATCH(D381,[3]Sheet1!$C$3:$Q$3,1)))
+(D381-INDEX([3]Sheet1!$C$3:$Q$3,1,MATCH(D381,[3]Sheet1!$C$3:$Q$3)))/(INDEX([3]Sheet1!$C$3:$Q$3,1,MATCH(D381,[3]Sheet1!$C$3:$Q$3)+1)-INDEX([3]Sheet1!$C$3:$Q$3,1,MATCH(
D381,[3]Sheet1!$C$3:$Q$3)))*(INDEX([3]Sheet1!$C$4:$Q$23,MATCH(K381,[3]Sheet1!$B$4:$B$23,1),MATCH(D381,[3]Sheet1!$C$3:$Q$3,1)+1)-INDEX([3]Sheet1!$C$4:$Q$23,MATCH(K381,[3]Sheet1!$B$4:$B$23,1),MATCH(D381,[3]Sheet1!$C$3:$Q$3,1))))</f>
        <v>0</v>
      </c>
      <c r="M381" cm="1">
        <f t="array" ref="M381" xml:space="preserve"> IF(E381*J381=0,0,(INDEX([2]Sheet1!$C$4:$Q$23,MATCH(K381,[2]Sheet1!$B$4:$B$23,1),MATCH(D381,[2]Sheet1!$C$3:$Q$3,1))
+ (K381 - INDEX([2]Sheet1!$B$4:$B$23,MATCH(K381,[2]Sheet1!$B$4:$B$23,1),1))/(INDEX([2]Sheet1!$B$4:$B$23,MATCH(K381,[2]Sheet1!$B$4:$B$23,1)+1,1) - INDEX([2]Sheet1!$B$4:$B$23,MATCH(K381,[2]Sheet1!$B$4:$B$23,1),1))*(INDEX([2]Sheet1!$C$4:$Q$23,MATCH(K381,[2]Sheet1!$B$4:$B$23,1)+1,MATCH(D381,[2]Sheet1!$C$3:$Q$3,1)) - INDEX([2]Sheet1!$C$4:$Q$23,MATCH(K381,[2]Sheet1!$B$4:$B$23,1),MATCH(D381,[2]Sheet1!$C$3:$Q$3,1)))
+ (D381 - INDEX([2]Sheet1!$C$3:$Q$3,1,MATCH(D381,[2]Sheet1!$C$3:$Q$3)))/(INDEX([2]Sheet1!$C$3:$Q$3,1,MATCH(D381,[2]Sheet1!$C$3:$Q$3)+1) - INDEX([2]Sheet1!$C$3:$Q$3,1,MATCH(D381,[2]Sheet1!$C$3:$Q$3)))*(
INDEX([2]Sheet1!$C$4:$Q$23,MATCH(K381,[2]Sheet1!$B$4:$B$23,1),MATCH(D381,[2]Sheet1!$C$3:$Q$3,1)+1) - INDEX([2]Sheet1!$C$4:$Q$23,MATCH(K381,[2]Sheet1!$B$4:$B$23,1),MATCH(D381,[2]Sheet1!$C$3:$Q$3,1)))))</f>
        <v>0</v>
      </c>
      <c r="N381">
        <f t="shared" si="116"/>
        <v>12</v>
      </c>
      <c r="O381">
        <v>8.7966528745030442E-2</v>
      </c>
      <c r="P381" t="e">
        <f t="shared" si="117"/>
        <v>#DIV/0!</v>
      </c>
      <c r="Q381">
        <f t="shared" si="104"/>
        <v>0</v>
      </c>
      <c r="R381">
        <f t="shared" si="118"/>
        <v>741.9099431943954</v>
      </c>
      <c r="T381" t="e">
        <f t="shared" si="107"/>
        <v>#DIV/0!</v>
      </c>
      <c r="U381" t="e">
        <f t="shared" si="108"/>
        <v>#DIV/0!</v>
      </c>
      <c r="V381">
        <f t="shared" si="109"/>
        <v>0</v>
      </c>
      <c r="W381" t="e">
        <f t="shared" si="105"/>
        <v>#DIV/0!</v>
      </c>
    </row>
    <row r="382" spans="1:23" x14ac:dyDescent="0.55000000000000004">
      <c r="A382">
        <f t="shared" si="106"/>
        <v>34.800000000000225</v>
      </c>
      <c r="B382">
        <f t="shared" si="110"/>
        <v>0.316</v>
      </c>
      <c r="C382">
        <f t="shared" si="111"/>
        <v>-17.695652173913192</v>
      </c>
      <c r="D382">
        <v>2.4407952073988817</v>
      </c>
      <c r="E382">
        <f t="shared" si="101"/>
        <v>0</v>
      </c>
      <c r="F382">
        <f t="shared" si="112"/>
        <v>4.8605058816845369E-2</v>
      </c>
      <c r="G382">
        <f t="shared" si="113"/>
        <v>39.513748498891111</v>
      </c>
      <c r="H382">
        <f t="shared" si="114"/>
        <v>0</v>
      </c>
      <c r="I382" s="1">
        <f t="shared" si="102"/>
        <v>0</v>
      </c>
      <c r="J382">
        <f t="shared" si="115"/>
        <v>0</v>
      </c>
      <c r="K382">
        <f t="shared" si="103"/>
        <v>0</v>
      </c>
      <c r="L382" cm="1">
        <f t="array" ref="L382">IF(E382*J382=0,0,$C$21*INDEX([3]Sheet1!$C$4:$Q$23,MATCH(K382,[3]Sheet1!$B$4:$B$23,1),MATCH(D382,[3]Sheet1!$C$3:$Q$3,1))
+(K382-INDEX([3]Sheet1!$B$4:$B$23,MATCH(K382,[3]Sheet1!$B$4:$B$23,1),1))/(INDEX([3]Sheet1!$B$4:$B$23,MATCH(K382,[3]Sheet1!$B$4:$B$23,1)+1,1)-INDEX([3]Sheet1!$B$4:$B$23,
MATCH(K382,[3]Sheet1!$B$4:$B$23,1),1))*(INDEX([3]Sheet1!$C$4:$Q$23,MATCH(K382,[3]Sheet1!$B$4:$B$23,1)+1,MATCH(D382,[3]Sheet1!$C$3:$Q$3,1))-INDEX([3]Sheet1!$C$4:$Q$23,
MATCH(K382,[3]Sheet1!$B$4:$B$23,1),MATCH(D382,[3]Sheet1!$C$3:$Q$3,1)))
+(D382-INDEX([3]Sheet1!$C$3:$Q$3,1,MATCH(D382,[3]Sheet1!$C$3:$Q$3)))/(INDEX([3]Sheet1!$C$3:$Q$3,1,MATCH(D382,[3]Sheet1!$C$3:$Q$3)+1)-INDEX([3]Sheet1!$C$3:$Q$3,1,MATCH(
D382,[3]Sheet1!$C$3:$Q$3)))*(INDEX([3]Sheet1!$C$4:$Q$23,MATCH(K382,[3]Sheet1!$B$4:$B$23,1),MATCH(D382,[3]Sheet1!$C$3:$Q$3,1)+1)-INDEX([3]Sheet1!$C$4:$Q$23,MATCH(K382,[3]Sheet1!$B$4:$B$23,1),MATCH(D382,[3]Sheet1!$C$3:$Q$3,1))))</f>
        <v>0</v>
      </c>
      <c r="M382" cm="1">
        <f t="array" ref="M382" xml:space="preserve"> IF(E382*J382=0,0,(INDEX([2]Sheet1!$C$4:$Q$23,MATCH(K382,[2]Sheet1!$B$4:$B$23,1),MATCH(D382,[2]Sheet1!$C$3:$Q$3,1))
+ (K382 - INDEX([2]Sheet1!$B$4:$B$23,MATCH(K382,[2]Sheet1!$B$4:$B$23,1),1))/(INDEX([2]Sheet1!$B$4:$B$23,MATCH(K382,[2]Sheet1!$B$4:$B$23,1)+1,1) - INDEX([2]Sheet1!$B$4:$B$23,MATCH(K382,[2]Sheet1!$B$4:$B$23,1),1))*(INDEX([2]Sheet1!$C$4:$Q$23,MATCH(K382,[2]Sheet1!$B$4:$B$23,1)+1,MATCH(D382,[2]Sheet1!$C$3:$Q$3,1)) - INDEX([2]Sheet1!$C$4:$Q$23,MATCH(K382,[2]Sheet1!$B$4:$B$23,1),MATCH(D382,[2]Sheet1!$C$3:$Q$3,1)))
+ (D382 - INDEX([2]Sheet1!$C$3:$Q$3,1,MATCH(D382,[2]Sheet1!$C$3:$Q$3)))/(INDEX([2]Sheet1!$C$3:$Q$3,1,MATCH(D382,[2]Sheet1!$C$3:$Q$3)+1) - INDEX([2]Sheet1!$C$3:$Q$3,1,MATCH(D382,[2]Sheet1!$C$3:$Q$3)))*(
INDEX([2]Sheet1!$C$4:$Q$23,MATCH(K382,[2]Sheet1!$B$4:$B$23,1),MATCH(D382,[2]Sheet1!$C$3:$Q$3,1)+1) - INDEX([2]Sheet1!$C$4:$Q$23,MATCH(K382,[2]Sheet1!$B$4:$B$23,1),MATCH(D382,[2]Sheet1!$C$3:$Q$3,1)))))</f>
        <v>0</v>
      </c>
      <c r="N382">
        <f t="shared" si="116"/>
        <v>12</v>
      </c>
      <c r="O382">
        <v>8.7947604403191187E-2</v>
      </c>
      <c r="P382" t="e">
        <f t="shared" si="117"/>
        <v>#DIV/0!</v>
      </c>
      <c r="Q382">
        <f t="shared" si="104"/>
        <v>0</v>
      </c>
      <c r="R382">
        <f t="shared" si="118"/>
        <v>741.9099431943954</v>
      </c>
      <c r="T382" t="e">
        <f t="shared" si="107"/>
        <v>#DIV/0!</v>
      </c>
      <c r="U382" t="e">
        <f t="shared" si="108"/>
        <v>#DIV/0!</v>
      </c>
      <c r="V382">
        <f t="shared" si="109"/>
        <v>0</v>
      </c>
      <c r="W382" t="e">
        <f t="shared" si="105"/>
        <v>#DIV/0!</v>
      </c>
    </row>
    <row r="383" spans="1:23" x14ac:dyDescent="0.55000000000000004">
      <c r="A383">
        <f t="shared" si="106"/>
        <v>34.900000000000226</v>
      </c>
      <c r="B383">
        <f t="shared" si="110"/>
        <v>0.316</v>
      </c>
      <c r="C383">
        <f t="shared" si="111"/>
        <v>-17.76086956521754</v>
      </c>
      <c r="D383">
        <v>2.4407011548706774</v>
      </c>
      <c r="E383">
        <f t="shared" si="101"/>
        <v>0</v>
      </c>
      <c r="F383">
        <f t="shared" si="112"/>
        <v>4.8605058816845369E-2</v>
      </c>
      <c r="G383">
        <f t="shared" si="113"/>
        <v>39.513748498891111</v>
      </c>
      <c r="H383">
        <f t="shared" si="114"/>
        <v>0</v>
      </c>
      <c r="I383" s="1">
        <f t="shared" si="102"/>
        <v>0</v>
      </c>
      <c r="J383">
        <f t="shared" si="115"/>
        <v>0</v>
      </c>
      <c r="K383">
        <f t="shared" si="103"/>
        <v>0</v>
      </c>
      <c r="L383" cm="1">
        <f t="array" ref="L383">IF(E383*J383=0,0,$C$21*INDEX([3]Sheet1!$C$4:$Q$23,MATCH(K383,[3]Sheet1!$B$4:$B$23,1),MATCH(D383,[3]Sheet1!$C$3:$Q$3,1))
+(K383-INDEX([3]Sheet1!$B$4:$B$23,MATCH(K383,[3]Sheet1!$B$4:$B$23,1),1))/(INDEX([3]Sheet1!$B$4:$B$23,MATCH(K383,[3]Sheet1!$B$4:$B$23,1)+1,1)-INDEX([3]Sheet1!$B$4:$B$23,
MATCH(K383,[3]Sheet1!$B$4:$B$23,1),1))*(INDEX([3]Sheet1!$C$4:$Q$23,MATCH(K383,[3]Sheet1!$B$4:$B$23,1)+1,MATCH(D383,[3]Sheet1!$C$3:$Q$3,1))-INDEX([3]Sheet1!$C$4:$Q$23,
MATCH(K383,[3]Sheet1!$B$4:$B$23,1),MATCH(D383,[3]Sheet1!$C$3:$Q$3,1)))
+(D383-INDEX([3]Sheet1!$C$3:$Q$3,1,MATCH(D383,[3]Sheet1!$C$3:$Q$3)))/(INDEX([3]Sheet1!$C$3:$Q$3,1,MATCH(D383,[3]Sheet1!$C$3:$Q$3)+1)-INDEX([3]Sheet1!$C$3:$Q$3,1,MATCH(
D383,[3]Sheet1!$C$3:$Q$3)))*(INDEX([3]Sheet1!$C$4:$Q$23,MATCH(K383,[3]Sheet1!$B$4:$B$23,1),MATCH(D383,[3]Sheet1!$C$3:$Q$3,1)+1)-INDEX([3]Sheet1!$C$4:$Q$23,MATCH(K383,[3]Sheet1!$B$4:$B$23,1),MATCH(D383,[3]Sheet1!$C$3:$Q$3,1))))</f>
        <v>0</v>
      </c>
      <c r="M383" cm="1">
        <f t="array" ref="M383" xml:space="preserve"> IF(E383*J383=0,0,(INDEX([2]Sheet1!$C$4:$Q$23,MATCH(K383,[2]Sheet1!$B$4:$B$23,1),MATCH(D383,[2]Sheet1!$C$3:$Q$3,1))
+ (K383 - INDEX([2]Sheet1!$B$4:$B$23,MATCH(K383,[2]Sheet1!$B$4:$B$23,1),1))/(INDEX([2]Sheet1!$B$4:$B$23,MATCH(K383,[2]Sheet1!$B$4:$B$23,1)+1,1) - INDEX([2]Sheet1!$B$4:$B$23,MATCH(K383,[2]Sheet1!$B$4:$B$23,1),1))*(INDEX([2]Sheet1!$C$4:$Q$23,MATCH(K383,[2]Sheet1!$B$4:$B$23,1)+1,MATCH(D383,[2]Sheet1!$C$3:$Q$3,1)) - INDEX([2]Sheet1!$C$4:$Q$23,MATCH(K383,[2]Sheet1!$B$4:$B$23,1),MATCH(D383,[2]Sheet1!$C$3:$Q$3,1)))
+ (D383 - INDEX([2]Sheet1!$C$3:$Q$3,1,MATCH(D383,[2]Sheet1!$C$3:$Q$3)))/(INDEX([2]Sheet1!$C$3:$Q$3,1,MATCH(D383,[2]Sheet1!$C$3:$Q$3)+1) - INDEX([2]Sheet1!$C$3:$Q$3,1,MATCH(D383,[2]Sheet1!$C$3:$Q$3)))*(
INDEX([2]Sheet1!$C$4:$Q$23,MATCH(K383,[2]Sheet1!$B$4:$B$23,1),MATCH(D383,[2]Sheet1!$C$3:$Q$3,1)+1) - INDEX([2]Sheet1!$C$4:$Q$23,MATCH(K383,[2]Sheet1!$B$4:$B$23,1),MATCH(D383,[2]Sheet1!$C$3:$Q$3,1)))))</f>
        <v>0</v>
      </c>
      <c r="N383">
        <f t="shared" si="116"/>
        <v>12</v>
      </c>
      <c r="O383">
        <v>8.7928717043980364E-2</v>
      </c>
      <c r="P383" t="e">
        <f t="shared" si="117"/>
        <v>#DIV/0!</v>
      </c>
      <c r="Q383">
        <f t="shared" si="104"/>
        <v>0</v>
      </c>
      <c r="R383">
        <f t="shared" si="118"/>
        <v>741.9099431943954</v>
      </c>
      <c r="T383" t="e">
        <f t="shared" si="107"/>
        <v>#DIV/0!</v>
      </c>
      <c r="U383" t="e">
        <f t="shared" si="108"/>
        <v>#DIV/0!</v>
      </c>
      <c r="V383">
        <f t="shared" si="109"/>
        <v>0</v>
      </c>
      <c r="W383" t="e">
        <f t="shared" si="105"/>
        <v>#DIV/0!</v>
      </c>
    </row>
    <row r="384" spans="1:23" x14ac:dyDescent="0.55000000000000004">
      <c r="A384">
        <f t="shared" si="106"/>
        <v>35.000000000000227</v>
      </c>
      <c r="B384">
        <f t="shared" si="110"/>
        <v>0.316</v>
      </c>
      <c r="C384">
        <f t="shared" si="111"/>
        <v>-17.826086956521888</v>
      </c>
      <c r="D384">
        <v>2.4406072657718205</v>
      </c>
      <c r="E384">
        <f t="shared" si="101"/>
        <v>0</v>
      </c>
      <c r="F384">
        <f t="shared" si="112"/>
        <v>4.8605058816845369E-2</v>
      </c>
      <c r="G384">
        <f t="shared" si="113"/>
        <v>39.513748498891111</v>
      </c>
      <c r="H384">
        <f t="shared" si="114"/>
        <v>0</v>
      </c>
      <c r="I384" s="1">
        <f t="shared" si="102"/>
        <v>0</v>
      </c>
      <c r="J384">
        <f t="shared" si="115"/>
        <v>0</v>
      </c>
      <c r="K384">
        <f t="shared" si="103"/>
        <v>0</v>
      </c>
      <c r="L384" cm="1">
        <f t="array" ref="L384">IF(E384*J384=0,0,$C$21*INDEX([3]Sheet1!$C$4:$Q$23,MATCH(K384,[3]Sheet1!$B$4:$B$23,1),MATCH(D384,[3]Sheet1!$C$3:$Q$3,1))
+(K384-INDEX([3]Sheet1!$B$4:$B$23,MATCH(K384,[3]Sheet1!$B$4:$B$23,1),1))/(INDEX([3]Sheet1!$B$4:$B$23,MATCH(K384,[3]Sheet1!$B$4:$B$23,1)+1,1)-INDEX([3]Sheet1!$B$4:$B$23,
MATCH(K384,[3]Sheet1!$B$4:$B$23,1),1))*(INDEX([3]Sheet1!$C$4:$Q$23,MATCH(K384,[3]Sheet1!$B$4:$B$23,1)+1,MATCH(D384,[3]Sheet1!$C$3:$Q$3,1))-INDEX([3]Sheet1!$C$4:$Q$23,
MATCH(K384,[3]Sheet1!$B$4:$B$23,1),MATCH(D384,[3]Sheet1!$C$3:$Q$3,1)))
+(D384-INDEX([3]Sheet1!$C$3:$Q$3,1,MATCH(D384,[3]Sheet1!$C$3:$Q$3)))/(INDEX([3]Sheet1!$C$3:$Q$3,1,MATCH(D384,[3]Sheet1!$C$3:$Q$3)+1)-INDEX([3]Sheet1!$C$3:$Q$3,1,MATCH(
D384,[3]Sheet1!$C$3:$Q$3)))*(INDEX([3]Sheet1!$C$4:$Q$23,MATCH(K384,[3]Sheet1!$B$4:$B$23,1),MATCH(D384,[3]Sheet1!$C$3:$Q$3,1)+1)-INDEX([3]Sheet1!$C$4:$Q$23,MATCH(K384,[3]Sheet1!$B$4:$B$23,1),MATCH(D384,[3]Sheet1!$C$3:$Q$3,1))))</f>
        <v>0</v>
      </c>
      <c r="M384" cm="1">
        <f t="array" ref="M384" xml:space="preserve"> IF(E384*J384=0,0,(INDEX([2]Sheet1!$C$4:$Q$23,MATCH(K384,[2]Sheet1!$B$4:$B$23,1),MATCH(D384,[2]Sheet1!$C$3:$Q$3,1))
+ (K384 - INDEX([2]Sheet1!$B$4:$B$23,MATCH(K384,[2]Sheet1!$B$4:$B$23,1),1))/(INDEX([2]Sheet1!$B$4:$B$23,MATCH(K384,[2]Sheet1!$B$4:$B$23,1)+1,1) - INDEX([2]Sheet1!$B$4:$B$23,MATCH(K384,[2]Sheet1!$B$4:$B$23,1),1))*(INDEX([2]Sheet1!$C$4:$Q$23,MATCH(K384,[2]Sheet1!$B$4:$B$23,1)+1,MATCH(D384,[2]Sheet1!$C$3:$Q$3,1)) - INDEX([2]Sheet1!$C$4:$Q$23,MATCH(K384,[2]Sheet1!$B$4:$B$23,1),MATCH(D384,[2]Sheet1!$C$3:$Q$3,1)))
+ (D384 - INDEX([2]Sheet1!$C$3:$Q$3,1,MATCH(D384,[2]Sheet1!$C$3:$Q$3)))/(INDEX([2]Sheet1!$C$3:$Q$3,1,MATCH(D384,[2]Sheet1!$C$3:$Q$3)+1) - INDEX([2]Sheet1!$C$3:$Q$3,1,MATCH(D384,[2]Sheet1!$C$3:$Q$3)))*(
INDEX([2]Sheet1!$C$4:$Q$23,MATCH(K384,[2]Sheet1!$B$4:$B$23,1),MATCH(D384,[2]Sheet1!$C$3:$Q$3,1)+1) - INDEX([2]Sheet1!$C$4:$Q$23,MATCH(K384,[2]Sheet1!$B$4:$B$23,1),MATCH(D384,[2]Sheet1!$C$3:$Q$3,1)))))</f>
        <v>0</v>
      </c>
      <c r="N384">
        <f t="shared" si="116"/>
        <v>12</v>
      </c>
      <c r="O384">
        <v>8.7909866527300609E-2</v>
      </c>
      <c r="P384" t="e">
        <f t="shared" si="117"/>
        <v>#DIV/0!</v>
      </c>
      <c r="Q384">
        <f t="shared" si="104"/>
        <v>0</v>
      </c>
      <c r="R384">
        <f t="shared" si="118"/>
        <v>741.9099431943954</v>
      </c>
      <c r="T384" t="e">
        <f t="shared" si="107"/>
        <v>#DIV/0!</v>
      </c>
      <c r="U384" t="e">
        <f t="shared" si="108"/>
        <v>#DIV/0!</v>
      </c>
      <c r="V384">
        <f t="shared" si="109"/>
        <v>0</v>
      </c>
      <c r="W384" t="e">
        <f t="shared" si="105"/>
        <v>#DIV/0!</v>
      </c>
    </row>
    <row r="385" spans="1:23" x14ac:dyDescent="0.55000000000000004">
      <c r="A385">
        <f t="shared" si="106"/>
        <v>35.100000000000229</v>
      </c>
      <c r="B385">
        <f t="shared" si="110"/>
        <v>0.316</v>
      </c>
      <c r="C385">
        <f t="shared" si="111"/>
        <v>-17.891304347826239</v>
      </c>
      <c r="D385">
        <v>2.4405135395164721</v>
      </c>
      <c r="E385">
        <f t="shared" si="101"/>
        <v>0</v>
      </c>
      <c r="F385">
        <f t="shared" si="112"/>
        <v>4.8605058816845369E-2</v>
      </c>
      <c r="G385">
        <f t="shared" si="113"/>
        <v>39.513748498891111</v>
      </c>
      <c r="H385">
        <f t="shared" si="114"/>
        <v>0</v>
      </c>
      <c r="I385" s="1">
        <f t="shared" si="102"/>
        <v>0</v>
      </c>
      <c r="J385">
        <f t="shared" si="115"/>
        <v>0</v>
      </c>
      <c r="K385">
        <f t="shared" si="103"/>
        <v>0</v>
      </c>
      <c r="L385" cm="1">
        <f t="array" ref="L385">IF(E385*J385=0,0,$C$21*INDEX([3]Sheet1!$C$4:$Q$23,MATCH(K385,[3]Sheet1!$B$4:$B$23,1),MATCH(D385,[3]Sheet1!$C$3:$Q$3,1))
+(K385-INDEX([3]Sheet1!$B$4:$B$23,MATCH(K385,[3]Sheet1!$B$4:$B$23,1),1))/(INDEX([3]Sheet1!$B$4:$B$23,MATCH(K385,[3]Sheet1!$B$4:$B$23,1)+1,1)-INDEX([3]Sheet1!$B$4:$B$23,
MATCH(K385,[3]Sheet1!$B$4:$B$23,1),1))*(INDEX([3]Sheet1!$C$4:$Q$23,MATCH(K385,[3]Sheet1!$B$4:$B$23,1)+1,MATCH(D385,[3]Sheet1!$C$3:$Q$3,1))-INDEX([3]Sheet1!$C$4:$Q$23,
MATCH(K385,[3]Sheet1!$B$4:$B$23,1),MATCH(D385,[3]Sheet1!$C$3:$Q$3,1)))
+(D385-INDEX([3]Sheet1!$C$3:$Q$3,1,MATCH(D385,[3]Sheet1!$C$3:$Q$3)))/(INDEX([3]Sheet1!$C$3:$Q$3,1,MATCH(D385,[3]Sheet1!$C$3:$Q$3)+1)-INDEX([3]Sheet1!$C$3:$Q$3,1,MATCH(
D385,[3]Sheet1!$C$3:$Q$3)))*(INDEX([3]Sheet1!$C$4:$Q$23,MATCH(K385,[3]Sheet1!$B$4:$B$23,1),MATCH(D385,[3]Sheet1!$C$3:$Q$3,1)+1)-INDEX([3]Sheet1!$C$4:$Q$23,MATCH(K385,[3]Sheet1!$B$4:$B$23,1),MATCH(D385,[3]Sheet1!$C$3:$Q$3,1))))</f>
        <v>0</v>
      </c>
      <c r="M385" cm="1">
        <f t="array" ref="M385" xml:space="preserve"> IF(E385*J385=0,0,(INDEX([2]Sheet1!$C$4:$Q$23,MATCH(K385,[2]Sheet1!$B$4:$B$23,1),MATCH(D385,[2]Sheet1!$C$3:$Q$3,1))
+ (K385 - INDEX([2]Sheet1!$B$4:$B$23,MATCH(K385,[2]Sheet1!$B$4:$B$23,1),1))/(INDEX([2]Sheet1!$B$4:$B$23,MATCH(K385,[2]Sheet1!$B$4:$B$23,1)+1,1) - INDEX([2]Sheet1!$B$4:$B$23,MATCH(K385,[2]Sheet1!$B$4:$B$23,1),1))*(INDEX([2]Sheet1!$C$4:$Q$23,MATCH(K385,[2]Sheet1!$B$4:$B$23,1)+1,MATCH(D385,[2]Sheet1!$C$3:$Q$3,1)) - INDEX([2]Sheet1!$C$4:$Q$23,MATCH(K385,[2]Sheet1!$B$4:$B$23,1),MATCH(D385,[2]Sheet1!$C$3:$Q$3,1)))
+ (D385 - INDEX([2]Sheet1!$C$3:$Q$3,1,MATCH(D385,[2]Sheet1!$C$3:$Q$3)))/(INDEX([2]Sheet1!$C$3:$Q$3,1,MATCH(D385,[2]Sheet1!$C$3:$Q$3)+1) - INDEX([2]Sheet1!$C$3:$Q$3,1,MATCH(D385,[2]Sheet1!$C$3:$Q$3)))*(
INDEX([2]Sheet1!$C$4:$Q$23,MATCH(K385,[2]Sheet1!$B$4:$B$23,1),MATCH(D385,[2]Sheet1!$C$3:$Q$3,1)+1) - INDEX([2]Sheet1!$C$4:$Q$23,MATCH(K385,[2]Sheet1!$B$4:$B$23,1),MATCH(D385,[2]Sheet1!$C$3:$Q$3,1)))))</f>
        <v>0</v>
      </c>
      <c r="N385">
        <f t="shared" si="116"/>
        <v>12</v>
      </c>
      <c r="O385">
        <v>8.7891052713841372E-2</v>
      </c>
      <c r="P385" t="e">
        <f t="shared" si="117"/>
        <v>#DIV/0!</v>
      </c>
      <c r="Q385">
        <f t="shared" si="104"/>
        <v>0</v>
      </c>
      <c r="R385">
        <f t="shared" si="118"/>
        <v>741.9099431943954</v>
      </c>
      <c r="T385" t="e">
        <f t="shared" si="107"/>
        <v>#DIV/0!</v>
      </c>
      <c r="U385" t="e">
        <f t="shared" si="108"/>
        <v>#DIV/0!</v>
      </c>
      <c r="V385">
        <f t="shared" si="109"/>
        <v>0</v>
      </c>
      <c r="W385" t="e">
        <f t="shared" si="105"/>
        <v>#DIV/0!</v>
      </c>
    </row>
    <row r="386" spans="1:23" x14ac:dyDescent="0.55000000000000004">
      <c r="A386">
        <f t="shared" si="106"/>
        <v>35.20000000000023</v>
      </c>
      <c r="B386">
        <f t="shared" si="110"/>
        <v>0.316</v>
      </c>
      <c r="C386">
        <f t="shared" si="111"/>
        <v>-17.956521739130586</v>
      </c>
      <c r="D386">
        <v>2.4404199755219569</v>
      </c>
      <c r="E386">
        <f t="shared" si="101"/>
        <v>0</v>
      </c>
      <c r="F386">
        <f t="shared" si="112"/>
        <v>4.8605058816845369E-2</v>
      </c>
      <c r="G386">
        <f t="shared" si="113"/>
        <v>39.513748498891111</v>
      </c>
      <c r="H386">
        <f t="shared" si="114"/>
        <v>0</v>
      </c>
      <c r="I386" s="1">
        <f t="shared" si="102"/>
        <v>0</v>
      </c>
      <c r="J386">
        <f t="shared" si="115"/>
        <v>0</v>
      </c>
      <c r="K386">
        <f t="shared" si="103"/>
        <v>0</v>
      </c>
      <c r="L386" cm="1">
        <f t="array" ref="L386">IF(E386*J386=0,0,$C$21*INDEX([3]Sheet1!$C$4:$Q$23,MATCH(K386,[3]Sheet1!$B$4:$B$23,1),MATCH(D386,[3]Sheet1!$C$3:$Q$3,1))
+(K386-INDEX([3]Sheet1!$B$4:$B$23,MATCH(K386,[3]Sheet1!$B$4:$B$23,1),1))/(INDEX([3]Sheet1!$B$4:$B$23,MATCH(K386,[3]Sheet1!$B$4:$B$23,1)+1,1)-INDEX([3]Sheet1!$B$4:$B$23,
MATCH(K386,[3]Sheet1!$B$4:$B$23,1),1))*(INDEX([3]Sheet1!$C$4:$Q$23,MATCH(K386,[3]Sheet1!$B$4:$B$23,1)+1,MATCH(D386,[3]Sheet1!$C$3:$Q$3,1))-INDEX([3]Sheet1!$C$4:$Q$23,
MATCH(K386,[3]Sheet1!$B$4:$B$23,1),MATCH(D386,[3]Sheet1!$C$3:$Q$3,1)))
+(D386-INDEX([3]Sheet1!$C$3:$Q$3,1,MATCH(D386,[3]Sheet1!$C$3:$Q$3)))/(INDEX([3]Sheet1!$C$3:$Q$3,1,MATCH(D386,[3]Sheet1!$C$3:$Q$3)+1)-INDEX([3]Sheet1!$C$3:$Q$3,1,MATCH(
D386,[3]Sheet1!$C$3:$Q$3)))*(INDEX([3]Sheet1!$C$4:$Q$23,MATCH(K386,[3]Sheet1!$B$4:$B$23,1),MATCH(D386,[3]Sheet1!$C$3:$Q$3,1)+1)-INDEX([3]Sheet1!$C$4:$Q$23,MATCH(K386,[3]Sheet1!$B$4:$B$23,1),MATCH(D386,[3]Sheet1!$C$3:$Q$3,1))))</f>
        <v>0</v>
      </c>
      <c r="M386" cm="1">
        <f t="array" ref="M386" xml:space="preserve"> IF(E386*J386=0,0,(INDEX([2]Sheet1!$C$4:$Q$23,MATCH(K386,[2]Sheet1!$B$4:$B$23,1),MATCH(D386,[2]Sheet1!$C$3:$Q$3,1))
+ (K386 - INDEX([2]Sheet1!$B$4:$B$23,MATCH(K386,[2]Sheet1!$B$4:$B$23,1),1))/(INDEX([2]Sheet1!$B$4:$B$23,MATCH(K386,[2]Sheet1!$B$4:$B$23,1)+1,1) - INDEX([2]Sheet1!$B$4:$B$23,MATCH(K386,[2]Sheet1!$B$4:$B$23,1),1))*(INDEX([2]Sheet1!$C$4:$Q$23,MATCH(K386,[2]Sheet1!$B$4:$B$23,1)+1,MATCH(D386,[2]Sheet1!$C$3:$Q$3,1)) - INDEX([2]Sheet1!$C$4:$Q$23,MATCH(K386,[2]Sheet1!$B$4:$B$23,1),MATCH(D386,[2]Sheet1!$C$3:$Q$3,1)))
+ (D386 - INDEX([2]Sheet1!$C$3:$Q$3,1,MATCH(D386,[2]Sheet1!$C$3:$Q$3)))/(INDEX([2]Sheet1!$C$3:$Q$3,1,MATCH(D386,[2]Sheet1!$C$3:$Q$3)+1) - INDEX([2]Sheet1!$C$3:$Q$3,1,MATCH(D386,[2]Sheet1!$C$3:$Q$3)))*(
INDEX([2]Sheet1!$C$4:$Q$23,MATCH(K386,[2]Sheet1!$B$4:$B$23,1),MATCH(D386,[2]Sheet1!$C$3:$Q$3,1)+1) - INDEX([2]Sheet1!$C$4:$Q$23,MATCH(K386,[2]Sheet1!$B$4:$B$23,1),MATCH(D386,[2]Sheet1!$C$3:$Q$3,1)))))</f>
        <v>0</v>
      </c>
      <c r="N386">
        <f t="shared" si="116"/>
        <v>12</v>
      </c>
      <c r="O386">
        <v>8.7872275465072827E-2</v>
      </c>
      <c r="P386" t="e">
        <f t="shared" si="117"/>
        <v>#DIV/0!</v>
      </c>
      <c r="Q386">
        <f t="shared" si="104"/>
        <v>0</v>
      </c>
      <c r="R386">
        <f t="shared" si="118"/>
        <v>741.9099431943954</v>
      </c>
      <c r="T386" t="e">
        <f t="shared" si="107"/>
        <v>#DIV/0!</v>
      </c>
      <c r="U386" t="e">
        <f t="shared" si="108"/>
        <v>#DIV/0!</v>
      </c>
      <c r="V386">
        <f t="shared" si="109"/>
        <v>0</v>
      </c>
      <c r="W386" t="e">
        <f t="shared" si="105"/>
        <v>#DIV/0!</v>
      </c>
    </row>
    <row r="387" spans="1:23" x14ac:dyDescent="0.55000000000000004">
      <c r="A387">
        <f t="shared" si="106"/>
        <v>35.300000000000232</v>
      </c>
      <c r="B387">
        <f t="shared" si="110"/>
        <v>0.316</v>
      </c>
      <c r="C387">
        <f t="shared" si="111"/>
        <v>-18.021739130434934</v>
      </c>
      <c r="D387">
        <v>2.4403265732087416</v>
      </c>
      <c r="E387">
        <f t="shared" si="101"/>
        <v>0</v>
      </c>
      <c r="F387">
        <f t="shared" si="112"/>
        <v>4.8605058816845369E-2</v>
      </c>
      <c r="G387">
        <f t="shared" si="113"/>
        <v>39.513748498891111</v>
      </c>
      <c r="H387">
        <f t="shared" si="114"/>
        <v>0</v>
      </c>
      <c r="I387" s="1">
        <f t="shared" si="102"/>
        <v>0</v>
      </c>
      <c r="J387">
        <f t="shared" si="115"/>
        <v>0</v>
      </c>
      <c r="K387">
        <f t="shared" si="103"/>
        <v>0</v>
      </c>
      <c r="L387" cm="1">
        <f t="array" ref="L387">IF(E387*J387=0,0,$C$21*INDEX([3]Sheet1!$C$4:$Q$23,MATCH(K387,[3]Sheet1!$B$4:$B$23,1),MATCH(D387,[3]Sheet1!$C$3:$Q$3,1))
+(K387-INDEX([3]Sheet1!$B$4:$B$23,MATCH(K387,[3]Sheet1!$B$4:$B$23,1),1))/(INDEX([3]Sheet1!$B$4:$B$23,MATCH(K387,[3]Sheet1!$B$4:$B$23,1)+1,1)-INDEX([3]Sheet1!$B$4:$B$23,
MATCH(K387,[3]Sheet1!$B$4:$B$23,1),1))*(INDEX([3]Sheet1!$C$4:$Q$23,MATCH(K387,[3]Sheet1!$B$4:$B$23,1)+1,MATCH(D387,[3]Sheet1!$C$3:$Q$3,1))-INDEX([3]Sheet1!$C$4:$Q$23,
MATCH(K387,[3]Sheet1!$B$4:$B$23,1),MATCH(D387,[3]Sheet1!$C$3:$Q$3,1)))
+(D387-INDEX([3]Sheet1!$C$3:$Q$3,1,MATCH(D387,[3]Sheet1!$C$3:$Q$3)))/(INDEX([3]Sheet1!$C$3:$Q$3,1,MATCH(D387,[3]Sheet1!$C$3:$Q$3)+1)-INDEX([3]Sheet1!$C$3:$Q$3,1,MATCH(
D387,[3]Sheet1!$C$3:$Q$3)))*(INDEX([3]Sheet1!$C$4:$Q$23,MATCH(K387,[3]Sheet1!$B$4:$B$23,1),MATCH(D387,[3]Sheet1!$C$3:$Q$3,1)+1)-INDEX([3]Sheet1!$C$4:$Q$23,MATCH(K387,[3]Sheet1!$B$4:$B$23,1),MATCH(D387,[3]Sheet1!$C$3:$Q$3,1))))</f>
        <v>0</v>
      </c>
      <c r="M387" cm="1">
        <f t="array" ref="M387" xml:space="preserve"> IF(E387*J387=0,0,(INDEX([2]Sheet1!$C$4:$Q$23,MATCH(K387,[2]Sheet1!$B$4:$B$23,1),MATCH(D387,[2]Sheet1!$C$3:$Q$3,1))
+ (K387 - INDEX([2]Sheet1!$B$4:$B$23,MATCH(K387,[2]Sheet1!$B$4:$B$23,1),1))/(INDEX([2]Sheet1!$B$4:$B$23,MATCH(K387,[2]Sheet1!$B$4:$B$23,1)+1,1) - INDEX([2]Sheet1!$B$4:$B$23,MATCH(K387,[2]Sheet1!$B$4:$B$23,1),1))*(INDEX([2]Sheet1!$C$4:$Q$23,MATCH(K387,[2]Sheet1!$B$4:$B$23,1)+1,MATCH(D387,[2]Sheet1!$C$3:$Q$3,1)) - INDEX([2]Sheet1!$C$4:$Q$23,MATCH(K387,[2]Sheet1!$B$4:$B$23,1),MATCH(D387,[2]Sheet1!$C$3:$Q$3,1)))
+ (D387 - INDEX([2]Sheet1!$C$3:$Q$3,1,MATCH(D387,[2]Sheet1!$C$3:$Q$3)))/(INDEX([2]Sheet1!$C$3:$Q$3,1,MATCH(D387,[2]Sheet1!$C$3:$Q$3)+1) - INDEX([2]Sheet1!$C$3:$Q$3,1,MATCH(D387,[2]Sheet1!$C$3:$Q$3)))*(
INDEX([2]Sheet1!$C$4:$Q$23,MATCH(K387,[2]Sheet1!$B$4:$B$23,1),MATCH(D387,[2]Sheet1!$C$3:$Q$3,1)+1) - INDEX([2]Sheet1!$C$4:$Q$23,MATCH(K387,[2]Sheet1!$B$4:$B$23,1),MATCH(D387,[2]Sheet1!$C$3:$Q$3,1)))))</f>
        <v>0</v>
      </c>
      <c r="N387">
        <f t="shared" si="116"/>
        <v>12</v>
      </c>
      <c r="O387">
        <v>8.7853534643239362E-2</v>
      </c>
      <c r="P387" t="e">
        <f t="shared" si="117"/>
        <v>#DIV/0!</v>
      </c>
      <c r="Q387">
        <f t="shared" si="104"/>
        <v>0</v>
      </c>
      <c r="R387">
        <f t="shared" si="118"/>
        <v>741.9099431943954</v>
      </c>
      <c r="T387" t="e">
        <f t="shared" si="107"/>
        <v>#DIV/0!</v>
      </c>
      <c r="U387" t="e">
        <f t="shared" si="108"/>
        <v>#DIV/0!</v>
      </c>
      <c r="V387">
        <f t="shared" si="109"/>
        <v>0</v>
      </c>
      <c r="W387" t="e">
        <f t="shared" si="105"/>
        <v>#DIV/0!</v>
      </c>
    </row>
    <row r="388" spans="1:23" x14ac:dyDescent="0.55000000000000004">
      <c r="A388">
        <f t="shared" si="106"/>
        <v>35.400000000000233</v>
      </c>
      <c r="B388">
        <f t="shared" si="110"/>
        <v>0.316</v>
      </c>
      <c r="C388">
        <f t="shared" si="111"/>
        <v>-18.086956521739285</v>
      </c>
      <c r="D388">
        <v>2.4402333320004121</v>
      </c>
      <c r="E388">
        <f t="shared" si="101"/>
        <v>0</v>
      </c>
      <c r="F388">
        <f t="shared" si="112"/>
        <v>4.8605058816845369E-2</v>
      </c>
      <c r="G388">
        <f t="shared" si="113"/>
        <v>39.513748498891111</v>
      </c>
      <c r="H388">
        <f t="shared" si="114"/>
        <v>0</v>
      </c>
      <c r="I388" s="1">
        <f t="shared" si="102"/>
        <v>0</v>
      </c>
      <c r="J388">
        <f t="shared" si="115"/>
        <v>0</v>
      </c>
      <c r="K388">
        <f t="shared" si="103"/>
        <v>0</v>
      </c>
      <c r="L388" cm="1">
        <f t="array" ref="L388">IF(E388*J388=0,0,$C$21*INDEX([3]Sheet1!$C$4:$Q$23,MATCH(K388,[3]Sheet1!$B$4:$B$23,1),MATCH(D388,[3]Sheet1!$C$3:$Q$3,1))
+(K388-INDEX([3]Sheet1!$B$4:$B$23,MATCH(K388,[3]Sheet1!$B$4:$B$23,1),1))/(INDEX([3]Sheet1!$B$4:$B$23,MATCH(K388,[3]Sheet1!$B$4:$B$23,1)+1,1)-INDEX([3]Sheet1!$B$4:$B$23,
MATCH(K388,[3]Sheet1!$B$4:$B$23,1),1))*(INDEX([3]Sheet1!$C$4:$Q$23,MATCH(K388,[3]Sheet1!$B$4:$B$23,1)+1,MATCH(D388,[3]Sheet1!$C$3:$Q$3,1))-INDEX([3]Sheet1!$C$4:$Q$23,
MATCH(K388,[3]Sheet1!$B$4:$B$23,1),MATCH(D388,[3]Sheet1!$C$3:$Q$3,1)))
+(D388-INDEX([3]Sheet1!$C$3:$Q$3,1,MATCH(D388,[3]Sheet1!$C$3:$Q$3)))/(INDEX([3]Sheet1!$C$3:$Q$3,1,MATCH(D388,[3]Sheet1!$C$3:$Q$3)+1)-INDEX([3]Sheet1!$C$3:$Q$3,1,MATCH(
D388,[3]Sheet1!$C$3:$Q$3)))*(INDEX([3]Sheet1!$C$4:$Q$23,MATCH(K388,[3]Sheet1!$B$4:$B$23,1),MATCH(D388,[3]Sheet1!$C$3:$Q$3,1)+1)-INDEX([3]Sheet1!$C$4:$Q$23,MATCH(K388,[3]Sheet1!$B$4:$B$23,1),MATCH(D388,[3]Sheet1!$C$3:$Q$3,1))))</f>
        <v>0</v>
      </c>
      <c r="M388" cm="1">
        <f t="array" ref="M388" xml:space="preserve"> IF(E388*J388=0,0,(INDEX([2]Sheet1!$C$4:$Q$23,MATCH(K388,[2]Sheet1!$B$4:$B$23,1),MATCH(D388,[2]Sheet1!$C$3:$Q$3,1))
+ (K388 - INDEX([2]Sheet1!$B$4:$B$23,MATCH(K388,[2]Sheet1!$B$4:$B$23,1),1))/(INDEX([2]Sheet1!$B$4:$B$23,MATCH(K388,[2]Sheet1!$B$4:$B$23,1)+1,1) - INDEX([2]Sheet1!$B$4:$B$23,MATCH(K388,[2]Sheet1!$B$4:$B$23,1),1))*(INDEX([2]Sheet1!$C$4:$Q$23,MATCH(K388,[2]Sheet1!$B$4:$B$23,1)+1,MATCH(D388,[2]Sheet1!$C$3:$Q$3,1)) - INDEX([2]Sheet1!$C$4:$Q$23,MATCH(K388,[2]Sheet1!$B$4:$B$23,1),MATCH(D388,[2]Sheet1!$C$3:$Q$3,1)))
+ (D388 - INDEX([2]Sheet1!$C$3:$Q$3,1,MATCH(D388,[2]Sheet1!$C$3:$Q$3)))/(INDEX([2]Sheet1!$C$3:$Q$3,1,MATCH(D388,[2]Sheet1!$C$3:$Q$3)+1) - INDEX([2]Sheet1!$C$3:$Q$3,1,MATCH(D388,[2]Sheet1!$C$3:$Q$3)))*(
INDEX([2]Sheet1!$C$4:$Q$23,MATCH(K388,[2]Sheet1!$B$4:$B$23,1),MATCH(D388,[2]Sheet1!$C$3:$Q$3,1)+1) - INDEX([2]Sheet1!$C$4:$Q$23,MATCH(K388,[2]Sheet1!$B$4:$B$23,1),MATCH(D388,[2]Sheet1!$C$3:$Q$3,1)))))</f>
        <v>0</v>
      </c>
      <c r="N388">
        <f t="shared" si="116"/>
        <v>12</v>
      </c>
      <c r="O388">
        <v>8.78348301113549E-2</v>
      </c>
      <c r="P388" t="e">
        <f t="shared" si="117"/>
        <v>#DIV/0!</v>
      </c>
      <c r="Q388">
        <f t="shared" si="104"/>
        <v>0</v>
      </c>
      <c r="R388">
        <f t="shared" si="118"/>
        <v>741.9099431943954</v>
      </c>
      <c r="T388" t="e">
        <f t="shared" si="107"/>
        <v>#DIV/0!</v>
      </c>
      <c r="U388" t="e">
        <f t="shared" si="108"/>
        <v>#DIV/0!</v>
      </c>
      <c r="V388">
        <f t="shared" si="109"/>
        <v>0</v>
      </c>
      <c r="W388" t="e">
        <f t="shared" si="105"/>
        <v>#DIV/0!</v>
      </c>
    </row>
    <row r="389" spans="1:23" x14ac:dyDescent="0.55000000000000004">
      <c r="A389">
        <f t="shared" si="106"/>
        <v>35.500000000000234</v>
      </c>
      <c r="B389">
        <f t="shared" si="110"/>
        <v>0.316</v>
      </c>
      <c r="C389">
        <f t="shared" si="111"/>
        <v>-18.152173913043633</v>
      </c>
      <c r="D389">
        <v>2.440140251323653</v>
      </c>
      <c r="E389">
        <f t="shared" si="101"/>
        <v>0</v>
      </c>
      <c r="F389">
        <f t="shared" si="112"/>
        <v>4.8605058816845369E-2</v>
      </c>
      <c r="G389">
        <f t="shared" si="113"/>
        <v>39.513748498891111</v>
      </c>
      <c r="H389">
        <f t="shared" si="114"/>
        <v>0</v>
      </c>
      <c r="I389" s="1">
        <f t="shared" si="102"/>
        <v>0</v>
      </c>
      <c r="J389">
        <f t="shared" si="115"/>
        <v>0</v>
      </c>
      <c r="K389">
        <f t="shared" si="103"/>
        <v>0</v>
      </c>
      <c r="L389" cm="1">
        <f t="array" ref="L389">IF(E389*J389=0,0,$C$21*INDEX([3]Sheet1!$C$4:$Q$23,MATCH(K389,[3]Sheet1!$B$4:$B$23,1),MATCH(D389,[3]Sheet1!$C$3:$Q$3,1))
+(K389-INDEX([3]Sheet1!$B$4:$B$23,MATCH(K389,[3]Sheet1!$B$4:$B$23,1),1))/(INDEX([3]Sheet1!$B$4:$B$23,MATCH(K389,[3]Sheet1!$B$4:$B$23,1)+1,1)-INDEX([3]Sheet1!$B$4:$B$23,
MATCH(K389,[3]Sheet1!$B$4:$B$23,1),1))*(INDEX([3]Sheet1!$C$4:$Q$23,MATCH(K389,[3]Sheet1!$B$4:$B$23,1)+1,MATCH(D389,[3]Sheet1!$C$3:$Q$3,1))-INDEX([3]Sheet1!$C$4:$Q$23,
MATCH(K389,[3]Sheet1!$B$4:$B$23,1),MATCH(D389,[3]Sheet1!$C$3:$Q$3,1)))
+(D389-INDEX([3]Sheet1!$C$3:$Q$3,1,MATCH(D389,[3]Sheet1!$C$3:$Q$3)))/(INDEX([3]Sheet1!$C$3:$Q$3,1,MATCH(D389,[3]Sheet1!$C$3:$Q$3)+1)-INDEX([3]Sheet1!$C$3:$Q$3,1,MATCH(
D389,[3]Sheet1!$C$3:$Q$3)))*(INDEX([3]Sheet1!$C$4:$Q$23,MATCH(K389,[3]Sheet1!$B$4:$B$23,1),MATCH(D389,[3]Sheet1!$C$3:$Q$3,1)+1)-INDEX([3]Sheet1!$C$4:$Q$23,MATCH(K389,[3]Sheet1!$B$4:$B$23,1),MATCH(D389,[3]Sheet1!$C$3:$Q$3,1))))</f>
        <v>0</v>
      </c>
      <c r="M389" cm="1">
        <f t="array" ref="M389" xml:space="preserve"> IF(E389*J389=0,0,(INDEX([2]Sheet1!$C$4:$Q$23,MATCH(K389,[2]Sheet1!$B$4:$B$23,1),MATCH(D389,[2]Sheet1!$C$3:$Q$3,1))
+ (K389 - INDEX([2]Sheet1!$B$4:$B$23,MATCH(K389,[2]Sheet1!$B$4:$B$23,1),1))/(INDEX([2]Sheet1!$B$4:$B$23,MATCH(K389,[2]Sheet1!$B$4:$B$23,1)+1,1) - INDEX([2]Sheet1!$B$4:$B$23,MATCH(K389,[2]Sheet1!$B$4:$B$23,1),1))*(INDEX([2]Sheet1!$C$4:$Q$23,MATCH(K389,[2]Sheet1!$B$4:$B$23,1)+1,MATCH(D389,[2]Sheet1!$C$3:$Q$3,1)) - INDEX([2]Sheet1!$C$4:$Q$23,MATCH(K389,[2]Sheet1!$B$4:$B$23,1),MATCH(D389,[2]Sheet1!$C$3:$Q$3,1)))
+ (D389 - INDEX([2]Sheet1!$C$3:$Q$3,1,MATCH(D389,[2]Sheet1!$C$3:$Q$3)))/(INDEX([2]Sheet1!$C$3:$Q$3,1,MATCH(D389,[2]Sheet1!$C$3:$Q$3)+1) - INDEX([2]Sheet1!$C$3:$Q$3,1,MATCH(D389,[2]Sheet1!$C$3:$Q$3)))*(
INDEX([2]Sheet1!$C$4:$Q$23,MATCH(K389,[2]Sheet1!$B$4:$B$23,1),MATCH(D389,[2]Sheet1!$C$3:$Q$3,1)+1) - INDEX([2]Sheet1!$C$4:$Q$23,MATCH(K389,[2]Sheet1!$B$4:$B$23,1),MATCH(D389,[2]Sheet1!$C$3:$Q$3,1)))))</f>
        <v>0</v>
      </c>
      <c r="N389">
        <f t="shared" si="116"/>
        <v>12</v>
      </c>
      <c r="O389">
        <v>8.7816161733195772E-2</v>
      </c>
      <c r="P389" t="e">
        <f t="shared" si="117"/>
        <v>#DIV/0!</v>
      </c>
      <c r="Q389">
        <f t="shared" si="104"/>
        <v>0</v>
      </c>
      <c r="R389">
        <f t="shared" si="118"/>
        <v>741.9099431943954</v>
      </c>
      <c r="T389" t="e">
        <f t="shared" si="107"/>
        <v>#DIV/0!</v>
      </c>
      <c r="U389" t="e">
        <f t="shared" si="108"/>
        <v>#DIV/0!</v>
      </c>
      <c r="V389">
        <f t="shared" si="109"/>
        <v>0</v>
      </c>
      <c r="W389" t="e">
        <f t="shared" si="105"/>
        <v>#DIV/0!</v>
      </c>
    </row>
    <row r="390" spans="1:23" x14ac:dyDescent="0.55000000000000004">
      <c r="A390">
        <f t="shared" si="106"/>
        <v>35.600000000000236</v>
      </c>
      <c r="B390">
        <f t="shared" si="110"/>
        <v>0.316</v>
      </c>
      <c r="C390">
        <f t="shared" si="111"/>
        <v>-18.217391304347981</v>
      </c>
      <c r="D390">
        <v>2.4400473306082229</v>
      </c>
      <c r="E390">
        <f t="shared" si="101"/>
        <v>0</v>
      </c>
      <c r="F390">
        <f t="shared" si="112"/>
        <v>4.8605058816845369E-2</v>
      </c>
      <c r="G390">
        <f t="shared" si="113"/>
        <v>39.513748498891111</v>
      </c>
      <c r="H390">
        <f t="shared" si="114"/>
        <v>0</v>
      </c>
      <c r="I390" s="1">
        <f t="shared" si="102"/>
        <v>0</v>
      </c>
      <c r="J390">
        <f t="shared" si="115"/>
        <v>0</v>
      </c>
      <c r="K390">
        <f t="shared" si="103"/>
        <v>0</v>
      </c>
      <c r="L390" cm="1">
        <f t="array" ref="L390">IF(E390*J390=0,0,$C$21*INDEX([3]Sheet1!$C$4:$Q$23,MATCH(K390,[3]Sheet1!$B$4:$B$23,1),MATCH(D390,[3]Sheet1!$C$3:$Q$3,1))
+(K390-INDEX([3]Sheet1!$B$4:$B$23,MATCH(K390,[3]Sheet1!$B$4:$B$23,1),1))/(INDEX([3]Sheet1!$B$4:$B$23,MATCH(K390,[3]Sheet1!$B$4:$B$23,1)+1,1)-INDEX([3]Sheet1!$B$4:$B$23,
MATCH(K390,[3]Sheet1!$B$4:$B$23,1),1))*(INDEX([3]Sheet1!$C$4:$Q$23,MATCH(K390,[3]Sheet1!$B$4:$B$23,1)+1,MATCH(D390,[3]Sheet1!$C$3:$Q$3,1))-INDEX([3]Sheet1!$C$4:$Q$23,
MATCH(K390,[3]Sheet1!$B$4:$B$23,1),MATCH(D390,[3]Sheet1!$C$3:$Q$3,1)))
+(D390-INDEX([3]Sheet1!$C$3:$Q$3,1,MATCH(D390,[3]Sheet1!$C$3:$Q$3)))/(INDEX([3]Sheet1!$C$3:$Q$3,1,MATCH(D390,[3]Sheet1!$C$3:$Q$3)+1)-INDEX([3]Sheet1!$C$3:$Q$3,1,MATCH(
D390,[3]Sheet1!$C$3:$Q$3)))*(INDEX([3]Sheet1!$C$4:$Q$23,MATCH(K390,[3]Sheet1!$B$4:$B$23,1),MATCH(D390,[3]Sheet1!$C$3:$Q$3,1)+1)-INDEX([3]Sheet1!$C$4:$Q$23,MATCH(K390,[3]Sheet1!$B$4:$B$23,1),MATCH(D390,[3]Sheet1!$C$3:$Q$3,1))))</f>
        <v>0</v>
      </c>
      <c r="M390" cm="1">
        <f t="array" ref="M390" xml:space="preserve"> IF(E390*J390=0,0,(INDEX([2]Sheet1!$C$4:$Q$23,MATCH(K390,[2]Sheet1!$B$4:$B$23,1),MATCH(D390,[2]Sheet1!$C$3:$Q$3,1))
+ (K390 - INDEX([2]Sheet1!$B$4:$B$23,MATCH(K390,[2]Sheet1!$B$4:$B$23,1),1))/(INDEX([2]Sheet1!$B$4:$B$23,MATCH(K390,[2]Sheet1!$B$4:$B$23,1)+1,1) - INDEX([2]Sheet1!$B$4:$B$23,MATCH(K390,[2]Sheet1!$B$4:$B$23,1),1))*(INDEX([2]Sheet1!$C$4:$Q$23,MATCH(K390,[2]Sheet1!$B$4:$B$23,1)+1,MATCH(D390,[2]Sheet1!$C$3:$Q$3,1)) - INDEX([2]Sheet1!$C$4:$Q$23,MATCH(K390,[2]Sheet1!$B$4:$B$23,1),MATCH(D390,[2]Sheet1!$C$3:$Q$3,1)))
+ (D390 - INDEX([2]Sheet1!$C$3:$Q$3,1,MATCH(D390,[2]Sheet1!$C$3:$Q$3)))/(INDEX([2]Sheet1!$C$3:$Q$3,1,MATCH(D390,[2]Sheet1!$C$3:$Q$3)+1) - INDEX([2]Sheet1!$C$3:$Q$3,1,MATCH(D390,[2]Sheet1!$C$3:$Q$3)))*(
INDEX([2]Sheet1!$C$4:$Q$23,MATCH(K390,[2]Sheet1!$B$4:$B$23,1),MATCH(D390,[2]Sheet1!$C$3:$Q$3,1)+1) - INDEX([2]Sheet1!$C$4:$Q$23,MATCH(K390,[2]Sheet1!$B$4:$B$23,1),MATCH(D390,[2]Sheet1!$C$3:$Q$3,1)))))</f>
        <v>0</v>
      </c>
      <c r="N390">
        <f t="shared" si="116"/>
        <v>12</v>
      </c>
      <c r="O390">
        <v>8.7797529373297781E-2</v>
      </c>
      <c r="P390" t="e">
        <f t="shared" si="117"/>
        <v>#DIV/0!</v>
      </c>
      <c r="Q390">
        <f t="shared" si="104"/>
        <v>0</v>
      </c>
      <c r="R390">
        <f t="shared" si="118"/>
        <v>741.9099431943954</v>
      </c>
      <c r="T390" t="e">
        <f t="shared" si="107"/>
        <v>#DIV/0!</v>
      </c>
      <c r="U390" t="e">
        <f t="shared" si="108"/>
        <v>#DIV/0!</v>
      </c>
      <c r="V390">
        <f t="shared" si="109"/>
        <v>0</v>
      </c>
      <c r="W390" t="e">
        <f t="shared" si="105"/>
        <v>#DIV/0!</v>
      </c>
    </row>
    <row r="391" spans="1:23" x14ac:dyDescent="0.55000000000000004">
      <c r="A391">
        <f t="shared" si="106"/>
        <v>35.700000000000237</v>
      </c>
      <c r="B391">
        <f t="shared" si="110"/>
        <v>0.316</v>
      </c>
      <c r="C391">
        <f t="shared" si="111"/>
        <v>-18.282608695652328</v>
      </c>
      <c r="D391">
        <v>2.4399545692869324</v>
      </c>
      <c r="E391">
        <f t="shared" si="101"/>
        <v>0</v>
      </c>
      <c r="F391">
        <f t="shared" si="112"/>
        <v>4.8605058816845369E-2</v>
      </c>
      <c r="G391">
        <f t="shared" si="113"/>
        <v>39.513748498891111</v>
      </c>
      <c r="H391">
        <f t="shared" si="114"/>
        <v>0</v>
      </c>
      <c r="I391" s="1">
        <f t="shared" si="102"/>
        <v>0</v>
      </c>
      <c r="J391">
        <f t="shared" si="115"/>
        <v>0</v>
      </c>
      <c r="K391">
        <f t="shared" si="103"/>
        <v>0</v>
      </c>
      <c r="L391" cm="1">
        <f t="array" ref="L391">IF(E391*J391=0,0,$C$21*INDEX([3]Sheet1!$C$4:$Q$23,MATCH(K391,[3]Sheet1!$B$4:$B$23,1),MATCH(D391,[3]Sheet1!$C$3:$Q$3,1))
+(K391-INDEX([3]Sheet1!$B$4:$B$23,MATCH(K391,[3]Sheet1!$B$4:$B$23,1),1))/(INDEX([3]Sheet1!$B$4:$B$23,MATCH(K391,[3]Sheet1!$B$4:$B$23,1)+1,1)-INDEX([3]Sheet1!$B$4:$B$23,
MATCH(K391,[3]Sheet1!$B$4:$B$23,1),1))*(INDEX([3]Sheet1!$C$4:$Q$23,MATCH(K391,[3]Sheet1!$B$4:$B$23,1)+1,MATCH(D391,[3]Sheet1!$C$3:$Q$3,1))-INDEX([3]Sheet1!$C$4:$Q$23,
MATCH(K391,[3]Sheet1!$B$4:$B$23,1),MATCH(D391,[3]Sheet1!$C$3:$Q$3,1)))
+(D391-INDEX([3]Sheet1!$C$3:$Q$3,1,MATCH(D391,[3]Sheet1!$C$3:$Q$3)))/(INDEX([3]Sheet1!$C$3:$Q$3,1,MATCH(D391,[3]Sheet1!$C$3:$Q$3)+1)-INDEX([3]Sheet1!$C$3:$Q$3,1,MATCH(
D391,[3]Sheet1!$C$3:$Q$3)))*(INDEX([3]Sheet1!$C$4:$Q$23,MATCH(K391,[3]Sheet1!$B$4:$B$23,1),MATCH(D391,[3]Sheet1!$C$3:$Q$3,1)+1)-INDEX([3]Sheet1!$C$4:$Q$23,MATCH(K391,[3]Sheet1!$B$4:$B$23,1),MATCH(D391,[3]Sheet1!$C$3:$Q$3,1))))</f>
        <v>0</v>
      </c>
      <c r="M391" cm="1">
        <f t="array" ref="M391" xml:space="preserve"> IF(E391*J391=0,0,(INDEX([2]Sheet1!$C$4:$Q$23,MATCH(K391,[2]Sheet1!$B$4:$B$23,1),MATCH(D391,[2]Sheet1!$C$3:$Q$3,1))
+ (K391 - INDEX([2]Sheet1!$B$4:$B$23,MATCH(K391,[2]Sheet1!$B$4:$B$23,1),1))/(INDEX([2]Sheet1!$B$4:$B$23,MATCH(K391,[2]Sheet1!$B$4:$B$23,1)+1,1) - INDEX([2]Sheet1!$B$4:$B$23,MATCH(K391,[2]Sheet1!$B$4:$B$23,1),1))*(INDEX([2]Sheet1!$C$4:$Q$23,MATCH(K391,[2]Sheet1!$B$4:$B$23,1)+1,MATCH(D391,[2]Sheet1!$C$3:$Q$3,1)) - INDEX([2]Sheet1!$C$4:$Q$23,MATCH(K391,[2]Sheet1!$B$4:$B$23,1),MATCH(D391,[2]Sheet1!$C$3:$Q$3,1)))
+ (D391 - INDEX([2]Sheet1!$C$3:$Q$3,1,MATCH(D391,[2]Sheet1!$C$3:$Q$3)))/(INDEX([2]Sheet1!$C$3:$Q$3,1,MATCH(D391,[2]Sheet1!$C$3:$Q$3)+1) - INDEX([2]Sheet1!$C$3:$Q$3,1,MATCH(D391,[2]Sheet1!$C$3:$Q$3)))*(
INDEX([2]Sheet1!$C$4:$Q$23,MATCH(K391,[2]Sheet1!$B$4:$B$23,1),MATCH(D391,[2]Sheet1!$C$3:$Q$3,1)+1) - INDEX([2]Sheet1!$C$4:$Q$23,MATCH(K391,[2]Sheet1!$B$4:$B$23,1),MATCH(D391,[2]Sheet1!$C$3:$Q$3,1)))))</f>
        <v>0</v>
      </c>
      <c r="N391">
        <f t="shared" si="116"/>
        <v>12</v>
      </c>
      <c r="O391">
        <v>8.7778932896946563E-2</v>
      </c>
      <c r="P391" t="e">
        <f t="shared" si="117"/>
        <v>#DIV/0!</v>
      </c>
      <c r="Q391">
        <f t="shared" si="104"/>
        <v>0</v>
      </c>
      <c r="R391">
        <f t="shared" si="118"/>
        <v>741.9099431943954</v>
      </c>
      <c r="T391" t="e">
        <f t="shared" si="107"/>
        <v>#DIV/0!</v>
      </c>
      <c r="U391" t="e">
        <f t="shared" si="108"/>
        <v>#DIV/0!</v>
      </c>
      <c r="V391">
        <f t="shared" si="109"/>
        <v>0</v>
      </c>
      <c r="W391" t="e">
        <f t="shared" si="105"/>
        <v>#DIV/0!</v>
      </c>
    </row>
    <row r="392" spans="1:23" x14ac:dyDescent="0.55000000000000004">
      <c r="A392">
        <f t="shared" si="106"/>
        <v>35.800000000000239</v>
      </c>
      <c r="B392">
        <f t="shared" si="110"/>
        <v>0.316</v>
      </c>
      <c r="C392">
        <f t="shared" si="111"/>
        <v>-18.34782608695668</v>
      </c>
      <c r="D392">
        <v>2.4398619667956245</v>
      </c>
      <c r="E392">
        <f t="shared" si="101"/>
        <v>0</v>
      </c>
      <c r="F392">
        <f t="shared" si="112"/>
        <v>4.8605058816845369E-2</v>
      </c>
      <c r="G392">
        <f t="shared" si="113"/>
        <v>39.513748498891111</v>
      </c>
      <c r="H392">
        <f t="shared" si="114"/>
        <v>0</v>
      </c>
      <c r="I392" s="1">
        <f t="shared" si="102"/>
        <v>0</v>
      </c>
      <c r="J392">
        <f t="shared" si="115"/>
        <v>0</v>
      </c>
      <c r="K392">
        <f t="shared" si="103"/>
        <v>0</v>
      </c>
      <c r="L392" cm="1">
        <f t="array" ref="L392">IF(E392*J392=0,0,$C$21*INDEX([3]Sheet1!$C$4:$Q$23,MATCH(K392,[3]Sheet1!$B$4:$B$23,1),MATCH(D392,[3]Sheet1!$C$3:$Q$3,1))
+(K392-INDEX([3]Sheet1!$B$4:$B$23,MATCH(K392,[3]Sheet1!$B$4:$B$23,1),1))/(INDEX([3]Sheet1!$B$4:$B$23,MATCH(K392,[3]Sheet1!$B$4:$B$23,1)+1,1)-INDEX([3]Sheet1!$B$4:$B$23,
MATCH(K392,[3]Sheet1!$B$4:$B$23,1),1))*(INDEX([3]Sheet1!$C$4:$Q$23,MATCH(K392,[3]Sheet1!$B$4:$B$23,1)+1,MATCH(D392,[3]Sheet1!$C$3:$Q$3,1))-INDEX([3]Sheet1!$C$4:$Q$23,
MATCH(K392,[3]Sheet1!$B$4:$B$23,1),MATCH(D392,[3]Sheet1!$C$3:$Q$3,1)))
+(D392-INDEX([3]Sheet1!$C$3:$Q$3,1,MATCH(D392,[3]Sheet1!$C$3:$Q$3)))/(INDEX([3]Sheet1!$C$3:$Q$3,1,MATCH(D392,[3]Sheet1!$C$3:$Q$3)+1)-INDEX([3]Sheet1!$C$3:$Q$3,1,MATCH(
D392,[3]Sheet1!$C$3:$Q$3)))*(INDEX([3]Sheet1!$C$4:$Q$23,MATCH(K392,[3]Sheet1!$B$4:$B$23,1),MATCH(D392,[3]Sheet1!$C$3:$Q$3,1)+1)-INDEX([3]Sheet1!$C$4:$Q$23,MATCH(K392,[3]Sheet1!$B$4:$B$23,1),MATCH(D392,[3]Sheet1!$C$3:$Q$3,1))))</f>
        <v>0</v>
      </c>
      <c r="M392" cm="1">
        <f t="array" ref="M392" xml:space="preserve"> IF(E392*J392=0,0,(INDEX([2]Sheet1!$C$4:$Q$23,MATCH(K392,[2]Sheet1!$B$4:$B$23,1),MATCH(D392,[2]Sheet1!$C$3:$Q$3,1))
+ (K392 - INDEX([2]Sheet1!$B$4:$B$23,MATCH(K392,[2]Sheet1!$B$4:$B$23,1),1))/(INDEX([2]Sheet1!$B$4:$B$23,MATCH(K392,[2]Sheet1!$B$4:$B$23,1)+1,1) - INDEX([2]Sheet1!$B$4:$B$23,MATCH(K392,[2]Sheet1!$B$4:$B$23,1),1))*(INDEX([2]Sheet1!$C$4:$Q$23,MATCH(K392,[2]Sheet1!$B$4:$B$23,1)+1,MATCH(D392,[2]Sheet1!$C$3:$Q$3,1)) - INDEX([2]Sheet1!$C$4:$Q$23,MATCH(K392,[2]Sheet1!$B$4:$B$23,1),MATCH(D392,[2]Sheet1!$C$3:$Q$3,1)))
+ (D392 - INDEX([2]Sheet1!$C$3:$Q$3,1,MATCH(D392,[2]Sheet1!$C$3:$Q$3)))/(INDEX([2]Sheet1!$C$3:$Q$3,1,MATCH(D392,[2]Sheet1!$C$3:$Q$3)+1) - INDEX([2]Sheet1!$C$3:$Q$3,1,MATCH(D392,[2]Sheet1!$C$3:$Q$3)))*(
INDEX([2]Sheet1!$C$4:$Q$23,MATCH(K392,[2]Sheet1!$B$4:$B$23,1),MATCH(D392,[2]Sheet1!$C$3:$Q$3,1)+1) - INDEX([2]Sheet1!$C$4:$Q$23,MATCH(K392,[2]Sheet1!$B$4:$B$23,1),MATCH(D392,[2]Sheet1!$C$3:$Q$3,1)))))</f>
        <v>0</v>
      </c>
      <c r="N392">
        <f t="shared" si="116"/>
        <v>12</v>
      </c>
      <c r="O392">
        <v>8.7760372170176307E-2</v>
      </c>
      <c r="P392" t="e">
        <f t="shared" si="117"/>
        <v>#DIV/0!</v>
      </c>
      <c r="Q392">
        <f t="shared" si="104"/>
        <v>0</v>
      </c>
      <c r="R392">
        <f t="shared" si="118"/>
        <v>741.9099431943954</v>
      </c>
      <c r="T392" t="e">
        <f t="shared" si="107"/>
        <v>#DIV/0!</v>
      </c>
      <c r="U392" t="e">
        <f t="shared" si="108"/>
        <v>#DIV/0!</v>
      </c>
      <c r="V392">
        <f t="shared" si="109"/>
        <v>0</v>
      </c>
      <c r="W392" t="e">
        <f t="shared" si="105"/>
        <v>#DIV/0!</v>
      </c>
    </row>
    <row r="393" spans="1:23" x14ac:dyDescent="0.55000000000000004">
      <c r="A393">
        <f t="shared" si="106"/>
        <v>35.90000000000024</v>
      </c>
      <c r="B393">
        <f t="shared" si="110"/>
        <v>0.316</v>
      </c>
      <c r="C393">
        <f t="shared" si="111"/>
        <v>-18.413043478261031</v>
      </c>
      <c r="D393">
        <v>2.4397695225731506</v>
      </c>
      <c r="E393">
        <f t="shared" si="101"/>
        <v>0</v>
      </c>
      <c r="F393">
        <f t="shared" si="112"/>
        <v>4.8605058816845369E-2</v>
      </c>
      <c r="G393">
        <f t="shared" si="113"/>
        <v>39.513748498891111</v>
      </c>
      <c r="H393">
        <f t="shared" si="114"/>
        <v>0</v>
      </c>
      <c r="I393" s="1">
        <f t="shared" si="102"/>
        <v>0</v>
      </c>
      <c r="J393">
        <f t="shared" si="115"/>
        <v>0</v>
      </c>
      <c r="K393">
        <f t="shared" si="103"/>
        <v>0</v>
      </c>
      <c r="L393" cm="1">
        <f t="array" ref="L393">IF(E393*J393=0,0,$C$21*INDEX([3]Sheet1!$C$4:$Q$23,MATCH(K393,[3]Sheet1!$B$4:$B$23,1),MATCH(D393,[3]Sheet1!$C$3:$Q$3,1))
+(K393-INDEX([3]Sheet1!$B$4:$B$23,MATCH(K393,[3]Sheet1!$B$4:$B$23,1),1))/(INDEX([3]Sheet1!$B$4:$B$23,MATCH(K393,[3]Sheet1!$B$4:$B$23,1)+1,1)-INDEX([3]Sheet1!$B$4:$B$23,
MATCH(K393,[3]Sheet1!$B$4:$B$23,1),1))*(INDEX([3]Sheet1!$C$4:$Q$23,MATCH(K393,[3]Sheet1!$B$4:$B$23,1)+1,MATCH(D393,[3]Sheet1!$C$3:$Q$3,1))-INDEX([3]Sheet1!$C$4:$Q$23,
MATCH(K393,[3]Sheet1!$B$4:$B$23,1),MATCH(D393,[3]Sheet1!$C$3:$Q$3,1)))
+(D393-INDEX([3]Sheet1!$C$3:$Q$3,1,MATCH(D393,[3]Sheet1!$C$3:$Q$3)))/(INDEX([3]Sheet1!$C$3:$Q$3,1,MATCH(D393,[3]Sheet1!$C$3:$Q$3)+1)-INDEX([3]Sheet1!$C$3:$Q$3,1,MATCH(
D393,[3]Sheet1!$C$3:$Q$3)))*(INDEX([3]Sheet1!$C$4:$Q$23,MATCH(K393,[3]Sheet1!$B$4:$B$23,1),MATCH(D393,[3]Sheet1!$C$3:$Q$3,1)+1)-INDEX([3]Sheet1!$C$4:$Q$23,MATCH(K393,[3]Sheet1!$B$4:$B$23,1),MATCH(D393,[3]Sheet1!$C$3:$Q$3,1))))</f>
        <v>0</v>
      </c>
      <c r="M393" cm="1">
        <f t="array" ref="M393" xml:space="preserve"> IF(E393*J393=0,0,(INDEX([2]Sheet1!$C$4:$Q$23,MATCH(K393,[2]Sheet1!$B$4:$B$23,1),MATCH(D393,[2]Sheet1!$C$3:$Q$3,1))
+ (K393 - INDEX([2]Sheet1!$B$4:$B$23,MATCH(K393,[2]Sheet1!$B$4:$B$23,1),1))/(INDEX([2]Sheet1!$B$4:$B$23,MATCH(K393,[2]Sheet1!$B$4:$B$23,1)+1,1) - INDEX([2]Sheet1!$B$4:$B$23,MATCH(K393,[2]Sheet1!$B$4:$B$23,1),1))*(INDEX([2]Sheet1!$C$4:$Q$23,MATCH(K393,[2]Sheet1!$B$4:$B$23,1)+1,MATCH(D393,[2]Sheet1!$C$3:$Q$3,1)) - INDEX([2]Sheet1!$C$4:$Q$23,MATCH(K393,[2]Sheet1!$B$4:$B$23,1),MATCH(D393,[2]Sheet1!$C$3:$Q$3,1)))
+ (D393 - INDEX([2]Sheet1!$C$3:$Q$3,1,MATCH(D393,[2]Sheet1!$C$3:$Q$3)))/(INDEX([2]Sheet1!$C$3:$Q$3,1,MATCH(D393,[2]Sheet1!$C$3:$Q$3)+1) - INDEX([2]Sheet1!$C$3:$Q$3,1,MATCH(D393,[2]Sheet1!$C$3:$Q$3)))*(
INDEX([2]Sheet1!$C$4:$Q$23,MATCH(K393,[2]Sheet1!$B$4:$B$23,1),MATCH(D393,[2]Sheet1!$C$3:$Q$3,1)+1) - INDEX([2]Sheet1!$C$4:$Q$23,MATCH(K393,[2]Sheet1!$B$4:$B$23,1),MATCH(D393,[2]Sheet1!$C$3:$Q$3,1)))))</f>
        <v>0</v>
      </c>
      <c r="N393">
        <f t="shared" si="116"/>
        <v>12</v>
      </c>
      <c r="O393">
        <v>8.7741847059761055E-2</v>
      </c>
      <c r="P393" t="e">
        <f t="shared" si="117"/>
        <v>#DIV/0!</v>
      </c>
      <c r="Q393">
        <f t="shared" si="104"/>
        <v>0</v>
      </c>
      <c r="R393">
        <f t="shared" si="118"/>
        <v>741.9099431943954</v>
      </c>
      <c r="T393" t="e">
        <f t="shared" si="107"/>
        <v>#DIV/0!</v>
      </c>
      <c r="U393" t="e">
        <f t="shared" si="108"/>
        <v>#DIV/0!</v>
      </c>
      <c r="V393">
        <f t="shared" si="109"/>
        <v>0</v>
      </c>
      <c r="W393" t="e">
        <f t="shared" si="105"/>
        <v>#DIV/0!</v>
      </c>
    </row>
    <row r="394" spans="1:23" x14ac:dyDescent="0.55000000000000004">
      <c r="A394">
        <f t="shared" si="106"/>
        <v>36.000000000000242</v>
      </c>
      <c r="B394">
        <f t="shared" si="110"/>
        <v>0.316</v>
      </c>
      <c r="C394">
        <f t="shared" si="111"/>
        <v>-18.478260869565378</v>
      </c>
      <c r="D394">
        <v>2.439677236061351</v>
      </c>
      <c r="E394">
        <f t="shared" si="101"/>
        <v>0</v>
      </c>
      <c r="F394">
        <f t="shared" si="112"/>
        <v>4.8605058816845369E-2</v>
      </c>
      <c r="G394">
        <f t="shared" si="113"/>
        <v>39.513748498891111</v>
      </c>
      <c r="H394">
        <f t="shared" si="114"/>
        <v>0</v>
      </c>
      <c r="I394" s="1">
        <f t="shared" si="102"/>
        <v>0</v>
      </c>
      <c r="J394">
        <f t="shared" si="115"/>
        <v>0</v>
      </c>
      <c r="K394">
        <f t="shared" si="103"/>
        <v>0</v>
      </c>
      <c r="L394" cm="1">
        <f t="array" ref="L394">IF(E394*J394=0,0,$C$21*INDEX([3]Sheet1!$C$4:$Q$23,MATCH(K394,[3]Sheet1!$B$4:$B$23,1),MATCH(D394,[3]Sheet1!$C$3:$Q$3,1))
+(K394-INDEX([3]Sheet1!$B$4:$B$23,MATCH(K394,[3]Sheet1!$B$4:$B$23,1),1))/(INDEX([3]Sheet1!$B$4:$B$23,MATCH(K394,[3]Sheet1!$B$4:$B$23,1)+1,1)-INDEX([3]Sheet1!$B$4:$B$23,
MATCH(K394,[3]Sheet1!$B$4:$B$23,1),1))*(INDEX([3]Sheet1!$C$4:$Q$23,MATCH(K394,[3]Sheet1!$B$4:$B$23,1)+1,MATCH(D394,[3]Sheet1!$C$3:$Q$3,1))-INDEX([3]Sheet1!$C$4:$Q$23,
MATCH(K394,[3]Sheet1!$B$4:$B$23,1),MATCH(D394,[3]Sheet1!$C$3:$Q$3,1)))
+(D394-INDEX([3]Sheet1!$C$3:$Q$3,1,MATCH(D394,[3]Sheet1!$C$3:$Q$3)))/(INDEX([3]Sheet1!$C$3:$Q$3,1,MATCH(D394,[3]Sheet1!$C$3:$Q$3)+1)-INDEX([3]Sheet1!$C$3:$Q$3,1,MATCH(
D394,[3]Sheet1!$C$3:$Q$3)))*(INDEX([3]Sheet1!$C$4:$Q$23,MATCH(K394,[3]Sheet1!$B$4:$B$23,1),MATCH(D394,[3]Sheet1!$C$3:$Q$3,1)+1)-INDEX([3]Sheet1!$C$4:$Q$23,MATCH(K394,[3]Sheet1!$B$4:$B$23,1),MATCH(D394,[3]Sheet1!$C$3:$Q$3,1))))</f>
        <v>0</v>
      </c>
      <c r="M394" cm="1">
        <f t="array" ref="M394" xml:space="preserve"> IF(E394*J394=0,0,(INDEX([2]Sheet1!$C$4:$Q$23,MATCH(K394,[2]Sheet1!$B$4:$B$23,1),MATCH(D394,[2]Sheet1!$C$3:$Q$3,1))
+ (K394 - INDEX([2]Sheet1!$B$4:$B$23,MATCH(K394,[2]Sheet1!$B$4:$B$23,1),1))/(INDEX([2]Sheet1!$B$4:$B$23,MATCH(K394,[2]Sheet1!$B$4:$B$23,1)+1,1) - INDEX([2]Sheet1!$B$4:$B$23,MATCH(K394,[2]Sheet1!$B$4:$B$23,1),1))*(INDEX([2]Sheet1!$C$4:$Q$23,MATCH(K394,[2]Sheet1!$B$4:$B$23,1)+1,MATCH(D394,[2]Sheet1!$C$3:$Q$3,1)) - INDEX([2]Sheet1!$C$4:$Q$23,MATCH(K394,[2]Sheet1!$B$4:$B$23,1),MATCH(D394,[2]Sheet1!$C$3:$Q$3,1)))
+ (D394 - INDEX([2]Sheet1!$C$3:$Q$3,1,MATCH(D394,[2]Sheet1!$C$3:$Q$3)))/(INDEX([2]Sheet1!$C$3:$Q$3,1,MATCH(D394,[2]Sheet1!$C$3:$Q$3)+1) - INDEX([2]Sheet1!$C$3:$Q$3,1,MATCH(D394,[2]Sheet1!$C$3:$Q$3)))*(
INDEX([2]Sheet1!$C$4:$Q$23,MATCH(K394,[2]Sheet1!$B$4:$B$23,1),MATCH(D394,[2]Sheet1!$C$3:$Q$3,1)+1) - INDEX([2]Sheet1!$C$4:$Q$23,MATCH(K394,[2]Sheet1!$B$4:$B$23,1),MATCH(D394,[2]Sheet1!$C$3:$Q$3,1)))))</f>
        <v>0</v>
      </c>
      <c r="N394">
        <f t="shared" si="116"/>
        <v>12</v>
      </c>
      <c r="O394">
        <v>8.7723357433211649E-2</v>
      </c>
      <c r="P394" t="e">
        <f t="shared" si="117"/>
        <v>#DIV/0!</v>
      </c>
      <c r="Q394">
        <f t="shared" si="104"/>
        <v>0</v>
      </c>
      <c r="R394">
        <f t="shared" si="118"/>
        <v>741.9099431943954</v>
      </c>
      <c r="T394" t="e">
        <f t="shared" si="107"/>
        <v>#DIV/0!</v>
      </c>
      <c r="U394" t="e">
        <f t="shared" si="108"/>
        <v>#DIV/0!</v>
      </c>
      <c r="V394">
        <f t="shared" si="109"/>
        <v>0</v>
      </c>
      <c r="W394" t="e">
        <f t="shared" si="105"/>
        <v>#DIV/0!</v>
      </c>
    </row>
    <row r="395" spans="1:23" x14ac:dyDescent="0.55000000000000004">
      <c r="A395">
        <f t="shared" si="106"/>
        <v>36.100000000000243</v>
      </c>
      <c r="B395">
        <f t="shared" si="110"/>
        <v>0.316</v>
      </c>
      <c r="C395">
        <f t="shared" si="111"/>
        <v>-18.543478260869723</v>
      </c>
      <c r="D395">
        <v>2.4395851067050338</v>
      </c>
      <c r="E395">
        <f t="shared" si="101"/>
        <v>0</v>
      </c>
      <c r="F395">
        <f t="shared" si="112"/>
        <v>4.8605058816845369E-2</v>
      </c>
      <c r="G395">
        <f t="shared" si="113"/>
        <v>39.513748498891111</v>
      </c>
      <c r="H395">
        <f t="shared" si="114"/>
        <v>0</v>
      </c>
      <c r="I395" s="1">
        <f t="shared" si="102"/>
        <v>0</v>
      </c>
      <c r="J395">
        <f t="shared" si="115"/>
        <v>0</v>
      </c>
      <c r="K395">
        <f t="shared" si="103"/>
        <v>0</v>
      </c>
      <c r="L395" cm="1">
        <f t="array" ref="L395">IF(E395*J395=0,0,$C$21*INDEX([3]Sheet1!$C$4:$Q$23,MATCH(K395,[3]Sheet1!$B$4:$B$23,1),MATCH(D395,[3]Sheet1!$C$3:$Q$3,1))
+(K395-INDEX([3]Sheet1!$B$4:$B$23,MATCH(K395,[3]Sheet1!$B$4:$B$23,1),1))/(INDEX([3]Sheet1!$B$4:$B$23,MATCH(K395,[3]Sheet1!$B$4:$B$23,1)+1,1)-INDEX([3]Sheet1!$B$4:$B$23,
MATCH(K395,[3]Sheet1!$B$4:$B$23,1),1))*(INDEX([3]Sheet1!$C$4:$Q$23,MATCH(K395,[3]Sheet1!$B$4:$B$23,1)+1,MATCH(D395,[3]Sheet1!$C$3:$Q$3,1))-INDEX([3]Sheet1!$C$4:$Q$23,
MATCH(K395,[3]Sheet1!$B$4:$B$23,1),MATCH(D395,[3]Sheet1!$C$3:$Q$3,1)))
+(D395-INDEX([3]Sheet1!$C$3:$Q$3,1,MATCH(D395,[3]Sheet1!$C$3:$Q$3)))/(INDEX([3]Sheet1!$C$3:$Q$3,1,MATCH(D395,[3]Sheet1!$C$3:$Q$3)+1)-INDEX([3]Sheet1!$C$3:$Q$3,1,MATCH(
D395,[3]Sheet1!$C$3:$Q$3)))*(INDEX([3]Sheet1!$C$4:$Q$23,MATCH(K395,[3]Sheet1!$B$4:$B$23,1),MATCH(D395,[3]Sheet1!$C$3:$Q$3,1)+1)-INDEX([3]Sheet1!$C$4:$Q$23,MATCH(K395,[3]Sheet1!$B$4:$B$23,1),MATCH(D395,[3]Sheet1!$C$3:$Q$3,1))))</f>
        <v>0</v>
      </c>
      <c r="M395" cm="1">
        <f t="array" ref="M395" xml:space="preserve"> IF(E395*J395=0,0,(INDEX([2]Sheet1!$C$4:$Q$23,MATCH(K395,[2]Sheet1!$B$4:$B$23,1),MATCH(D395,[2]Sheet1!$C$3:$Q$3,1))
+ (K395 - INDEX([2]Sheet1!$B$4:$B$23,MATCH(K395,[2]Sheet1!$B$4:$B$23,1),1))/(INDEX([2]Sheet1!$B$4:$B$23,MATCH(K395,[2]Sheet1!$B$4:$B$23,1)+1,1) - INDEX([2]Sheet1!$B$4:$B$23,MATCH(K395,[2]Sheet1!$B$4:$B$23,1),1))*(INDEX([2]Sheet1!$C$4:$Q$23,MATCH(K395,[2]Sheet1!$B$4:$B$23,1)+1,MATCH(D395,[2]Sheet1!$C$3:$Q$3,1)) - INDEX([2]Sheet1!$C$4:$Q$23,MATCH(K395,[2]Sheet1!$B$4:$B$23,1),MATCH(D395,[2]Sheet1!$C$3:$Q$3,1)))
+ (D395 - INDEX([2]Sheet1!$C$3:$Q$3,1,MATCH(D395,[2]Sheet1!$C$3:$Q$3)))/(INDEX([2]Sheet1!$C$3:$Q$3,1,MATCH(D395,[2]Sheet1!$C$3:$Q$3)+1) - INDEX([2]Sheet1!$C$3:$Q$3,1,MATCH(D395,[2]Sheet1!$C$3:$Q$3)))*(
INDEX([2]Sheet1!$C$4:$Q$23,MATCH(K395,[2]Sheet1!$B$4:$B$23,1),MATCH(D395,[2]Sheet1!$C$3:$Q$3,1)+1) - INDEX([2]Sheet1!$C$4:$Q$23,MATCH(K395,[2]Sheet1!$B$4:$B$23,1),MATCH(D395,[2]Sheet1!$C$3:$Q$3,1)))))</f>
        <v>0</v>
      </c>
      <c r="N395">
        <f t="shared" si="116"/>
        <v>12</v>
      </c>
      <c r="O395">
        <v>8.7704903158768416E-2</v>
      </c>
      <c r="P395" t="e">
        <f t="shared" si="117"/>
        <v>#DIV/0!</v>
      </c>
      <c r="Q395">
        <f t="shared" si="104"/>
        <v>0</v>
      </c>
      <c r="R395">
        <f t="shared" si="118"/>
        <v>741.9099431943954</v>
      </c>
      <c r="T395" t="e">
        <f t="shared" si="107"/>
        <v>#DIV/0!</v>
      </c>
      <c r="U395" t="e">
        <f t="shared" si="108"/>
        <v>#DIV/0!</v>
      </c>
      <c r="V395">
        <f t="shared" si="109"/>
        <v>0</v>
      </c>
      <c r="W395" t="e">
        <f t="shared" si="105"/>
        <v>#DIV/0!</v>
      </c>
    </row>
    <row r="396" spans="1:23" x14ac:dyDescent="0.55000000000000004">
      <c r="A396">
        <f t="shared" si="106"/>
        <v>36.200000000000244</v>
      </c>
      <c r="B396">
        <f t="shared" si="110"/>
        <v>0.316</v>
      </c>
      <c r="C396">
        <f t="shared" si="111"/>
        <v>-18.608695652174074</v>
      </c>
      <c r="D396">
        <v>2.4394931339519501</v>
      </c>
      <c r="E396">
        <f t="shared" si="101"/>
        <v>0</v>
      </c>
      <c r="F396">
        <f t="shared" si="112"/>
        <v>4.8605058816845369E-2</v>
      </c>
      <c r="G396">
        <f t="shared" si="113"/>
        <v>39.513748498891111</v>
      </c>
      <c r="H396">
        <f t="shared" si="114"/>
        <v>0</v>
      </c>
      <c r="I396" s="1">
        <f t="shared" si="102"/>
        <v>0</v>
      </c>
      <c r="J396">
        <f t="shared" si="115"/>
        <v>0</v>
      </c>
      <c r="K396">
        <f t="shared" si="103"/>
        <v>0</v>
      </c>
      <c r="L396" cm="1">
        <f t="array" ref="L396">IF(E396*J396=0,0,$C$21*INDEX([3]Sheet1!$C$4:$Q$23,MATCH(K396,[3]Sheet1!$B$4:$B$23,1),MATCH(D396,[3]Sheet1!$C$3:$Q$3,1))
+(K396-INDEX([3]Sheet1!$B$4:$B$23,MATCH(K396,[3]Sheet1!$B$4:$B$23,1),1))/(INDEX([3]Sheet1!$B$4:$B$23,MATCH(K396,[3]Sheet1!$B$4:$B$23,1)+1,1)-INDEX([3]Sheet1!$B$4:$B$23,
MATCH(K396,[3]Sheet1!$B$4:$B$23,1),1))*(INDEX([3]Sheet1!$C$4:$Q$23,MATCH(K396,[3]Sheet1!$B$4:$B$23,1)+1,MATCH(D396,[3]Sheet1!$C$3:$Q$3,1))-INDEX([3]Sheet1!$C$4:$Q$23,
MATCH(K396,[3]Sheet1!$B$4:$B$23,1),MATCH(D396,[3]Sheet1!$C$3:$Q$3,1)))
+(D396-INDEX([3]Sheet1!$C$3:$Q$3,1,MATCH(D396,[3]Sheet1!$C$3:$Q$3)))/(INDEX([3]Sheet1!$C$3:$Q$3,1,MATCH(D396,[3]Sheet1!$C$3:$Q$3)+1)-INDEX([3]Sheet1!$C$3:$Q$3,1,MATCH(
D396,[3]Sheet1!$C$3:$Q$3)))*(INDEX([3]Sheet1!$C$4:$Q$23,MATCH(K396,[3]Sheet1!$B$4:$B$23,1),MATCH(D396,[3]Sheet1!$C$3:$Q$3,1)+1)-INDEX([3]Sheet1!$C$4:$Q$23,MATCH(K396,[3]Sheet1!$B$4:$B$23,1),MATCH(D396,[3]Sheet1!$C$3:$Q$3,1))))</f>
        <v>0</v>
      </c>
      <c r="M396" cm="1">
        <f t="array" ref="M396" xml:space="preserve"> IF(E396*J396=0,0,(INDEX([2]Sheet1!$C$4:$Q$23,MATCH(K396,[2]Sheet1!$B$4:$B$23,1),MATCH(D396,[2]Sheet1!$C$3:$Q$3,1))
+ (K396 - INDEX([2]Sheet1!$B$4:$B$23,MATCH(K396,[2]Sheet1!$B$4:$B$23,1),1))/(INDEX([2]Sheet1!$B$4:$B$23,MATCH(K396,[2]Sheet1!$B$4:$B$23,1)+1,1) - INDEX([2]Sheet1!$B$4:$B$23,MATCH(K396,[2]Sheet1!$B$4:$B$23,1),1))*(INDEX([2]Sheet1!$C$4:$Q$23,MATCH(K396,[2]Sheet1!$B$4:$B$23,1)+1,MATCH(D396,[2]Sheet1!$C$3:$Q$3,1)) - INDEX([2]Sheet1!$C$4:$Q$23,MATCH(K396,[2]Sheet1!$B$4:$B$23,1),MATCH(D396,[2]Sheet1!$C$3:$Q$3,1)))
+ (D396 - INDEX([2]Sheet1!$C$3:$Q$3,1,MATCH(D396,[2]Sheet1!$C$3:$Q$3)))/(INDEX([2]Sheet1!$C$3:$Q$3,1,MATCH(D396,[2]Sheet1!$C$3:$Q$3)+1) - INDEX([2]Sheet1!$C$3:$Q$3,1,MATCH(D396,[2]Sheet1!$C$3:$Q$3)))*(
INDEX([2]Sheet1!$C$4:$Q$23,MATCH(K396,[2]Sheet1!$B$4:$B$23,1),MATCH(D396,[2]Sheet1!$C$3:$Q$3,1)+1) - INDEX([2]Sheet1!$C$4:$Q$23,MATCH(K396,[2]Sheet1!$B$4:$B$23,1),MATCH(D396,[2]Sheet1!$C$3:$Q$3,1)))))</f>
        <v>0</v>
      </c>
      <c r="N396">
        <f t="shared" si="116"/>
        <v>12</v>
      </c>
      <c r="O396">
        <v>8.7686484105397394E-2</v>
      </c>
      <c r="P396" t="e">
        <f t="shared" si="117"/>
        <v>#DIV/0!</v>
      </c>
      <c r="Q396">
        <f t="shared" si="104"/>
        <v>0</v>
      </c>
      <c r="R396">
        <f t="shared" si="118"/>
        <v>741.9099431943954</v>
      </c>
      <c r="T396" t="e">
        <f t="shared" si="107"/>
        <v>#DIV/0!</v>
      </c>
      <c r="U396" t="e">
        <f t="shared" si="108"/>
        <v>#DIV/0!</v>
      </c>
      <c r="V396">
        <f t="shared" si="109"/>
        <v>0</v>
      </c>
      <c r="W396" t="e">
        <f t="shared" si="105"/>
        <v>#DIV/0!</v>
      </c>
    </row>
    <row r="397" spans="1:23" x14ac:dyDescent="0.55000000000000004">
      <c r="A397">
        <f t="shared" si="106"/>
        <v>36.300000000000246</v>
      </c>
      <c r="B397">
        <f t="shared" si="110"/>
        <v>0.316</v>
      </c>
      <c r="C397">
        <f t="shared" si="111"/>
        <v>-18.673913043478425</v>
      </c>
      <c r="D397">
        <v>2.4394013172527784</v>
      </c>
      <c r="E397">
        <f t="shared" si="101"/>
        <v>0</v>
      </c>
      <c r="F397">
        <f t="shared" si="112"/>
        <v>4.8605058816845369E-2</v>
      </c>
      <c r="G397">
        <f t="shared" si="113"/>
        <v>39.513748498891111</v>
      </c>
      <c r="H397">
        <f t="shared" si="114"/>
        <v>0</v>
      </c>
      <c r="I397" s="1">
        <f t="shared" si="102"/>
        <v>0</v>
      </c>
      <c r="J397">
        <f t="shared" si="115"/>
        <v>0</v>
      </c>
      <c r="K397">
        <f t="shared" si="103"/>
        <v>0</v>
      </c>
      <c r="L397" cm="1">
        <f t="array" ref="L397">IF(E397*J397=0,0,$C$21*INDEX([3]Sheet1!$C$4:$Q$23,MATCH(K397,[3]Sheet1!$B$4:$B$23,1),MATCH(D397,[3]Sheet1!$C$3:$Q$3,1))
+(K397-INDEX([3]Sheet1!$B$4:$B$23,MATCH(K397,[3]Sheet1!$B$4:$B$23,1),1))/(INDEX([3]Sheet1!$B$4:$B$23,MATCH(K397,[3]Sheet1!$B$4:$B$23,1)+1,1)-INDEX([3]Sheet1!$B$4:$B$23,
MATCH(K397,[3]Sheet1!$B$4:$B$23,1),1))*(INDEX([3]Sheet1!$C$4:$Q$23,MATCH(K397,[3]Sheet1!$B$4:$B$23,1)+1,MATCH(D397,[3]Sheet1!$C$3:$Q$3,1))-INDEX([3]Sheet1!$C$4:$Q$23,
MATCH(K397,[3]Sheet1!$B$4:$B$23,1),MATCH(D397,[3]Sheet1!$C$3:$Q$3,1)))
+(D397-INDEX([3]Sheet1!$C$3:$Q$3,1,MATCH(D397,[3]Sheet1!$C$3:$Q$3)))/(INDEX([3]Sheet1!$C$3:$Q$3,1,MATCH(D397,[3]Sheet1!$C$3:$Q$3)+1)-INDEX([3]Sheet1!$C$3:$Q$3,1,MATCH(
D397,[3]Sheet1!$C$3:$Q$3)))*(INDEX([3]Sheet1!$C$4:$Q$23,MATCH(K397,[3]Sheet1!$B$4:$B$23,1),MATCH(D397,[3]Sheet1!$C$3:$Q$3,1)+1)-INDEX([3]Sheet1!$C$4:$Q$23,MATCH(K397,[3]Sheet1!$B$4:$B$23,1),MATCH(D397,[3]Sheet1!$C$3:$Q$3,1))))</f>
        <v>0</v>
      </c>
      <c r="M397" cm="1">
        <f t="array" ref="M397" xml:space="preserve"> IF(E397*J397=0,0,(INDEX([2]Sheet1!$C$4:$Q$23,MATCH(K397,[2]Sheet1!$B$4:$B$23,1),MATCH(D397,[2]Sheet1!$C$3:$Q$3,1))
+ (K397 - INDEX([2]Sheet1!$B$4:$B$23,MATCH(K397,[2]Sheet1!$B$4:$B$23,1),1))/(INDEX([2]Sheet1!$B$4:$B$23,MATCH(K397,[2]Sheet1!$B$4:$B$23,1)+1,1) - INDEX([2]Sheet1!$B$4:$B$23,MATCH(K397,[2]Sheet1!$B$4:$B$23,1),1))*(INDEX([2]Sheet1!$C$4:$Q$23,MATCH(K397,[2]Sheet1!$B$4:$B$23,1)+1,MATCH(D397,[2]Sheet1!$C$3:$Q$3,1)) - INDEX([2]Sheet1!$C$4:$Q$23,MATCH(K397,[2]Sheet1!$B$4:$B$23,1),MATCH(D397,[2]Sheet1!$C$3:$Q$3,1)))
+ (D397 - INDEX([2]Sheet1!$C$3:$Q$3,1,MATCH(D397,[2]Sheet1!$C$3:$Q$3)))/(INDEX([2]Sheet1!$C$3:$Q$3,1,MATCH(D397,[2]Sheet1!$C$3:$Q$3)+1) - INDEX([2]Sheet1!$C$3:$Q$3,1,MATCH(D397,[2]Sheet1!$C$3:$Q$3)))*(
INDEX([2]Sheet1!$C$4:$Q$23,MATCH(K397,[2]Sheet1!$B$4:$B$23,1),MATCH(D397,[2]Sheet1!$C$3:$Q$3,1)+1) - INDEX([2]Sheet1!$C$4:$Q$23,MATCH(K397,[2]Sheet1!$B$4:$B$23,1),MATCH(D397,[2]Sheet1!$C$3:$Q$3,1)))))</f>
        <v>0</v>
      </c>
      <c r="N397">
        <f t="shared" si="116"/>
        <v>12</v>
      </c>
      <c r="O397">
        <v>8.7668100142783631E-2</v>
      </c>
      <c r="P397" t="e">
        <f t="shared" si="117"/>
        <v>#DIV/0!</v>
      </c>
      <c r="Q397">
        <f t="shared" si="104"/>
        <v>0</v>
      </c>
      <c r="R397">
        <f t="shared" si="118"/>
        <v>741.9099431943954</v>
      </c>
      <c r="T397" t="e">
        <f t="shared" si="107"/>
        <v>#DIV/0!</v>
      </c>
      <c r="U397" t="e">
        <f t="shared" si="108"/>
        <v>#DIV/0!</v>
      </c>
      <c r="V397">
        <f t="shared" si="109"/>
        <v>0</v>
      </c>
      <c r="W397" t="e">
        <f t="shared" si="105"/>
        <v>#DIV/0!</v>
      </c>
    </row>
    <row r="398" spans="1:23" x14ac:dyDescent="0.55000000000000004">
      <c r="A398">
        <f t="shared" si="106"/>
        <v>36.400000000000247</v>
      </c>
      <c r="B398">
        <f t="shared" si="110"/>
        <v>0.316</v>
      </c>
      <c r="C398">
        <f t="shared" si="111"/>
        <v>-18.739130434782773</v>
      </c>
      <c r="D398">
        <v>2.4393096560611003</v>
      </c>
      <c r="E398">
        <f t="shared" si="101"/>
        <v>0</v>
      </c>
      <c r="F398">
        <f t="shared" si="112"/>
        <v>4.8605058816845369E-2</v>
      </c>
      <c r="G398">
        <f t="shared" si="113"/>
        <v>39.513748498891111</v>
      </c>
      <c r="H398">
        <f t="shared" si="114"/>
        <v>0</v>
      </c>
      <c r="I398" s="1">
        <f t="shared" si="102"/>
        <v>0</v>
      </c>
      <c r="J398">
        <f t="shared" si="115"/>
        <v>0</v>
      </c>
      <c r="K398">
        <f t="shared" si="103"/>
        <v>0</v>
      </c>
      <c r="L398" cm="1">
        <f t="array" ref="L398">IF(E398*J398=0,0,$C$21*INDEX([3]Sheet1!$C$4:$Q$23,MATCH(K398,[3]Sheet1!$B$4:$B$23,1),MATCH(D398,[3]Sheet1!$C$3:$Q$3,1))
+(K398-INDEX([3]Sheet1!$B$4:$B$23,MATCH(K398,[3]Sheet1!$B$4:$B$23,1),1))/(INDEX([3]Sheet1!$B$4:$B$23,MATCH(K398,[3]Sheet1!$B$4:$B$23,1)+1,1)-INDEX([3]Sheet1!$B$4:$B$23,
MATCH(K398,[3]Sheet1!$B$4:$B$23,1),1))*(INDEX([3]Sheet1!$C$4:$Q$23,MATCH(K398,[3]Sheet1!$B$4:$B$23,1)+1,MATCH(D398,[3]Sheet1!$C$3:$Q$3,1))-INDEX([3]Sheet1!$C$4:$Q$23,
MATCH(K398,[3]Sheet1!$B$4:$B$23,1),MATCH(D398,[3]Sheet1!$C$3:$Q$3,1)))
+(D398-INDEX([3]Sheet1!$C$3:$Q$3,1,MATCH(D398,[3]Sheet1!$C$3:$Q$3)))/(INDEX([3]Sheet1!$C$3:$Q$3,1,MATCH(D398,[3]Sheet1!$C$3:$Q$3)+1)-INDEX([3]Sheet1!$C$3:$Q$3,1,MATCH(
D398,[3]Sheet1!$C$3:$Q$3)))*(INDEX([3]Sheet1!$C$4:$Q$23,MATCH(K398,[3]Sheet1!$B$4:$B$23,1),MATCH(D398,[3]Sheet1!$C$3:$Q$3,1)+1)-INDEX([3]Sheet1!$C$4:$Q$23,MATCH(K398,[3]Sheet1!$B$4:$B$23,1),MATCH(D398,[3]Sheet1!$C$3:$Q$3,1))))</f>
        <v>0</v>
      </c>
      <c r="M398" cm="1">
        <f t="array" ref="M398" xml:space="preserve"> IF(E398*J398=0,0,(INDEX([2]Sheet1!$C$4:$Q$23,MATCH(K398,[2]Sheet1!$B$4:$B$23,1),MATCH(D398,[2]Sheet1!$C$3:$Q$3,1))
+ (K398 - INDEX([2]Sheet1!$B$4:$B$23,MATCH(K398,[2]Sheet1!$B$4:$B$23,1),1))/(INDEX([2]Sheet1!$B$4:$B$23,MATCH(K398,[2]Sheet1!$B$4:$B$23,1)+1,1) - INDEX([2]Sheet1!$B$4:$B$23,MATCH(K398,[2]Sheet1!$B$4:$B$23,1),1))*(INDEX([2]Sheet1!$C$4:$Q$23,MATCH(K398,[2]Sheet1!$B$4:$B$23,1)+1,MATCH(D398,[2]Sheet1!$C$3:$Q$3,1)) - INDEX([2]Sheet1!$C$4:$Q$23,MATCH(K398,[2]Sheet1!$B$4:$B$23,1),MATCH(D398,[2]Sheet1!$C$3:$Q$3,1)))
+ (D398 - INDEX([2]Sheet1!$C$3:$Q$3,1,MATCH(D398,[2]Sheet1!$C$3:$Q$3)))/(INDEX([2]Sheet1!$C$3:$Q$3,1,MATCH(D398,[2]Sheet1!$C$3:$Q$3)+1) - INDEX([2]Sheet1!$C$3:$Q$3,1,MATCH(D398,[2]Sheet1!$C$3:$Q$3)))*(
INDEX([2]Sheet1!$C$4:$Q$23,MATCH(K398,[2]Sheet1!$B$4:$B$23,1),MATCH(D398,[2]Sheet1!$C$3:$Q$3,1)+1) - INDEX([2]Sheet1!$C$4:$Q$23,MATCH(K398,[2]Sheet1!$B$4:$B$23,1),MATCH(D398,[2]Sheet1!$C$3:$Q$3,1)))))</f>
        <v>0</v>
      </c>
      <c r="N398">
        <f t="shared" si="116"/>
        <v>12</v>
      </c>
      <c r="O398">
        <v>8.7649751141327434E-2</v>
      </c>
      <c r="P398" t="e">
        <f t="shared" si="117"/>
        <v>#DIV/0!</v>
      </c>
      <c r="Q398">
        <f t="shared" si="104"/>
        <v>0</v>
      </c>
      <c r="R398">
        <f t="shared" si="118"/>
        <v>741.9099431943954</v>
      </c>
      <c r="T398" t="e">
        <f t="shared" si="107"/>
        <v>#DIV/0!</v>
      </c>
      <c r="U398" t="e">
        <f t="shared" si="108"/>
        <v>#DIV/0!</v>
      </c>
      <c r="V398">
        <f t="shared" si="109"/>
        <v>0</v>
      </c>
      <c r="W398" t="e">
        <f t="shared" si="105"/>
        <v>#DIV/0!</v>
      </c>
    </row>
    <row r="399" spans="1:23" x14ac:dyDescent="0.55000000000000004">
      <c r="A399">
        <f t="shared" si="106"/>
        <v>36.500000000000249</v>
      </c>
      <c r="B399">
        <f t="shared" si="110"/>
        <v>0.316</v>
      </c>
      <c r="C399">
        <f t="shared" si="111"/>
        <v>-18.80434782608712</v>
      </c>
      <c r="D399">
        <v>2.4392181498333811</v>
      </c>
      <c r="E399">
        <f t="shared" si="101"/>
        <v>0</v>
      </c>
      <c r="F399">
        <f t="shared" si="112"/>
        <v>4.8605058816845369E-2</v>
      </c>
      <c r="G399">
        <f t="shared" si="113"/>
        <v>39.513748498891111</v>
      </c>
      <c r="H399">
        <f t="shared" si="114"/>
        <v>0</v>
      </c>
      <c r="I399" s="1">
        <f t="shared" si="102"/>
        <v>0</v>
      </c>
      <c r="J399">
        <f t="shared" si="115"/>
        <v>0</v>
      </c>
      <c r="K399">
        <f t="shared" si="103"/>
        <v>0</v>
      </c>
      <c r="L399" cm="1">
        <f t="array" ref="L399">IF(E399*J399=0,0,$C$21*INDEX([3]Sheet1!$C$4:$Q$23,MATCH(K399,[3]Sheet1!$B$4:$B$23,1),MATCH(D399,[3]Sheet1!$C$3:$Q$3,1))
+(K399-INDEX([3]Sheet1!$B$4:$B$23,MATCH(K399,[3]Sheet1!$B$4:$B$23,1),1))/(INDEX([3]Sheet1!$B$4:$B$23,MATCH(K399,[3]Sheet1!$B$4:$B$23,1)+1,1)-INDEX([3]Sheet1!$B$4:$B$23,
MATCH(K399,[3]Sheet1!$B$4:$B$23,1),1))*(INDEX([3]Sheet1!$C$4:$Q$23,MATCH(K399,[3]Sheet1!$B$4:$B$23,1)+1,MATCH(D399,[3]Sheet1!$C$3:$Q$3,1))-INDEX([3]Sheet1!$C$4:$Q$23,
MATCH(K399,[3]Sheet1!$B$4:$B$23,1),MATCH(D399,[3]Sheet1!$C$3:$Q$3,1)))
+(D399-INDEX([3]Sheet1!$C$3:$Q$3,1,MATCH(D399,[3]Sheet1!$C$3:$Q$3)))/(INDEX([3]Sheet1!$C$3:$Q$3,1,MATCH(D399,[3]Sheet1!$C$3:$Q$3)+1)-INDEX([3]Sheet1!$C$3:$Q$3,1,MATCH(
D399,[3]Sheet1!$C$3:$Q$3)))*(INDEX([3]Sheet1!$C$4:$Q$23,MATCH(K399,[3]Sheet1!$B$4:$B$23,1),MATCH(D399,[3]Sheet1!$C$3:$Q$3,1)+1)-INDEX([3]Sheet1!$C$4:$Q$23,MATCH(K399,[3]Sheet1!$B$4:$B$23,1),MATCH(D399,[3]Sheet1!$C$3:$Q$3,1))))</f>
        <v>0</v>
      </c>
      <c r="M399" cm="1">
        <f t="array" ref="M399" xml:space="preserve"> IF(E399*J399=0,0,(INDEX([2]Sheet1!$C$4:$Q$23,MATCH(K399,[2]Sheet1!$B$4:$B$23,1),MATCH(D399,[2]Sheet1!$C$3:$Q$3,1))
+ (K399 - INDEX([2]Sheet1!$B$4:$B$23,MATCH(K399,[2]Sheet1!$B$4:$B$23,1),1))/(INDEX([2]Sheet1!$B$4:$B$23,MATCH(K399,[2]Sheet1!$B$4:$B$23,1)+1,1) - INDEX([2]Sheet1!$B$4:$B$23,MATCH(K399,[2]Sheet1!$B$4:$B$23,1),1))*(INDEX([2]Sheet1!$C$4:$Q$23,MATCH(K399,[2]Sheet1!$B$4:$B$23,1)+1,MATCH(D399,[2]Sheet1!$C$3:$Q$3,1)) - INDEX([2]Sheet1!$C$4:$Q$23,MATCH(K399,[2]Sheet1!$B$4:$B$23,1),MATCH(D399,[2]Sheet1!$C$3:$Q$3,1)))
+ (D399 - INDEX([2]Sheet1!$C$3:$Q$3,1,MATCH(D399,[2]Sheet1!$C$3:$Q$3)))/(INDEX([2]Sheet1!$C$3:$Q$3,1,MATCH(D399,[2]Sheet1!$C$3:$Q$3)+1) - INDEX([2]Sheet1!$C$3:$Q$3,1,MATCH(D399,[2]Sheet1!$C$3:$Q$3)))*(
INDEX([2]Sheet1!$C$4:$Q$23,MATCH(K399,[2]Sheet1!$B$4:$B$23,1),MATCH(D399,[2]Sheet1!$C$3:$Q$3,1)+1) - INDEX([2]Sheet1!$C$4:$Q$23,MATCH(K399,[2]Sheet1!$B$4:$B$23,1),MATCH(D399,[2]Sheet1!$C$3:$Q$3,1)))))</f>
        <v>0</v>
      </c>
      <c r="N399">
        <f t="shared" si="116"/>
        <v>12</v>
      </c>
      <c r="O399">
        <v>8.7631436972137808E-2</v>
      </c>
      <c r="P399" t="e">
        <f t="shared" si="117"/>
        <v>#DIV/0!</v>
      </c>
      <c r="Q399">
        <f t="shared" si="104"/>
        <v>0</v>
      </c>
      <c r="R399">
        <f t="shared" si="118"/>
        <v>741.9099431943954</v>
      </c>
      <c r="T399" t="e">
        <f t="shared" si="107"/>
        <v>#DIV/0!</v>
      </c>
      <c r="U399" t="e">
        <f t="shared" si="108"/>
        <v>#DIV/0!</v>
      </c>
      <c r="V399">
        <f t="shared" si="109"/>
        <v>0</v>
      </c>
      <c r="W399" t="e">
        <f t="shared" si="105"/>
        <v>#DIV/0!</v>
      </c>
    </row>
    <row r="400" spans="1:23" x14ac:dyDescent="0.55000000000000004">
      <c r="A400">
        <f t="shared" si="106"/>
        <v>36.60000000000025</v>
      </c>
      <c r="B400">
        <f t="shared" si="110"/>
        <v>0.316</v>
      </c>
      <c r="C400">
        <f t="shared" si="111"/>
        <v>-18.869565217391468</v>
      </c>
      <c r="D400">
        <v>2.4391267980289526</v>
      </c>
      <c r="E400">
        <f t="shared" si="101"/>
        <v>0</v>
      </c>
      <c r="F400">
        <f t="shared" si="112"/>
        <v>4.8605058816845369E-2</v>
      </c>
      <c r="G400">
        <f t="shared" si="113"/>
        <v>39.513748498891111</v>
      </c>
      <c r="H400">
        <f t="shared" si="114"/>
        <v>0</v>
      </c>
      <c r="I400" s="1">
        <f t="shared" si="102"/>
        <v>0</v>
      </c>
      <c r="J400">
        <f t="shared" si="115"/>
        <v>0</v>
      </c>
      <c r="K400">
        <f t="shared" si="103"/>
        <v>0</v>
      </c>
      <c r="L400" cm="1">
        <f t="array" ref="L400">IF(E400*J400=0,0,$C$21*INDEX([3]Sheet1!$C$4:$Q$23,MATCH(K400,[3]Sheet1!$B$4:$B$23,1),MATCH(D400,[3]Sheet1!$C$3:$Q$3,1))
+(K400-INDEX([3]Sheet1!$B$4:$B$23,MATCH(K400,[3]Sheet1!$B$4:$B$23,1),1))/(INDEX([3]Sheet1!$B$4:$B$23,MATCH(K400,[3]Sheet1!$B$4:$B$23,1)+1,1)-INDEX([3]Sheet1!$B$4:$B$23,
MATCH(K400,[3]Sheet1!$B$4:$B$23,1),1))*(INDEX([3]Sheet1!$C$4:$Q$23,MATCH(K400,[3]Sheet1!$B$4:$B$23,1)+1,MATCH(D400,[3]Sheet1!$C$3:$Q$3,1))-INDEX([3]Sheet1!$C$4:$Q$23,
MATCH(K400,[3]Sheet1!$B$4:$B$23,1),MATCH(D400,[3]Sheet1!$C$3:$Q$3,1)))
+(D400-INDEX([3]Sheet1!$C$3:$Q$3,1,MATCH(D400,[3]Sheet1!$C$3:$Q$3)))/(INDEX([3]Sheet1!$C$3:$Q$3,1,MATCH(D400,[3]Sheet1!$C$3:$Q$3)+1)-INDEX([3]Sheet1!$C$3:$Q$3,1,MATCH(
D400,[3]Sheet1!$C$3:$Q$3)))*(INDEX([3]Sheet1!$C$4:$Q$23,MATCH(K400,[3]Sheet1!$B$4:$B$23,1),MATCH(D400,[3]Sheet1!$C$3:$Q$3,1)+1)-INDEX([3]Sheet1!$C$4:$Q$23,MATCH(K400,[3]Sheet1!$B$4:$B$23,1),MATCH(D400,[3]Sheet1!$C$3:$Q$3,1))))</f>
        <v>0</v>
      </c>
      <c r="M400" cm="1">
        <f t="array" ref="M400" xml:space="preserve"> IF(E400*J400=0,0,(INDEX([2]Sheet1!$C$4:$Q$23,MATCH(K400,[2]Sheet1!$B$4:$B$23,1),MATCH(D400,[2]Sheet1!$C$3:$Q$3,1))
+ (K400 - INDEX([2]Sheet1!$B$4:$B$23,MATCH(K400,[2]Sheet1!$B$4:$B$23,1),1))/(INDEX([2]Sheet1!$B$4:$B$23,MATCH(K400,[2]Sheet1!$B$4:$B$23,1)+1,1) - INDEX([2]Sheet1!$B$4:$B$23,MATCH(K400,[2]Sheet1!$B$4:$B$23,1),1))*(INDEX([2]Sheet1!$C$4:$Q$23,MATCH(K400,[2]Sheet1!$B$4:$B$23,1)+1,MATCH(D400,[2]Sheet1!$C$3:$Q$3,1)) - INDEX([2]Sheet1!$C$4:$Q$23,MATCH(K400,[2]Sheet1!$B$4:$B$23,1),MATCH(D400,[2]Sheet1!$C$3:$Q$3,1)))
+ (D400 - INDEX([2]Sheet1!$C$3:$Q$3,1,MATCH(D400,[2]Sheet1!$C$3:$Q$3)))/(INDEX([2]Sheet1!$C$3:$Q$3,1,MATCH(D400,[2]Sheet1!$C$3:$Q$3)+1) - INDEX([2]Sheet1!$C$3:$Q$3,1,MATCH(D400,[2]Sheet1!$C$3:$Q$3)))*(
INDEX([2]Sheet1!$C$4:$Q$23,MATCH(K400,[2]Sheet1!$B$4:$B$23,1),MATCH(D400,[2]Sheet1!$C$3:$Q$3,1)+1) - INDEX([2]Sheet1!$C$4:$Q$23,MATCH(K400,[2]Sheet1!$B$4:$B$23,1),MATCH(D400,[2]Sheet1!$C$3:$Q$3,1)))))</f>
        <v>0</v>
      </c>
      <c r="N400">
        <f t="shared" si="116"/>
        <v>12</v>
      </c>
      <c r="O400">
        <v>8.7613157507029069E-2</v>
      </c>
      <c r="P400" t="e">
        <f t="shared" si="117"/>
        <v>#DIV/0!</v>
      </c>
      <c r="Q400">
        <f t="shared" si="104"/>
        <v>0</v>
      </c>
      <c r="R400">
        <f t="shared" si="118"/>
        <v>741.9099431943954</v>
      </c>
      <c r="T400" t="e">
        <f t="shared" si="107"/>
        <v>#DIV/0!</v>
      </c>
      <c r="U400" t="e">
        <f t="shared" si="108"/>
        <v>#DIV/0!</v>
      </c>
      <c r="V400">
        <f t="shared" si="109"/>
        <v>0</v>
      </c>
      <c r="W400" t="e">
        <f t="shared" si="105"/>
        <v>#DIV/0!</v>
      </c>
    </row>
    <row r="401" spans="1:23" x14ac:dyDescent="0.55000000000000004">
      <c r="A401">
        <f t="shared" si="106"/>
        <v>36.700000000000252</v>
      </c>
      <c r="B401">
        <f t="shared" si="110"/>
        <v>0.316</v>
      </c>
      <c r="C401">
        <f t="shared" si="111"/>
        <v>-18.934782608695819</v>
      </c>
      <c r="D401">
        <v>2.4390356001099835</v>
      </c>
      <c r="E401">
        <f t="shared" si="101"/>
        <v>0</v>
      </c>
      <c r="F401">
        <f t="shared" si="112"/>
        <v>4.8605058816845369E-2</v>
      </c>
      <c r="G401">
        <f t="shared" si="113"/>
        <v>39.513748498891111</v>
      </c>
      <c r="H401">
        <f t="shared" si="114"/>
        <v>0</v>
      </c>
      <c r="I401" s="1">
        <f t="shared" si="102"/>
        <v>0</v>
      </c>
      <c r="J401">
        <f t="shared" si="115"/>
        <v>0</v>
      </c>
      <c r="K401">
        <f t="shared" si="103"/>
        <v>0</v>
      </c>
      <c r="L401" cm="1">
        <f t="array" ref="L401">IF(E401*J401=0,0,$C$21*INDEX([3]Sheet1!$C$4:$Q$23,MATCH(K401,[3]Sheet1!$B$4:$B$23,1),MATCH(D401,[3]Sheet1!$C$3:$Q$3,1))
+(K401-INDEX([3]Sheet1!$B$4:$B$23,MATCH(K401,[3]Sheet1!$B$4:$B$23,1),1))/(INDEX([3]Sheet1!$B$4:$B$23,MATCH(K401,[3]Sheet1!$B$4:$B$23,1)+1,1)-INDEX([3]Sheet1!$B$4:$B$23,
MATCH(K401,[3]Sheet1!$B$4:$B$23,1),1))*(INDEX([3]Sheet1!$C$4:$Q$23,MATCH(K401,[3]Sheet1!$B$4:$B$23,1)+1,MATCH(D401,[3]Sheet1!$C$3:$Q$3,1))-INDEX([3]Sheet1!$C$4:$Q$23,
MATCH(K401,[3]Sheet1!$B$4:$B$23,1),MATCH(D401,[3]Sheet1!$C$3:$Q$3,1)))
+(D401-INDEX([3]Sheet1!$C$3:$Q$3,1,MATCH(D401,[3]Sheet1!$C$3:$Q$3)))/(INDEX([3]Sheet1!$C$3:$Q$3,1,MATCH(D401,[3]Sheet1!$C$3:$Q$3)+1)-INDEX([3]Sheet1!$C$3:$Q$3,1,MATCH(
D401,[3]Sheet1!$C$3:$Q$3)))*(INDEX([3]Sheet1!$C$4:$Q$23,MATCH(K401,[3]Sheet1!$B$4:$B$23,1),MATCH(D401,[3]Sheet1!$C$3:$Q$3,1)+1)-INDEX([3]Sheet1!$C$4:$Q$23,MATCH(K401,[3]Sheet1!$B$4:$B$23,1),MATCH(D401,[3]Sheet1!$C$3:$Q$3,1))))</f>
        <v>0</v>
      </c>
      <c r="M401" cm="1">
        <f t="array" ref="M401" xml:space="preserve"> IF(E401*J401=0,0,(INDEX([2]Sheet1!$C$4:$Q$23,MATCH(K401,[2]Sheet1!$B$4:$B$23,1),MATCH(D401,[2]Sheet1!$C$3:$Q$3,1))
+ (K401 - INDEX([2]Sheet1!$B$4:$B$23,MATCH(K401,[2]Sheet1!$B$4:$B$23,1),1))/(INDEX([2]Sheet1!$B$4:$B$23,MATCH(K401,[2]Sheet1!$B$4:$B$23,1)+1,1) - INDEX([2]Sheet1!$B$4:$B$23,MATCH(K401,[2]Sheet1!$B$4:$B$23,1),1))*(INDEX([2]Sheet1!$C$4:$Q$23,MATCH(K401,[2]Sheet1!$B$4:$B$23,1)+1,MATCH(D401,[2]Sheet1!$C$3:$Q$3,1)) - INDEX([2]Sheet1!$C$4:$Q$23,MATCH(K401,[2]Sheet1!$B$4:$B$23,1),MATCH(D401,[2]Sheet1!$C$3:$Q$3,1)))
+ (D401 - INDEX([2]Sheet1!$C$3:$Q$3,1,MATCH(D401,[2]Sheet1!$C$3:$Q$3)))/(INDEX([2]Sheet1!$C$3:$Q$3,1,MATCH(D401,[2]Sheet1!$C$3:$Q$3)+1) - INDEX([2]Sheet1!$C$3:$Q$3,1,MATCH(D401,[2]Sheet1!$C$3:$Q$3)))*(
INDEX([2]Sheet1!$C$4:$Q$23,MATCH(K401,[2]Sheet1!$B$4:$B$23,1),MATCH(D401,[2]Sheet1!$C$3:$Q$3,1)+1) - INDEX([2]Sheet1!$C$4:$Q$23,MATCH(K401,[2]Sheet1!$B$4:$B$23,1),MATCH(D401,[2]Sheet1!$C$3:$Q$3,1)))))</f>
        <v>0</v>
      </c>
      <c r="N401">
        <f t="shared" si="116"/>
        <v>12</v>
      </c>
      <c r="O401">
        <v>8.7594912618513071E-2</v>
      </c>
      <c r="P401" t="e">
        <f t="shared" si="117"/>
        <v>#DIV/0!</v>
      </c>
      <c r="Q401">
        <f t="shared" si="104"/>
        <v>0</v>
      </c>
      <c r="R401">
        <f t="shared" si="118"/>
        <v>741.9099431943954</v>
      </c>
      <c r="T401" t="e">
        <f t="shared" si="107"/>
        <v>#DIV/0!</v>
      </c>
      <c r="U401" t="e">
        <f t="shared" si="108"/>
        <v>#DIV/0!</v>
      </c>
      <c r="V401">
        <f t="shared" si="109"/>
        <v>0</v>
      </c>
      <c r="W401" t="e">
        <f t="shared" si="105"/>
        <v>#DIV/0!</v>
      </c>
    </row>
    <row r="402" spans="1:23" x14ac:dyDescent="0.55000000000000004">
      <c r="A402">
        <f t="shared" si="106"/>
        <v>36.800000000000253</v>
      </c>
      <c r="B402">
        <f t="shared" si="110"/>
        <v>0.316</v>
      </c>
      <c r="C402">
        <f t="shared" si="111"/>
        <v>-19.000000000000167</v>
      </c>
      <c r="D402">
        <v>2.4389445555414744</v>
      </c>
      <c r="E402">
        <f t="shared" si="101"/>
        <v>0</v>
      </c>
      <c r="F402">
        <f t="shared" si="112"/>
        <v>4.8605058816845369E-2</v>
      </c>
      <c r="G402">
        <f t="shared" si="113"/>
        <v>39.513748498891111</v>
      </c>
      <c r="H402">
        <f t="shared" si="114"/>
        <v>0</v>
      </c>
      <c r="I402" s="1">
        <f t="shared" si="102"/>
        <v>0</v>
      </c>
      <c r="J402">
        <f t="shared" si="115"/>
        <v>0</v>
      </c>
      <c r="K402">
        <f t="shared" si="103"/>
        <v>0</v>
      </c>
      <c r="L402" cm="1">
        <f t="array" ref="L402">IF(E402*J402=0,0,$C$21*INDEX([3]Sheet1!$C$4:$Q$23,MATCH(K402,[3]Sheet1!$B$4:$B$23,1),MATCH(D402,[3]Sheet1!$C$3:$Q$3,1))
+(K402-INDEX([3]Sheet1!$B$4:$B$23,MATCH(K402,[3]Sheet1!$B$4:$B$23,1),1))/(INDEX([3]Sheet1!$B$4:$B$23,MATCH(K402,[3]Sheet1!$B$4:$B$23,1)+1,1)-INDEX([3]Sheet1!$B$4:$B$23,
MATCH(K402,[3]Sheet1!$B$4:$B$23,1),1))*(INDEX([3]Sheet1!$C$4:$Q$23,MATCH(K402,[3]Sheet1!$B$4:$B$23,1)+1,MATCH(D402,[3]Sheet1!$C$3:$Q$3,1))-INDEX([3]Sheet1!$C$4:$Q$23,
MATCH(K402,[3]Sheet1!$B$4:$B$23,1),MATCH(D402,[3]Sheet1!$C$3:$Q$3,1)))
+(D402-INDEX([3]Sheet1!$C$3:$Q$3,1,MATCH(D402,[3]Sheet1!$C$3:$Q$3)))/(INDEX([3]Sheet1!$C$3:$Q$3,1,MATCH(D402,[3]Sheet1!$C$3:$Q$3)+1)-INDEX([3]Sheet1!$C$3:$Q$3,1,MATCH(
D402,[3]Sheet1!$C$3:$Q$3)))*(INDEX([3]Sheet1!$C$4:$Q$23,MATCH(K402,[3]Sheet1!$B$4:$B$23,1),MATCH(D402,[3]Sheet1!$C$3:$Q$3,1)+1)-INDEX([3]Sheet1!$C$4:$Q$23,MATCH(K402,[3]Sheet1!$B$4:$B$23,1),MATCH(D402,[3]Sheet1!$C$3:$Q$3,1))))</f>
        <v>0</v>
      </c>
      <c r="M402" cm="1">
        <f t="array" ref="M402" xml:space="preserve"> IF(E402*J402=0,0,(INDEX([2]Sheet1!$C$4:$Q$23,MATCH(K402,[2]Sheet1!$B$4:$B$23,1),MATCH(D402,[2]Sheet1!$C$3:$Q$3,1))
+ (K402 - INDEX([2]Sheet1!$B$4:$B$23,MATCH(K402,[2]Sheet1!$B$4:$B$23,1),1))/(INDEX([2]Sheet1!$B$4:$B$23,MATCH(K402,[2]Sheet1!$B$4:$B$23,1)+1,1) - INDEX([2]Sheet1!$B$4:$B$23,MATCH(K402,[2]Sheet1!$B$4:$B$23,1),1))*(INDEX([2]Sheet1!$C$4:$Q$23,MATCH(K402,[2]Sheet1!$B$4:$B$23,1)+1,MATCH(D402,[2]Sheet1!$C$3:$Q$3,1)) - INDEX([2]Sheet1!$C$4:$Q$23,MATCH(K402,[2]Sheet1!$B$4:$B$23,1),MATCH(D402,[2]Sheet1!$C$3:$Q$3,1)))
+ (D402 - INDEX([2]Sheet1!$C$3:$Q$3,1,MATCH(D402,[2]Sheet1!$C$3:$Q$3)))/(INDEX([2]Sheet1!$C$3:$Q$3,1,MATCH(D402,[2]Sheet1!$C$3:$Q$3)+1) - INDEX([2]Sheet1!$C$3:$Q$3,1,MATCH(D402,[2]Sheet1!$C$3:$Q$3)))*(
INDEX([2]Sheet1!$C$4:$Q$23,MATCH(K402,[2]Sheet1!$B$4:$B$23,1),MATCH(D402,[2]Sheet1!$C$3:$Q$3,1)+1) - INDEX([2]Sheet1!$C$4:$Q$23,MATCH(K402,[2]Sheet1!$B$4:$B$23,1),MATCH(D402,[2]Sheet1!$C$3:$Q$3,1)))))</f>
        <v>0</v>
      </c>
      <c r="N402">
        <f t="shared" si="116"/>
        <v>12</v>
      </c>
      <c r="O402">
        <v>8.7576702179797378E-2</v>
      </c>
      <c r="P402" t="e">
        <f t="shared" si="117"/>
        <v>#DIV/0!</v>
      </c>
      <c r="Q402">
        <f t="shared" si="104"/>
        <v>0</v>
      </c>
      <c r="R402">
        <f t="shared" si="118"/>
        <v>741.9099431943954</v>
      </c>
      <c r="T402" t="e">
        <f t="shared" si="107"/>
        <v>#DIV/0!</v>
      </c>
      <c r="U402" t="e">
        <f t="shared" si="108"/>
        <v>#DIV/0!</v>
      </c>
      <c r="V402">
        <f t="shared" si="109"/>
        <v>0</v>
      </c>
      <c r="W402" t="e">
        <f t="shared" si="105"/>
        <v>#DIV/0!</v>
      </c>
    </row>
    <row r="403" spans="1:23" x14ac:dyDescent="0.55000000000000004">
      <c r="A403">
        <f t="shared" si="106"/>
        <v>36.900000000000254</v>
      </c>
      <c r="B403">
        <f t="shared" si="110"/>
        <v>0.316</v>
      </c>
      <c r="C403">
        <f t="shared" si="111"/>
        <v>-19.065217391304515</v>
      </c>
      <c r="D403">
        <v>2.438853663791221</v>
      </c>
      <c r="E403">
        <f t="shared" si="101"/>
        <v>0</v>
      </c>
      <c r="F403">
        <f t="shared" si="112"/>
        <v>4.8605058816845369E-2</v>
      </c>
      <c r="G403">
        <f t="shared" si="113"/>
        <v>39.513748498891111</v>
      </c>
      <c r="H403">
        <f t="shared" si="114"/>
        <v>0</v>
      </c>
      <c r="I403" s="1">
        <f t="shared" si="102"/>
        <v>0</v>
      </c>
      <c r="J403">
        <f t="shared" si="115"/>
        <v>0</v>
      </c>
      <c r="K403">
        <f t="shared" si="103"/>
        <v>0</v>
      </c>
      <c r="L403" cm="1">
        <f t="array" ref="L403">IF(E403*J403=0,0,$C$21*INDEX([3]Sheet1!$C$4:$Q$23,MATCH(K403,[3]Sheet1!$B$4:$B$23,1),MATCH(D403,[3]Sheet1!$C$3:$Q$3,1))
+(K403-INDEX([3]Sheet1!$B$4:$B$23,MATCH(K403,[3]Sheet1!$B$4:$B$23,1),1))/(INDEX([3]Sheet1!$B$4:$B$23,MATCH(K403,[3]Sheet1!$B$4:$B$23,1)+1,1)-INDEX([3]Sheet1!$B$4:$B$23,
MATCH(K403,[3]Sheet1!$B$4:$B$23,1),1))*(INDEX([3]Sheet1!$C$4:$Q$23,MATCH(K403,[3]Sheet1!$B$4:$B$23,1)+1,MATCH(D403,[3]Sheet1!$C$3:$Q$3,1))-INDEX([3]Sheet1!$C$4:$Q$23,
MATCH(K403,[3]Sheet1!$B$4:$B$23,1),MATCH(D403,[3]Sheet1!$C$3:$Q$3,1)))
+(D403-INDEX([3]Sheet1!$C$3:$Q$3,1,MATCH(D403,[3]Sheet1!$C$3:$Q$3)))/(INDEX([3]Sheet1!$C$3:$Q$3,1,MATCH(D403,[3]Sheet1!$C$3:$Q$3)+1)-INDEX([3]Sheet1!$C$3:$Q$3,1,MATCH(
D403,[3]Sheet1!$C$3:$Q$3)))*(INDEX([3]Sheet1!$C$4:$Q$23,MATCH(K403,[3]Sheet1!$B$4:$B$23,1),MATCH(D403,[3]Sheet1!$C$3:$Q$3,1)+1)-INDEX([3]Sheet1!$C$4:$Q$23,MATCH(K403,[3]Sheet1!$B$4:$B$23,1),MATCH(D403,[3]Sheet1!$C$3:$Q$3,1))))</f>
        <v>0</v>
      </c>
      <c r="M403" cm="1">
        <f t="array" ref="M403" xml:space="preserve"> IF(E403*J403=0,0,(INDEX([2]Sheet1!$C$4:$Q$23,MATCH(K403,[2]Sheet1!$B$4:$B$23,1),MATCH(D403,[2]Sheet1!$C$3:$Q$3,1))
+ (K403 - INDEX([2]Sheet1!$B$4:$B$23,MATCH(K403,[2]Sheet1!$B$4:$B$23,1),1))/(INDEX([2]Sheet1!$B$4:$B$23,MATCH(K403,[2]Sheet1!$B$4:$B$23,1)+1,1) - INDEX([2]Sheet1!$B$4:$B$23,MATCH(K403,[2]Sheet1!$B$4:$B$23,1),1))*(INDEX([2]Sheet1!$C$4:$Q$23,MATCH(K403,[2]Sheet1!$B$4:$B$23,1)+1,MATCH(D403,[2]Sheet1!$C$3:$Q$3,1)) - INDEX([2]Sheet1!$C$4:$Q$23,MATCH(K403,[2]Sheet1!$B$4:$B$23,1),MATCH(D403,[2]Sheet1!$C$3:$Q$3,1)))
+ (D403 - INDEX([2]Sheet1!$C$3:$Q$3,1,MATCH(D403,[2]Sheet1!$C$3:$Q$3)))/(INDEX([2]Sheet1!$C$3:$Q$3,1,MATCH(D403,[2]Sheet1!$C$3:$Q$3)+1) - INDEX([2]Sheet1!$C$3:$Q$3,1,MATCH(D403,[2]Sheet1!$C$3:$Q$3)))*(
INDEX([2]Sheet1!$C$4:$Q$23,MATCH(K403,[2]Sheet1!$B$4:$B$23,1),MATCH(D403,[2]Sheet1!$C$3:$Q$3,1)+1) - INDEX([2]Sheet1!$C$4:$Q$23,MATCH(K403,[2]Sheet1!$B$4:$B$23,1),MATCH(D403,[2]Sheet1!$C$3:$Q$3,1)))))</f>
        <v>0</v>
      </c>
      <c r="N403">
        <f t="shared" si="116"/>
        <v>12</v>
      </c>
      <c r="O403">
        <v>8.7558526064777292E-2</v>
      </c>
      <c r="P403" t="e">
        <f t="shared" si="117"/>
        <v>#DIV/0!</v>
      </c>
      <c r="Q403">
        <f t="shared" si="104"/>
        <v>0</v>
      </c>
      <c r="R403">
        <f t="shared" si="118"/>
        <v>741.9099431943954</v>
      </c>
      <c r="T403" t="e">
        <f t="shared" si="107"/>
        <v>#DIV/0!</v>
      </c>
      <c r="U403" t="e">
        <f t="shared" si="108"/>
        <v>#DIV/0!</v>
      </c>
      <c r="V403">
        <f t="shared" si="109"/>
        <v>0</v>
      </c>
      <c r="W403" t="e">
        <f t="shared" si="105"/>
        <v>#DIV/0!</v>
      </c>
    </row>
    <row r="404" spans="1:23" x14ac:dyDescent="0.55000000000000004">
      <c r="A404">
        <f t="shared" si="106"/>
        <v>37.000000000000256</v>
      </c>
      <c r="B404">
        <f t="shared" si="110"/>
        <v>0.316</v>
      </c>
      <c r="C404">
        <f t="shared" si="111"/>
        <v>-19.130434782608866</v>
      </c>
      <c r="D404">
        <v>2.4387629243298101</v>
      </c>
      <c r="E404">
        <f t="shared" si="101"/>
        <v>0</v>
      </c>
      <c r="F404">
        <f t="shared" si="112"/>
        <v>4.8605058816845369E-2</v>
      </c>
      <c r="G404">
        <f t="shared" si="113"/>
        <v>39.513748498891111</v>
      </c>
      <c r="H404">
        <f t="shared" si="114"/>
        <v>0</v>
      </c>
      <c r="I404" s="1">
        <f t="shared" si="102"/>
        <v>0</v>
      </c>
      <c r="J404">
        <f t="shared" si="115"/>
        <v>0</v>
      </c>
      <c r="K404">
        <f t="shared" si="103"/>
        <v>0</v>
      </c>
      <c r="L404" cm="1">
        <f t="array" ref="L404">IF(E404*J404=0,0,$C$21*INDEX([3]Sheet1!$C$4:$Q$23,MATCH(K404,[3]Sheet1!$B$4:$B$23,1),MATCH(D404,[3]Sheet1!$C$3:$Q$3,1))
+(K404-INDEX([3]Sheet1!$B$4:$B$23,MATCH(K404,[3]Sheet1!$B$4:$B$23,1),1))/(INDEX([3]Sheet1!$B$4:$B$23,MATCH(K404,[3]Sheet1!$B$4:$B$23,1)+1,1)-INDEX([3]Sheet1!$B$4:$B$23,
MATCH(K404,[3]Sheet1!$B$4:$B$23,1),1))*(INDEX([3]Sheet1!$C$4:$Q$23,MATCH(K404,[3]Sheet1!$B$4:$B$23,1)+1,MATCH(D404,[3]Sheet1!$C$3:$Q$3,1))-INDEX([3]Sheet1!$C$4:$Q$23,
MATCH(K404,[3]Sheet1!$B$4:$B$23,1),MATCH(D404,[3]Sheet1!$C$3:$Q$3,1)))
+(D404-INDEX([3]Sheet1!$C$3:$Q$3,1,MATCH(D404,[3]Sheet1!$C$3:$Q$3)))/(INDEX([3]Sheet1!$C$3:$Q$3,1,MATCH(D404,[3]Sheet1!$C$3:$Q$3)+1)-INDEX([3]Sheet1!$C$3:$Q$3,1,MATCH(
D404,[3]Sheet1!$C$3:$Q$3)))*(INDEX([3]Sheet1!$C$4:$Q$23,MATCH(K404,[3]Sheet1!$B$4:$B$23,1),MATCH(D404,[3]Sheet1!$C$3:$Q$3,1)+1)-INDEX([3]Sheet1!$C$4:$Q$23,MATCH(K404,[3]Sheet1!$B$4:$B$23,1),MATCH(D404,[3]Sheet1!$C$3:$Q$3,1))))</f>
        <v>0</v>
      </c>
      <c r="M404" cm="1">
        <f t="array" ref="M404" xml:space="preserve"> IF(E404*J404=0,0,(INDEX([2]Sheet1!$C$4:$Q$23,MATCH(K404,[2]Sheet1!$B$4:$B$23,1),MATCH(D404,[2]Sheet1!$C$3:$Q$3,1))
+ (K404 - INDEX([2]Sheet1!$B$4:$B$23,MATCH(K404,[2]Sheet1!$B$4:$B$23,1),1))/(INDEX([2]Sheet1!$B$4:$B$23,MATCH(K404,[2]Sheet1!$B$4:$B$23,1)+1,1) - INDEX([2]Sheet1!$B$4:$B$23,MATCH(K404,[2]Sheet1!$B$4:$B$23,1),1))*(INDEX([2]Sheet1!$C$4:$Q$23,MATCH(K404,[2]Sheet1!$B$4:$B$23,1)+1,MATCH(D404,[2]Sheet1!$C$3:$Q$3,1)) - INDEX([2]Sheet1!$C$4:$Q$23,MATCH(K404,[2]Sheet1!$B$4:$B$23,1),MATCH(D404,[2]Sheet1!$C$3:$Q$3,1)))
+ (D404 - INDEX([2]Sheet1!$C$3:$Q$3,1,MATCH(D404,[2]Sheet1!$C$3:$Q$3)))/(INDEX([2]Sheet1!$C$3:$Q$3,1,MATCH(D404,[2]Sheet1!$C$3:$Q$3)+1) - INDEX([2]Sheet1!$C$3:$Q$3,1,MATCH(D404,[2]Sheet1!$C$3:$Q$3)))*(
INDEX([2]Sheet1!$C$4:$Q$23,MATCH(K404,[2]Sheet1!$B$4:$B$23,1),MATCH(D404,[2]Sheet1!$C$3:$Q$3,1)+1) - INDEX([2]Sheet1!$C$4:$Q$23,MATCH(K404,[2]Sheet1!$B$4:$B$23,1),MATCH(D404,[2]Sheet1!$C$3:$Q$3,1)))))</f>
        <v>0</v>
      </c>
      <c r="N404">
        <f t="shared" si="116"/>
        <v>12</v>
      </c>
      <c r="O404">
        <v>8.7540384148033515E-2</v>
      </c>
      <c r="P404" t="e">
        <f t="shared" si="117"/>
        <v>#DIV/0!</v>
      </c>
      <c r="Q404">
        <f t="shared" si="104"/>
        <v>0</v>
      </c>
      <c r="R404">
        <f t="shared" si="118"/>
        <v>741.9099431943954</v>
      </c>
      <c r="T404" t="e">
        <f t="shared" si="107"/>
        <v>#DIV/0!</v>
      </c>
      <c r="U404" t="e">
        <f t="shared" si="108"/>
        <v>#DIV/0!</v>
      </c>
      <c r="V404">
        <f t="shared" si="109"/>
        <v>0</v>
      </c>
      <c r="W404" t="e">
        <f t="shared" si="105"/>
        <v>#DIV/0!</v>
      </c>
    </row>
    <row r="405" spans="1:23" x14ac:dyDescent="0.55000000000000004">
      <c r="A405">
        <f t="shared" si="106"/>
        <v>37.100000000000257</v>
      </c>
      <c r="B405">
        <f t="shared" si="110"/>
        <v>0.316</v>
      </c>
      <c r="C405">
        <f t="shared" si="111"/>
        <v>-19.195652173913214</v>
      </c>
      <c r="D405">
        <v>2.4386723366305882</v>
      </c>
      <c r="E405">
        <f t="shared" si="101"/>
        <v>0</v>
      </c>
      <c r="F405">
        <f t="shared" si="112"/>
        <v>4.8605058816845369E-2</v>
      </c>
      <c r="G405">
        <f t="shared" si="113"/>
        <v>39.513748498891111</v>
      </c>
      <c r="H405">
        <f t="shared" si="114"/>
        <v>0</v>
      </c>
      <c r="I405" s="1">
        <f t="shared" si="102"/>
        <v>0</v>
      </c>
      <c r="J405">
        <f t="shared" si="115"/>
        <v>0</v>
      </c>
      <c r="K405">
        <f t="shared" si="103"/>
        <v>0</v>
      </c>
      <c r="L405" cm="1">
        <f t="array" ref="L405">IF(E405*J405=0,0,$C$21*INDEX([3]Sheet1!$C$4:$Q$23,MATCH(K405,[3]Sheet1!$B$4:$B$23,1),MATCH(D405,[3]Sheet1!$C$3:$Q$3,1))
+(K405-INDEX([3]Sheet1!$B$4:$B$23,MATCH(K405,[3]Sheet1!$B$4:$B$23,1),1))/(INDEX([3]Sheet1!$B$4:$B$23,MATCH(K405,[3]Sheet1!$B$4:$B$23,1)+1,1)-INDEX([3]Sheet1!$B$4:$B$23,
MATCH(K405,[3]Sheet1!$B$4:$B$23,1),1))*(INDEX([3]Sheet1!$C$4:$Q$23,MATCH(K405,[3]Sheet1!$B$4:$B$23,1)+1,MATCH(D405,[3]Sheet1!$C$3:$Q$3,1))-INDEX([3]Sheet1!$C$4:$Q$23,
MATCH(K405,[3]Sheet1!$B$4:$B$23,1),MATCH(D405,[3]Sheet1!$C$3:$Q$3,1)))
+(D405-INDEX([3]Sheet1!$C$3:$Q$3,1,MATCH(D405,[3]Sheet1!$C$3:$Q$3)))/(INDEX([3]Sheet1!$C$3:$Q$3,1,MATCH(D405,[3]Sheet1!$C$3:$Q$3)+1)-INDEX([3]Sheet1!$C$3:$Q$3,1,MATCH(
D405,[3]Sheet1!$C$3:$Q$3)))*(INDEX([3]Sheet1!$C$4:$Q$23,MATCH(K405,[3]Sheet1!$B$4:$B$23,1),MATCH(D405,[3]Sheet1!$C$3:$Q$3,1)+1)-INDEX([3]Sheet1!$C$4:$Q$23,MATCH(K405,[3]Sheet1!$B$4:$B$23,1),MATCH(D405,[3]Sheet1!$C$3:$Q$3,1))))</f>
        <v>0</v>
      </c>
      <c r="M405" cm="1">
        <f t="array" ref="M405" xml:space="preserve"> IF(E405*J405=0,0,(INDEX([2]Sheet1!$C$4:$Q$23,MATCH(K405,[2]Sheet1!$B$4:$B$23,1),MATCH(D405,[2]Sheet1!$C$3:$Q$3,1))
+ (K405 - INDEX([2]Sheet1!$B$4:$B$23,MATCH(K405,[2]Sheet1!$B$4:$B$23,1),1))/(INDEX([2]Sheet1!$B$4:$B$23,MATCH(K405,[2]Sheet1!$B$4:$B$23,1)+1,1) - INDEX([2]Sheet1!$B$4:$B$23,MATCH(K405,[2]Sheet1!$B$4:$B$23,1),1))*(INDEX([2]Sheet1!$C$4:$Q$23,MATCH(K405,[2]Sheet1!$B$4:$B$23,1)+1,MATCH(D405,[2]Sheet1!$C$3:$Q$3,1)) - INDEX([2]Sheet1!$C$4:$Q$23,MATCH(K405,[2]Sheet1!$B$4:$B$23,1),MATCH(D405,[2]Sheet1!$C$3:$Q$3,1)))
+ (D405 - INDEX([2]Sheet1!$C$3:$Q$3,1,MATCH(D405,[2]Sheet1!$C$3:$Q$3)))/(INDEX([2]Sheet1!$C$3:$Q$3,1,MATCH(D405,[2]Sheet1!$C$3:$Q$3)+1) - INDEX([2]Sheet1!$C$3:$Q$3,1,MATCH(D405,[2]Sheet1!$C$3:$Q$3)))*(
INDEX([2]Sheet1!$C$4:$Q$23,MATCH(K405,[2]Sheet1!$B$4:$B$23,1),MATCH(D405,[2]Sheet1!$C$3:$Q$3,1)+1) - INDEX([2]Sheet1!$C$4:$Q$23,MATCH(K405,[2]Sheet1!$B$4:$B$23,1),MATCH(D405,[2]Sheet1!$C$3:$Q$3,1)))))</f>
        <v>0</v>
      </c>
      <c r="N405">
        <f t="shared" si="116"/>
        <v>12</v>
      </c>
      <c r="O405">
        <v>8.7522276304824995E-2</v>
      </c>
      <c r="P405" t="e">
        <f t="shared" si="117"/>
        <v>#DIV/0!</v>
      </c>
      <c r="Q405">
        <f t="shared" si="104"/>
        <v>0</v>
      </c>
      <c r="R405">
        <f t="shared" si="118"/>
        <v>741.9099431943954</v>
      </c>
      <c r="T405" t="e">
        <f t="shared" si="107"/>
        <v>#DIV/0!</v>
      </c>
      <c r="U405" t="e">
        <f t="shared" si="108"/>
        <v>#DIV/0!</v>
      </c>
      <c r="V405">
        <f t="shared" si="109"/>
        <v>0</v>
      </c>
      <c r="W405" t="e">
        <f t="shared" si="105"/>
        <v>#DIV/0!</v>
      </c>
    </row>
    <row r="406" spans="1:23" x14ac:dyDescent="0.55000000000000004">
      <c r="A406">
        <f t="shared" si="106"/>
        <v>37.200000000000259</v>
      </c>
      <c r="B406">
        <f t="shared" si="110"/>
        <v>0.316</v>
      </c>
      <c r="C406">
        <f t="shared" si="111"/>
        <v>-19.260869565217561</v>
      </c>
      <c r="D406">
        <v>2.4385819001696505</v>
      </c>
      <c r="E406">
        <f t="shared" si="101"/>
        <v>0</v>
      </c>
      <c r="F406">
        <f t="shared" si="112"/>
        <v>4.8605058816845369E-2</v>
      </c>
      <c r="G406">
        <f t="shared" si="113"/>
        <v>39.513748498891111</v>
      </c>
      <c r="H406">
        <f t="shared" si="114"/>
        <v>0</v>
      </c>
      <c r="I406" s="1">
        <f t="shared" si="102"/>
        <v>0</v>
      </c>
      <c r="J406">
        <f t="shared" si="115"/>
        <v>0</v>
      </c>
      <c r="K406">
        <f t="shared" si="103"/>
        <v>0</v>
      </c>
      <c r="L406" cm="1">
        <f t="array" ref="L406">IF(E406*J406=0,0,$C$21*INDEX([3]Sheet1!$C$4:$Q$23,MATCH(K406,[3]Sheet1!$B$4:$B$23,1),MATCH(D406,[3]Sheet1!$C$3:$Q$3,1))
+(K406-INDEX([3]Sheet1!$B$4:$B$23,MATCH(K406,[3]Sheet1!$B$4:$B$23,1),1))/(INDEX([3]Sheet1!$B$4:$B$23,MATCH(K406,[3]Sheet1!$B$4:$B$23,1)+1,1)-INDEX([3]Sheet1!$B$4:$B$23,
MATCH(K406,[3]Sheet1!$B$4:$B$23,1),1))*(INDEX([3]Sheet1!$C$4:$Q$23,MATCH(K406,[3]Sheet1!$B$4:$B$23,1)+1,MATCH(D406,[3]Sheet1!$C$3:$Q$3,1))-INDEX([3]Sheet1!$C$4:$Q$23,
MATCH(K406,[3]Sheet1!$B$4:$B$23,1),MATCH(D406,[3]Sheet1!$C$3:$Q$3,1)))
+(D406-INDEX([3]Sheet1!$C$3:$Q$3,1,MATCH(D406,[3]Sheet1!$C$3:$Q$3)))/(INDEX([3]Sheet1!$C$3:$Q$3,1,MATCH(D406,[3]Sheet1!$C$3:$Q$3)+1)-INDEX([3]Sheet1!$C$3:$Q$3,1,MATCH(
D406,[3]Sheet1!$C$3:$Q$3)))*(INDEX([3]Sheet1!$C$4:$Q$23,MATCH(K406,[3]Sheet1!$B$4:$B$23,1),MATCH(D406,[3]Sheet1!$C$3:$Q$3,1)+1)-INDEX([3]Sheet1!$C$4:$Q$23,MATCH(K406,[3]Sheet1!$B$4:$B$23,1),MATCH(D406,[3]Sheet1!$C$3:$Q$3,1))))</f>
        <v>0</v>
      </c>
      <c r="M406" cm="1">
        <f t="array" ref="M406" xml:space="preserve"> IF(E406*J406=0,0,(INDEX([2]Sheet1!$C$4:$Q$23,MATCH(K406,[2]Sheet1!$B$4:$B$23,1),MATCH(D406,[2]Sheet1!$C$3:$Q$3,1))
+ (K406 - INDEX([2]Sheet1!$B$4:$B$23,MATCH(K406,[2]Sheet1!$B$4:$B$23,1),1))/(INDEX([2]Sheet1!$B$4:$B$23,MATCH(K406,[2]Sheet1!$B$4:$B$23,1)+1,1) - INDEX([2]Sheet1!$B$4:$B$23,MATCH(K406,[2]Sheet1!$B$4:$B$23,1),1))*(INDEX([2]Sheet1!$C$4:$Q$23,MATCH(K406,[2]Sheet1!$B$4:$B$23,1)+1,MATCH(D406,[2]Sheet1!$C$3:$Q$3,1)) - INDEX([2]Sheet1!$C$4:$Q$23,MATCH(K406,[2]Sheet1!$B$4:$B$23,1),MATCH(D406,[2]Sheet1!$C$3:$Q$3,1)))
+ (D406 - INDEX([2]Sheet1!$C$3:$Q$3,1,MATCH(D406,[2]Sheet1!$C$3:$Q$3)))/(INDEX([2]Sheet1!$C$3:$Q$3,1,MATCH(D406,[2]Sheet1!$C$3:$Q$3)+1) - INDEX([2]Sheet1!$C$3:$Q$3,1,MATCH(D406,[2]Sheet1!$C$3:$Q$3)))*(
INDEX([2]Sheet1!$C$4:$Q$23,MATCH(K406,[2]Sheet1!$B$4:$B$23,1),MATCH(D406,[2]Sheet1!$C$3:$Q$3,1)+1) - INDEX([2]Sheet1!$C$4:$Q$23,MATCH(K406,[2]Sheet1!$B$4:$B$23,1),MATCH(D406,[2]Sheet1!$C$3:$Q$3,1)))))</f>
        <v>0</v>
      </c>
      <c r="N406">
        <f t="shared" si="116"/>
        <v>12</v>
      </c>
      <c r="O406">
        <v>8.7504202411085835E-2</v>
      </c>
      <c r="P406" t="e">
        <f t="shared" si="117"/>
        <v>#DIV/0!</v>
      </c>
      <c r="Q406">
        <f t="shared" si="104"/>
        <v>0</v>
      </c>
      <c r="R406">
        <f t="shared" si="118"/>
        <v>741.9099431943954</v>
      </c>
      <c r="T406" t="e">
        <f t="shared" si="107"/>
        <v>#DIV/0!</v>
      </c>
      <c r="U406" t="e">
        <f t="shared" si="108"/>
        <v>#DIV/0!</v>
      </c>
      <c r="V406">
        <f t="shared" si="109"/>
        <v>0</v>
      </c>
      <c r="W406" t="e">
        <f t="shared" si="105"/>
        <v>#DIV/0!</v>
      </c>
    </row>
    <row r="407" spans="1:23" x14ac:dyDescent="0.55000000000000004">
      <c r="A407">
        <f t="shared" si="106"/>
        <v>37.30000000000026</v>
      </c>
      <c r="B407">
        <f t="shared" si="110"/>
        <v>0.316</v>
      </c>
      <c r="C407">
        <f t="shared" si="111"/>
        <v>-19.326086956521909</v>
      </c>
      <c r="D407">
        <v>2.4384916144258164</v>
      </c>
      <c r="E407">
        <f t="shared" si="101"/>
        <v>0</v>
      </c>
      <c r="F407">
        <f t="shared" si="112"/>
        <v>4.8605058816845369E-2</v>
      </c>
      <c r="G407">
        <f t="shared" si="113"/>
        <v>39.513748498891111</v>
      </c>
      <c r="H407">
        <f t="shared" si="114"/>
        <v>0</v>
      </c>
      <c r="I407" s="1">
        <f t="shared" si="102"/>
        <v>0</v>
      </c>
      <c r="J407">
        <f t="shared" si="115"/>
        <v>0</v>
      </c>
      <c r="K407">
        <f t="shared" si="103"/>
        <v>0</v>
      </c>
      <c r="L407" cm="1">
        <f t="array" ref="L407">IF(E407*J407=0,0,$C$21*INDEX([3]Sheet1!$C$4:$Q$23,MATCH(K407,[3]Sheet1!$B$4:$B$23,1),MATCH(D407,[3]Sheet1!$C$3:$Q$3,1))
+(K407-INDEX([3]Sheet1!$B$4:$B$23,MATCH(K407,[3]Sheet1!$B$4:$B$23,1),1))/(INDEX([3]Sheet1!$B$4:$B$23,MATCH(K407,[3]Sheet1!$B$4:$B$23,1)+1,1)-INDEX([3]Sheet1!$B$4:$B$23,
MATCH(K407,[3]Sheet1!$B$4:$B$23,1),1))*(INDEX([3]Sheet1!$C$4:$Q$23,MATCH(K407,[3]Sheet1!$B$4:$B$23,1)+1,MATCH(D407,[3]Sheet1!$C$3:$Q$3,1))-INDEX([3]Sheet1!$C$4:$Q$23,
MATCH(K407,[3]Sheet1!$B$4:$B$23,1),MATCH(D407,[3]Sheet1!$C$3:$Q$3,1)))
+(D407-INDEX([3]Sheet1!$C$3:$Q$3,1,MATCH(D407,[3]Sheet1!$C$3:$Q$3)))/(INDEX([3]Sheet1!$C$3:$Q$3,1,MATCH(D407,[3]Sheet1!$C$3:$Q$3)+1)-INDEX([3]Sheet1!$C$3:$Q$3,1,MATCH(
D407,[3]Sheet1!$C$3:$Q$3)))*(INDEX([3]Sheet1!$C$4:$Q$23,MATCH(K407,[3]Sheet1!$B$4:$B$23,1),MATCH(D407,[3]Sheet1!$C$3:$Q$3,1)+1)-INDEX([3]Sheet1!$C$4:$Q$23,MATCH(K407,[3]Sheet1!$B$4:$B$23,1),MATCH(D407,[3]Sheet1!$C$3:$Q$3,1))))</f>
        <v>0</v>
      </c>
      <c r="M407" cm="1">
        <f t="array" ref="M407" xml:space="preserve"> IF(E407*J407=0,0,(INDEX([2]Sheet1!$C$4:$Q$23,MATCH(K407,[2]Sheet1!$B$4:$B$23,1),MATCH(D407,[2]Sheet1!$C$3:$Q$3,1))
+ (K407 - INDEX([2]Sheet1!$B$4:$B$23,MATCH(K407,[2]Sheet1!$B$4:$B$23,1),1))/(INDEX([2]Sheet1!$B$4:$B$23,MATCH(K407,[2]Sheet1!$B$4:$B$23,1)+1,1) - INDEX([2]Sheet1!$B$4:$B$23,MATCH(K407,[2]Sheet1!$B$4:$B$23,1),1))*(INDEX([2]Sheet1!$C$4:$Q$23,MATCH(K407,[2]Sheet1!$B$4:$B$23,1)+1,MATCH(D407,[2]Sheet1!$C$3:$Q$3,1)) - INDEX([2]Sheet1!$C$4:$Q$23,MATCH(K407,[2]Sheet1!$B$4:$B$23,1),MATCH(D407,[2]Sheet1!$C$3:$Q$3,1)))
+ (D407 - INDEX([2]Sheet1!$C$3:$Q$3,1,MATCH(D407,[2]Sheet1!$C$3:$Q$3)))/(INDEX([2]Sheet1!$C$3:$Q$3,1,MATCH(D407,[2]Sheet1!$C$3:$Q$3)+1) - INDEX([2]Sheet1!$C$3:$Q$3,1,MATCH(D407,[2]Sheet1!$C$3:$Q$3)))*(
INDEX([2]Sheet1!$C$4:$Q$23,MATCH(K407,[2]Sheet1!$B$4:$B$23,1),MATCH(D407,[2]Sheet1!$C$3:$Q$3,1)+1) - INDEX([2]Sheet1!$C$4:$Q$23,MATCH(K407,[2]Sheet1!$B$4:$B$23,1),MATCH(D407,[2]Sheet1!$C$3:$Q$3,1)))))</f>
        <v>0</v>
      </c>
      <c r="N407">
        <f t="shared" si="116"/>
        <v>12</v>
      </c>
      <c r="O407">
        <v>8.7486162343418855E-2</v>
      </c>
      <c r="P407" t="e">
        <f t="shared" si="117"/>
        <v>#DIV/0!</v>
      </c>
      <c r="Q407">
        <f t="shared" si="104"/>
        <v>0</v>
      </c>
      <c r="R407">
        <f t="shared" si="118"/>
        <v>741.9099431943954</v>
      </c>
      <c r="T407" t="e">
        <f t="shared" si="107"/>
        <v>#DIV/0!</v>
      </c>
      <c r="U407" t="e">
        <f t="shared" si="108"/>
        <v>#DIV/0!</v>
      </c>
      <c r="V407">
        <f t="shared" si="109"/>
        <v>0</v>
      </c>
      <c r="W407" t="e">
        <f t="shared" si="105"/>
        <v>#DIV/0!</v>
      </c>
    </row>
    <row r="408" spans="1:23" x14ac:dyDescent="0.55000000000000004">
      <c r="A408">
        <f t="shared" si="106"/>
        <v>37.400000000000261</v>
      </c>
      <c r="B408">
        <f t="shared" si="110"/>
        <v>0.316</v>
      </c>
      <c r="C408">
        <f t="shared" si="111"/>
        <v>-19.39130434782626</v>
      </c>
      <c r="D408">
        <v>2.4384014788806141</v>
      </c>
      <c r="E408">
        <f t="shared" si="101"/>
        <v>0</v>
      </c>
      <c r="F408">
        <f t="shared" si="112"/>
        <v>4.8605058816845369E-2</v>
      </c>
      <c r="G408">
        <f t="shared" si="113"/>
        <v>39.513748498891111</v>
      </c>
      <c r="H408">
        <f t="shared" si="114"/>
        <v>0</v>
      </c>
      <c r="I408" s="1">
        <f t="shared" si="102"/>
        <v>0</v>
      </c>
      <c r="J408">
        <f t="shared" si="115"/>
        <v>0</v>
      </c>
      <c r="K408">
        <f t="shared" si="103"/>
        <v>0</v>
      </c>
      <c r="L408" cm="1">
        <f t="array" ref="L408">IF(E408*J408=0,0,$C$21*INDEX([3]Sheet1!$C$4:$Q$23,MATCH(K408,[3]Sheet1!$B$4:$B$23,1),MATCH(D408,[3]Sheet1!$C$3:$Q$3,1))
+(K408-INDEX([3]Sheet1!$B$4:$B$23,MATCH(K408,[3]Sheet1!$B$4:$B$23,1),1))/(INDEX([3]Sheet1!$B$4:$B$23,MATCH(K408,[3]Sheet1!$B$4:$B$23,1)+1,1)-INDEX([3]Sheet1!$B$4:$B$23,
MATCH(K408,[3]Sheet1!$B$4:$B$23,1),1))*(INDEX([3]Sheet1!$C$4:$Q$23,MATCH(K408,[3]Sheet1!$B$4:$B$23,1)+1,MATCH(D408,[3]Sheet1!$C$3:$Q$3,1))-INDEX([3]Sheet1!$C$4:$Q$23,
MATCH(K408,[3]Sheet1!$B$4:$B$23,1),MATCH(D408,[3]Sheet1!$C$3:$Q$3,1)))
+(D408-INDEX([3]Sheet1!$C$3:$Q$3,1,MATCH(D408,[3]Sheet1!$C$3:$Q$3)))/(INDEX([3]Sheet1!$C$3:$Q$3,1,MATCH(D408,[3]Sheet1!$C$3:$Q$3)+1)-INDEX([3]Sheet1!$C$3:$Q$3,1,MATCH(
D408,[3]Sheet1!$C$3:$Q$3)))*(INDEX([3]Sheet1!$C$4:$Q$23,MATCH(K408,[3]Sheet1!$B$4:$B$23,1),MATCH(D408,[3]Sheet1!$C$3:$Q$3,1)+1)-INDEX([3]Sheet1!$C$4:$Q$23,MATCH(K408,[3]Sheet1!$B$4:$B$23,1),MATCH(D408,[3]Sheet1!$C$3:$Q$3,1))))</f>
        <v>0</v>
      </c>
      <c r="M408" cm="1">
        <f t="array" ref="M408" xml:space="preserve"> IF(E408*J408=0,0,(INDEX([2]Sheet1!$C$4:$Q$23,MATCH(K408,[2]Sheet1!$B$4:$B$23,1),MATCH(D408,[2]Sheet1!$C$3:$Q$3,1))
+ (K408 - INDEX([2]Sheet1!$B$4:$B$23,MATCH(K408,[2]Sheet1!$B$4:$B$23,1),1))/(INDEX([2]Sheet1!$B$4:$B$23,MATCH(K408,[2]Sheet1!$B$4:$B$23,1)+1,1) - INDEX([2]Sheet1!$B$4:$B$23,MATCH(K408,[2]Sheet1!$B$4:$B$23,1),1))*(INDEX([2]Sheet1!$C$4:$Q$23,MATCH(K408,[2]Sheet1!$B$4:$B$23,1)+1,MATCH(D408,[2]Sheet1!$C$3:$Q$3,1)) - INDEX([2]Sheet1!$C$4:$Q$23,MATCH(K408,[2]Sheet1!$B$4:$B$23,1),MATCH(D408,[2]Sheet1!$C$3:$Q$3,1)))
+ (D408 - INDEX([2]Sheet1!$C$3:$Q$3,1,MATCH(D408,[2]Sheet1!$C$3:$Q$3)))/(INDEX([2]Sheet1!$C$3:$Q$3,1,MATCH(D408,[2]Sheet1!$C$3:$Q$3)+1) - INDEX([2]Sheet1!$C$3:$Q$3,1,MATCH(D408,[2]Sheet1!$C$3:$Q$3)))*(
INDEX([2]Sheet1!$C$4:$Q$23,MATCH(K408,[2]Sheet1!$B$4:$B$23,1),MATCH(D408,[2]Sheet1!$C$3:$Q$3,1)+1) - INDEX([2]Sheet1!$C$4:$Q$23,MATCH(K408,[2]Sheet1!$B$4:$B$23,1),MATCH(D408,[2]Sheet1!$C$3:$Q$3,1)))))</f>
        <v>0</v>
      </c>
      <c r="N408">
        <f t="shared" si="116"/>
        <v>12</v>
      </c>
      <c r="O408">
        <v>8.7468155979092382E-2</v>
      </c>
      <c r="P408" t="e">
        <f t="shared" si="117"/>
        <v>#DIV/0!</v>
      </c>
      <c r="Q408">
        <f t="shared" si="104"/>
        <v>0</v>
      </c>
      <c r="R408">
        <f t="shared" si="118"/>
        <v>741.9099431943954</v>
      </c>
      <c r="T408" t="e">
        <f t="shared" si="107"/>
        <v>#DIV/0!</v>
      </c>
      <c r="U408" t="e">
        <f t="shared" si="108"/>
        <v>#DIV/0!</v>
      </c>
      <c r="V408">
        <f t="shared" si="109"/>
        <v>0</v>
      </c>
      <c r="W408" t="e">
        <f t="shared" si="105"/>
        <v>#DIV/0!</v>
      </c>
    </row>
    <row r="409" spans="1:23" x14ac:dyDescent="0.55000000000000004">
      <c r="A409">
        <f t="shared" si="106"/>
        <v>37.500000000000263</v>
      </c>
      <c r="B409">
        <f t="shared" si="110"/>
        <v>0.316</v>
      </c>
      <c r="C409">
        <f t="shared" si="111"/>
        <v>-19.456521739130611</v>
      </c>
      <c r="D409">
        <v>2.4383114930182579</v>
      </c>
      <c r="E409">
        <f t="shared" si="101"/>
        <v>0</v>
      </c>
      <c r="F409">
        <f t="shared" si="112"/>
        <v>4.8605058816845369E-2</v>
      </c>
      <c r="G409">
        <f t="shared" si="113"/>
        <v>39.513748498891111</v>
      </c>
      <c r="H409">
        <f t="shared" si="114"/>
        <v>0</v>
      </c>
      <c r="I409" s="1">
        <f t="shared" si="102"/>
        <v>0</v>
      </c>
      <c r="J409">
        <f t="shared" si="115"/>
        <v>0</v>
      </c>
      <c r="K409">
        <f t="shared" si="103"/>
        <v>0</v>
      </c>
      <c r="L409" cm="1">
        <f t="array" ref="L409">IF(E409*J409=0,0,$C$21*INDEX([3]Sheet1!$C$4:$Q$23,MATCH(K409,[3]Sheet1!$B$4:$B$23,1),MATCH(D409,[3]Sheet1!$C$3:$Q$3,1))
+(K409-INDEX([3]Sheet1!$B$4:$B$23,MATCH(K409,[3]Sheet1!$B$4:$B$23,1),1))/(INDEX([3]Sheet1!$B$4:$B$23,MATCH(K409,[3]Sheet1!$B$4:$B$23,1)+1,1)-INDEX([3]Sheet1!$B$4:$B$23,
MATCH(K409,[3]Sheet1!$B$4:$B$23,1),1))*(INDEX([3]Sheet1!$C$4:$Q$23,MATCH(K409,[3]Sheet1!$B$4:$B$23,1)+1,MATCH(D409,[3]Sheet1!$C$3:$Q$3,1))-INDEX([3]Sheet1!$C$4:$Q$23,
MATCH(K409,[3]Sheet1!$B$4:$B$23,1),MATCH(D409,[3]Sheet1!$C$3:$Q$3,1)))
+(D409-INDEX([3]Sheet1!$C$3:$Q$3,1,MATCH(D409,[3]Sheet1!$C$3:$Q$3)))/(INDEX([3]Sheet1!$C$3:$Q$3,1,MATCH(D409,[3]Sheet1!$C$3:$Q$3)+1)-INDEX([3]Sheet1!$C$3:$Q$3,1,MATCH(
D409,[3]Sheet1!$C$3:$Q$3)))*(INDEX([3]Sheet1!$C$4:$Q$23,MATCH(K409,[3]Sheet1!$B$4:$B$23,1),MATCH(D409,[3]Sheet1!$C$3:$Q$3,1)+1)-INDEX([3]Sheet1!$C$4:$Q$23,MATCH(K409,[3]Sheet1!$B$4:$B$23,1),MATCH(D409,[3]Sheet1!$C$3:$Q$3,1))))</f>
        <v>0</v>
      </c>
      <c r="M409" cm="1">
        <f t="array" ref="M409" xml:space="preserve"> IF(E409*J409=0,0,(INDEX([2]Sheet1!$C$4:$Q$23,MATCH(K409,[2]Sheet1!$B$4:$B$23,1),MATCH(D409,[2]Sheet1!$C$3:$Q$3,1))
+ (K409 - INDEX([2]Sheet1!$B$4:$B$23,MATCH(K409,[2]Sheet1!$B$4:$B$23,1),1))/(INDEX([2]Sheet1!$B$4:$B$23,MATCH(K409,[2]Sheet1!$B$4:$B$23,1)+1,1) - INDEX([2]Sheet1!$B$4:$B$23,MATCH(K409,[2]Sheet1!$B$4:$B$23,1),1))*(INDEX([2]Sheet1!$C$4:$Q$23,MATCH(K409,[2]Sheet1!$B$4:$B$23,1)+1,MATCH(D409,[2]Sheet1!$C$3:$Q$3,1)) - INDEX([2]Sheet1!$C$4:$Q$23,MATCH(K409,[2]Sheet1!$B$4:$B$23,1),MATCH(D409,[2]Sheet1!$C$3:$Q$3,1)))
+ (D409 - INDEX([2]Sheet1!$C$3:$Q$3,1,MATCH(D409,[2]Sheet1!$C$3:$Q$3)))/(INDEX([2]Sheet1!$C$3:$Q$3,1,MATCH(D409,[2]Sheet1!$C$3:$Q$3)+1) - INDEX([2]Sheet1!$C$3:$Q$3,1,MATCH(D409,[2]Sheet1!$C$3:$Q$3)))*(
INDEX([2]Sheet1!$C$4:$Q$23,MATCH(K409,[2]Sheet1!$B$4:$B$23,1),MATCH(D409,[2]Sheet1!$C$3:$Q$3,1)+1) - INDEX([2]Sheet1!$C$4:$Q$23,MATCH(K409,[2]Sheet1!$B$4:$B$23,1),MATCH(D409,[2]Sheet1!$C$3:$Q$3,1)))))</f>
        <v>0</v>
      </c>
      <c r="N409">
        <f t="shared" si="116"/>
        <v>12</v>
      </c>
      <c r="O409">
        <v>8.7450183196034675E-2</v>
      </c>
      <c r="P409" t="e">
        <f t="shared" si="117"/>
        <v>#DIV/0!</v>
      </c>
      <c r="Q409">
        <f t="shared" si="104"/>
        <v>0</v>
      </c>
      <c r="R409">
        <f t="shared" si="118"/>
        <v>741.9099431943954</v>
      </c>
      <c r="T409" t="e">
        <f t="shared" si="107"/>
        <v>#DIV/0!</v>
      </c>
      <c r="U409" t="e">
        <f t="shared" si="108"/>
        <v>#DIV/0!</v>
      </c>
      <c r="V409">
        <f t="shared" si="109"/>
        <v>0</v>
      </c>
      <c r="W409" t="e">
        <f t="shared" si="105"/>
        <v>#DIV/0!</v>
      </c>
    </row>
    <row r="410" spans="1:23" x14ac:dyDescent="0.55000000000000004">
      <c r="A410">
        <f t="shared" si="106"/>
        <v>37.600000000000264</v>
      </c>
      <c r="B410">
        <f t="shared" si="110"/>
        <v>0.316</v>
      </c>
      <c r="C410">
        <f t="shared" si="111"/>
        <v>-19.521739130434955</v>
      </c>
      <c r="D410">
        <v>2.4382216563256356</v>
      </c>
      <c r="E410">
        <f t="shared" si="101"/>
        <v>0</v>
      </c>
      <c r="F410">
        <f t="shared" si="112"/>
        <v>4.8605058816845369E-2</v>
      </c>
      <c r="G410">
        <f t="shared" si="113"/>
        <v>39.513748498891111</v>
      </c>
      <c r="H410">
        <f t="shared" si="114"/>
        <v>0</v>
      </c>
      <c r="I410" s="1">
        <f t="shared" si="102"/>
        <v>0</v>
      </c>
      <c r="J410">
        <f t="shared" si="115"/>
        <v>0</v>
      </c>
      <c r="K410">
        <f t="shared" si="103"/>
        <v>0</v>
      </c>
      <c r="L410" cm="1">
        <f t="array" ref="L410">IF(E410*J410=0,0,$C$21*INDEX([3]Sheet1!$C$4:$Q$23,MATCH(K410,[3]Sheet1!$B$4:$B$23,1),MATCH(D410,[3]Sheet1!$C$3:$Q$3,1))
+(K410-INDEX([3]Sheet1!$B$4:$B$23,MATCH(K410,[3]Sheet1!$B$4:$B$23,1),1))/(INDEX([3]Sheet1!$B$4:$B$23,MATCH(K410,[3]Sheet1!$B$4:$B$23,1)+1,1)-INDEX([3]Sheet1!$B$4:$B$23,
MATCH(K410,[3]Sheet1!$B$4:$B$23,1),1))*(INDEX([3]Sheet1!$C$4:$Q$23,MATCH(K410,[3]Sheet1!$B$4:$B$23,1)+1,MATCH(D410,[3]Sheet1!$C$3:$Q$3,1))-INDEX([3]Sheet1!$C$4:$Q$23,
MATCH(K410,[3]Sheet1!$B$4:$B$23,1),MATCH(D410,[3]Sheet1!$C$3:$Q$3,1)))
+(D410-INDEX([3]Sheet1!$C$3:$Q$3,1,MATCH(D410,[3]Sheet1!$C$3:$Q$3)))/(INDEX([3]Sheet1!$C$3:$Q$3,1,MATCH(D410,[3]Sheet1!$C$3:$Q$3)+1)-INDEX([3]Sheet1!$C$3:$Q$3,1,MATCH(
D410,[3]Sheet1!$C$3:$Q$3)))*(INDEX([3]Sheet1!$C$4:$Q$23,MATCH(K410,[3]Sheet1!$B$4:$B$23,1),MATCH(D410,[3]Sheet1!$C$3:$Q$3,1)+1)-INDEX([3]Sheet1!$C$4:$Q$23,MATCH(K410,[3]Sheet1!$B$4:$B$23,1),MATCH(D410,[3]Sheet1!$C$3:$Q$3,1))))</f>
        <v>0</v>
      </c>
      <c r="M410" cm="1">
        <f t="array" ref="M410" xml:space="preserve"> IF(E410*J410=0,0,(INDEX([2]Sheet1!$C$4:$Q$23,MATCH(K410,[2]Sheet1!$B$4:$B$23,1),MATCH(D410,[2]Sheet1!$C$3:$Q$3,1))
+ (K410 - INDEX([2]Sheet1!$B$4:$B$23,MATCH(K410,[2]Sheet1!$B$4:$B$23,1),1))/(INDEX([2]Sheet1!$B$4:$B$23,MATCH(K410,[2]Sheet1!$B$4:$B$23,1)+1,1) - INDEX([2]Sheet1!$B$4:$B$23,MATCH(K410,[2]Sheet1!$B$4:$B$23,1),1))*(INDEX([2]Sheet1!$C$4:$Q$23,MATCH(K410,[2]Sheet1!$B$4:$B$23,1)+1,MATCH(D410,[2]Sheet1!$C$3:$Q$3,1)) - INDEX([2]Sheet1!$C$4:$Q$23,MATCH(K410,[2]Sheet1!$B$4:$B$23,1),MATCH(D410,[2]Sheet1!$C$3:$Q$3,1)))
+ (D410 - INDEX([2]Sheet1!$C$3:$Q$3,1,MATCH(D410,[2]Sheet1!$C$3:$Q$3)))/(INDEX([2]Sheet1!$C$3:$Q$3,1,MATCH(D410,[2]Sheet1!$C$3:$Q$3)+1) - INDEX([2]Sheet1!$C$3:$Q$3,1,MATCH(D410,[2]Sheet1!$C$3:$Q$3)))*(
INDEX([2]Sheet1!$C$4:$Q$23,MATCH(K410,[2]Sheet1!$B$4:$B$23,1),MATCH(D410,[2]Sheet1!$C$3:$Q$3,1)+1) - INDEX([2]Sheet1!$C$4:$Q$23,MATCH(K410,[2]Sheet1!$B$4:$B$23,1),MATCH(D410,[2]Sheet1!$C$3:$Q$3,1)))))</f>
        <v>0</v>
      </c>
      <c r="N410">
        <f t="shared" si="116"/>
        <v>12</v>
      </c>
      <c r="O410">
        <v>8.7432243872828844E-2</v>
      </c>
      <c r="P410" t="e">
        <f t="shared" si="117"/>
        <v>#DIV/0!</v>
      </c>
      <c r="Q410">
        <f t="shared" si="104"/>
        <v>0</v>
      </c>
      <c r="R410">
        <f t="shared" si="118"/>
        <v>741.9099431943954</v>
      </c>
      <c r="T410" t="e">
        <f t="shared" si="107"/>
        <v>#DIV/0!</v>
      </c>
      <c r="U410" t="e">
        <f t="shared" si="108"/>
        <v>#DIV/0!</v>
      </c>
      <c r="V410">
        <f t="shared" si="109"/>
        <v>0</v>
      </c>
      <c r="W410" t="e">
        <f t="shared" si="105"/>
        <v>#DIV/0!</v>
      </c>
    </row>
    <row r="411" spans="1:23" x14ac:dyDescent="0.55000000000000004">
      <c r="A411">
        <f t="shared" si="106"/>
        <v>37.700000000000266</v>
      </c>
      <c r="B411">
        <f t="shared" si="110"/>
        <v>0.316</v>
      </c>
      <c r="C411">
        <f t="shared" si="111"/>
        <v>-19.586956521739303</v>
      </c>
      <c r="D411">
        <v>2.4381319682922848</v>
      </c>
      <c r="E411">
        <f t="shared" si="101"/>
        <v>0</v>
      </c>
      <c r="F411">
        <f t="shared" si="112"/>
        <v>4.8605058816845369E-2</v>
      </c>
      <c r="G411">
        <f t="shared" si="113"/>
        <v>39.513748498891111</v>
      </c>
      <c r="H411">
        <f t="shared" si="114"/>
        <v>0</v>
      </c>
      <c r="I411" s="1">
        <f t="shared" si="102"/>
        <v>0</v>
      </c>
      <c r="J411">
        <f t="shared" si="115"/>
        <v>0</v>
      </c>
      <c r="K411">
        <f t="shared" si="103"/>
        <v>0</v>
      </c>
      <c r="L411" cm="1">
        <f t="array" ref="L411">IF(E411*J411=0,0,$C$21*INDEX([3]Sheet1!$C$4:$Q$23,MATCH(K411,[3]Sheet1!$B$4:$B$23,1),MATCH(D411,[3]Sheet1!$C$3:$Q$3,1))
+(K411-INDEX([3]Sheet1!$B$4:$B$23,MATCH(K411,[3]Sheet1!$B$4:$B$23,1),1))/(INDEX([3]Sheet1!$B$4:$B$23,MATCH(K411,[3]Sheet1!$B$4:$B$23,1)+1,1)-INDEX([3]Sheet1!$B$4:$B$23,
MATCH(K411,[3]Sheet1!$B$4:$B$23,1),1))*(INDEX([3]Sheet1!$C$4:$Q$23,MATCH(K411,[3]Sheet1!$B$4:$B$23,1)+1,MATCH(D411,[3]Sheet1!$C$3:$Q$3,1))-INDEX([3]Sheet1!$C$4:$Q$23,
MATCH(K411,[3]Sheet1!$B$4:$B$23,1),MATCH(D411,[3]Sheet1!$C$3:$Q$3,1)))
+(D411-INDEX([3]Sheet1!$C$3:$Q$3,1,MATCH(D411,[3]Sheet1!$C$3:$Q$3)))/(INDEX([3]Sheet1!$C$3:$Q$3,1,MATCH(D411,[3]Sheet1!$C$3:$Q$3)+1)-INDEX([3]Sheet1!$C$3:$Q$3,1,MATCH(
D411,[3]Sheet1!$C$3:$Q$3)))*(INDEX([3]Sheet1!$C$4:$Q$23,MATCH(K411,[3]Sheet1!$B$4:$B$23,1),MATCH(D411,[3]Sheet1!$C$3:$Q$3,1)+1)-INDEX([3]Sheet1!$C$4:$Q$23,MATCH(K411,[3]Sheet1!$B$4:$B$23,1),MATCH(D411,[3]Sheet1!$C$3:$Q$3,1))))</f>
        <v>0</v>
      </c>
      <c r="M411" cm="1">
        <f t="array" ref="M411" xml:space="preserve"> IF(E411*J411=0,0,(INDEX([2]Sheet1!$C$4:$Q$23,MATCH(K411,[2]Sheet1!$B$4:$B$23,1),MATCH(D411,[2]Sheet1!$C$3:$Q$3,1))
+ (K411 - INDEX([2]Sheet1!$B$4:$B$23,MATCH(K411,[2]Sheet1!$B$4:$B$23,1),1))/(INDEX([2]Sheet1!$B$4:$B$23,MATCH(K411,[2]Sheet1!$B$4:$B$23,1)+1,1) - INDEX([2]Sheet1!$B$4:$B$23,MATCH(K411,[2]Sheet1!$B$4:$B$23,1),1))*(INDEX([2]Sheet1!$C$4:$Q$23,MATCH(K411,[2]Sheet1!$B$4:$B$23,1)+1,MATCH(D411,[2]Sheet1!$C$3:$Q$3,1)) - INDEX([2]Sheet1!$C$4:$Q$23,MATCH(K411,[2]Sheet1!$B$4:$B$23,1),MATCH(D411,[2]Sheet1!$C$3:$Q$3,1)))
+ (D411 - INDEX([2]Sheet1!$C$3:$Q$3,1,MATCH(D411,[2]Sheet1!$C$3:$Q$3)))/(INDEX([2]Sheet1!$C$3:$Q$3,1,MATCH(D411,[2]Sheet1!$C$3:$Q$3)+1) - INDEX([2]Sheet1!$C$3:$Q$3,1,MATCH(D411,[2]Sheet1!$C$3:$Q$3)))*(
INDEX([2]Sheet1!$C$4:$Q$23,MATCH(K411,[2]Sheet1!$B$4:$B$23,1),MATCH(D411,[2]Sheet1!$C$3:$Q$3,1)+1) - INDEX([2]Sheet1!$C$4:$Q$23,MATCH(K411,[2]Sheet1!$B$4:$B$23,1),MATCH(D411,[2]Sheet1!$C$3:$Q$3,1)))))</f>
        <v>0</v>
      </c>
      <c r="N411">
        <f t="shared" si="116"/>
        <v>12</v>
      </c>
      <c r="O411">
        <v>8.7414337888709573E-2</v>
      </c>
      <c r="P411" t="e">
        <f t="shared" si="117"/>
        <v>#DIV/0!</v>
      </c>
      <c r="Q411">
        <f t="shared" si="104"/>
        <v>0</v>
      </c>
      <c r="R411">
        <f t="shared" si="118"/>
        <v>741.9099431943954</v>
      </c>
      <c r="T411" t="e">
        <f t="shared" si="107"/>
        <v>#DIV/0!</v>
      </c>
      <c r="U411" t="e">
        <f t="shared" si="108"/>
        <v>#DIV/0!</v>
      </c>
      <c r="V411">
        <f t="shared" si="109"/>
        <v>0</v>
      </c>
      <c r="W411" t="e">
        <f t="shared" si="105"/>
        <v>#DIV/0!</v>
      </c>
    </row>
    <row r="412" spans="1:23" x14ac:dyDescent="0.55000000000000004">
      <c r="A412">
        <f t="shared" si="106"/>
        <v>37.800000000000267</v>
      </c>
      <c r="B412">
        <f t="shared" si="110"/>
        <v>0.316</v>
      </c>
      <c r="C412">
        <f t="shared" si="111"/>
        <v>-19.652173913043654</v>
      </c>
      <c r="D412">
        <v>2.438042428410375</v>
      </c>
      <c r="E412">
        <f t="shared" si="101"/>
        <v>0</v>
      </c>
      <c r="F412">
        <f t="shared" si="112"/>
        <v>4.8605058816845369E-2</v>
      </c>
      <c r="G412">
        <f t="shared" si="113"/>
        <v>39.513748498891111</v>
      </c>
      <c r="H412">
        <f t="shared" si="114"/>
        <v>0</v>
      </c>
      <c r="I412" s="1">
        <f t="shared" si="102"/>
        <v>0</v>
      </c>
      <c r="J412">
        <f t="shared" si="115"/>
        <v>0</v>
      </c>
      <c r="K412">
        <f t="shared" si="103"/>
        <v>0</v>
      </c>
      <c r="L412" cm="1">
        <f t="array" ref="L412">IF(E412*J412=0,0,$C$21*INDEX([3]Sheet1!$C$4:$Q$23,MATCH(K412,[3]Sheet1!$B$4:$B$23,1),MATCH(D412,[3]Sheet1!$C$3:$Q$3,1))
+(K412-INDEX([3]Sheet1!$B$4:$B$23,MATCH(K412,[3]Sheet1!$B$4:$B$23,1),1))/(INDEX([3]Sheet1!$B$4:$B$23,MATCH(K412,[3]Sheet1!$B$4:$B$23,1)+1,1)-INDEX([3]Sheet1!$B$4:$B$23,
MATCH(K412,[3]Sheet1!$B$4:$B$23,1),1))*(INDEX([3]Sheet1!$C$4:$Q$23,MATCH(K412,[3]Sheet1!$B$4:$B$23,1)+1,MATCH(D412,[3]Sheet1!$C$3:$Q$3,1))-INDEX([3]Sheet1!$C$4:$Q$23,
MATCH(K412,[3]Sheet1!$B$4:$B$23,1),MATCH(D412,[3]Sheet1!$C$3:$Q$3,1)))
+(D412-INDEX([3]Sheet1!$C$3:$Q$3,1,MATCH(D412,[3]Sheet1!$C$3:$Q$3)))/(INDEX([3]Sheet1!$C$3:$Q$3,1,MATCH(D412,[3]Sheet1!$C$3:$Q$3)+1)-INDEX([3]Sheet1!$C$3:$Q$3,1,MATCH(
D412,[3]Sheet1!$C$3:$Q$3)))*(INDEX([3]Sheet1!$C$4:$Q$23,MATCH(K412,[3]Sheet1!$B$4:$B$23,1),MATCH(D412,[3]Sheet1!$C$3:$Q$3,1)+1)-INDEX([3]Sheet1!$C$4:$Q$23,MATCH(K412,[3]Sheet1!$B$4:$B$23,1),MATCH(D412,[3]Sheet1!$C$3:$Q$3,1))))</f>
        <v>0</v>
      </c>
      <c r="M412" cm="1">
        <f t="array" ref="M412" xml:space="preserve"> IF(E412*J412=0,0,(INDEX([2]Sheet1!$C$4:$Q$23,MATCH(K412,[2]Sheet1!$B$4:$B$23,1),MATCH(D412,[2]Sheet1!$C$3:$Q$3,1))
+ (K412 - INDEX([2]Sheet1!$B$4:$B$23,MATCH(K412,[2]Sheet1!$B$4:$B$23,1),1))/(INDEX([2]Sheet1!$B$4:$B$23,MATCH(K412,[2]Sheet1!$B$4:$B$23,1)+1,1) - INDEX([2]Sheet1!$B$4:$B$23,MATCH(K412,[2]Sheet1!$B$4:$B$23,1),1))*(INDEX([2]Sheet1!$C$4:$Q$23,MATCH(K412,[2]Sheet1!$B$4:$B$23,1)+1,MATCH(D412,[2]Sheet1!$C$3:$Q$3,1)) - INDEX([2]Sheet1!$C$4:$Q$23,MATCH(K412,[2]Sheet1!$B$4:$B$23,1),MATCH(D412,[2]Sheet1!$C$3:$Q$3,1)))
+ (D412 - INDEX([2]Sheet1!$C$3:$Q$3,1,MATCH(D412,[2]Sheet1!$C$3:$Q$3)))/(INDEX([2]Sheet1!$C$3:$Q$3,1,MATCH(D412,[2]Sheet1!$C$3:$Q$3)+1) - INDEX([2]Sheet1!$C$3:$Q$3,1,MATCH(D412,[2]Sheet1!$C$3:$Q$3)))*(
INDEX([2]Sheet1!$C$4:$Q$23,MATCH(K412,[2]Sheet1!$B$4:$B$23,1),MATCH(D412,[2]Sheet1!$C$3:$Q$3,1)+1) - INDEX([2]Sheet1!$C$4:$Q$23,MATCH(K412,[2]Sheet1!$B$4:$B$23,1),MATCH(D412,[2]Sheet1!$C$3:$Q$3,1)))))</f>
        <v>0</v>
      </c>
      <c r="N412">
        <f t="shared" si="116"/>
        <v>12</v>
      </c>
      <c r="O412">
        <v>8.739646512355688E-2</v>
      </c>
      <c r="P412" t="e">
        <f t="shared" si="117"/>
        <v>#DIV/0!</v>
      </c>
      <c r="Q412">
        <f t="shared" si="104"/>
        <v>0</v>
      </c>
      <c r="R412">
        <f t="shared" si="118"/>
        <v>741.9099431943954</v>
      </c>
      <c r="T412" t="e">
        <f t="shared" si="107"/>
        <v>#DIV/0!</v>
      </c>
      <c r="U412" t="e">
        <f t="shared" si="108"/>
        <v>#DIV/0!</v>
      </c>
      <c r="V412">
        <f t="shared" si="109"/>
        <v>0</v>
      </c>
      <c r="W412" t="e">
        <f t="shared" si="105"/>
        <v>#DIV/0!</v>
      </c>
    </row>
    <row r="413" spans="1:23" x14ac:dyDescent="0.55000000000000004">
      <c r="A413">
        <f t="shared" si="106"/>
        <v>37.900000000000269</v>
      </c>
      <c r="B413">
        <f t="shared" si="110"/>
        <v>0.316</v>
      </c>
      <c r="C413">
        <f t="shared" si="111"/>
        <v>-19.717391304348006</v>
      </c>
      <c r="D413">
        <v>2.4379530361746928</v>
      </c>
      <c r="E413">
        <f t="shared" si="101"/>
        <v>0</v>
      </c>
      <c r="F413">
        <f t="shared" si="112"/>
        <v>4.8605058816845369E-2</v>
      </c>
      <c r="G413">
        <f t="shared" si="113"/>
        <v>39.513748498891111</v>
      </c>
      <c r="H413">
        <f t="shared" si="114"/>
        <v>0</v>
      </c>
      <c r="I413" s="1">
        <f t="shared" si="102"/>
        <v>0</v>
      </c>
      <c r="J413">
        <f t="shared" si="115"/>
        <v>0</v>
      </c>
      <c r="K413">
        <f t="shared" si="103"/>
        <v>0</v>
      </c>
      <c r="L413" cm="1">
        <f t="array" ref="L413">IF(E413*J413=0,0,$C$21*INDEX([3]Sheet1!$C$4:$Q$23,MATCH(K413,[3]Sheet1!$B$4:$B$23,1),MATCH(D413,[3]Sheet1!$C$3:$Q$3,1))
+(K413-INDEX([3]Sheet1!$B$4:$B$23,MATCH(K413,[3]Sheet1!$B$4:$B$23,1),1))/(INDEX([3]Sheet1!$B$4:$B$23,MATCH(K413,[3]Sheet1!$B$4:$B$23,1)+1,1)-INDEX([3]Sheet1!$B$4:$B$23,
MATCH(K413,[3]Sheet1!$B$4:$B$23,1),1))*(INDEX([3]Sheet1!$C$4:$Q$23,MATCH(K413,[3]Sheet1!$B$4:$B$23,1)+1,MATCH(D413,[3]Sheet1!$C$3:$Q$3,1))-INDEX([3]Sheet1!$C$4:$Q$23,
MATCH(K413,[3]Sheet1!$B$4:$B$23,1),MATCH(D413,[3]Sheet1!$C$3:$Q$3,1)))
+(D413-INDEX([3]Sheet1!$C$3:$Q$3,1,MATCH(D413,[3]Sheet1!$C$3:$Q$3)))/(INDEX([3]Sheet1!$C$3:$Q$3,1,MATCH(D413,[3]Sheet1!$C$3:$Q$3)+1)-INDEX([3]Sheet1!$C$3:$Q$3,1,MATCH(
D413,[3]Sheet1!$C$3:$Q$3)))*(INDEX([3]Sheet1!$C$4:$Q$23,MATCH(K413,[3]Sheet1!$B$4:$B$23,1),MATCH(D413,[3]Sheet1!$C$3:$Q$3,1)+1)-INDEX([3]Sheet1!$C$4:$Q$23,MATCH(K413,[3]Sheet1!$B$4:$B$23,1),MATCH(D413,[3]Sheet1!$C$3:$Q$3,1))))</f>
        <v>0</v>
      </c>
      <c r="M413" cm="1">
        <f t="array" ref="M413" xml:space="preserve"> IF(E413*J413=0,0,(INDEX([2]Sheet1!$C$4:$Q$23,MATCH(K413,[2]Sheet1!$B$4:$B$23,1),MATCH(D413,[2]Sheet1!$C$3:$Q$3,1))
+ (K413 - INDEX([2]Sheet1!$B$4:$B$23,MATCH(K413,[2]Sheet1!$B$4:$B$23,1),1))/(INDEX([2]Sheet1!$B$4:$B$23,MATCH(K413,[2]Sheet1!$B$4:$B$23,1)+1,1) - INDEX([2]Sheet1!$B$4:$B$23,MATCH(K413,[2]Sheet1!$B$4:$B$23,1),1))*(INDEX([2]Sheet1!$C$4:$Q$23,MATCH(K413,[2]Sheet1!$B$4:$B$23,1)+1,MATCH(D413,[2]Sheet1!$C$3:$Q$3,1)) - INDEX([2]Sheet1!$C$4:$Q$23,MATCH(K413,[2]Sheet1!$B$4:$B$23,1),MATCH(D413,[2]Sheet1!$C$3:$Q$3,1)))
+ (D413 - INDEX([2]Sheet1!$C$3:$Q$3,1,MATCH(D413,[2]Sheet1!$C$3:$Q$3)))/(INDEX([2]Sheet1!$C$3:$Q$3,1,MATCH(D413,[2]Sheet1!$C$3:$Q$3)+1) - INDEX([2]Sheet1!$C$3:$Q$3,1,MATCH(D413,[2]Sheet1!$C$3:$Q$3)))*(
INDEX([2]Sheet1!$C$4:$Q$23,MATCH(K413,[2]Sheet1!$B$4:$B$23,1),MATCH(D413,[2]Sheet1!$C$3:$Q$3,1)+1) - INDEX([2]Sheet1!$C$4:$Q$23,MATCH(K413,[2]Sheet1!$B$4:$B$23,1),MATCH(D413,[2]Sheet1!$C$3:$Q$3,1)))))</f>
        <v>0</v>
      </c>
      <c r="N413">
        <f t="shared" si="116"/>
        <v>12</v>
      </c>
      <c r="O413">
        <v>8.7378625457892781E-2</v>
      </c>
      <c r="P413" t="e">
        <f t="shared" si="117"/>
        <v>#DIV/0!</v>
      </c>
      <c r="Q413">
        <f t="shared" si="104"/>
        <v>0</v>
      </c>
      <c r="R413">
        <f t="shared" si="118"/>
        <v>741.9099431943954</v>
      </c>
      <c r="T413" t="e">
        <f t="shared" si="107"/>
        <v>#DIV/0!</v>
      </c>
      <c r="U413" t="e">
        <f t="shared" si="108"/>
        <v>#DIV/0!</v>
      </c>
      <c r="V413">
        <f t="shared" si="109"/>
        <v>0</v>
      </c>
      <c r="W413" t="e">
        <f t="shared" si="105"/>
        <v>#DIV/0!</v>
      </c>
    </row>
    <row r="414" spans="1:23" x14ac:dyDescent="0.55000000000000004">
      <c r="A414">
        <f t="shared" si="106"/>
        <v>38.00000000000027</v>
      </c>
      <c r="B414">
        <f t="shared" si="110"/>
        <v>0.316</v>
      </c>
      <c r="C414">
        <f t="shared" si="111"/>
        <v>-19.782608695652353</v>
      </c>
      <c r="D414">
        <v>2.4378637910826217</v>
      </c>
      <c r="E414">
        <f t="shared" si="101"/>
        <v>0</v>
      </c>
      <c r="F414">
        <f t="shared" si="112"/>
        <v>4.8605058816845369E-2</v>
      </c>
      <c r="G414">
        <f t="shared" si="113"/>
        <v>39.513748498891111</v>
      </c>
      <c r="H414">
        <f t="shared" si="114"/>
        <v>0</v>
      </c>
      <c r="I414" s="1">
        <f t="shared" si="102"/>
        <v>0</v>
      </c>
      <c r="J414">
        <f t="shared" si="115"/>
        <v>0</v>
      </c>
      <c r="K414">
        <f t="shared" si="103"/>
        <v>0</v>
      </c>
      <c r="L414" cm="1">
        <f t="array" ref="L414">IF(E414*J414=0,0,$C$21*INDEX([3]Sheet1!$C$4:$Q$23,MATCH(K414,[3]Sheet1!$B$4:$B$23,1),MATCH(D414,[3]Sheet1!$C$3:$Q$3,1))
+(K414-INDEX([3]Sheet1!$B$4:$B$23,MATCH(K414,[3]Sheet1!$B$4:$B$23,1),1))/(INDEX([3]Sheet1!$B$4:$B$23,MATCH(K414,[3]Sheet1!$B$4:$B$23,1)+1,1)-INDEX([3]Sheet1!$B$4:$B$23,
MATCH(K414,[3]Sheet1!$B$4:$B$23,1),1))*(INDEX([3]Sheet1!$C$4:$Q$23,MATCH(K414,[3]Sheet1!$B$4:$B$23,1)+1,MATCH(D414,[3]Sheet1!$C$3:$Q$3,1))-INDEX([3]Sheet1!$C$4:$Q$23,
MATCH(K414,[3]Sheet1!$B$4:$B$23,1),MATCH(D414,[3]Sheet1!$C$3:$Q$3,1)))
+(D414-INDEX([3]Sheet1!$C$3:$Q$3,1,MATCH(D414,[3]Sheet1!$C$3:$Q$3)))/(INDEX([3]Sheet1!$C$3:$Q$3,1,MATCH(D414,[3]Sheet1!$C$3:$Q$3)+1)-INDEX([3]Sheet1!$C$3:$Q$3,1,MATCH(
D414,[3]Sheet1!$C$3:$Q$3)))*(INDEX([3]Sheet1!$C$4:$Q$23,MATCH(K414,[3]Sheet1!$B$4:$B$23,1),MATCH(D414,[3]Sheet1!$C$3:$Q$3,1)+1)-INDEX([3]Sheet1!$C$4:$Q$23,MATCH(K414,[3]Sheet1!$B$4:$B$23,1),MATCH(D414,[3]Sheet1!$C$3:$Q$3,1))))</f>
        <v>0</v>
      </c>
      <c r="M414" cm="1">
        <f t="array" ref="M414" xml:space="preserve"> IF(E414*J414=0,0,(INDEX([2]Sheet1!$C$4:$Q$23,MATCH(K414,[2]Sheet1!$B$4:$B$23,1),MATCH(D414,[2]Sheet1!$C$3:$Q$3,1))
+ (K414 - INDEX([2]Sheet1!$B$4:$B$23,MATCH(K414,[2]Sheet1!$B$4:$B$23,1),1))/(INDEX([2]Sheet1!$B$4:$B$23,MATCH(K414,[2]Sheet1!$B$4:$B$23,1)+1,1) - INDEX([2]Sheet1!$B$4:$B$23,MATCH(K414,[2]Sheet1!$B$4:$B$23,1),1))*(INDEX([2]Sheet1!$C$4:$Q$23,MATCH(K414,[2]Sheet1!$B$4:$B$23,1)+1,MATCH(D414,[2]Sheet1!$C$3:$Q$3,1)) - INDEX([2]Sheet1!$C$4:$Q$23,MATCH(K414,[2]Sheet1!$B$4:$B$23,1),MATCH(D414,[2]Sheet1!$C$3:$Q$3,1)))
+ (D414 - INDEX([2]Sheet1!$C$3:$Q$3,1,MATCH(D414,[2]Sheet1!$C$3:$Q$3)))/(INDEX([2]Sheet1!$C$3:$Q$3,1,MATCH(D414,[2]Sheet1!$C$3:$Q$3)+1) - INDEX([2]Sheet1!$C$3:$Q$3,1,MATCH(D414,[2]Sheet1!$C$3:$Q$3)))*(
INDEX([2]Sheet1!$C$4:$Q$23,MATCH(K414,[2]Sheet1!$B$4:$B$23,1),MATCH(D414,[2]Sheet1!$C$3:$Q$3,1)+1) - INDEX([2]Sheet1!$C$4:$Q$23,MATCH(K414,[2]Sheet1!$B$4:$B$23,1),MATCH(D414,[2]Sheet1!$C$3:$Q$3,1)))))</f>
        <v>0</v>
      </c>
      <c r="N414">
        <f t="shared" si="116"/>
        <v>12</v>
      </c>
      <c r="O414">
        <v>8.7360818772876173E-2</v>
      </c>
      <c r="P414" t="e">
        <f t="shared" si="117"/>
        <v>#DIV/0!</v>
      </c>
      <c r="Q414">
        <f t="shared" si="104"/>
        <v>0</v>
      </c>
      <c r="R414">
        <f t="shared" si="118"/>
        <v>741.9099431943954</v>
      </c>
      <c r="T414" t="e">
        <f t="shared" si="107"/>
        <v>#DIV/0!</v>
      </c>
      <c r="U414" t="e">
        <f t="shared" si="108"/>
        <v>#DIV/0!</v>
      </c>
      <c r="V414">
        <f t="shared" si="109"/>
        <v>0</v>
      </c>
      <c r="W414" t="e">
        <f t="shared" si="105"/>
        <v>#DIV/0!</v>
      </c>
    </row>
    <row r="415" spans="1:23" x14ac:dyDescent="0.55000000000000004">
      <c r="A415">
        <f t="shared" si="106"/>
        <v>38.100000000000271</v>
      </c>
      <c r="B415">
        <f t="shared" si="110"/>
        <v>0.316</v>
      </c>
      <c r="C415">
        <f t="shared" si="111"/>
        <v>-19.847826086956697</v>
      </c>
      <c r="D415">
        <v>2.4377746926341244</v>
      </c>
      <c r="E415">
        <f t="shared" si="101"/>
        <v>0</v>
      </c>
      <c r="F415">
        <f t="shared" si="112"/>
        <v>4.8605058816845369E-2</v>
      </c>
      <c r="G415">
        <f t="shared" si="113"/>
        <v>39.513748498891111</v>
      </c>
      <c r="H415">
        <f t="shared" si="114"/>
        <v>0</v>
      </c>
      <c r="I415" s="1">
        <f t="shared" si="102"/>
        <v>0</v>
      </c>
      <c r="J415">
        <f t="shared" si="115"/>
        <v>0</v>
      </c>
      <c r="K415">
        <f t="shared" si="103"/>
        <v>0</v>
      </c>
      <c r="L415" cm="1">
        <f t="array" ref="L415">IF(E415*J415=0,0,$C$21*INDEX([3]Sheet1!$C$4:$Q$23,MATCH(K415,[3]Sheet1!$B$4:$B$23,1),MATCH(D415,[3]Sheet1!$C$3:$Q$3,1))
+(K415-INDEX([3]Sheet1!$B$4:$B$23,MATCH(K415,[3]Sheet1!$B$4:$B$23,1),1))/(INDEX([3]Sheet1!$B$4:$B$23,MATCH(K415,[3]Sheet1!$B$4:$B$23,1)+1,1)-INDEX([3]Sheet1!$B$4:$B$23,
MATCH(K415,[3]Sheet1!$B$4:$B$23,1),1))*(INDEX([3]Sheet1!$C$4:$Q$23,MATCH(K415,[3]Sheet1!$B$4:$B$23,1)+1,MATCH(D415,[3]Sheet1!$C$3:$Q$3,1))-INDEX([3]Sheet1!$C$4:$Q$23,
MATCH(K415,[3]Sheet1!$B$4:$B$23,1),MATCH(D415,[3]Sheet1!$C$3:$Q$3,1)))
+(D415-INDEX([3]Sheet1!$C$3:$Q$3,1,MATCH(D415,[3]Sheet1!$C$3:$Q$3)))/(INDEX([3]Sheet1!$C$3:$Q$3,1,MATCH(D415,[3]Sheet1!$C$3:$Q$3)+1)-INDEX([3]Sheet1!$C$3:$Q$3,1,MATCH(
D415,[3]Sheet1!$C$3:$Q$3)))*(INDEX([3]Sheet1!$C$4:$Q$23,MATCH(K415,[3]Sheet1!$B$4:$B$23,1),MATCH(D415,[3]Sheet1!$C$3:$Q$3,1)+1)-INDEX([3]Sheet1!$C$4:$Q$23,MATCH(K415,[3]Sheet1!$B$4:$B$23,1),MATCH(D415,[3]Sheet1!$C$3:$Q$3,1))))</f>
        <v>0</v>
      </c>
      <c r="M415" cm="1">
        <f t="array" ref="M415" xml:space="preserve"> IF(E415*J415=0,0,(INDEX([2]Sheet1!$C$4:$Q$23,MATCH(K415,[2]Sheet1!$B$4:$B$23,1),MATCH(D415,[2]Sheet1!$C$3:$Q$3,1))
+ (K415 - INDEX([2]Sheet1!$B$4:$B$23,MATCH(K415,[2]Sheet1!$B$4:$B$23,1),1))/(INDEX([2]Sheet1!$B$4:$B$23,MATCH(K415,[2]Sheet1!$B$4:$B$23,1)+1,1) - INDEX([2]Sheet1!$B$4:$B$23,MATCH(K415,[2]Sheet1!$B$4:$B$23,1),1))*(INDEX([2]Sheet1!$C$4:$Q$23,MATCH(K415,[2]Sheet1!$B$4:$B$23,1)+1,MATCH(D415,[2]Sheet1!$C$3:$Q$3,1)) - INDEX([2]Sheet1!$C$4:$Q$23,MATCH(K415,[2]Sheet1!$B$4:$B$23,1),MATCH(D415,[2]Sheet1!$C$3:$Q$3,1)))
+ (D415 - INDEX([2]Sheet1!$C$3:$Q$3,1,MATCH(D415,[2]Sheet1!$C$3:$Q$3)))/(INDEX([2]Sheet1!$C$3:$Q$3,1,MATCH(D415,[2]Sheet1!$C$3:$Q$3)+1) - INDEX([2]Sheet1!$C$3:$Q$3,1,MATCH(D415,[2]Sheet1!$C$3:$Q$3)))*(
INDEX([2]Sheet1!$C$4:$Q$23,MATCH(K415,[2]Sheet1!$B$4:$B$23,1),MATCH(D415,[2]Sheet1!$C$3:$Q$3,1)+1) - INDEX([2]Sheet1!$C$4:$Q$23,MATCH(K415,[2]Sheet1!$B$4:$B$23,1),MATCH(D415,[2]Sheet1!$C$3:$Q$3,1)))))</f>
        <v>0</v>
      </c>
      <c r="N415">
        <f t="shared" si="116"/>
        <v>12</v>
      </c>
      <c r="O415">
        <v>8.7343044950298265E-2</v>
      </c>
      <c r="P415" t="e">
        <f t="shared" si="117"/>
        <v>#DIV/0!</v>
      </c>
      <c r="Q415">
        <f t="shared" si="104"/>
        <v>0</v>
      </c>
      <c r="R415">
        <f t="shared" si="118"/>
        <v>741.9099431943954</v>
      </c>
      <c r="T415" t="e">
        <f t="shared" si="107"/>
        <v>#DIV/0!</v>
      </c>
      <c r="U415" t="e">
        <f t="shared" si="108"/>
        <v>#DIV/0!</v>
      </c>
      <c r="V415">
        <f t="shared" si="109"/>
        <v>0</v>
      </c>
      <c r="W415" t="e">
        <f t="shared" si="105"/>
        <v>#DIV/0!</v>
      </c>
    </row>
    <row r="416" spans="1:23" x14ac:dyDescent="0.55000000000000004">
      <c r="A416">
        <f t="shared" si="106"/>
        <v>38.200000000000273</v>
      </c>
      <c r="B416">
        <f t="shared" si="110"/>
        <v>0.316</v>
      </c>
      <c r="C416">
        <f t="shared" si="111"/>
        <v>-19.913043478261049</v>
      </c>
      <c r="D416">
        <v>2.437685740331724</v>
      </c>
      <c r="E416">
        <f t="shared" si="101"/>
        <v>0</v>
      </c>
      <c r="F416">
        <f t="shared" si="112"/>
        <v>4.8605058816845369E-2</v>
      </c>
      <c r="G416">
        <f t="shared" si="113"/>
        <v>39.513748498891111</v>
      </c>
      <c r="H416">
        <f t="shared" si="114"/>
        <v>0</v>
      </c>
      <c r="I416" s="1">
        <f t="shared" si="102"/>
        <v>0</v>
      </c>
      <c r="J416">
        <f t="shared" si="115"/>
        <v>0</v>
      </c>
      <c r="K416">
        <f t="shared" si="103"/>
        <v>0</v>
      </c>
      <c r="L416" cm="1">
        <f t="array" ref="L416">IF(E416*J416=0,0,$C$21*INDEX([3]Sheet1!$C$4:$Q$23,MATCH(K416,[3]Sheet1!$B$4:$B$23,1),MATCH(D416,[3]Sheet1!$C$3:$Q$3,1))
+(K416-INDEX([3]Sheet1!$B$4:$B$23,MATCH(K416,[3]Sheet1!$B$4:$B$23,1),1))/(INDEX([3]Sheet1!$B$4:$B$23,MATCH(K416,[3]Sheet1!$B$4:$B$23,1)+1,1)-INDEX([3]Sheet1!$B$4:$B$23,
MATCH(K416,[3]Sheet1!$B$4:$B$23,1),1))*(INDEX([3]Sheet1!$C$4:$Q$23,MATCH(K416,[3]Sheet1!$B$4:$B$23,1)+1,MATCH(D416,[3]Sheet1!$C$3:$Q$3,1))-INDEX([3]Sheet1!$C$4:$Q$23,
MATCH(K416,[3]Sheet1!$B$4:$B$23,1),MATCH(D416,[3]Sheet1!$C$3:$Q$3,1)))
+(D416-INDEX([3]Sheet1!$C$3:$Q$3,1,MATCH(D416,[3]Sheet1!$C$3:$Q$3)))/(INDEX([3]Sheet1!$C$3:$Q$3,1,MATCH(D416,[3]Sheet1!$C$3:$Q$3)+1)-INDEX([3]Sheet1!$C$3:$Q$3,1,MATCH(
D416,[3]Sheet1!$C$3:$Q$3)))*(INDEX([3]Sheet1!$C$4:$Q$23,MATCH(K416,[3]Sheet1!$B$4:$B$23,1),MATCH(D416,[3]Sheet1!$C$3:$Q$3,1)+1)-INDEX([3]Sheet1!$C$4:$Q$23,MATCH(K416,[3]Sheet1!$B$4:$B$23,1),MATCH(D416,[3]Sheet1!$C$3:$Q$3,1))))</f>
        <v>0</v>
      </c>
      <c r="M416" cm="1">
        <f t="array" ref="M416" xml:space="preserve"> IF(E416*J416=0,0,(INDEX([2]Sheet1!$C$4:$Q$23,MATCH(K416,[2]Sheet1!$B$4:$B$23,1),MATCH(D416,[2]Sheet1!$C$3:$Q$3,1))
+ (K416 - INDEX([2]Sheet1!$B$4:$B$23,MATCH(K416,[2]Sheet1!$B$4:$B$23,1),1))/(INDEX([2]Sheet1!$B$4:$B$23,MATCH(K416,[2]Sheet1!$B$4:$B$23,1)+1,1) - INDEX([2]Sheet1!$B$4:$B$23,MATCH(K416,[2]Sheet1!$B$4:$B$23,1),1))*(INDEX([2]Sheet1!$C$4:$Q$23,MATCH(K416,[2]Sheet1!$B$4:$B$23,1)+1,MATCH(D416,[2]Sheet1!$C$3:$Q$3,1)) - INDEX([2]Sheet1!$C$4:$Q$23,MATCH(K416,[2]Sheet1!$B$4:$B$23,1),MATCH(D416,[2]Sheet1!$C$3:$Q$3,1)))
+ (D416 - INDEX([2]Sheet1!$C$3:$Q$3,1,MATCH(D416,[2]Sheet1!$C$3:$Q$3)))/(INDEX([2]Sheet1!$C$3:$Q$3,1,MATCH(D416,[2]Sheet1!$C$3:$Q$3)+1) - INDEX([2]Sheet1!$C$3:$Q$3,1,MATCH(D416,[2]Sheet1!$C$3:$Q$3)))*(
INDEX([2]Sheet1!$C$4:$Q$23,MATCH(K416,[2]Sheet1!$B$4:$B$23,1),MATCH(D416,[2]Sheet1!$C$3:$Q$3,1)+1) - INDEX([2]Sheet1!$C$4:$Q$23,MATCH(K416,[2]Sheet1!$B$4:$B$23,1),MATCH(D416,[2]Sheet1!$C$3:$Q$3,1)))))</f>
        <v>0</v>
      </c>
      <c r="N416">
        <f t="shared" si="116"/>
        <v>12</v>
      </c>
      <c r="O416">
        <v>8.7325303872578475E-2</v>
      </c>
      <c r="P416" t="e">
        <f t="shared" si="117"/>
        <v>#DIV/0!</v>
      </c>
      <c r="Q416">
        <f t="shared" si="104"/>
        <v>0</v>
      </c>
      <c r="R416">
        <f t="shared" si="118"/>
        <v>741.9099431943954</v>
      </c>
      <c r="T416" t="e">
        <f t="shared" si="107"/>
        <v>#DIV/0!</v>
      </c>
      <c r="U416" t="e">
        <f t="shared" si="108"/>
        <v>#DIV/0!</v>
      </c>
      <c r="V416">
        <f t="shared" si="109"/>
        <v>0</v>
      </c>
      <c r="W416" t="e">
        <f t="shared" si="105"/>
        <v>#DIV/0!</v>
      </c>
    </row>
    <row r="417" spans="1:23" x14ac:dyDescent="0.55000000000000004">
      <c r="A417">
        <f t="shared" si="106"/>
        <v>38.300000000000274</v>
      </c>
      <c r="B417">
        <f t="shared" si="110"/>
        <v>0.316</v>
      </c>
      <c r="C417">
        <f t="shared" si="111"/>
        <v>-19.9782608695654</v>
      </c>
      <c r="D417">
        <v>2.4375969336804904</v>
      </c>
      <c r="E417">
        <f t="shared" si="101"/>
        <v>0</v>
      </c>
      <c r="F417">
        <f t="shared" si="112"/>
        <v>4.8605058816845369E-2</v>
      </c>
      <c r="G417">
        <f t="shared" si="113"/>
        <v>39.513748498891111</v>
      </c>
      <c r="H417">
        <f t="shared" si="114"/>
        <v>0</v>
      </c>
      <c r="I417" s="1">
        <f t="shared" si="102"/>
        <v>0</v>
      </c>
      <c r="J417">
        <f t="shared" si="115"/>
        <v>0</v>
      </c>
      <c r="K417">
        <f t="shared" si="103"/>
        <v>0</v>
      </c>
      <c r="L417" cm="1">
        <f t="array" ref="L417">IF(E417*J417=0,0,$C$21*INDEX([3]Sheet1!$C$4:$Q$23,MATCH(K417,[3]Sheet1!$B$4:$B$23,1),MATCH(D417,[3]Sheet1!$C$3:$Q$3,1))
+(K417-INDEX([3]Sheet1!$B$4:$B$23,MATCH(K417,[3]Sheet1!$B$4:$B$23,1),1))/(INDEX([3]Sheet1!$B$4:$B$23,MATCH(K417,[3]Sheet1!$B$4:$B$23,1)+1,1)-INDEX([3]Sheet1!$B$4:$B$23,
MATCH(K417,[3]Sheet1!$B$4:$B$23,1),1))*(INDEX([3]Sheet1!$C$4:$Q$23,MATCH(K417,[3]Sheet1!$B$4:$B$23,1)+1,MATCH(D417,[3]Sheet1!$C$3:$Q$3,1))-INDEX([3]Sheet1!$C$4:$Q$23,
MATCH(K417,[3]Sheet1!$B$4:$B$23,1),MATCH(D417,[3]Sheet1!$C$3:$Q$3,1)))
+(D417-INDEX([3]Sheet1!$C$3:$Q$3,1,MATCH(D417,[3]Sheet1!$C$3:$Q$3)))/(INDEX([3]Sheet1!$C$3:$Q$3,1,MATCH(D417,[3]Sheet1!$C$3:$Q$3)+1)-INDEX([3]Sheet1!$C$3:$Q$3,1,MATCH(
D417,[3]Sheet1!$C$3:$Q$3)))*(INDEX([3]Sheet1!$C$4:$Q$23,MATCH(K417,[3]Sheet1!$B$4:$B$23,1),MATCH(D417,[3]Sheet1!$C$3:$Q$3,1)+1)-INDEX([3]Sheet1!$C$4:$Q$23,MATCH(K417,[3]Sheet1!$B$4:$B$23,1),MATCH(D417,[3]Sheet1!$C$3:$Q$3,1))))</f>
        <v>0</v>
      </c>
      <c r="M417" cm="1">
        <f t="array" ref="M417" xml:space="preserve"> IF(E417*J417=0,0,(INDEX([2]Sheet1!$C$4:$Q$23,MATCH(K417,[2]Sheet1!$B$4:$B$23,1),MATCH(D417,[2]Sheet1!$C$3:$Q$3,1))
+ (K417 - INDEX([2]Sheet1!$B$4:$B$23,MATCH(K417,[2]Sheet1!$B$4:$B$23,1),1))/(INDEX([2]Sheet1!$B$4:$B$23,MATCH(K417,[2]Sheet1!$B$4:$B$23,1)+1,1) - INDEX([2]Sheet1!$B$4:$B$23,MATCH(K417,[2]Sheet1!$B$4:$B$23,1),1))*(INDEX([2]Sheet1!$C$4:$Q$23,MATCH(K417,[2]Sheet1!$B$4:$B$23,1)+1,MATCH(D417,[2]Sheet1!$C$3:$Q$3,1)) - INDEX([2]Sheet1!$C$4:$Q$23,MATCH(K417,[2]Sheet1!$B$4:$B$23,1),MATCH(D417,[2]Sheet1!$C$3:$Q$3,1)))
+ (D417 - INDEX([2]Sheet1!$C$3:$Q$3,1,MATCH(D417,[2]Sheet1!$C$3:$Q$3)))/(INDEX([2]Sheet1!$C$3:$Q$3,1,MATCH(D417,[2]Sheet1!$C$3:$Q$3)+1) - INDEX([2]Sheet1!$C$3:$Q$3,1,MATCH(D417,[2]Sheet1!$C$3:$Q$3)))*(
INDEX([2]Sheet1!$C$4:$Q$23,MATCH(K417,[2]Sheet1!$B$4:$B$23,1),MATCH(D417,[2]Sheet1!$C$3:$Q$3,1)+1) - INDEX([2]Sheet1!$C$4:$Q$23,MATCH(K417,[2]Sheet1!$B$4:$B$23,1),MATCH(D417,[2]Sheet1!$C$3:$Q$3,1)))))</f>
        <v>0</v>
      </c>
      <c r="N417">
        <f t="shared" si="116"/>
        <v>12</v>
      </c>
      <c r="O417">
        <v>8.730759542276012E-2</v>
      </c>
      <c r="P417" t="e">
        <f t="shared" si="117"/>
        <v>#DIV/0!</v>
      </c>
      <c r="Q417">
        <f t="shared" si="104"/>
        <v>0</v>
      </c>
      <c r="R417">
        <f t="shared" si="118"/>
        <v>741.9099431943954</v>
      </c>
      <c r="T417" t="e">
        <f t="shared" si="107"/>
        <v>#DIV/0!</v>
      </c>
      <c r="U417" t="e">
        <f t="shared" si="108"/>
        <v>#DIV/0!</v>
      </c>
      <c r="V417">
        <f t="shared" si="109"/>
        <v>0</v>
      </c>
      <c r="W417" t="e">
        <f t="shared" si="105"/>
        <v>#DIV/0!</v>
      </c>
    </row>
    <row r="418" spans="1:23" x14ac:dyDescent="0.55000000000000004">
      <c r="A418">
        <f t="shared" si="106"/>
        <v>38.400000000000276</v>
      </c>
      <c r="B418">
        <f t="shared" si="110"/>
        <v>0.316</v>
      </c>
      <c r="C418">
        <f t="shared" si="111"/>
        <v>-20.043478260869747</v>
      </c>
      <c r="D418">
        <v>2.4375082721880181</v>
      </c>
      <c r="E418">
        <f t="shared" si="101"/>
        <v>0</v>
      </c>
      <c r="F418">
        <f t="shared" si="112"/>
        <v>4.8605058816845369E-2</v>
      </c>
      <c r="G418">
        <f t="shared" si="113"/>
        <v>39.513748498891111</v>
      </c>
      <c r="H418">
        <f t="shared" si="114"/>
        <v>0</v>
      </c>
      <c r="I418" s="1">
        <f t="shared" si="102"/>
        <v>0</v>
      </c>
      <c r="J418">
        <f t="shared" si="115"/>
        <v>0</v>
      </c>
      <c r="K418">
        <f t="shared" si="103"/>
        <v>0</v>
      </c>
      <c r="L418" cm="1">
        <f t="array" ref="L418">IF(E418*J418=0,0,$C$21*INDEX([3]Sheet1!$C$4:$Q$23,MATCH(K418,[3]Sheet1!$B$4:$B$23,1),MATCH(D418,[3]Sheet1!$C$3:$Q$3,1))
+(K418-INDEX([3]Sheet1!$B$4:$B$23,MATCH(K418,[3]Sheet1!$B$4:$B$23,1),1))/(INDEX([3]Sheet1!$B$4:$B$23,MATCH(K418,[3]Sheet1!$B$4:$B$23,1)+1,1)-INDEX([3]Sheet1!$B$4:$B$23,
MATCH(K418,[3]Sheet1!$B$4:$B$23,1),1))*(INDEX([3]Sheet1!$C$4:$Q$23,MATCH(K418,[3]Sheet1!$B$4:$B$23,1)+1,MATCH(D418,[3]Sheet1!$C$3:$Q$3,1))-INDEX([3]Sheet1!$C$4:$Q$23,
MATCH(K418,[3]Sheet1!$B$4:$B$23,1),MATCH(D418,[3]Sheet1!$C$3:$Q$3,1)))
+(D418-INDEX([3]Sheet1!$C$3:$Q$3,1,MATCH(D418,[3]Sheet1!$C$3:$Q$3)))/(INDEX([3]Sheet1!$C$3:$Q$3,1,MATCH(D418,[3]Sheet1!$C$3:$Q$3)+1)-INDEX([3]Sheet1!$C$3:$Q$3,1,MATCH(
D418,[3]Sheet1!$C$3:$Q$3)))*(INDEX([3]Sheet1!$C$4:$Q$23,MATCH(K418,[3]Sheet1!$B$4:$B$23,1),MATCH(D418,[3]Sheet1!$C$3:$Q$3,1)+1)-INDEX([3]Sheet1!$C$4:$Q$23,MATCH(K418,[3]Sheet1!$B$4:$B$23,1),MATCH(D418,[3]Sheet1!$C$3:$Q$3,1))))</f>
        <v>0</v>
      </c>
      <c r="M418" cm="1">
        <f t="array" ref="M418" xml:space="preserve"> IF(E418*J418=0,0,(INDEX([2]Sheet1!$C$4:$Q$23,MATCH(K418,[2]Sheet1!$B$4:$B$23,1),MATCH(D418,[2]Sheet1!$C$3:$Q$3,1))
+ (K418 - INDEX([2]Sheet1!$B$4:$B$23,MATCH(K418,[2]Sheet1!$B$4:$B$23,1),1))/(INDEX([2]Sheet1!$B$4:$B$23,MATCH(K418,[2]Sheet1!$B$4:$B$23,1)+1,1) - INDEX([2]Sheet1!$B$4:$B$23,MATCH(K418,[2]Sheet1!$B$4:$B$23,1),1))*(INDEX([2]Sheet1!$C$4:$Q$23,MATCH(K418,[2]Sheet1!$B$4:$B$23,1)+1,MATCH(D418,[2]Sheet1!$C$3:$Q$3,1)) - INDEX([2]Sheet1!$C$4:$Q$23,MATCH(K418,[2]Sheet1!$B$4:$B$23,1),MATCH(D418,[2]Sheet1!$C$3:$Q$3,1)))
+ (D418 - INDEX([2]Sheet1!$C$3:$Q$3,1,MATCH(D418,[2]Sheet1!$C$3:$Q$3)))/(INDEX([2]Sheet1!$C$3:$Q$3,1,MATCH(D418,[2]Sheet1!$C$3:$Q$3)+1) - INDEX([2]Sheet1!$C$3:$Q$3,1,MATCH(D418,[2]Sheet1!$C$3:$Q$3)))*(
INDEX([2]Sheet1!$C$4:$Q$23,MATCH(K418,[2]Sheet1!$B$4:$B$23,1),MATCH(D418,[2]Sheet1!$C$3:$Q$3,1)+1) - INDEX([2]Sheet1!$C$4:$Q$23,MATCH(K418,[2]Sheet1!$B$4:$B$23,1),MATCH(D418,[2]Sheet1!$C$3:$Q$3,1)))))</f>
        <v>0</v>
      </c>
      <c r="N418">
        <f t="shared" si="116"/>
        <v>12</v>
      </c>
      <c r="O418">
        <v>8.7289919484505527E-2</v>
      </c>
      <c r="P418" t="e">
        <f t="shared" si="117"/>
        <v>#DIV/0!</v>
      </c>
      <c r="Q418">
        <f t="shared" si="104"/>
        <v>0</v>
      </c>
      <c r="R418">
        <f t="shared" si="118"/>
        <v>741.9099431943954</v>
      </c>
      <c r="T418" t="e">
        <f t="shared" si="107"/>
        <v>#DIV/0!</v>
      </c>
      <c r="U418" t="e">
        <f t="shared" si="108"/>
        <v>#DIV/0!</v>
      </c>
      <c r="V418">
        <f t="shared" si="109"/>
        <v>0</v>
      </c>
      <c r="W418" t="e">
        <f t="shared" si="105"/>
        <v>#DIV/0!</v>
      </c>
    </row>
    <row r="419" spans="1:23" x14ac:dyDescent="0.55000000000000004">
      <c r="A419">
        <f t="shared" si="106"/>
        <v>38.500000000000277</v>
      </c>
      <c r="B419">
        <f t="shared" si="110"/>
        <v>0.316</v>
      </c>
      <c r="C419">
        <f t="shared" si="111"/>
        <v>-20.108695652174095</v>
      </c>
      <c r="D419">
        <v>2.4374197553892216</v>
      </c>
      <c r="E419">
        <f t="shared" ref="E419:E482" si="119">IF(B419&lt;($C$5*$C$6*10^-6),$C$9*(PI()/4*($C$8*0.001)^2)*SQRT(2*$C$6*IF(C419&gt;D419,(C419-D419),0)*10^6),0)</f>
        <v>0</v>
      </c>
      <c r="F419">
        <f t="shared" si="112"/>
        <v>4.8605058816845369E-2</v>
      </c>
      <c r="G419">
        <f t="shared" si="113"/>
        <v>39.513748498891111</v>
      </c>
      <c r="H419">
        <f t="shared" si="114"/>
        <v>0</v>
      </c>
      <c r="I419" s="1">
        <f t="shared" ref="I419:I482" si="120">IF(G419=$C$14,0,$C$16*(H419)^$C$17)</f>
        <v>0</v>
      </c>
      <c r="J419">
        <f t="shared" si="115"/>
        <v>0</v>
      </c>
      <c r="K419">
        <f t="shared" ref="K419:K482" si="121">IF(E419*J419=0,0,E419/J419)</f>
        <v>0</v>
      </c>
      <c r="L419" cm="1">
        <f t="array" ref="L419">IF(E419*J419=0,0,$C$21*INDEX([3]Sheet1!$C$4:$Q$23,MATCH(K419,[3]Sheet1!$B$4:$B$23,1),MATCH(D419,[3]Sheet1!$C$3:$Q$3,1))
+(K419-INDEX([3]Sheet1!$B$4:$B$23,MATCH(K419,[3]Sheet1!$B$4:$B$23,1),1))/(INDEX([3]Sheet1!$B$4:$B$23,MATCH(K419,[3]Sheet1!$B$4:$B$23,1)+1,1)-INDEX([3]Sheet1!$B$4:$B$23,
MATCH(K419,[3]Sheet1!$B$4:$B$23,1),1))*(INDEX([3]Sheet1!$C$4:$Q$23,MATCH(K419,[3]Sheet1!$B$4:$B$23,1)+1,MATCH(D419,[3]Sheet1!$C$3:$Q$3,1))-INDEX([3]Sheet1!$C$4:$Q$23,
MATCH(K419,[3]Sheet1!$B$4:$B$23,1),MATCH(D419,[3]Sheet1!$C$3:$Q$3,1)))
+(D419-INDEX([3]Sheet1!$C$3:$Q$3,1,MATCH(D419,[3]Sheet1!$C$3:$Q$3)))/(INDEX([3]Sheet1!$C$3:$Q$3,1,MATCH(D419,[3]Sheet1!$C$3:$Q$3)+1)-INDEX([3]Sheet1!$C$3:$Q$3,1,MATCH(
D419,[3]Sheet1!$C$3:$Q$3)))*(INDEX([3]Sheet1!$C$4:$Q$23,MATCH(K419,[3]Sheet1!$B$4:$B$23,1),MATCH(D419,[3]Sheet1!$C$3:$Q$3,1)+1)-INDEX([3]Sheet1!$C$4:$Q$23,MATCH(K419,[3]Sheet1!$B$4:$B$23,1),MATCH(D419,[3]Sheet1!$C$3:$Q$3,1))))</f>
        <v>0</v>
      </c>
      <c r="M419" cm="1">
        <f t="array" ref="M419" xml:space="preserve"> IF(E419*J419=0,0,(INDEX([2]Sheet1!$C$4:$Q$23,MATCH(K419,[2]Sheet1!$B$4:$B$23,1),MATCH(D419,[2]Sheet1!$C$3:$Q$3,1))
+ (K419 - INDEX([2]Sheet1!$B$4:$B$23,MATCH(K419,[2]Sheet1!$B$4:$B$23,1),1))/(INDEX([2]Sheet1!$B$4:$B$23,MATCH(K419,[2]Sheet1!$B$4:$B$23,1)+1,1) - INDEX([2]Sheet1!$B$4:$B$23,MATCH(K419,[2]Sheet1!$B$4:$B$23,1),1))*(INDEX([2]Sheet1!$C$4:$Q$23,MATCH(K419,[2]Sheet1!$B$4:$B$23,1)+1,MATCH(D419,[2]Sheet1!$C$3:$Q$3,1)) - INDEX([2]Sheet1!$C$4:$Q$23,MATCH(K419,[2]Sheet1!$B$4:$B$23,1),MATCH(D419,[2]Sheet1!$C$3:$Q$3,1)))
+ (D419 - INDEX([2]Sheet1!$C$3:$Q$3,1,MATCH(D419,[2]Sheet1!$C$3:$Q$3)))/(INDEX([2]Sheet1!$C$3:$Q$3,1,MATCH(D419,[2]Sheet1!$C$3:$Q$3)+1) - INDEX([2]Sheet1!$C$3:$Q$3,1,MATCH(D419,[2]Sheet1!$C$3:$Q$3)))*(
INDEX([2]Sheet1!$C$4:$Q$23,MATCH(K419,[2]Sheet1!$B$4:$B$23,1),MATCH(D419,[2]Sheet1!$C$3:$Q$3,1)+1) - INDEX([2]Sheet1!$C$4:$Q$23,MATCH(K419,[2]Sheet1!$B$4:$B$23,1),MATCH(D419,[2]Sheet1!$C$3:$Q$3,1)))))</f>
        <v>0</v>
      </c>
      <c r="N419">
        <f t="shared" si="116"/>
        <v>12</v>
      </c>
      <c r="O419">
        <v>8.7272275946764732E-2</v>
      </c>
      <c r="P419" t="e">
        <f t="shared" si="117"/>
        <v>#DIV/0!</v>
      </c>
      <c r="Q419">
        <f t="shared" ref="Q419:Q482" si="122">IF(E419*J419=0,0,((1+COS(RADIANS($C$25)))/2)*P419*D419*(PI()*($C$23^2)/4))</f>
        <v>0</v>
      </c>
      <c r="R419">
        <f t="shared" si="118"/>
        <v>741.9099431943954</v>
      </c>
      <c r="T419" t="e">
        <f t="shared" si="107"/>
        <v>#DIV/0!</v>
      </c>
      <c r="U419" t="e">
        <f t="shared" si="108"/>
        <v>#DIV/0!</v>
      </c>
      <c r="V419">
        <f t="shared" si="109"/>
        <v>0</v>
      </c>
      <c r="W419" t="e">
        <f t="shared" ref="W419:W482" si="123">(D419-V419)/V419*100</f>
        <v>#DIV/0!</v>
      </c>
    </row>
    <row r="420" spans="1:23" x14ac:dyDescent="0.55000000000000004">
      <c r="A420">
        <f t="shared" ref="A420:A483" si="124">A419+$C$29</f>
        <v>38.600000000000279</v>
      </c>
      <c r="B420">
        <f t="shared" si="110"/>
        <v>0.316</v>
      </c>
      <c r="C420">
        <f t="shared" si="111"/>
        <v>-20.173913043478443</v>
      </c>
      <c r="D420">
        <v>2.4373313827753935</v>
      </c>
      <c r="E420">
        <f t="shared" si="119"/>
        <v>0</v>
      </c>
      <c r="F420">
        <f t="shared" si="112"/>
        <v>4.8605058816845369E-2</v>
      </c>
      <c r="G420">
        <f t="shared" si="113"/>
        <v>39.513748498891111</v>
      </c>
      <c r="H420">
        <f t="shared" si="114"/>
        <v>0</v>
      </c>
      <c r="I420" s="1">
        <f t="shared" si="120"/>
        <v>0</v>
      </c>
      <c r="J420">
        <f t="shared" si="115"/>
        <v>0</v>
      </c>
      <c r="K420">
        <f t="shared" si="121"/>
        <v>0</v>
      </c>
      <c r="L420" cm="1">
        <f t="array" ref="L420">IF(E420*J420=0,0,$C$21*INDEX([3]Sheet1!$C$4:$Q$23,MATCH(K420,[3]Sheet1!$B$4:$B$23,1),MATCH(D420,[3]Sheet1!$C$3:$Q$3,1))
+(K420-INDEX([3]Sheet1!$B$4:$B$23,MATCH(K420,[3]Sheet1!$B$4:$B$23,1),1))/(INDEX([3]Sheet1!$B$4:$B$23,MATCH(K420,[3]Sheet1!$B$4:$B$23,1)+1,1)-INDEX([3]Sheet1!$B$4:$B$23,
MATCH(K420,[3]Sheet1!$B$4:$B$23,1),1))*(INDEX([3]Sheet1!$C$4:$Q$23,MATCH(K420,[3]Sheet1!$B$4:$B$23,1)+1,MATCH(D420,[3]Sheet1!$C$3:$Q$3,1))-INDEX([3]Sheet1!$C$4:$Q$23,
MATCH(K420,[3]Sheet1!$B$4:$B$23,1),MATCH(D420,[3]Sheet1!$C$3:$Q$3,1)))
+(D420-INDEX([3]Sheet1!$C$3:$Q$3,1,MATCH(D420,[3]Sheet1!$C$3:$Q$3)))/(INDEX([3]Sheet1!$C$3:$Q$3,1,MATCH(D420,[3]Sheet1!$C$3:$Q$3)+1)-INDEX([3]Sheet1!$C$3:$Q$3,1,MATCH(
D420,[3]Sheet1!$C$3:$Q$3)))*(INDEX([3]Sheet1!$C$4:$Q$23,MATCH(K420,[3]Sheet1!$B$4:$B$23,1),MATCH(D420,[3]Sheet1!$C$3:$Q$3,1)+1)-INDEX([3]Sheet1!$C$4:$Q$23,MATCH(K420,[3]Sheet1!$B$4:$B$23,1),MATCH(D420,[3]Sheet1!$C$3:$Q$3,1))))</f>
        <v>0</v>
      </c>
      <c r="M420" cm="1">
        <f t="array" ref="M420" xml:space="preserve"> IF(E420*J420=0,0,(INDEX([2]Sheet1!$C$4:$Q$23,MATCH(K420,[2]Sheet1!$B$4:$B$23,1),MATCH(D420,[2]Sheet1!$C$3:$Q$3,1))
+ (K420 - INDEX([2]Sheet1!$B$4:$B$23,MATCH(K420,[2]Sheet1!$B$4:$B$23,1),1))/(INDEX([2]Sheet1!$B$4:$B$23,MATCH(K420,[2]Sheet1!$B$4:$B$23,1)+1,1) - INDEX([2]Sheet1!$B$4:$B$23,MATCH(K420,[2]Sheet1!$B$4:$B$23,1),1))*(INDEX([2]Sheet1!$C$4:$Q$23,MATCH(K420,[2]Sheet1!$B$4:$B$23,1)+1,MATCH(D420,[2]Sheet1!$C$3:$Q$3,1)) - INDEX([2]Sheet1!$C$4:$Q$23,MATCH(K420,[2]Sheet1!$B$4:$B$23,1),MATCH(D420,[2]Sheet1!$C$3:$Q$3,1)))
+ (D420 - INDEX([2]Sheet1!$C$3:$Q$3,1,MATCH(D420,[2]Sheet1!$C$3:$Q$3)))/(INDEX([2]Sheet1!$C$3:$Q$3,1,MATCH(D420,[2]Sheet1!$C$3:$Q$3)+1) - INDEX([2]Sheet1!$C$3:$Q$3,1,MATCH(D420,[2]Sheet1!$C$3:$Q$3)))*(
INDEX([2]Sheet1!$C$4:$Q$23,MATCH(K420,[2]Sheet1!$B$4:$B$23,1),MATCH(D420,[2]Sheet1!$C$3:$Q$3,1)+1) - INDEX([2]Sheet1!$C$4:$Q$23,MATCH(K420,[2]Sheet1!$B$4:$B$23,1),MATCH(D420,[2]Sheet1!$C$3:$Q$3,1)))))</f>
        <v>0</v>
      </c>
      <c r="N420">
        <f t="shared" si="116"/>
        <v>12</v>
      </c>
      <c r="O420">
        <v>8.7254664690410877E-2</v>
      </c>
      <c r="P420" t="e">
        <f t="shared" si="117"/>
        <v>#DIV/0!</v>
      </c>
      <c r="Q420">
        <f t="shared" si="122"/>
        <v>0</v>
      </c>
      <c r="R420">
        <f t="shared" si="118"/>
        <v>741.9099431943954</v>
      </c>
      <c r="T420" t="e">
        <f t="shared" si="107"/>
        <v>#DIV/0!</v>
      </c>
      <c r="U420" t="e">
        <f t="shared" si="108"/>
        <v>#DIV/0!</v>
      </c>
      <c r="V420">
        <f t="shared" si="109"/>
        <v>0</v>
      </c>
      <c r="W420" t="e">
        <f t="shared" si="123"/>
        <v>#DIV/0!</v>
      </c>
    </row>
    <row r="421" spans="1:23" x14ac:dyDescent="0.55000000000000004">
      <c r="A421">
        <f t="shared" si="124"/>
        <v>38.70000000000028</v>
      </c>
      <c r="B421">
        <f t="shared" si="110"/>
        <v>0.316</v>
      </c>
      <c r="C421">
        <f t="shared" si="111"/>
        <v>-20.239130434782794</v>
      </c>
      <c r="D421">
        <v>2.4372431538580668</v>
      </c>
      <c r="E421">
        <f t="shared" si="119"/>
        <v>0</v>
      </c>
      <c r="F421">
        <f t="shared" si="112"/>
        <v>4.8605058816845369E-2</v>
      </c>
      <c r="G421">
        <f t="shared" si="113"/>
        <v>39.513748498891111</v>
      </c>
      <c r="H421">
        <f t="shared" si="114"/>
        <v>0</v>
      </c>
      <c r="I421" s="1">
        <f t="shared" si="120"/>
        <v>0</v>
      </c>
      <c r="J421">
        <f t="shared" si="115"/>
        <v>0</v>
      </c>
      <c r="K421">
        <f t="shared" si="121"/>
        <v>0</v>
      </c>
      <c r="L421" cm="1">
        <f t="array" ref="L421">IF(E421*J421=0,0,$C$21*INDEX([3]Sheet1!$C$4:$Q$23,MATCH(K421,[3]Sheet1!$B$4:$B$23,1),MATCH(D421,[3]Sheet1!$C$3:$Q$3,1))
+(K421-INDEX([3]Sheet1!$B$4:$B$23,MATCH(K421,[3]Sheet1!$B$4:$B$23,1),1))/(INDEX([3]Sheet1!$B$4:$B$23,MATCH(K421,[3]Sheet1!$B$4:$B$23,1)+1,1)-INDEX([3]Sheet1!$B$4:$B$23,
MATCH(K421,[3]Sheet1!$B$4:$B$23,1),1))*(INDEX([3]Sheet1!$C$4:$Q$23,MATCH(K421,[3]Sheet1!$B$4:$B$23,1)+1,MATCH(D421,[3]Sheet1!$C$3:$Q$3,1))-INDEX([3]Sheet1!$C$4:$Q$23,
MATCH(K421,[3]Sheet1!$B$4:$B$23,1),MATCH(D421,[3]Sheet1!$C$3:$Q$3,1)))
+(D421-INDEX([3]Sheet1!$C$3:$Q$3,1,MATCH(D421,[3]Sheet1!$C$3:$Q$3)))/(INDEX([3]Sheet1!$C$3:$Q$3,1,MATCH(D421,[3]Sheet1!$C$3:$Q$3)+1)-INDEX([3]Sheet1!$C$3:$Q$3,1,MATCH(
D421,[3]Sheet1!$C$3:$Q$3)))*(INDEX([3]Sheet1!$C$4:$Q$23,MATCH(K421,[3]Sheet1!$B$4:$B$23,1),MATCH(D421,[3]Sheet1!$C$3:$Q$3,1)+1)-INDEX([3]Sheet1!$C$4:$Q$23,MATCH(K421,[3]Sheet1!$B$4:$B$23,1),MATCH(D421,[3]Sheet1!$C$3:$Q$3,1))))</f>
        <v>0</v>
      </c>
      <c r="M421" cm="1">
        <f t="array" ref="M421" xml:space="preserve"> IF(E421*J421=0,0,(INDEX([2]Sheet1!$C$4:$Q$23,MATCH(K421,[2]Sheet1!$B$4:$B$23,1),MATCH(D421,[2]Sheet1!$C$3:$Q$3,1))
+ (K421 - INDEX([2]Sheet1!$B$4:$B$23,MATCH(K421,[2]Sheet1!$B$4:$B$23,1),1))/(INDEX([2]Sheet1!$B$4:$B$23,MATCH(K421,[2]Sheet1!$B$4:$B$23,1)+1,1) - INDEX([2]Sheet1!$B$4:$B$23,MATCH(K421,[2]Sheet1!$B$4:$B$23,1),1))*(INDEX([2]Sheet1!$C$4:$Q$23,MATCH(K421,[2]Sheet1!$B$4:$B$23,1)+1,MATCH(D421,[2]Sheet1!$C$3:$Q$3,1)) - INDEX([2]Sheet1!$C$4:$Q$23,MATCH(K421,[2]Sheet1!$B$4:$B$23,1),MATCH(D421,[2]Sheet1!$C$3:$Q$3,1)))
+ (D421 - INDEX([2]Sheet1!$C$3:$Q$3,1,MATCH(D421,[2]Sheet1!$C$3:$Q$3)))/(INDEX([2]Sheet1!$C$3:$Q$3,1,MATCH(D421,[2]Sheet1!$C$3:$Q$3)+1) - INDEX([2]Sheet1!$C$3:$Q$3,1,MATCH(D421,[2]Sheet1!$C$3:$Q$3)))*(
INDEX([2]Sheet1!$C$4:$Q$23,MATCH(K421,[2]Sheet1!$B$4:$B$23,1),MATCH(D421,[2]Sheet1!$C$3:$Q$3,1)+1) - INDEX([2]Sheet1!$C$4:$Q$23,MATCH(K421,[2]Sheet1!$B$4:$B$23,1),MATCH(D421,[2]Sheet1!$C$3:$Q$3,1)))))</f>
        <v>0</v>
      </c>
      <c r="N421">
        <f t="shared" si="116"/>
        <v>12</v>
      </c>
      <c r="O421">
        <v>8.7237085600271394E-2</v>
      </c>
      <c r="P421" t="e">
        <f t="shared" si="117"/>
        <v>#DIV/0!</v>
      </c>
      <c r="Q421">
        <f t="shared" si="122"/>
        <v>0</v>
      </c>
      <c r="R421">
        <f t="shared" si="118"/>
        <v>741.9099431943954</v>
      </c>
      <c r="T421" t="e">
        <f t="shared" ref="T421:T484" si="125">((2/(M421+1))^(1/(M421-1)))*((D421/O421)^(1/M421))/SQRT(((M421+1)/(M421-1))*(1-(O421/D421)^((M421-1)/M421)))</f>
        <v>#DIV/0!</v>
      </c>
      <c r="U421" t="e">
        <f t="shared" ref="U421:U484" si="126">(T421-(($C$24^2)/(N421^2)))/(($C$24^2)/(N421^2))*100</f>
        <v>#DIV/0!</v>
      </c>
      <c r="V421">
        <f t="shared" ref="V421:V484" si="127">4*L421*(E421+J421)/(PI()*N421^2)</f>
        <v>0</v>
      </c>
      <c r="W421" t="e">
        <f t="shared" si="123"/>
        <v>#DIV/0!</v>
      </c>
    </row>
    <row r="422" spans="1:23" x14ac:dyDescent="0.55000000000000004">
      <c r="A422">
        <f t="shared" si="124"/>
        <v>38.800000000000281</v>
      </c>
      <c r="B422">
        <f t="shared" ref="B422:B485" si="128">IF(B421+(E421+E420)*(A421-A420)/2&lt;$C$5*$C$6*10^-6,B421+(E421+E420)*(A421-A420)/2,$C$5*$C$6*10^-6)</f>
        <v>0.316</v>
      </c>
      <c r="C422">
        <f t="shared" ref="C422:C485" si="129">($C$3-$C$2)*A422/$C$4+$C$2</f>
        <v>-20.304347826087142</v>
      </c>
      <c r="D422">
        <v>2.4371550681547722</v>
      </c>
      <c r="E422">
        <f t="shared" si="119"/>
        <v>0</v>
      </c>
      <c r="F422">
        <f t="shared" ref="F422:F485" si="130">F421+(J421+J420)*(A422-A421)/2</f>
        <v>4.8605058816845369E-2</v>
      </c>
      <c r="G422">
        <f t="shared" ref="G422:G485" si="131">IF(SQRT(4*F422/($C$15*PI()*$C$11*$C$12*0.001)+($C$13*0.001)^2)*1000&lt;$C$14,SQRT(4*F422/($C$15*PI()*$C$11*$C$12*0.001)+($C$13*0.001)^2)*1000,$C$14)</f>
        <v>39.513748498891111</v>
      </c>
      <c r="H422">
        <f t="shared" ref="H422:H485" si="132">4*E422/($C$15*PI()*(G422*0.001)^2)</f>
        <v>0</v>
      </c>
      <c r="I422" s="1">
        <f t="shared" si="120"/>
        <v>0</v>
      </c>
      <c r="J422">
        <f t="shared" ref="J422:J485" si="133">($C$12*10^-3)*PI()*(G422*10^-3)*$C$11*(I422*10^-3)*$C$15</f>
        <v>0</v>
      </c>
      <c r="K422">
        <f t="shared" si="121"/>
        <v>0</v>
      </c>
      <c r="L422" cm="1">
        <f t="array" ref="L422">IF(E422*J422=0,0,$C$21*INDEX([3]Sheet1!$C$4:$Q$23,MATCH(K422,[3]Sheet1!$B$4:$B$23,1),MATCH(D422,[3]Sheet1!$C$3:$Q$3,1))
+(K422-INDEX([3]Sheet1!$B$4:$B$23,MATCH(K422,[3]Sheet1!$B$4:$B$23,1),1))/(INDEX([3]Sheet1!$B$4:$B$23,MATCH(K422,[3]Sheet1!$B$4:$B$23,1)+1,1)-INDEX([3]Sheet1!$B$4:$B$23,
MATCH(K422,[3]Sheet1!$B$4:$B$23,1),1))*(INDEX([3]Sheet1!$C$4:$Q$23,MATCH(K422,[3]Sheet1!$B$4:$B$23,1)+1,MATCH(D422,[3]Sheet1!$C$3:$Q$3,1))-INDEX([3]Sheet1!$C$4:$Q$23,
MATCH(K422,[3]Sheet1!$B$4:$B$23,1),MATCH(D422,[3]Sheet1!$C$3:$Q$3,1)))
+(D422-INDEX([3]Sheet1!$C$3:$Q$3,1,MATCH(D422,[3]Sheet1!$C$3:$Q$3)))/(INDEX([3]Sheet1!$C$3:$Q$3,1,MATCH(D422,[3]Sheet1!$C$3:$Q$3)+1)-INDEX([3]Sheet1!$C$3:$Q$3,1,MATCH(
D422,[3]Sheet1!$C$3:$Q$3)))*(INDEX([3]Sheet1!$C$4:$Q$23,MATCH(K422,[3]Sheet1!$B$4:$B$23,1),MATCH(D422,[3]Sheet1!$C$3:$Q$3,1)+1)-INDEX([3]Sheet1!$C$4:$Q$23,MATCH(K422,[3]Sheet1!$B$4:$B$23,1),MATCH(D422,[3]Sheet1!$C$3:$Q$3,1))))</f>
        <v>0</v>
      </c>
      <c r="M422" cm="1">
        <f t="array" ref="M422" xml:space="preserve"> IF(E422*J422=0,0,(INDEX([2]Sheet1!$C$4:$Q$23,MATCH(K422,[2]Sheet1!$B$4:$B$23,1),MATCH(D422,[2]Sheet1!$C$3:$Q$3,1))
+ (K422 - INDEX([2]Sheet1!$B$4:$B$23,MATCH(K422,[2]Sheet1!$B$4:$B$23,1),1))/(INDEX([2]Sheet1!$B$4:$B$23,MATCH(K422,[2]Sheet1!$B$4:$B$23,1)+1,1) - INDEX([2]Sheet1!$B$4:$B$23,MATCH(K422,[2]Sheet1!$B$4:$B$23,1),1))*(INDEX([2]Sheet1!$C$4:$Q$23,MATCH(K422,[2]Sheet1!$B$4:$B$23,1)+1,MATCH(D422,[2]Sheet1!$C$3:$Q$3,1)) - INDEX([2]Sheet1!$C$4:$Q$23,MATCH(K422,[2]Sheet1!$B$4:$B$23,1),MATCH(D422,[2]Sheet1!$C$3:$Q$3,1)))
+ (D422 - INDEX([2]Sheet1!$C$3:$Q$3,1,MATCH(D422,[2]Sheet1!$C$3:$Q$3)))/(INDEX([2]Sheet1!$C$3:$Q$3,1,MATCH(D422,[2]Sheet1!$C$3:$Q$3)+1) - INDEX([2]Sheet1!$C$3:$Q$3,1,MATCH(D422,[2]Sheet1!$C$3:$Q$3)))*(
INDEX([2]Sheet1!$C$4:$Q$23,MATCH(K422,[2]Sheet1!$B$4:$B$23,1),MATCH(D422,[2]Sheet1!$C$3:$Q$3,1)+1) - INDEX([2]Sheet1!$C$4:$Q$23,MATCH(K422,[2]Sheet1!$B$4:$B$23,1),MATCH(D422,[2]Sheet1!$C$3:$Q$3,1)))))</f>
        <v>0</v>
      </c>
      <c r="N422">
        <f t="shared" ref="N422:N485" si="134">C$23+$C$26*(A423-A422)</f>
        <v>12</v>
      </c>
      <c r="O422">
        <v>8.7219538562442758E-2</v>
      </c>
      <c r="P422" t="e">
        <f t="shared" ref="P422:P485" si="135">SQRT(2*(M422^2)/(M422-1)*((2/(M422+1))^((M422+1)/(M422-1)))*(1-(O422/D422)^((M422-1)/M422)))+((O422-$C$22)/D422)*(($C$24^2)/($C$23^2))</f>
        <v>#DIV/0!</v>
      </c>
      <c r="Q422">
        <f t="shared" si="122"/>
        <v>0</v>
      </c>
      <c r="R422">
        <f t="shared" ref="R422:R485" si="136">R421+(Q422+Q421)*(A422-A421)/2</f>
        <v>741.9099431943954</v>
      </c>
      <c r="T422" t="e">
        <f t="shared" si="125"/>
        <v>#DIV/0!</v>
      </c>
      <c r="U422" t="e">
        <f t="shared" si="126"/>
        <v>#DIV/0!</v>
      </c>
      <c r="V422">
        <f t="shared" si="127"/>
        <v>0</v>
      </c>
      <c r="W422" t="e">
        <f t="shared" si="123"/>
        <v>#DIV/0!</v>
      </c>
    </row>
    <row r="423" spans="1:23" x14ac:dyDescent="0.55000000000000004">
      <c r="A423">
        <f t="shared" si="124"/>
        <v>38.900000000000283</v>
      </c>
      <c r="B423">
        <f t="shared" si="128"/>
        <v>0.316</v>
      </c>
      <c r="C423">
        <f t="shared" si="129"/>
        <v>-20.369565217391489</v>
      </c>
      <c r="D423">
        <v>2.4370671251854854</v>
      </c>
      <c r="E423">
        <f t="shared" si="119"/>
        <v>0</v>
      </c>
      <c r="F423">
        <f t="shared" si="130"/>
        <v>4.8605058816845369E-2</v>
      </c>
      <c r="G423">
        <f t="shared" si="131"/>
        <v>39.513748498891111</v>
      </c>
      <c r="H423">
        <f t="shared" si="132"/>
        <v>0</v>
      </c>
      <c r="I423" s="1">
        <f t="shared" si="120"/>
        <v>0</v>
      </c>
      <c r="J423">
        <f t="shared" si="133"/>
        <v>0</v>
      </c>
      <c r="K423">
        <f t="shared" si="121"/>
        <v>0</v>
      </c>
      <c r="L423" cm="1">
        <f t="array" ref="L423">IF(E423*J423=0,0,$C$21*INDEX([3]Sheet1!$C$4:$Q$23,MATCH(K423,[3]Sheet1!$B$4:$B$23,1),MATCH(D423,[3]Sheet1!$C$3:$Q$3,1))
+(K423-INDEX([3]Sheet1!$B$4:$B$23,MATCH(K423,[3]Sheet1!$B$4:$B$23,1),1))/(INDEX([3]Sheet1!$B$4:$B$23,MATCH(K423,[3]Sheet1!$B$4:$B$23,1)+1,1)-INDEX([3]Sheet1!$B$4:$B$23,
MATCH(K423,[3]Sheet1!$B$4:$B$23,1),1))*(INDEX([3]Sheet1!$C$4:$Q$23,MATCH(K423,[3]Sheet1!$B$4:$B$23,1)+1,MATCH(D423,[3]Sheet1!$C$3:$Q$3,1))-INDEX([3]Sheet1!$C$4:$Q$23,
MATCH(K423,[3]Sheet1!$B$4:$B$23,1),MATCH(D423,[3]Sheet1!$C$3:$Q$3,1)))
+(D423-INDEX([3]Sheet1!$C$3:$Q$3,1,MATCH(D423,[3]Sheet1!$C$3:$Q$3)))/(INDEX([3]Sheet1!$C$3:$Q$3,1,MATCH(D423,[3]Sheet1!$C$3:$Q$3)+1)-INDEX([3]Sheet1!$C$3:$Q$3,1,MATCH(
D423,[3]Sheet1!$C$3:$Q$3)))*(INDEX([3]Sheet1!$C$4:$Q$23,MATCH(K423,[3]Sheet1!$B$4:$B$23,1),MATCH(D423,[3]Sheet1!$C$3:$Q$3,1)+1)-INDEX([3]Sheet1!$C$4:$Q$23,MATCH(K423,[3]Sheet1!$B$4:$B$23,1),MATCH(D423,[3]Sheet1!$C$3:$Q$3,1))))</f>
        <v>0</v>
      </c>
      <c r="M423" cm="1">
        <f t="array" ref="M423" xml:space="preserve"> IF(E423*J423=0,0,(INDEX([2]Sheet1!$C$4:$Q$23,MATCH(K423,[2]Sheet1!$B$4:$B$23,1),MATCH(D423,[2]Sheet1!$C$3:$Q$3,1))
+ (K423 - INDEX([2]Sheet1!$B$4:$B$23,MATCH(K423,[2]Sheet1!$B$4:$B$23,1),1))/(INDEX([2]Sheet1!$B$4:$B$23,MATCH(K423,[2]Sheet1!$B$4:$B$23,1)+1,1) - INDEX([2]Sheet1!$B$4:$B$23,MATCH(K423,[2]Sheet1!$B$4:$B$23,1),1))*(INDEX([2]Sheet1!$C$4:$Q$23,MATCH(K423,[2]Sheet1!$B$4:$B$23,1)+1,MATCH(D423,[2]Sheet1!$C$3:$Q$3,1)) - INDEX([2]Sheet1!$C$4:$Q$23,MATCH(K423,[2]Sheet1!$B$4:$B$23,1),MATCH(D423,[2]Sheet1!$C$3:$Q$3,1)))
+ (D423 - INDEX([2]Sheet1!$C$3:$Q$3,1,MATCH(D423,[2]Sheet1!$C$3:$Q$3)))/(INDEX([2]Sheet1!$C$3:$Q$3,1,MATCH(D423,[2]Sheet1!$C$3:$Q$3)+1) - INDEX([2]Sheet1!$C$3:$Q$3,1,MATCH(D423,[2]Sheet1!$C$3:$Q$3)))*(
INDEX([2]Sheet1!$C$4:$Q$23,MATCH(K423,[2]Sheet1!$B$4:$B$23,1),MATCH(D423,[2]Sheet1!$C$3:$Q$3,1)+1) - INDEX([2]Sheet1!$C$4:$Q$23,MATCH(K423,[2]Sheet1!$B$4:$B$23,1),MATCH(D423,[2]Sheet1!$C$3:$Q$3,1)))))</f>
        <v>0</v>
      </c>
      <c r="N423">
        <f t="shared" si="134"/>
        <v>12</v>
      </c>
      <c r="O423">
        <v>8.7202023463619424E-2</v>
      </c>
      <c r="P423" t="e">
        <f t="shared" si="135"/>
        <v>#DIV/0!</v>
      </c>
      <c r="Q423">
        <f t="shared" si="122"/>
        <v>0</v>
      </c>
      <c r="R423">
        <f t="shared" si="136"/>
        <v>741.9099431943954</v>
      </c>
      <c r="T423" t="e">
        <f t="shared" si="125"/>
        <v>#DIV/0!</v>
      </c>
      <c r="U423" t="e">
        <f t="shared" si="126"/>
        <v>#DIV/0!</v>
      </c>
      <c r="V423">
        <f t="shared" si="127"/>
        <v>0</v>
      </c>
      <c r="W423" t="e">
        <f t="shared" si="123"/>
        <v>#DIV/0!</v>
      </c>
    </row>
    <row r="424" spans="1:23" x14ac:dyDescent="0.55000000000000004">
      <c r="A424">
        <f t="shared" si="124"/>
        <v>39.000000000000284</v>
      </c>
      <c r="B424">
        <f t="shared" si="128"/>
        <v>0.316</v>
      </c>
      <c r="C424">
        <f t="shared" si="129"/>
        <v>-20.434782608695841</v>
      </c>
      <c r="D424">
        <v>2.4369793244726039</v>
      </c>
      <c r="E424">
        <f t="shared" si="119"/>
        <v>0</v>
      </c>
      <c r="F424">
        <f t="shared" si="130"/>
        <v>4.8605058816845369E-2</v>
      </c>
      <c r="G424">
        <f t="shared" si="131"/>
        <v>39.513748498891111</v>
      </c>
      <c r="H424">
        <f t="shared" si="132"/>
        <v>0</v>
      </c>
      <c r="I424" s="1">
        <f t="shared" si="120"/>
        <v>0</v>
      </c>
      <c r="J424">
        <f t="shared" si="133"/>
        <v>0</v>
      </c>
      <c r="K424">
        <f t="shared" si="121"/>
        <v>0</v>
      </c>
      <c r="L424" cm="1">
        <f t="array" ref="L424">IF(E424*J424=0,0,$C$21*INDEX([3]Sheet1!$C$4:$Q$23,MATCH(K424,[3]Sheet1!$B$4:$B$23,1),MATCH(D424,[3]Sheet1!$C$3:$Q$3,1))
+(K424-INDEX([3]Sheet1!$B$4:$B$23,MATCH(K424,[3]Sheet1!$B$4:$B$23,1),1))/(INDEX([3]Sheet1!$B$4:$B$23,MATCH(K424,[3]Sheet1!$B$4:$B$23,1)+1,1)-INDEX([3]Sheet1!$B$4:$B$23,
MATCH(K424,[3]Sheet1!$B$4:$B$23,1),1))*(INDEX([3]Sheet1!$C$4:$Q$23,MATCH(K424,[3]Sheet1!$B$4:$B$23,1)+1,MATCH(D424,[3]Sheet1!$C$3:$Q$3,1))-INDEX([3]Sheet1!$C$4:$Q$23,
MATCH(K424,[3]Sheet1!$B$4:$B$23,1),MATCH(D424,[3]Sheet1!$C$3:$Q$3,1)))
+(D424-INDEX([3]Sheet1!$C$3:$Q$3,1,MATCH(D424,[3]Sheet1!$C$3:$Q$3)))/(INDEX([3]Sheet1!$C$3:$Q$3,1,MATCH(D424,[3]Sheet1!$C$3:$Q$3)+1)-INDEX([3]Sheet1!$C$3:$Q$3,1,MATCH(
D424,[3]Sheet1!$C$3:$Q$3)))*(INDEX([3]Sheet1!$C$4:$Q$23,MATCH(K424,[3]Sheet1!$B$4:$B$23,1),MATCH(D424,[3]Sheet1!$C$3:$Q$3,1)+1)-INDEX([3]Sheet1!$C$4:$Q$23,MATCH(K424,[3]Sheet1!$B$4:$B$23,1),MATCH(D424,[3]Sheet1!$C$3:$Q$3,1))))</f>
        <v>0</v>
      </c>
      <c r="M424" cm="1">
        <f t="array" ref="M424" xml:space="preserve"> IF(E424*J424=0,0,(INDEX([2]Sheet1!$C$4:$Q$23,MATCH(K424,[2]Sheet1!$B$4:$B$23,1),MATCH(D424,[2]Sheet1!$C$3:$Q$3,1))
+ (K424 - INDEX([2]Sheet1!$B$4:$B$23,MATCH(K424,[2]Sheet1!$B$4:$B$23,1),1))/(INDEX([2]Sheet1!$B$4:$B$23,MATCH(K424,[2]Sheet1!$B$4:$B$23,1)+1,1) - INDEX([2]Sheet1!$B$4:$B$23,MATCH(K424,[2]Sheet1!$B$4:$B$23,1),1))*(INDEX([2]Sheet1!$C$4:$Q$23,MATCH(K424,[2]Sheet1!$B$4:$B$23,1)+1,MATCH(D424,[2]Sheet1!$C$3:$Q$3,1)) - INDEX([2]Sheet1!$C$4:$Q$23,MATCH(K424,[2]Sheet1!$B$4:$B$23,1),MATCH(D424,[2]Sheet1!$C$3:$Q$3,1)))
+ (D424 - INDEX([2]Sheet1!$C$3:$Q$3,1,MATCH(D424,[2]Sheet1!$C$3:$Q$3)))/(INDEX([2]Sheet1!$C$3:$Q$3,1,MATCH(D424,[2]Sheet1!$C$3:$Q$3)+1) - INDEX([2]Sheet1!$C$3:$Q$3,1,MATCH(D424,[2]Sheet1!$C$3:$Q$3)))*(
INDEX([2]Sheet1!$C$4:$Q$23,MATCH(K424,[2]Sheet1!$B$4:$B$23,1),MATCH(D424,[2]Sheet1!$C$3:$Q$3,1)+1) - INDEX([2]Sheet1!$C$4:$Q$23,MATCH(K424,[2]Sheet1!$B$4:$B$23,1),MATCH(D424,[2]Sheet1!$C$3:$Q$3,1)))))</f>
        <v>0</v>
      </c>
      <c r="N424">
        <f t="shared" si="134"/>
        <v>12</v>
      </c>
      <c r="O424">
        <v>8.7184540191089399E-2</v>
      </c>
      <c r="P424" t="e">
        <f t="shared" si="135"/>
        <v>#DIV/0!</v>
      </c>
      <c r="Q424">
        <f t="shared" si="122"/>
        <v>0</v>
      </c>
      <c r="R424">
        <f t="shared" si="136"/>
        <v>741.9099431943954</v>
      </c>
      <c r="T424" t="e">
        <f t="shared" si="125"/>
        <v>#DIV/0!</v>
      </c>
      <c r="U424" t="e">
        <f t="shared" si="126"/>
        <v>#DIV/0!</v>
      </c>
      <c r="V424">
        <f t="shared" si="127"/>
        <v>0</v>
      </c>
      <c r="W424" t="e">
        <f t="shared" si="123"/>
        <v>#DIV/0!</v>
      </c>
    </row>
    <row r="425" spans="1:23" x14ac:dyDescent="0.55000000000000004">
      <c r="A425">
        <f t="shared" si="124"/>
        <v>39.100000000000286</v>
      </c>
      <c r="B425">
        <f t="shared" si="128"/>
        <v>0.316</v>
      </c>
      <c r="C425">
        <f t="shared" si="129"/>
        <v>-20.500000000000188</v>
      </c>
      <c r="D425">
        <v>2.4368916655409398</v>
      </c>
      <c r="E425">
        <f t="shared" si="119"/>
        <v>0</v>
      </c>
      <c r="F425">
        <f t="shared" si="130"/>
        <v>4.8605058816845369E-2</v>
      </c>
      <c r="G425">
        <f t="shared" si="131"/>
        <v>39.513748498891111</v>
      </c>
      <c r="H425">
        <f t="shared" si="132"/>
        <v>0</v>
      </c>
      <c r="I425" s="1">
        <f t="shared" si="120"/>
        <v>0</v>
      </c>
      <c r="J425">
        <f t="shared" si="133"/>
        <v>0</v>
      </c>
      <c r="K425">
        <f t="shared" si="121"/>
        <v>0</v>
      </c>
      <c r="L425" cm="1">
        <f t="array" ref="L425">IF(E425*J425=0,0,$C$21*INDEX([3]Sheet1!$C$4:$Q$23,MATCH(K425,[3]Sheet1!$B$4:$B$23,1),MATCH(D425,[3]Sheet1!$C$3:$Q$3,1))
+(K425-INDEX([3]Sheet1!$B$4:$B$23,MATCH(K425,[3]Sheet1!$B$4:$B$23,1),1))/(INDEX([3]Sheet1!$B$4:$B$23,MATCH(K425,[3]Sheet1!$B$4:$B$23,1)+1,1)-INDEX([3]Sheet1!$B$4:$B$23,
MATCH(K425,[3]Sheet1!$B$4:$B$23,1),1))*(INDEX([3]Sheet1!$C$4:$Q$23,MATCH(K425,[3]Sheet1!$B$4:$B$23,1)+1,MATCH(D425,[3]Sheet1!$C$3:$Q$3,1))-INDEX([3]Sheet1!$C$4:$Q$23,
MATCH(K425,[3]Sheet1!$B$4:$B$23,1),MATCH(D425,[3]Sheet1!$C$3:$Q$3,1)))
+(D425-INDEX([3]Sheet1!$C$3:$Q$3,1,MATCH(D425,[3]Sheet1!$C$3:$Q$3)))/(INDEX([3]Sheet1!$C$3:$Q$3,1,MATCH(D425,[3]Sheet1!$C$3:$Q$3)+1)-INDEX([3]Sheet1!$C$3:$Q$3,1,MATCH(
D425,[3]Sheet1!$C$3:$Q$3)))*(INDEX([3]Sheet1!$C$4:$Q$23,MATCH(K425,[3]Sheet1!$B$4:$B$23,1),MATCH(D425,[3]Sheet1!$C$3:$Q$3,1)+1)-INDEX([3]Sheet1!$C$4:$Q$23,MATCH(K425,[3]Sheet1!$B$4:$B$23,1),MATCH(D425,[3]Sheet1!$C$3:$Q$3,1))))</f>
        <v>0</v>
      </c>
      <c r="M425" cm="1">
        <f t="array" ref="M425" xml:space="preserve"> IF(E425*J425=0,0,(INDEX([2]Sheet1!$C$4:$Q$23,MATCH(K425,[2]Sheet1!$B$4:$B$23,1),MATCH(D425,[2]Sheet1!$C$3:$Q$3,1))
+ (K425 - INDEX([2]Sheet1!$B$4:$B$23,MATCH(K425,[2]Sheet1!$B$4:$B$23,1),1))/(INDEX([2]Sheet1!$B$4:$B$23,MATCH(K425,[2]Sheet1!$B$4:$B$23,1)+1,1) - INDEX([2]Sheet1!$B$4:$B$23,MATCH(K425,[2]Sheet1!$B$4:$B$23,1),1))*(INDEX([2]Sheet1!$C$4:$Q$23,MATCH(K425,[2]Sheet1!$B$4:$B$23,1)+1,MATCH(D425,[2]Sheet1!$C$3:$Q$3,1)) - INDEX([2]Sheet1!$C$4:$Q$23,MATCH(K425,[2]Sheet1!$B$4:$B$23,1),MATCH(D425,[2]Sheet1!$C$3:$Q$3,1)))
+ (D425 - INDEX([2]Sheet1!$C$3:$Q$3,1,MATCH(D425,[2]Sheet1!$C$3:$Q$3)))/(INDEX([2]Sheet1!$C$3:$Q$3,1,MATCH(D425,[2]Sheet1!$C$3:$Q$3)+1) - INDEX([2]Sheet1!$C$3:$Q$3,1,MATCH(D425,[2]Sheet1!$C$3:$Q$3)))*(
INDEX([2]Sheet1!$C$4:$Q$23,MATCH(K425,[2]Sheet1!$B$4:$B$23,1),MATCH(D425,[2]Sheet1!$C$3:$Q$3,1)+1) - INDEX([2]Sheet1!$C$4:$Q$23,MATCH(K425,[2]Sheet1!$B$4:$B$23,1),MATCH(D425,[2]Sheet1!$C$3:$Q$3,1)))))</f>
        <v>0</v>
      </c>
      <c r="N425">
        <f t="shared" si="134"/>
        <v>12</v>
      </c>
      <c r="O425">
        <v>8.7167088632731468E-2</v>
      </c>
      <c r="P425" t="e">
        <f t="shared" si="135"/>
        <v>#DIV/0!</v>
      </c>
      <c r="Q425">
        <f t="shared" si="122"/>
        <v>0</v>
      </c>
      <c r="R425">
        <f t="shared" si="136"/>
        <v>741.9099431943954</v>
      </c>
      <c r="T425" t="e">
        <f t="shared" si="125"/>
        <v>#DIV/0!</v>
      </c>
      <c r="U425" t="e">
        <f t="shared" si="126"/>
        <v>#DIV/0!</v>
      </c>
      <c r="V425">
        <f t="shared" si="127"/>
        <v>0</v>
      </c>
      <c r="W425" t="e">
        <f t="shared" si="123"/>
        <v>#DIV/0!</v>
      </c>
    </row>
    <row r="426" spans="1:23" x14ac:dyDescent="0.55000000000000004">
      <c r="A426">
        <f t="shared" si="124"/>
        <v>39.200000000000287</v>
      </c>
      <c r="B426">
        <f t="shared" si="128"/>
        <v>0.316</v>
      </c>
      <c r="C426">
        <f t="shared" si="129"/>
        <v>-20.565217391304536</v>
      </c>
      <c r="D426">
        <v>2.4368041479176932</v>
      </c>
      <c r="E426">
        <f t="shared" si="119"/>
        <v>0</v>
      </c>
      <c r="F426">
        <f t="shared" si="130"/>
        <v>4.8605058816845369E-2</v>
      </c>
      <c r="G426">
        <f t="shared" si="131"/>
        <v>39.513748498891111</v>
      </c>
      <c r="H426">
        <f t="shared" si="132"/>
        <v>0</v>
      </c>
      <c r="I426" s="1">
        <f t="shared" si="120"/>
        <v>0</v>
      </c>
      <c r="J426">
        <f t="shared" si="133"/>
        <v>0</v>
      </c>
      <c r="K426">
        <f t="shared" si="121"/>
        <v>0</v>
      </c>
      <c r="L426" cm="1">
        <f t="array" ref="L426">IF(E426*J426=0,0,$C$21*INDEX([3]Sheet1!$C$4:$Q$23,MATCH(K426,[3]Sheet1!$B$4:$B$23,1),MATCH(D426,[3]Sheet1!$C$3:$Q$3,1))
+(K426-INDEX([3]Sheet1!$B$4:$B$23,MATCH(K426,[3]Sheet1!$B$4:$B$23,1),1))/(INDEX([3]Sheet1!$B$4:$B$23,MATCH(K426,[3]Sheet1!$B$4:$B$23,1)+1,1)-INDEX([3]Sheet1!$B$4:$B$23,
MATCH(K426,[3]Sheet1!$B$4:$B$23,1),1))*(INDEX([3]Sheet1!$C$4:$Q$23,MATCH(K426,[3]Sheet1!$B$4:$B$23,1)+1,MATCH(D426,[3]Sheet1!$C$3:$Q$3,1))-INDEX([3]Sheet1!$C$4:$Q$23,
MATCH(K426,[3]Sheet1!$B$4:$B$23,1),MATCH(D426,[3]Sheet1!$C$3:$Q$3,1)))
+(D426-INDEX([3]Sheet1!$C$3:$Q$3,1,MATCH(D426,[3]Sheet1!$C$3:$Q$3)))/(INDEX([3]Sheet1!$C$3:$Q$3,1,MATCH(D426,[3]Sheet1!$C$3:$Q$3)+1)-INDEX([3]Sheet1!$C$3:$Q$3,1,MATCH(
D426,[3]Sheet1!$C$3:$Q$3)))*(INDEX([3]Sheet1!$C$4:$Q$23,MATCH(K426,[3]Sheet1!$B$4:$B$23,1),MATCH(D426,[3]Sheet1!$C$3:$Q$3,1)+1)-INDEX([3]Sheet1!$C$4:$Q$23,MATCH(K426,[3]Sheet1!$B$4:$B$23,1),MATCH(D426,[3]Sheet1!$C$3:$Q$3,1))))</f>
        <v>0</v>
      </c>
      <c r="M426" cm="1">
        <f t="array" ref="M426" xml:space="preserve"> IF(E426*J426=0,0,(INDEX([2]Sheet1!$C$4:$Q$23,MATCH(K426,[2]Sheet1!$B$4:$B$23,1),MATCH(D426,[2]Sheet1!$C$3:$Q$3,1))
+ (K426 - INDEX([2]Sheet1!$B$4:$B$23,MATCH(K426,[2]Sheet1!$B$4:$B$23,1),1))/(INDEX([2]Sheet1!$B$4:$B$23,MATCH(K426,[2]Sheet1!$B$4:$B$23,1)+1,1) - INDEX([2]Sheet1!$B$4:$B$23,MATCH(K426,[2]Sheet1!$B$4:$B$23,1),1))*(INDEX([2]Sheet1!$C$4:$Q$23,MATCH(K426,[2]Sheet1!$B$4:$B$23,1)+1,MATCH(D426,[2]Sheet1!$C$3:$Q$3,1)) - INDEX([2]Sheet1!$C$4:$Q$23,MATCH(K426,[2]Sheet1!$B$4:$B$23,1),MATCH(D426,[2]Sheet1!$C$3:$Q$3,1)))
+ (D426 - INDEX([2]Sheet1!$C$3:$Q$3,1,MATCH(D426,[2]Sheet1!$C$3:$Q$3)))/(INDEX([2]Sheet1!$C$3:$Q$3,1,MATCH(D426,[2]Sheet1!$C$3:$Q$3)+1) - INDEX([2]Sheet1!$C$3:$Q$3,1,MATCH(D426,[2]Sheet1!$C$3:$Q$3)))*(
INDEX([2]Sheet1!$C$4:$Q$23,MATCH(K426,[2]Sheet1!$B$4:$B$23,1),MATCH(D426,[2]Sheet1!$C$3:$Q$3,1)+1) - INDEX([2]Sheet1!$C$4:$Q$23,MATCH(K426,[2]Sheet1!$B$4:$B$23,1),MATCH(D426,[2]Sheet1!$C$3:$Q$3,1)))))</f>
        <v>0</v>
      </c>
      <c r="N426">
        <f t="shared" si="134"/>
        <v>12</v>
      </c>
      <c r="O426">
        <v>8.7149668677008921E-2</v>
      </c>
      <c r="P426" t="e">
        <f t="shared" si="135"/>
        <v>#DIV/0!</v>
      </c>
      <c r="Q426">
        <f t="shared" si="122"/>
        <v>0</v>
      </c>
      <c r="R426">
        <f t="shared" si="136"/>
        <v>741.9099431943954</v>
      </c>
      <c r="T426" t="e">
        <f t="shared" si="125"/>
        <v>#DIV/0!</v>
      </c>
      <c r="U426" t="e">
        <f t="shared" si="126"/>
        <v>#DIV/0!</v>
      </c>
      <c r="V426">
        <f t="shared" si="127"/>
        <v>0</v>
      </c>
      <c r="W426" t="e">
        <f t="shared" si="123"/>
        <v>#DIV/0!</v>
      </c>
    </row>
    <row r="427" spans="1:23" x14ac:dyDescent="0.55000000000000004">
      <c r="A427">
        <f t="shared" si="124"/>
        <v>39.300000000000288</v>
      </c>
      <c r="B427">
        <f t="shared" si="128"/>
        <v>0.316</v>
      </c>
      <c r="C427">
        <f t="shared" si="129"/>
        <v>-20.630434782608884</v>
      </c>
      <c r="D427">
        <v>2.436716771132446</v>
      </c>
      <c r="E427">
        <f t="shared" si="119"/>
        <v>0</v>
      </c>
      <c r="F427">
        <f t="shared" si="130"/>
        <v>4.8605058816845369E-2</v>
      </c>
      <c r="G427">
        <f t="shared" si="131"/>
        <v>39.513748498891111</v>
      </c>
      <c r="H427">
        <f t="shared" si="132"/>
        <v>0</v>
      </c>
      <c r="I427" s="1">
        <f t="shared" si="120"/>
        <v>0</v>
      </c>
      <c r="J427">
        <f t="shared" si="133"/>
        <v>0</v>
      </c>
      <c r="K427">
        <f t="shared" si="121"/>
        <v>0</v>
      </c>
      <c r="L427" cm="1">
        <f t="array" ref="L427">IF(E427*J427=0,0,$C$21*INDEX([3]Sheet1!$C$4:$Q$23,MATCH(K427,[3]Sheet1!$B$4:$B$23,1),MATCH(D427,[3]Sheet1!$C$3:$Q$3,1))
+(K427-INDEX([3]Sheet1!$B$4:$B$23,MATCH(K427,[3]Sheet1!$B$4:$B$23,1),1))/(INDEX([3]Sheet1!$B$4:$B$23,MATCH(K427,[3]Sheet1!$B$4:$B$23,1)+1,1)-INDEX([3]Sheet1!$B$4:$B$23,
MATCH(K427,[3]Sheet1!$B$4:$B$23,1),1))*(INDEX([3]Sheet1!$C$4:$Q$23,MATCH(K427,[3]Sheet1!$B$4:$B$23,1)+1,MATCH(D427,[3]Sheet1!$C$3:$Q$3,1))-INDEX([3]Sheet1!$C$4:$Q$23,
MATCH(K427,[3]Sheet1!$B$4:$B$23,1),MATCH(D427,[3]Sheet1!$C$3:$Q$3,1)))
+(D427-INDEX([3]Sheet1!$C$3:$Q$3,1,MATCH(D427,[3]Sheet1!$C$3:$Q$3)))/(INDEX([3]Sheet1!$C$3:$Q$3,1,MATCH(D427,[3]Sheet1!$C$3:$Q$3)+1)-INDEX([3]Sheet1!$C$3:$Q$3,1,MATCH(
D427,[3]Sheet1!$C$3:$Q$3)))*(INDEX([3]Sheet1!$C$4:$Q$23,MATCH(K427,[3]Sheet1!$B$4:$B$23,1),MATCH(D427,[3]Sheet1!$C$3:$Q$3,1)+1)-INDEX([3]Sheet1!$C$4:$Q$23,MATCH(K427,[3]Sheet1!$B$4:$B$23,1),MATCH(D427,[3]Sheet1!$C$3:$Q$3,1))))</f>
        <v>0</v>
      </c>
      <c r="M427" cm="1">
        <f t="array" ref="M427" xml:space="preserve"> IF(E427*J427=0,0,(INDEX([2]Sheet1!$C$4:$Q$23,MATCH(K427,[2]Sheet1!$B$4:$B$23,1),MATCH(D427,[2]Sheet1!$C$3:$Q$3,1))
+ (K427 - INDEX([2]Sheet1!$B$4:$B$23,MATCH(K427,[2]Sheet1!$B$4:$B$23,1),1))/(INDEX([2]Sheet1!$B$4:$B$23,MATCH(K427,[2]Sheet1!$B$4:$B$23,1)+1,1) - INDEX([2]Sheet1!$B$4:$B$23,MATCH(K427,[2]Sheet1!$B$4:$B$23,1),1))*(INDEX([2]Sheet1!$C$4:$Q$23,MATCH(K427,[2]Sheet1!$B$4:$B$23,1)+1,MATCH(D427,[2]Sheet1!$C$3:$Q$3,1)) - INDEX([2]Sheet1!$C$4:$Q$23,MATCH(K427,[2]Sheet1!$B$4:$B$23,1),MATCH(D427,[2]Sheet1!$C$3:$Q$3,1)))
+ (D427 - INDEX([2]Sheet1!$C$3:$Q$3,1,MATCH(D427,[2]Sheet1!$C$3:$Q$3)))/(INDEX([2]Sheet1!$C$3:$Q$3,1,MATCH(D427,[2]Sheet1!$C$3:$Q$3)+1) - INDEX([2]Sheet1!$C$3:$Q$3,1,MATCH(D427,[2]Sheet1!$C$3:$Q$3)))*(
INDEX([2]Sheet1!$C$4:$Q$23,MATCH(K427,[2]Sheet1!$B$4:$B$23,1),MATCH(D427,[2]Sheet1!$C$3:$Q$3,1)+1) - INDEX([2]Sheet1!$C$4:$Q$23,MATCH(K427,[2]Sheet1!$B$4:$B$23,1),MATCH(D427,[2]Sheet1!$C$3:$Q$3,1)))))</f>
        <v>0</v>
      </c>
      <c r="N427">
        <f t="shared" si="134"/>
        <v>12</v>
      </c>
      <c r="O427">
        <v>8.713228021296722E-2</v>
      </c>
      <c r="P427" t="e">
        <f t="shared" si="135"/>
        <v>#DIV/0!</v>
      </c>
      <c r="Q427">
        <f t="shared" si="122"/>
        <v>0</v>
      </c>
      <c r="R427">
        <f t="shared" si="136"/>
        <v>741.9099431943954</v>
      </c>
      <c r="T427" t="e">
        <f t="shared" si="125"/>
        <v>#DIV/0!</v>
      </c>
      <c r="U427" t="e">
        <f t="shared" si="126"/>
        <v>#DIV/0!</v>
      </c>
      <c r="V427">
        <f t="shared" si="127"/>
        <v>0</v>
      </c>
      <c r="W427" t="e">
        <f t="shared" si="123"/>
        <v>#DIV/0!</v>
      </c>
    </row>
    <row r="428" spans="1:23" x14ac:dyDescent="0.55000000000000004">
      <c r="A428">
        <f t="shared" si="124"/>
        <v>39.40000000000029</v>
      </c>
      <c r="B428">
        <f t="shared" si="128"/>
        <v>0.316</v>
      </c>
      <c r="C428">
        <f t="shared" si="129"/>
        <v>-20.695652173913235</v>
      </c>
      <c r="D428">
        <v>2.4366295347171363</v>
      </c>
      <c r="E428">
        <f t="shared" si="119"/>
        <v>0</v>
      </c>
      <c r="F428">
        <f t="shared" si="130"/>
        <v>4.8605058816845369E-2</v>
      </c>
      <c r="G428">
        <f t="shared" si="131"/>
        <v>39.513748498891111</v>
      </c>
      <c r="H428">
        <f t="shared" si="132"/>
        <v>0</v>
      </c>
      <c r="I428" s="1">
        <f t="shared" si="120"/>
        <v>0</v>
      </c>
      <c r="J428">
        <f t="shared" si="133"/>
        <v>0</v>
      </c>
      <c r="K428">
        <f t="shared" si="121"/>
        <v>0</v>
      </c>
      <c r="L428" cm="1">
        <f t="array" ref="L428">IF(E428*J428=0,0,$C$21*INDEX([3]Sheet1!$C$4:$Q$23,MATCH(K428,[3]Sheet1!$B$4:$B$23,1),MATCH(D428,[3]Sheet1!$C$3:$Q$3,1))
+(K428-INDEX([3]Sheet1!$B$4:$B$23,MATCH(K428,[3]Sheet1!$B$4:$B$23,1),1))/(INDEX([3]Sheet1!$B$4:$B$23,MATCH(K428,[3]Sheet1!$B$4:$B$23,1)+1,1)-INDEX([3]Sheet1!$B$4:$B$23,
MATCH(K428,[3]Sheet1!$B$4:$B$23,1),1))*(INDEX([3]Sheet1!$C$4:$Q$23,MATCH(K428,[3]Sheet1!$B$4:$B$23,1)+1,MATCH(D428,[3]Sheet1!$C$3:$Q$3,1))-INDEX([3]Sheet1!$C$4:$Q$23,
MATCH(K428,[3]Sheet1!$B$4:$B$23,1),MATCH(D428,[3]Sheet1!$C$3:$Q$3,1)))
+(D428-INDEX([3]Sheet1!$C$3:$Q$3,1,MATCH(D428,[3]Sheet1!$C$3:$Q$3)))/(INDEX([3]Sheet1!$C$3:$Q$3,1,MATCH(D428,[3]Sheet1!$C$3:$Q$3)+1)-INDEX([3]Sheet1!$C$3:$Q$3,1,MATCH(
D428,[3]Sheet1!$C$3:$Q$3)))*(INDEX([3]Sheet1!$C$4:$Q$23,MATCH(K428,[3]Sheet1!$B$4:$B$23,1),MATCH(D428,[3]Sheet1!$C$3:$Q$3,1)+1)-INDEX([3]Sheet1!$C$4:$Q$23,MATCH(K428,[3]Sheet1!$B$4:$B$23,1),MATCH(D428,[3]Sheet1!$C$3:$Q$3,1))))</f>
        <v>0</v>
      </c>
      <c r="M428" cm="1">
        <f t="array" ref="M428" xml:space="preserve"> IF(E428*J428=0,0,(INDEX([2]Sheet1!$C$4:$Q$23,MATCH(K428,[2]Sheet1!$B$4:$B$23,1),MATCH(D428,[2]Sheet1!$C$3:$Q$3,1))
+ (K428 - INDEX([2]Sheet1!$B$4:$B$23,MATCH(K428,[2]Sheet1!$B$4:$B$23,1),1))/(INDEX([2]Sheet1!$B$4:$B$23,MATCH(K428,[2]Sheet1!$B$4:$B$23,1)+1,1) - INDEX([2]Sheet1!$B$4:$B$23,MATCH(K428,[2]Sheet1!$B$4:$B$23,1),1))*(INDEX([2]Sheet1!$C$4:$Q$23,MATCH(K428,[2]Sheet1!$B$4:$B$23,1)+1,MATCH(D428,[2]Sheet1!$C$3:$Q$3,1)) - INDEX([2]Sheet1!$C$4:$Q$23,MATCH(K428,[2]Sheet1!$B$4:$B$23,1),MATCH(D428,[2]Sheet1!$C$3:$Q$3,1)))
+ (D428 - INDEX([2]Sheet1!$C$3:$Q$3,1,MATCH(D428,[2]Sheet1!$C$3:$Q$3)))/(INDEX([2]Sheet1!$C$3:$Q$3,1,MATCH(D428,[2]Sheet1!$C$3:$Q$3)+1) - INDEX([2]Sheet1!$C$3:$Q$3,1,MATCH(D428,[2]Sheet1!$C$3:$Q$3)))*(
INDEX([2]Sheet1!$C$4:$Q$23,MATCH(K428,[2]Sheet1!$B$4:$B$23,1),MATCH(D428,[2]Sheet1!$C$3:$Q$3,1)+1) - INDEX([2]Sheet1!$C$4:$Q$23,MATCH(K428,[2]Sheet1!$B$4:$B$23,1),MATCH(D428,[2]Sheet1!$C$3:$Q$3,1)))))</f>
        <v>0</v>
      </c>
      <c r="N428">
        <f t="shared" si="134"/>
        <v>12</v>
      </c>
      <c r="O428">
        <v>8.71149231302287E-2</v>
      </c>
      <c r="P428" t="e">
        <f t="shared" si="135"/>
        <v>#DIV/0!</v>
      </c>
      <c r="Q428">
        <f t="shared" si="122"/>
        <v>0</v>
      </c>
      <c r="R428">
        <f t="shared" si="136"/>
        <v>741.9099431943954</v>
      </c>
      <c r="T428" t="e">
        <f t="shared" si="125"/>
        <v>#DIV/0!</v>
      </c>
      <c r="U428" t="e">
        <f t="shared" si="126"/>
        <v>#DIV/0!</v>
      </c>
      <c r="V428">
        <f t="shared" si="127"/>
        <v>0</v>
      </c>
      <c r="W428" t="e">
        <f t="shared" si="123"/>
        <v>#DIV/0!</v>
      </c>
    </row>
    <row r="429" spans="1:23" x14ac:dyDescent="0.55000000000000004">
      <c r="A429">
        <f t="shared" si="124"/>
        <v>39.500000000000291</v>
      </c>
      <c r="B429">
        <f t="shared" si="128"/>
        <v>0.316</v>
      </c>
      <c r="C429">
        <f t="shared" si="129"/>
        <v>-20.760869565217586</v>
      </c>
      <c r="D429">
        <v>2.436542438206053</v>
      </c>
      <c r="E429">
        <f t="shared" si="119"/>
        <v>0</v>
      </c>
      <c r="F429">
        <f t="shared" si="130"/>
        <v>4.8605058816845369E-2</v>
      </c>
      <c r="G429">
        <f t="shared" si="131"/>
        <v>39.513748498891111</v>
      </c>
      <c r="H429">
        <f t="shared" si="132"/>
        <v>0</v>
      </c>
      <c r="I429" s="1">
        <f t="shared" si="120"/>
        <v>0</v>
      </c>
      <c r="J429">
        <f t="shared" si="133"/>
        <v>0</v>
      </c>
      <c r="K429">
        <f t="shared" si="121"/>
        <v>0</v>
      </c>
      <c r="L429" cm="1">
        <f t="array" ref="L429">IF(E429*J429=0,0,$C$21*INDEX([3]Sheet1!$C$4:$Q$23,MATCH(K429,[3]Sheet1!$B$4:$B$23,1),MATCH(D429,[3]Sheet1!$C$3:$Q$3,1))
+(K429-INDEX([3]Sheet1!$B$4:$B$23,MATCH(K429,[3]Sheet1!$B$4:$B$23,1),1))/(INDEX([3]Sheet1!$B$4:$B$23,MATCH(K429,[3]Sheet1!$B$4:$B$23,1)+1,1)-INDEX([3]Sheet1!$B$4:$B$23,
MATCH(K429,[3]Sheet1!$B$4:$B$23,1),1))*(INDEX([3]Sheet1!$C$4:$Q$23,MATCH(K429,[3]Sheet1!$B$4:$B$23,1)+1,MATCH(D429,[3]Sheet1!$C$3:$Q$3,1))-INDEX([3]Sheet1!$C$4:$Q$23,
MATCH(K429,[3]Sheet1!$B$4:$B$23,1),MATCH(D429,[3]Sheet1!$C$3:$Q$3,1)))
+(D429-INDEX([3]Sheet1!$C$3:$Q$3,1,MATCH(D429,[3]Sheet1!$C$3:$Q$3)))/(INDEX([3]Sheet1!$C$3:$Q$3,1,MATCH(D429,[3]Sheet1!$C$3:$Q$3)+1)-INDEX([3]Sheet1!$C$3:$Q$3,1,MATCH(
D429,[3]Sheet1!$C$3:$Q$3)))*(INDEX([3]Sheet1!$C$4:$Q$23,MATCH(K429,[3]Sheet1!$B$4:$B$23,1),MATCH(D429,[3]Sheet1!$C$3:$Q$3,1)+1)-INDEX([3]Sheet1!$C$4:$Q$23,MATCH(K429,[3]Sheet1!$B$4:$B$23,1),MATCH(D429,[3]Sheet1!$C$3:$Q$3,1))))</f>
        <v>0</v>
      </c>
      <c r="M429" cm="1">
        <f t="array" ref="M429" xml:space="preserve"> IF(E429*J429=0,0,(INDEX([2]Sheet1!$C$4:$Q$23,MATCH(K429,[2]Sheet1!$B$4:$B$23,1),MATCH(D429,[2]Sheet1!$C$3:$Q$3,1))
+ (K429 - INDEX([2]Sheet1!$B$4:$B$23,MATCH(K429,[2]Sheet1!$B$4:$B$23,1),1))/(INDEX([2]Sheet1!$B$4:$B$23,MATCH(K429,[2]Sheet1!$B$4:$B$23,1)+1,1) - INDEX([2]Sheet1!$B$4:$B$23,MATCH(K429,[2]Sheet1!$B$4:$B$23,1),1))*(INDEX([2]Sheet1!$C$4:$Q$23,MATCH(K429,[2]Sheet1!$B$4:$B$23,1)+1,MATCH(D429,[2]Sheet1!$C$3:$Q$3,1)) - INDEX([2]Sheet1!$C$4:$Q$23,MATCH(K429,[2]Sheet1!$B$4:$B$23,1),MATCH(D429,[2]Sheet1!$C$3:$Q$3,1)))
+ (D429 - INDEX([2]Sheet1!$C$3:$Q$3,1,MATCH(D429,[2]Sheet1!$C$3:$Q$3)))/(INDEX([2]Sheet1!$C$3:$Q$3,1,MATCH(D429,[2]Sheet1!$C$3:$Q$3)+1) - INDEX([2]Sheet1!$C$3:$Q$3,1,MATCH(D429,[2]Sheet1!$C$3:$Q$3)))*(
INDEX([2]Sheet1!$C$4:$Q$23,MATCH(K429,[2]Sheet1!$B$4:$B$23,1),MATCH(D429,[2]Sheet1!$C$3:$Q$3,1)+1) - INDEX([2]Sheet1!$C$4:$Q$23,MATCH(K429,[2]Sheet1!$B$4:$B$23,1),MATCH(D429,[2]Sheet1!$C$3:$Q$3,1)))))</f>
        <v>0</v>
      </c>
      <c r="N429">
        <f t="shared" si="134"/>
        <v>12</v>
      </c>
      <c r="O429">
        <v>8.7097597318990611E-2</v>
      </c>
      <c r="P429" t="e">
        <f t="shared" si="135"/>
        <v>#DIV/0!</v>
      </c>
      <c r="Q429">
        <f t="shared" si="122"/>
        <v>0</v>
      </c>
      <c r="R429">
        <f t="shared" si="136"/>
        <v>741.9099431943954</v>
      </c>
      <c r="T429" t="e">
        <f t="shared" si="125"/>
        <v>#DIV/0!</v>
      </c>
      <c r="U429" t="e">
        <f t="shared" si="126"/>
        <v>#DIV/0!</v>
      </c>
      <c r="V429">
        <f t="shared" si="127"/>
        <v>0</v>
      </c>
      <c r="W429" t="e">
        <f t="shared" si="123"/>
        <v>#DIV/0!</v>
      </c>
    </row>
    <row r="430" spans="1:23" x14ac:dyDescent="0.55000000000000004">
      <c r="A430">
        <f t="shared" si="124"/>
        <v>39.600000000000293</v>
      </c>
      <c r="B430">
        <f t="shared" si="128"/>
        <v>0.316</v>
      </c>
      <c r="C430">
        <f t="shared" si="129"/>
        <v>-20.826086956521934</v>
      </c>
      <c r="D430">
        <v>2.4364554811358095</v>
      </c>
      <c r="E430">
        <f t="shared" si="119"/>
        <v>0</v>
      </c>
      <c r="F430">
        <f t="shared" si="130"/>
        <v>4.8605058816845369E-2</v>
      </c>
      <c r="G430">
        <f t="shared" si="131"/>
        <v>39.513748498891111</v>
      </c>
      <c r="H430">
        <f t="shared" si="132"/>
        <v>0</v>
      </c>
      <c r="I430" s="1">
        <f t="shared" si="120"/>
        <v>0</v>
      </c>
      <c r="J430">
        <f t="shared" si="133"/>
        <v>0</v>
      </c>
      <c r="K430">
        <f t="shared" si="121"/>
        <v>0</v>
      </c>
      <c r="L430" cm="1">
        <f t="array" ref="L430">IF(E430*J430=0,0,$C$21*INDEX([3]Sheet1!$C$4:$Q$23,MATCH(K430,[3]Sheet1!$B$4:$B$23,1),MATCH(D430,[3]Sheet1!$C$3:$Q$3,1))
+(K430-INDEX([3]Sheet1!$B$4:$B$23,MATCH(K430,[3]Sheet1!$B$4:$B$23,1),1))/(INDEX([3]Sheet1!$B$4:$B$23,MATCH(K430,[3]Sheet1!$B$4:$B$23,1)+1,1)-INDEX([3]Sheet1!$B$4:$B$23,
MATCH(K430,[3]Sheet1!$B$4:$B$23,1),1))*(INDEX([3]Sheet1!$C$4:$Q$23,MATCH(K430,[3]Sheet1!$B$4:$B$23,1)+1,MATCH(D430,[3]Sheet1!$C$3:$Q$3,1))-INDEX([3]Sheet1!$C$4:$Q$23,
MATCH(K430,[3]Sheet1!$B$4:$B$23,1),MATCH(D430,[3]Sheet1!$C$3:$Q$3,1)))
+(D430-INDEX([3]Sheet1!$C$3:$Q$3,1,MATCH(D430,[3]Sheet1!$C$3:$Q$3)))/(INDEX([3]Sheet1!$C$3:$Q$3,1,MATCH(D430,[3]Sheet1!$C$3:$Q$3)+1)-INDEX([3]Sheet1!$C$3:$Q$3,1,MATCH(
D430,[3]Sheet1!$C$3:$Q$3)))*(INDEX([3]Sheet1!$C$4:$Q$23,MATCH(K430,[3]Sheet1!$B$4:$B$23,1),MATCH(D430,[3]Sheet1!$C$3:$Q$3,1)+1)-INDEX([3]Sheet1!$C$4:$Q$23,MATCH(K430,[3]Sheet1!$B$4:$B$23,1),MATCH(D430,[3]Sheet1!$C$3:$Q$3,1))))</f>
        <v>0</v>
      </c>
      <c r="M430" cm="1">
        <f t="array" ref="M430" xml:space="preserve"> IF(E430*J430=0,0,(INDEX([2]Sheet1!$C$4:$Q$23,MATCH(K430,[2]Sheet1!$B$4:$B$23,1),MATCH(D430,[2]Sheet1!$C$3:$Q$3,1))
+ (K430 - INDEX([2]Sheet1!$B$4:$B$23,MATCH(K430,[2]Sheet1!$B$4:$B$23,1),1))/(INDEX([2]Sheet1!$B$4:$B$23,MATCH(K430,[2]Sheet1!$B$4:$B$23,1)+1,1) - INDEX([2]Sheet1!$B$4:$B$23,MATCH(K430,[2]Sheet1!$B$4:$B$23,1),1))*(INDEX([2]Sheet1!$C$4:$Q$23,MATCH(K430,[2]Sheet1!$B$4:$B$23,1)+1,MATCH(D430,[2]Sheet1!$C$3:$Q$3,1)) - INDEX([2]Sheet1!$C$4:$Q$23,MATCH(K430,[2]Sheet1!$B$4:$B$23,1),MATCH(D430,[2]Sheet1!$C$3:$Q$3,1)))
+ (D430 - INDEX([2]Sheet1!$C$3:$Q$3,1,MATCH(D430,[2]Sheet1!$C$3:$Q$3)))/(INDEX([2]Sheet1!$C$3:$Q$3,1,MATCH(D430,[2]Sheet1!$C$3:$Q$3)+1) - INDEX([2]Sheet1!$C$3:$Q$3,1,MATCH(D430,[2]Sheet1!$C$3:$Q$3)))*(
INDEX([2]Sheet1!$C$4:$Q$23,MATCH(K430,[2]Sheet1!$B$4:$B$23,1),MATCH(D430,[2]Sheet1!$C$3:$Q$3,1)+1) - INDEX([2]Sheet1!$C$4:$Q$23,MATCH(K430,[2]Sheet1!$B$4:$B$23,1),MATCH(D430,[2]Sheet1!$C$3:$Q$3,1)))))</f>
        <v>0</v>
      </c>
      <c r="N430">
        <f t="shared" si="134"/>
        <v>12</v>
      </c>
      <c r="O430">
        <v>8.7080302670018692E-2</v>
      </c>
      <c r="P430" t="e">
        <f t="shared" si="135"/>
        <v>#DIV/0!</v>
      </c>
      <c r="Q430">
        <f t="shared" si="122"/>
        <v>0</v>
      </c>
      <c r="R430">
        <f t="shared" si="136"/>
        <v>741.9099431943954</v>
      </c>
      <c r="T430" t="e">
        <f t="shared" si="125"/>
        <v>#DIV/0!</v>
      </c>
      <c r="U430" t="e">
        <f t="shared" si="126"/>
        <v>#DIV/0!</v>
      </c>
      <c r="V430">
        <f t="shared" si="127"/>
        <v>0</v>
      </c>
      <c r="W430" t="e">
        <f t="shared" si="123"/>
        <v>#DIV/0!</v>
      </c>
    </row>
    <row r="431" spans="1:23" x14ac:dyDescent="0.55000000000000004">
      <c r="A431">
        <f t="shared" si="124"/>
        <v>39.700000000000294</v>
      </c>
      <c r="B431">
        <f t="shared" si="128"/>
        <v>0.316</v>
      </c>
      <c r="C431">
        <f t="shared" si="129"/>
        <v>-20.891304347826278</v>
      </c>
      <c r="D431">
        <v>2.4363686630453363</v>
      </c>
      <c r="E431">
        <f t="shared" si="119"/>
        <v>0</v>
      </c>
      <c r="F431">
        <f t="shared" si="130"/>
        <v>4.8605058816845369E-2</v>
      </c>
      <c r="G431">
        <f t="shared" si="131"/>
        <v>39.513748498891111</v>
      </c>
      <c r="H431">
        <f t="shared" si="132"/>
        <v>0</v>
      </c>
      <c r="I431" s="1">
        <f t="shared" si="120"/>
        <v>0</v>
      </c>
      <c r="J431">
        <f t="shared" si="133"/>
        <v>0</v>
      </c>
      <c r="K431">
        <f t="shared" si="121"/>
        <v>0</v>
      </c>
      <c r="L431" cm="1">
        <f t="array" ref="L431">IF(E431*J431=0,0,$C$21*INDEX([3]Sheet1!$C$4:$Q$23,MATCH(K431,[3]Sheet1!$B$4:$B$23,1),MATCH(D431,[3]Sheet1!$C$3:$Q$3,1))
+(K431-INDEX([3]Sheet1!$B$4:$B$23,MATCH(K431,[3]Sheet1!$B$4:$B$23,1),1))/(INDEX([3]Sheet1!$B$4:$B$23,MATCH(K431,[3]Sheet1!$B$4:$B$23,1)+1,1)-INDEX([3]Sheet1!$B$4:$B$23,
MATCH(K431,[3]Sheet1!$B$4:$B$23,1),1))*(INDEX([3]Sheet1!$C$4:$Q$23,MATCH(K431,[3]Sheet1!$B$4:$B$23,1)+1,MATCH(D431,[3]Sheet1!$C$3:$Q$3,1))-INDEX([3]Sheet1!$C$4:$Q$23,
MATCH(K431,[3]Sheet1!$B$4:$B$23,1),MATCH(D431,[3]Sheet1!$C$3:$Q$3,1)))
+(D431-INDEX([3]Sheet1!$C$3:$Q$3,1,MATCH(D431,[3]Sheet1!$C$3:$Q$3)))/(INDEX([3]Sheet1!$C$3:$Q$3,1,MATCH(D431,[3]Sheet1!$C$3:$Q$3)+1)-INDEX([3]Sheet1!$C$3:$Q$3,1,MATCH(
D431,[3]Sheet1!$C$3:$Q$3)))*(INDEX([3]Sheet1!$C$4:$Q$23,MATCH(K431,[3]Sheet1!$B$4:$B$23,1),MATCH(D431,[3]Sheet1!$C$3:$Q$3,1)+1)-INDEX([3]Sheet1!$C$4:$Q$23,MATCH(K431,[3]Sheet1!$B$4:$B$23,1),MATCH(D431,[3]Sheet1!$C$3:$Q$3,1))))</f>
        <v>0</v>
      </c>
      <c r="M431" cm="1">
        <f t="array" ref="M431" xml:space="preserve"> IF(E431*J431=0,0,(INDEX([2]Sheet1!$C$4:$Q$23,MATCH(K431,[2]Sheet1!$B$4:$B$23,1),MATCH(D431,[2]Sheet1!$C$3:$Q$3,1))
+ (K431 - INDEX([2]Sheet1!$B$4:$B$23,MATCH(K431,[2]Sheet1!$B$4:$B$23,1),1))/(INDEX([2]Sheet1!$B$4:$B$23,MATCH(K431,[2]Sheet1!$B$4:$B$23,1)+1,1) - INDEX([2]Sheet1!$B$4:$B$23,MATCH(K431,[2]Sheet1!$B$4:$B$23,1),1))*(INDEX([2]Sheet1!$C$4:$Q$23,MATCH(K431,[2]Sheet1!$B$4:$B$23,1)+1,MATCH(D431,[2]Sheet1!$C$3:$Q$3,1)) - INDEX([2]Sheet1!$C$4:$Q$23,MATCH(K431,[2]Sheet1!$B$4:$B$23,1),MATCH(D431,[2]Sheet1!$C$3:$Q$3,1)))
+ (D431 - INDEX([2]Sheet1!$C$3:$Q$3,1,MATCH(D431,[2]Sheet1!$C$3:$Q$3)))/(INDEX([2]Sheet1!$C$3:$Q$3,1,MATCH(D431,[2]Sheet1!$C$3:$Q$3)+1) - INDEX([2]Sheet1!$C$3:$Q$3,1,MATCH(D431,[2]Sheet1!$C$3:$Q$3)))*(
INDEX([2]Sheet1!$C$4:$Q$23,MATCH(K431,[2]Sheet1!$B$4:$B$23,1),MATCH(D431,[2]Sheet1!$C$3:$Q$3,1)+1) - INDEX([2]Sheet1!$C$4:$Q$23,MATCH(K431,[2]Sheet1!$B$4:$B$23,1),MATCH(D431,[2]Sheet1!$C$3:$Q$3,1)))))</f>
        <v>0</v>
      </c>
      <c r="N431">
        <f t="shared" si="134"/>
        <v>12</v>
      </c>
      <c r="O431">
        <v>8.7063039074644757E-2</v>
      </c>
      <c r="P431" t="e">
        <f t="shared" si="135"/>
        <v>#DIV/0!</v>
      </c>
      <c r="Q431">
        <f t="shared" si="122"/>
        <v>0</v>
      </c>
      <c r="R431">
        <f t="shared" si="136"/>
        <v>741.9099431943954</v>
      </c>
      <c r="T431" t="e">
        <f t="shared" si="125"/>
        <v>#DIV/0!</v>
      </c>
      <c r="U431" t="e">
        <f t="shared" si="126"/>
        <v>#DIV/0!</v>
      </c>
      <c r="V431">
        <f t="shared" si="127"/>
        <v>0</v>
      </c>
      <c r="W431" t="e">
        <f t="shared" si="123"/>
        <v>#DIV/0!</v>
      </c>
    </row>
    <row r="432" spans="1:23" x14ac:dyDescent="0.55000000000000004">
      <c r="A432">
        <f t="shared" si="124"/>
        <v>39.800000000000296</v>
      </c>
      <c r="B432">
        <f t="shared" si="128"/>
        <v>0.316</v>
      </c>
      <c r="C432">
        <f t="shared" si="129"/>
        <v>-20.956521739130629</v>
      </c>
      <c r="D432">
        <v>2.4362819834758618</v>
      </c>
      <c r="E432">
        <f t="shared" si="119"/>
        <v>0</v>
      </c>
      <c r="F432">
        <f t="shared" si="130"/>
        <v>4.8605058816845369E-2</v>
      </c>
      <c r="G432">
        <f t="shared" si="131"/>
        <v>39.513748498891111</v>
      </c>
      <c r="H432">
        <f t="shared" si="132"/>
        <v>0</v>
      </c>
      <c r="I432" s="1">
        <f t="shared" si="120"/>
        <v>0</v>
      </c>
      <c r="J432">
        <f t="shared" si="133"/>
        <v>0</v>
      </c>
      <c r="K432">
        <f t="shared" si="121"/>
        <v>0</v>
      </c>
      <c r="L432" cm="1">
        <f t="array" ref="L432">IF(E432*J432=0,0,$C$21*INDEX([3]Sheet1!$C$4:$Q$23,MATCH(K432,[3]Sheet1!$B$4:$B$23,1),MATCH(D432,[3]Sheet1!$C$3:$Q$3,1))
+(K432-INDEX([3]Sheet1!$B$4:$B$23,MATCH(K432,[3]Sheet1!$B$4:$B$23,1),1))/(INDEX([3]Sheet1!$B$4:$B$23,MATCH(K432,[3]Sheet1!$B$4:$B$23,1)+1,1)-INDEX([3]Sheet1!$B$4:$B$23,
MATCH(K432,[3]Sheet1!$B$4:$B$23,1),1))*(INDEX([3]Sheet1!$C$4:$Q$23,MATCH(K432,[3]Sheet1!$B$4:$B$23,1)+1,MATCH(D432,[3]Sheet1!$C$3:$Q$3,1))-INDEX([3]Sheet1!$C$4:$Q$23,
MATCH(K432,[3]Sheet1!$B$4:$B$23,1),MATCH(D432,[3]Sheet1!$C$3:$Q$3,1)))
+(D432-INDEX([3]Sheet1!$C$3:$Q$3,1,MATCH(D432,[3]Sheet1!$C$3:$Q$3)))/(INDEX([3]Sheet1!$C$3:$Q$3,1,MATCH(D432,[3]Sheet1!$C$3:$Q$3)+1)-INDEX([3]Sheet1!$C$3:$Q$3,1,MATCH(
D432,[3]Sheet1!$C$3:$Q$3)))*(INDEX([3]Sheet1!$C$4:$Q$23,MATCH(K432,[3]Sheet1!$B$4:$B$23,1),MATCH(D432,[3]Sheet1!$C$3:$Q$3,1)+1)-INDEX([3]Sheet1!$C$4:$Q$23,MATCH(K432,[3]Sheet1!$B$4:$B$23,1),MATCH(D432,[3]Sheet1!$C$3:$Q$3,1))))</f>
        <v>0</v>
      </c>
      <c r="M432" cm="1">
        <f t="array" ref="M432" xml:space="preserve"> IF(E432*J432=0,0,(INDEX([2]Sheet1!$C$4:$Q$23,MATCH(K432,[2]Sheet1!$B$4:$B$23,1),MATCH(D432,[2]Sheet1!$C$3:$Q$3,1))
+ (K432 - INDEX([2]Sheet1!$B$4:$B$23,MATCH(K432,[2]Sheet1!$B$4:$B$23,1),1))/(INDEX([2]Sheet1!$B$4:$B$23,MATCH(K432,[2]Sheet1!$B$4:$B$23,1)+1,1) - INDEX([2]Sheet1!$B$4:$B$23,MATCH(K432,[2]Sheet1!$B$4:$B$23,1),1))*(INDEX([2]Sheet1!$C$4:$Q$23,MATCH(K432,[2]Sheet1!$B$4:$B$23,1)+1,MATCH(D432,[2]Sheet1!$C$3:$Q$3,1)) - INDEX([2]Sheet1!$C$4:$Q$23,MATCH(K432,[2]Sheet1!$B$4:$B$23,1),MATCH(D432,[2]Sheet1!$C$3:$Q$3,1)))
+ (D432 - INDEX([2]Sheet1!$C$3:$Q$3,1,MATCH(D432,[2]Sheet1!$C$3:$Q$3)))/(INDEX([2]Sheet1!$C$3:$Q$3,1,MATCH(D432,[2]Sheet1!$C$3:$Q$3)+1) - INDEX([2]Sheet1!$C$3:$Q$3,1,MATCH(D432,[2]Sheet1!$C$3:$Q$3)))*(
INDEX([2]Sheet1!$C$4:$Q$23,MATCH(K432,[2]Sheet1!$B$4:$B$23,1),MATCH(D432,[2]Sheet1!$C$3:$Q$3,1)+1) - INDEX([2]Sheet1!$C$4:$Q$23,MATCH(K432,[2]Sheet1!$B$4:$B$23,1),MATCH(D432,[2]Sheet1!$C$3:$Q$3,1)))))</f>
        <v>0</v>
      </c>
      <c r="N432">
        <f t="shared" si="134"/>
        <v>12</v>
      </c>
      <c r="O432">
        <v>8.7045806424762617E-2</v>
      </c>
      <c r="P432" t="e">
        <f t="shared" si="135"/>
        <v>#DIV/0!</v>
      </c>
      <c r="Q432">
        <f t="shared" si="122"/>
        <v>0</v>
      </c>
      <c r="R432">
        <f t="shared" si="136"/>
        <v>741.9099431943954</v>
      </c>
      <c r="T432" t="e">
        <f t="shared" si="125"/>
        <v>#DIV/0!</v>
      </c>
      <c r="U432" t="e">
        <f t="shared" si="126"/>
        <v>#DIV/0!</v>
      </c>
      <c r="V432">
        <f t="shared" si="127"/>
        <v>0</v>
      </c>
      <c r="W432" t="e">
        <f t="shared" si="123"/>
        <v>#DIV/0!</v>
      </c>
    </row>
    <row r="433" spans="1:23" x14ac:dyDescent="0.55000000000000004">
      <c r="A433">
        <f t="shared" si="124"/>
        <v>39.900000000000297</v>
      </c>
      <c r="B433">
        <f t="shared" si="128"/>
        <v>0.316</v>
      </c>
      <c r="C433">
        <f t="shared" si="129"/>
        <v>-21.02173913043498</v>
      </c>
      <c r="D433">
        <v>2.4361954419708978</v>
      </c>
      <c r="E433">
        <f t="shared" si="119"/>
        <v>0</v>
      </c>
      <c r="F433">
        <f t="shared" si="130"/>
        <v>4.8605058816845369E-2</v>
      </c>
      <c r="G433">
        <f t="shared" si="131"/>
        <v>39.513748498891111</v>
      </c>
      <c r="H433">
        <f t="shared" si="132"/>
        <v>0</v>
      </c>
      <c r="I433" s="1">
        <f t="shared" si="120"/>
        <v>0</v>
      </c>
      <c r="J433">
        <f t="shared" si="133"/>
        <v>0</v>
      </c>
      <c r="K433">
        <f t="shared" si="121"/>
        <v>0</v>
      </c>
      <c r="L433" cm="1">
        <f t="array" ref="L433">IF(E433*J433=0,0,$C$21*INDEX([3]Sheet1!$C$4:$Q$23,MATCH(K433,[3]Sheet1!$B$4:$B$23,1),MATCH(D433,[3]Sheet1!$C$3:$Q$3,1))
+(K433-INDEX([3]Sheet1!$B$4:$B$23,MATCH(K433,[3]Sheet1!$B$4:$B$23,1),1))/(INDEX([3]Sheet1!$B$4:$B$23,MATCH(K433,[3]Sheet1!$B$4:$B$23,1)+1,1)-INDEX([3]Sheet1!$B$4:$B$23,
MATCH(K433,[3]Sheet1!$B$4:$B$23,1),1))*(INDEX([3]Sheet1!$C$4:$Q$23,MATCH(K433,[3]Sheet1!$B$4:$B$23,1)+1,MATCH(D433,[3]Sheet1!$C$3:$Q$3,1))-INDEX([3]Sheet1!$C$4:$Q$23,
MATCH(K433,[3]Sheet1!$B$4:$B$23,1),MATCH(D433,[3]Sheet1!$C$3:$Q$3,1)))
+(D433-INDEX([3]Sheet1!$C$3:$Q$3,1,MATCH(D433,[3]Sheet1!$C$3:$Q$3)))/(INDEX([3]Sheet1!$C$3:$Q$3,1,MATCH(D433,[3]Sheet1!$C$3:$Q$3)+1)-INDEX([3]Sheet1!$C$3:$Q$3,1,MATCH(
D433,[3]Sheet1!$C$3:$Q$3)))*(INDEX([3]Sheet1!$C$4:$Q$23,MATCH(K433,[3]Sheet1!$B$4:$B$23,1),MATCH(D433,[3]Sheet1!$C$3:$Q$3,1)+1)-INDEX([3]Sheet1!$C$4:$Q$23,MATCH(K433,[3]Sheet1!$B$4:$B$23,1),MATCH(D433,[3]Sheet1!$C$3:$Q$3,1))))</f>
        <v>0</v>
      </c>
      <c r="M433" cm="1">
        <f t="array" ref="M433" xml:space="preserve"> IF(E433*J433=0,0,(INDEX([2]Sheet1!$C$4:$Q$23,MATCH(K433,[2]Sheet1!$B$4:$B$23,1),MATCH(D433,[2]Sheet1!$C$3:$Q$3,1))
+ (K433 - INDEX([2]Sheet1!$B$4:$B$23,MATCH(K433,[2]Sheet1!$B$4:$B$23,1),1))/(INDEX([2]Sheet1!$B$4:$B$23,MATCH(K433,[2]Sheet1!$B$4:$B$23,1)+1,1) - INDEX([2]Sheet1!$B$4:$B$23,MATCH(K433,[2]Sheet1!$B$4:$B$23,1),1))*(INDEX([2]Sheet1!$C$4:$Q$23,MATCH(K433,[2]Sheet1!$B$4:$B$23,1)+1,MATCH(D433,[2]Sheet1!$C$3:$Q$3,1)) - INDEX([2]Sheet1!$C$4:$Q$23,MATCH(K433,[2]Sheet1!$B$4:$B$23,1),MATCH(D433,[2]Sheet1!$C$3:$Q$3,1)))
+ (D433 - INDEX([2]Sheet1!$C$3:$Q$3,1,MATCH(D433,[2]Sheet1!$C$3:$Q$3)))/(INDEX([2]Sheet1!$C$3:$Q$3,1,MATCH(D433,[2]Sheet1!$C$3:$Q$3)+1) - INDEX([2]Sheet1!$C$3:$Q$3,1,MATCH(D433,[2]Sheet1!$C$3:$Q$3)))*(
INDEX([2]Sheet1!$C$4:$Q$23,MATCH(K433,[2]Sheet1!$B$4:$B$23,1),MATCH(D433,[2]Sheet1!$C$3:$Q$3,1)+1) - INDEX([2]Sheet1!$C$4:$Q$23,MATCH(K433,[2]Sheet1!$B$4:$B$23,1),MATCH(D433,[2]Sheet1!$C$3:$Q$3,1)))))</f>
        <v>0</v>
      </c>
      <c r="N433">
        <f t="shared" si="134"/>
        <v>12</v>
      </c>
      <c r="O433">
        <v>8.7028604612824356E-2</v>
      </c>
      <c r="P433" t="e">
        <f t="shared" si="135"/>
        <v>#DIV/0!</v>
      </c>
      <c r="Q433">
        <f t="shared" si="122"/>
        <v>0</v>
      </c>
      <c r="R433">
        <f t="shared" si="136"/>
        <v>741.9099431943954</v>
      </c>
      <c r="T433" t="e">
        <f t="shared" si="125"/>
        <v>#DIV/0!</v>
      </c>
      <c r="U433" t="e">
        <f t="shared" si="126"/>
        <v>#DIV/0!</v>
      </c>
      <c r="V433">
        <f t="shared" si="127"/>
        <v>0</v>
      </c>
      <c r="W433" t="e">
        <f t="shared" si="123"/>
        <v>#DIV/0!</v>
      </c>
    </row>
    <row r="434" spans="1:23" x14ac:dyDescent="0.55000000000000004">
      <c r="A434">
        <f t="shared" si="124"/>
        <v>40.000000000000298</v>
      </c>
      <c r="B434">
        <f t="shared" si="128"/>
        <v>0.316</v>
      </c>
      <c r="C434">
        <f t="shared" si="129"/>
        <v>-21.086956521739328</v>
      </c>
      <c r="D434">
        <v>2.4361090380762249</v>
      </c>
      <c r="E434">
        <f t="shared" si="119"/>
        <v>0</v>
      </c>
      <c r="F434">
        <f t="shared" si="130"/>
        <v>4.8605058816845369E-2</v>
      </c>
      <c r="G434">
        <f t="shared" si="131"/>
        <v>39.513748498891111</v>
      </c>
      <c r="H434">
        <f t="shared" si="132"/>
        <v>0</v>
      </c>
      <c r="I434" s="1">
        <f t="shared" si="120"/>
        <v>0</v>
      </c>
      <c r="J434">
        <f t="shared" si="133"/>
        <v>0</v>
      </c>
      <c r="K434">
        <f t="shared" si="121"/>
        <v>0</v>
      </c>
      <c r="L434" cm="1">
        <f t="array" ref="L434">IF(E434*J434=0,0,$C$21*INDEX([3]Sheet1!$C$4:$Q$23,MATCH(K434,[3]Sheet1!$B$4:$B$23,1),MATCH(D434,[3]Sheet1!$C$3:$Q$3,1))
+(K434-INDEX([3]Sheet1!$B$4:$B$23,MATCH(K434,[3]Sheet1!$B$4:$B$23,1),1))/(INDEX([3]Sheet1!$B$4:$B$23,MATCH(K434,[3]Sheet1!$B$4:$B$23,1)+1,1)-INDEX([3]Sheet1!$B$4:$B$23,
MATCH(K434,[3]Sheet1!$B$4:$B$23,1),1))*(INDEX([3]Sheet1!$C$4:$Q$23,MATCH(K434,[3]Sheet1!$B$4:$B$23,1)+1,MATCH(D434,[3]Sheet1!$C$3:$Q$3,1))-INDEX([3]Sheet1!$C$4:$Q$23,
MATCH(K434,[3]Sheet1!$B$4:$B$23,1),MATCH(D434,[3]Sheet1!$C$3:$Q$3,1)))
+(D434-INDEX([3]Sheet1!$C$3:$Q$3,1,MATCH(D434,[3]Sheet1!$C$3:$Q$3)))/(INDEX([3]Sheet1!$C$3:$Q$3,1,MATCH(D434,[3]Sheet1!$C$3:$Q$3)+1)-INDEX([3]Sheet1!$C$3:$Q$3,1,MATCH(
D434,[3]Sheet1!$C$3:$Q$3)))*(INDEX([3]Sheet1!$C$4:$Q$23,MATCH(K434,[3]Sheet1!$B$4:$B$23,1),MATCH(D434,[3]Sheet1!$C$3:$Q$3,1)+1)-INDEX([3]Sheet1!$C$4:$Q$23,MATCH(K434,[3]Sheet1!$B$4:$B$23,1),MATCH(D434,[3]Sheet1!$C$3:$Q$3,1))))</f>
        <v>0</v>
      </c>
      <c r="M434" cm="1">
        <f t="array" ref="M434" xml:space="preserve"> IF(E434*J434=0,0,(INDEX([2]Sheet1!$C$4:$Q$23,MATCH(K434,[2]Sheet1!$B$4:$B$23,1),MATCH(D434,[2]Sheet1!$C$3:$Q$3,1))
+ (K434 - INDEX([2]Sheet1!$B$4:$B$23,MATCH(K434,[2]Sheet1!$B$4:$B$23,1),1))/(INDEX([2]Sheet1!$B$4:$B$23,MATCH(K434,[2]Sheet1!$B$4:$B$23,1)+1,1) - INDEX([2]Sheet1!$B$4:$B$23,MATCH(K434,[2]Sheet1!$B$4:$B$23,1),1))*(INDEX([2]Sheet1!$C$4:$Q$23,MATCH(K434,[2]Sheet1!$B$4:$B$23,1)+1,MATCH(D434,[2]Sheet1!$C$3:$Q$3,1)) - INDEX([2]Sheet1!$C$4:$Q$23,MATCH(K434,[2]Sheet1!$B$4:$B$23,1),MATCH(D434,[2]Sheet1!$C$3:$Q$3,1)))
+ (D434 - INDEX([2]Sheet1!$C$3:$Q$3,1,MATCH(D434,[2]Sheet1!$C$3:$Q$3)))/(INDEX([2]Sheet1!$C$3:$Q$3,1,MATCH(D434,[2]Sheet1!$C$3:$Q$3)+1) - INDEX([2]Sheet1!$C$3:$Q$3,1,MATCH(D434,[2]Sheet1!$C$3:$Q$3)))*(
INDEX([2]Sheet1!$C$4:$Q$23,MATCH(K434,[2]Sheet1!$B$4:$B$23,1),MATCH(D434,[2]Sheet1!$C$3:$Q$3,1)+1) - INDEX([2]Sheet1!$C$4:$Q$23,MATCH(K434,[2]Sheet1!$B$4:$B$23,1),MATCH(D434,[2]Sheet1!$C$3:$Q$3,1)))))</f>
        <v>0</v>
      </c>
      <c r="N434">
        <f t="shared" si="134"/>
        <v>12</v>
      </c>
      <c r="O434">
        <v>8.7011433531836019E-2</v>
      </c>
      <c r="P434" t="e">
        <f t="shared" si="135"/>
        <v>#DIV/0!</v>
      </c>
      <c r="Q434">
        <f t="shared" si="122"/>
        <v>0</v>
      </c>
      <c r="R434">
        <f t="shared" si="136"/>
        <v>741.9099431943954</v>
      </c>
      <c r="T434" t="e">
        <f t="shared" si="125"/>
        <v>#DIV/0!</v>
      </c>
      <c r="U434" t="e">
        <f t="shared" si="126"/>
        <v>#DIV/0!</v>
      </c>
      <c r="V434">
        <f t="shared" si="127"/>
        <v>0</v>
      </c>
      <c r="W434" t="e">
        <f t="shared" si="123"/>
        <v>#DIV/0!</v>
      </c>
    </row>
    <row r="435" spans="1:23" x14ac:dyDescent="0.55000000000000004">
      <c r="A435">
        <f t="shared" si="124"/>
        <v>40.1000000000003</v>
      </c>
      <c r="B435">
        <f t="shared" si="128"/>
        <v>0.316</v>
      </c>
      <c r="C435">
        <f t="shared" si="129"/>
        <v>-21.152173913043676</v>
      </c>
      <c r="D435">
        <v>2.436022771339875</v>
      </c>
      <c r="E435">
        <f t="shared" si="119"/>
        <v>0</v>
      </c>
      <c r="F435">
        <f t="shared" si="130"/>
        <v>4.8605058816845369E-2</v>
      </c>
      <c r="G435">
        <f t="shared" si="131"/>
        <v>39.513748498891111</v>
      </c>
      <c r="H435">
        <f t="shared" si="132"/>
        <v>0</v>
      </c>
      <c r="I435" s="1">
        <f t="shared" si="120"/>
        <v>0</v>
      </c>
      <c r="J435">
        <f t="shared" si="133"/>
        <v>0</v>
      </c>
      <c r="K435">
        <f t="shared" si="121"/>
        <v>0</v>
      </c>
      <c r="L435" cm="1">
        <f t="array" ref="L435">IF(E435*J435=0,0,$C$21*INDEX([3]Sheet1!$C$4:$Q$23,MATCH(K435,[3]Sheet1!$B$4:$B$23,1),MATCH(D435,[3]Sheet1!$C$3:$Q$3,1))
+(K435-INDEX([3]Sheet1!$B$4:$B$23,MATCH(K435,[3]Sheet1!$B$4:$B$23,1),1))/(INDEX([3]Sheet1!$B$4:$B$23,MATCH(K435,[3]Sheet1!$B$4:$B$23,1)+1,1)-INDEX([3]Sheet1!$B$4:$B$23,
MATCH(K435,[3]Sheet1!$B$4:$B$23,1),1))*(INDEX([3]Sheet1!$C$4:$Q$23,MATCH(K435,[3]Sheet1!$B$4:$B$23,1)+1,MATCH(D435,[3]Sheet1!$C$3:$Q$3,1))-INDEX([3]Sheet1!$C$4:$Q$23,
MATCH(K435,[3]Sheet1!$B$4:$B$23,1),MATCH(D435,[3]Sheet1!$C$3:$Q$3,1)))
+(D435-INDEX([3]Sheet1!$C$3:$Q$3,1,MATCH(D435,[3]Sheet1!$C$3:$Q$3)))/(INDEX([3]Sheet1!$C$3:$Q$3,1,MATCH(D435,[3]Sheet1!$C$3:$Q$3)+1)-INDEX([3]Sheet1!$C$3:$Q$3,1,MATCH(
D435,[3]Sheet1!$C$3:$Q$3)))*(INDEX([3]Sheet1!$C$4:$Q$23,MATCH(K435,[3]Sheet1!$B$4:$B$23,1),MATCH(D435,[3]Sheet1!$C$3:$Q$3,1)+1)-INDEX([3]Sheet1!$C$4:$Q$23,MATCH(K435,[3]Sheet1!$B$4:$B$23,1),MATCH(D435,[3]Sheet1!$C$3:$Q$3,1))))</f>
        <v>0</v>
      </c>
      <c r="M435" cm="1">
        <f t="array" ref="M435" xml:space="preserve"> IF(E435*J435=0,0,(INDEX([2]Sheet1!$C$4:$Q$23,MATCH(K435,[2]Sheet1!$B$4:$B$23,1),MATCH(D435,[2]Sheet1!$C$3:$Q$3,1))
+ (K435 - INDEX([2]Sheet1!$B$4:$B$23,MATCH(K435,[2]Sheet1!$B$4:$B$23,1),1))/(INDEX([2]Sheet1!$B$4:$B$23,MATCH(K435,[2]Sheet1!$B$4:$B$23,1)+1,1) - INDEX([2]Sheet1!$B$4:$B$23,MATCH(K435,[2]Sheet1!$B$4:$B$23,1),1))*(INDEX([2]Sheet1!$C$4:$Q$23,MATCH(K435,[2]Sheet1!$B$4:$B$23,1)+1,MATCH(D435,[2]Sheet1!$C$3:$Q$3,1)) - INDEX([2]Sheet1!$C$4:$Q$23,MATCH(K435,[2]Sheet1!$B$4:$B$23,1),MATCH(D435,[2]Sheet1!$C$3:$Q$3,1)))
+ (D435 - INDEX([2]Sheet1!$C$3:$Q$3,1,MATCH(D435,[2]Sheet1!$C$3:$Q$3)))/(INDEX([2]Sheet1!$C$3:$Q$3,1,MATCH(D435,[2]Sheet1!$C$3:$Q$3)+1) - INDEX([2]Sheet1!$C$3:$Q$3,1,MATCH(D435,[2]Sheet1!$C$3:$Q$3)))*(
INDEX([2]Sheet1!$C$4:$Q$23,MATCH(K435,[2]Sheet1!$B$4:$B$23,1),MATCH(D435,[2]Sheet1!$C$3:$Q$3,1)+1) - INDEX([2]Sheet1!$C$4:$Q$23,MATCH(K435,[2]Sheet1!$B$4:$B$23,1),MATCH(D435,[2]Sheet1!$C$3:$Q$3,1)))))</f>
        <v>0</v>
      </c>
      <c r="N435">
        <f t="shared" si="134"/>
        <v>12</v>
      </c>
      <c r="O435">
        <v>8.6994293075353571E-2</v>
      </c>
      <c r="P435" t="e">
        <f t="shared" si="135"/>
        <v>#DIV/0!</v>
      </c>
      <c r="Q435">
        <f t="shared" si="122"/>
        <v>0</v>
      </c>
      <c r="R435">
        <f t="shared" si="136"/>
        <v>741.9099431943954</v>
      </c>
      <c r="T435" t="e">
        <f t="shared" si="125"/>
        <v>#DIV/0!</v>
      </c>
      <c r="U435" t="e">
        <f t="shared" si="126"/>
        <v>#DIV/0!</v>
      </c>
      <c r="V435">
        <f t="shared" si="127"/>
        <v>0</v>
      </c>
      <c r="W435" t="e">
        <f t="shared" si="123"/>
        <v>#DIV/0!</v>
      </c>
    </row>
    <row r="436" spans="1:23" x14ac:dyDescent="0.55000000000000004">
      <c r="A436">
        <f t="shared" si="124"/>
        <v>40.200000000000301</v>
      </c>
      <c r="B436">
        <f t="shared" si="128"/>
        <v>0.316</v>
      </c>
      <c r="C436">
        <f t="shared" si="129"/>
        <v>-21.217391304348023</v>
      </c>
      <c r="D436">
        <v>2.4359366413121197</v>
      </c>
      <c r="E436">
        <f t="shared" si="119"/>
        <v>0</v>
      </c>
      <c r="F436">
        <f t="shared" si="130"/>
        <v>4.8605058816845369E-2</v>
      </c>
      <c r="G436">
        <f t="shared" si="131"/>
        <v>39.513748498891111</v>
      </c>
      <c r="H436">
        <f t="shared" si="132"/>
        <v>0</v>
      </c>
      <c r="I436" s="1">
        <f t="shared" si="120"/>
        <v>0</v>
      </c>
      <c r="J436">
        <f t="shared" si="133"/>
        <v>0</v>
      </c>
      <c r="K436">
        <f t="shared" si="121"/>
        <v>0</v>
      </c>
      <c r="L436" cm="1">
        <f t="array" ref="L436">IF(E436*J436=0,0,$C$21*INDEX([3]Sheet1!$C$4:$Q$23,MATCH(K436,[3]Sheet1!$B$4:$B$23,1),MATCH(D436,[3]Sheet1!$C$3:$Q$3,1))
+(K436-INDEX([3]Sheet1!$B$4:$B$23,MATCH(K436,[3]Sheet1!$B$4:$B$23,1),1))/(INDEX([3]Sheet1!$B$4:$B$23,MATCH(K436,[3]Sheet1!$B$4:$B$23,1)+1,1)-INDEX([3]Sheet1!$B$4:$B$23,
MATCH(K436,[3]Sheet1!$B$4:$B$23,1),1))*(INDEX([3]Sheet1!$C$4:$Q$23,MATCH(K436,[3]Sheet1!$B$4:$B$23,1)+1,MATCH(D436,[3]Sheet1!$C$3:$Q$3,1))-INDEX([3]Sheet1!$C$4:$Q$23,
MATCH(K436,[3]Sheet1!$B$4:$B$23,1),MATCH(D436,[3]Sheet1!$C$3:$Q$3,1)))
+(D436-INDEX([3]Sheet1!$C$3:$Q$3,1,MATCH(D436,[3]Sheet1!$C$3:$Q$3)))/(INDEX([3]Sheet1!$C$3:$Q$3,1,MATCH(D436,[3]Sheet1!$C$3:$Q$3)+1)-INDEX([3]Sheet1!$C$3:$Q$3,1,MATCH(
D436,[3]Sheet1!$C$3:$Q$3)))*(INDEX([3]Sheet1!$C$4:$Q$23,MATCH(K436,[3]Sheet1!$B$4:$B$23,1),MATCH(D436,[3]Sheet1!$C$3:$Q$3,1)+1)-INDEX([3]Sheet1!$C$4:$Q$23,MATCH(K436,[3]Sheet1!$B$4:$B$23,1),MATCH(D436,[3]Sheet1!$C$3:$Q$3,1))))</f>
        <v>0</v>
      </c>
      <c r="M436" cm="1">
        <f t="array" ref="M436" xml:space="preserve"> IF(E436*J436=0,0,(INDEX([2]Sheet1!$C$4:$Q$23,MATCH(K436,[2]Sheet1!$B$4:$B$23,1),MATCH(D436,[2]Sheet1!$C$3:$Q$3,1))
+ (K436 - INDEX([2]Sheet1!$B$4:$B$23,MATCH(K436,[2]Sheet1!$B$4:$B$23,1),1))/(INDEX([2]Sheet1!$B$4:$B$23,MATCH(K436,[2]Sheet1!$B$4:$B$23,1)+1,1) - INDEX([2]Sheet1!$B$4:$B$23,MATCH(K436,[2]Sheet1!$B$4:$B$23,1),1))*(INDEX([2]Sheet1!$C$4:$Q$23,MATCH(K436,[2]Sheet1!$B$4:$B$23,1)+1,MATCH(D436,[2]Sheet1!$C$3:$Q$3,1)) - INDEX([2]Sheet1!$C$4:$Q$23,MATCH(K436,[2]Sheet1!$B$4:$B$23,1),MATCH(D436,[2]Sheet1!$C$3:$Q$3,1)))
+ (D436 - INDEX([2]Sheet1!$C$3:$Q$3,1,MATCH(D436,[2]Sheet1!$C$3:$Q$3)))/(INDEX([2]Sheet1!$C$3:$Q$3,1,MATCH(D436,[2]Sheet1!$C$3:$Q$3)+1) - INDEX([2]Sheet1!$C$3:$Q$3,1,MATCH(D436,[2]Sheet1!$C$3:$Q$3)))*(
INDEX([2]Sheet1!$C$4:$Q$23,MATCH(K436,[2]Sheet1!$B$4:$B$23,1),MATCH(D436,[2]Sheet1!$C$3:$Q$3,1)+1) - INDEX([2]Sheet1!$C$4:$Q$23,MATCH(K436,[2]Sheet1!$B$4:$B$23,1),MATCH(D436,[2]Sheet1!$C$3:$Q$3,1)))))</f>
        <v>0</v>
      </c>
      <c r="N436">
        <f t="shared" si="134"/>
        <v>12</v>
      </c>
      <c r="O436">
        <v>8.6977183137481109E-2</v>
      </c>
      <c r="P436" t="e">
        <f t="shared" si="135"/>
        <v>#DIV/0!</v>
      </c>
      <c r="Q436">
        <f t="shared" si="122"/>
        <v>0</v>
      </c>
      <c r="R436">
        <f t="shared" si="136"/>
        <v>741.9099431943954</v>
      </c>
      <c r="T436" t="e">
        <f t="shared" si="125"/>
        <v>#DIV/0!</v>
      </c>
      <c r="U436" t="e">
        <f t="shared" si="126"/>
        <v>#DIV/0!</v>
      </c>
      <c r="V436">
        <f t="shared" si="127"/>
        <v>0</v>
      </c>
      <c r="W436" t="e">
        <f t="shared" si="123"/>
        <v>#DIV/0!</v>
      </c>
    </row>
    <row r="437" spans="1:23" x14ac:dyDescent="0.55000000000000004">
      <c r="A437">
        <f t="shared" si="124"/>
        <v>40.300000000000303</v>
      </c>
      <c r="B437">
        <f t="shared" si="128"/>
        <v>0.316</v>
      </c>
      <c r="C437">
        <f t="shared" si="129"/>
        <v>-21.282608695652375</v>
      </c>
      <c r="D437">
        <v>2.4358506475454549</v>
      </c>
      <c r="E437">
        <f t="shared" si="119"/>
        <v>0</v>
      </c>
      <c r="F437">
        <f t="shared" si="130"/>
        <v>4.8605058816845369E-2</v>
      </c>
      <c r="G437">
        <f t="shared" si="131"/>
        <v>39.513748498891111</v>
      </c>
      <c r="H437">
        <f t="shared" si="132"/>
        <v>0</v>
      </c>
      <c r="I437" s="1">
        <f t="shared" si="120"/>
        <v>0</v>
      </c>
      <c r="J437">
        <f t="shared" si="133"/>
        <v>0</v>
      </c>
      <c r="K437">
        <f t="shared" si="121"/>
        <v>0</v>
      </c>
      <c r="L437" cm="1">
        <f t="array" ref="L437">IF(E437*J437=0,0,$C$21*INDEX([3]Sheet1!$C$4:$Q$23,MATCH(K437,[3]Sheet1!$B$4:$B$23,1),MATCH(D437,[3]Sheet1!$C$3:$Q$3,1))
+(K437-INDEX([3]Sheet1!$B$4:$B$23,MATCH(K437,[3]Sheet1!$B$4:$B$23,1),1))/(INDEX([3]Sheet1!$B$4:$B$23,MATCH(K437,[3]Sheet1!$B$4:$B$23,1)+1,1)-INDEX([3]Sheet1!$B$4:$B$23,
MATCH(K437,[3]Sheet1!$B$4:$B$23,1),1))*(INDEX([3]Sheet1!$C$4:$Q$23,MATCH(K437,[3]Sheet1!$B$4:$B$23,1)+1,MATCH(D437,[3]Sheet1!$C$3:$Q$3,1))-INDEX([3]Sheet1!$C$4:$Q$23,
MATCH(K437,[3]Sheet1!$B$4:$B$23,1),MATCH(D437,[3]Sheet1!$C$3:$Q$3,1)))
+(D437-INDEX([3]Sheet1!$C$3:$Q$3,1,MATCH(D437,[3]Sheet1!$C$3:$Q$3)))/(INDEX([3]Sheet1!$C$3:$Q$3,1,MATCH(D437,[3]Sheet1!$C$3:$Q$3)+1)-INDEX([3]Sheet1!$C$3:$Q$3,1,MATCH(
D437,[3]Sheet1!$C$3:$Q$3)))*(INDEX([3]Sheet1!$C$4:$Q$23,MATCH(K437,[3]Sheet1!$B$4:$B$23,1),MATCH(D437,[3]Sheet1!$C$3:$Q$3,1)+1)-INDEX([3]Sheet1!$C$4:$Q$23,MATCH(K437,[3]Sheet1!$B$4:$B$23,1),MATCH(D437,[3]Sheet1!$C$3:$Q$3,1))))</f>
        <v>0</v>
      </c>
      <c r="M437" cm="1">
        <f t="array" ref="M437" xml:space="preserve"> IF(E437*J437=0,0,(INDEX([2]Sheet1!$C$4:$Q$23,MATCH(K437,[2]Sheet1!$B$4:$B$23,1),MATCH(D437,[2]Sheet1!$C$3:$Q$3,1))
+ (K437 - INDEX([2]Sheet1!$B$4:$B$23,MATCH(K437,[2]Sheet1!$B$4:$B$23,1),1))/(INDEX([2]Sheet1!$B$4:$B$23,MATCH(K437,[2]Sheet1!$B$4:$B$23,1)+1,1) - INDEX([2]Sheet1!$B$4:$B$23,MATCH(K437,[2]Sheet1!$B$4:$B$23,1),1))*(INDEX([2]Sheet1!$C$4:$Q$23,MATCH(K437,[2]Sheet1!$B$4:$B$23,1)+1,MATCH(D437,[2]Sheet1!$C$3:$Q$3,1)) - INDEX([2]Sheet1!$C$4:$Q$23,MATCH(K437,[2]Sheet1!$B$4:$B$23,1),MATCH(D437,[2]Sheet1!$C$3:$Q$3,1)))
+ (D437 - INDEX([2]Sheet1!$C$3:$Q$3,1,MATCH(D437,[2]Sheet1!$C$3:$Q$3)))/(INDEX([2]Sheet1!$C$3:$Q$3,1,MATCH(D437,[2]Sheet1!$C$3:$Q$3)+1) - INDEX([2]Sheet1!$C$3:$Q$3,1,MATCH(D437,[2]Sheet1!$C$3:$Q$3)))*(
INDEX([2]Sheet1!$C$4:$Q$23,MATCH(K437,[2]Sheet1!$B$4:$B$23,1),MATCH(D437,[2]Sheet1!$C$3:$Q$3,1)+1) - INDEX([2]Sheet1!$C$4:$Q$23,MATCH(K437,[2]Sheet1!$B$4:$B$23,1),MATCH(D437,[2]Sheet1!$C$3:$Q$3,1)))))</f>
        <v>0</v>
      </c>
      <c r="N437">
        <f t="shared" si="134"/>
        <v>12</v>
      </c>
      <c r="O437">
        <v>8.6960103612864104E-2</v>
      </c>
      <c r="P437" t="e">
        <f t="shared" si="135"/>
        <v>#DIV/0!</v>
      </c>
      <c r="Q437">
        <f t="shared" si="122"/>
        <v>0</v>
      </c>
      <c r="R437">
        <f t="shared" si="136"/>
        <v>741.9099431943954</v>
      </c>
      <c r="T437" t="e">
        <f t="shared" si="125"/>
        <v>#DIV/0!</v>
      </c>
      <c r="U437" t="e">
        <f t="shared" si="126"/>
        <v>#DIV/0!</v>
      </c>
      <c r="V437">
        <f t="shared" si="127"/>
        <v>0</v>
      </c>
      <c r="W437" t="e">
        <f t="shared" si="123"/>
        <v>#DIV/0!</v>
      </c>
    </row>
    <row r="438" spans="1:23" x14ac:dyDescent="0.55000000000000004">
      <c r="A438">
        <f t="shared" si="124"/>
        <v>40.400000000000304</v>
      </c>
      <c r="B438">
        <f t="shared" si="128"/>
        <v>0.316</v>
      </c>
      <c r="C438">
        <f t="shared" si="129"/>
        <v>-21.347826086956722</v>
      </c>
      <c r="D438">
        <v>2.4357647895945842</v>
      </c>
      <c r="E438">
        <f t="shared" si="119"/>
        <v>0</v>
      </c>
      <c r="F438">
        <f t="shared" si="130"/>
        <v>4.8605058816845369E-2</v>
      </c>
      <c r="G438">
        <f t="shared" si="131"/>
        <v>39.513748498891111</v>
      </c>
      <c r="H438">
        <f t="shared" si="132"/>
        <v>0</v>
      </c>
      <c r="I438" s="1">
        <f t="shared" si="120"/>
        <v>0</v>
      </c>
      <c r="J438">
        <f t="shared" si="133"/>
        <v>0</v>
      </c>
      <c r="K438">
        <f t="shared" si="121"/>
        <v>0</v>
      </c>
      <c r="L438" cm="1">
        <f t="array" ref="L438">IF(E438*J438=0,0,$C$21*INDEX([3]Sheet1!$C$4:$Q$23,MATCH(K438,[3]Sheet1!$B$4:$B$23,1),MATCH(D438,[3]Sheet1!$C$3:$Q$3,1))
+(K438-INDEX([3]Sheet1!$B$4:$B$23,MATCH(K438,[3]Sheet1!$B$4:$B$23,1),1))/(INDEX([3]Sheet1!$B$4:$B$23,MATCH(K438,[3]Sheet1!$B$4:$B$23,1)+1,1)-INDEX([3]Sheet1!$B$4:$B$23,
MATCH(K438,[3]Sheet1!$B$4:$B$23,1),1))*(INDEX([3]Sheet1!$C$4:$Q$23,MATCH(K438,[3]Sheet1!$B$4:$B$23,1)+1,MATCH(D438,[3]Sheet1!$C$3:$Q$3,1))-INDEX([3]Sheet1!$C$4:$Q$23,
MATCH(K438,[3]Sheet1!$B$4:$B$23,1),MATCH(D438,[3]Sheet1!$C$3:$Q$3,1)))
+(D438-INDEX([3]Sheet1!$C$3:$Q$3,1,MATCH(D438,[3]Sheet1!$C$3:$Q$3)))/(INDEX([3]Sheet1!$C$3:$Q$3,1,MATCH(D438,[3]Sheet1!$C$3:$Q$3)+1)-INDEX([3]Sheet1!$C$3:$Q$3,1,MATCH(
D438,[3]Sheet1!$C$3:$Q$3)))*(INDEX([3]Sheet1!$C$4:$Q$23,MATCH(K438,[3]Sheet1!$B$4:$B$23,1),MATCH(D438,[3]Sheet1!$C$3:$Q$3,1)+1)-INDEX([3]Sheet1!$C$4:$Q$23,MATCH(K438,[3]Sheet1!$B$4:$B$23,1),MATCH(D438,[3]Sheet1!$C$3:$Q$3,1))))</f>
        <v>0</v>
      </c>
      <c r="M438" cm="1">
        <f t="array" ref="M438" xml:space="preserve"> IF(E438*J438=0,0,(INDEX([2]Sheet1!$C$4:$Q$23,MATCH(K438,[2]Sheet1!$B$4:$B$23,1),MATCH(D438,[2]Sheet1!$C$3:$Q$3,1))
+ (K438 - INDEX([2]Sheet1!$B$4:$B$23,MATCH(K438,[2]Sheet1!$B$4:$B$23,1),1))/(INDEX([2]Sheet1!$B$4:$B$23,MATCH(K438,[2]Sheet1!$B$4:$B$23,1)+1,1) - INDEX([2]Sheet1!$B$4:$B$23,MATCH(K438,[2]Sheet1!$B$4:$B$23,1),1))*(INDEX([2]Sheet1!$C$4:$Q$23,MATCH(K438,[2]Sheet1!$B$4:$B$23,1)+1,MATCH(D438,[2]Sheet1!$C$3:$Q$3,1)) - INDEX([2]Sheet1!$C$4:$Q$23,MATCH(K438,[2]Sheet1!$B$4:$B$23,1),MATCH(D438,[2]Sheet1!$C$3:$Q$3,1)))
+ (D438 - INDEX([2]Sheet1!$C$3:$Q$3,1,MATCH(D438,[2]Sheet1!$C$3:$Q$3)))/(INDEX([2]Sheet1!$C$3:$Q$3,1,MATCH(D438,[2]Sheet1!$C$3:$Q$3)+1) - INDEX([2]Sheet1!$C$3:$Q$3,1,MATCH(D438,[2]Sheet1!$C$3:$Q$3)))*(
INDEX([2]Sheet1!$C$4:$Q$23,MATCH(K438,[2]Sheet1!$B$4:$B$23,1),MATCH(D438,[2]Sheet1!$C$3:$Q$3,1)+1) - INDEX([2]Sheet1!$C$4:$Q$23,MATCH(K438,[2]Sheet1!$B$4:$B$23,1),MATCH(D438,[2]Sheet1!$C$3:$Q$3,1)))))</f>
        <v>0</v>
      </c>
      <c r="N438">
        <f t="shared" si="134"/>
        <v>12</v>
      </c>
      <c r="O438">
        <v>8.6943054396688743E-2</v>
      </c>
      <c r="P438" t="e">
        <f t="shared" si="135"/>
        <v>#DIV/0!</v>
      </c>
      <c r="Q438">
        <f t="shared" si="122"/>
        <v>0</v>
      </c>
      <c r="R438">
        <f t="shared" si="136"/>
        <v>741.9099431943954</v>
      </c>
      <c r="T438" t="e">
        <f t="shared" si="125"/>
        <v>#DIV/0!</v>
      </c>
      <c r="U438" t="e">
        <f t="shared" si="126"/>
        <v>#DIV/0!</v>
      </c>
      <c r="V438">
        <f t="shared" si="127"/>
        <v>0</v>
      </c>
      <c r="W438" t="e">
        <f t="shared" si="123"/>
        <v>#DIV/0!</v>
      </c>
    </row>
    <row r="439" spans="1:23" x14ac:dyDescent="0.55000000000000004">
      <c r="A439">
        <f t="shared" si="124"/>
        <v>40.500000000000306</v>
      </c>
      <c r="B439">
        <f t="shared" si="128"/>
        <v>0.316</v>
      </c>
      <c r="C439">
        <f t="shared" si="129"/>
        <v>-21.41304347826107</v>
      </c>
      <c r="D439">
        <v>2.4356790670164048</v>
      </c>
      <c r="E439">
        <f t="shared" si="119"/>
        <v>0</v>
      </c>
      <c r="F439">
        <f t="shared" si="130"/>
        <v>4.8605058816845369E-2</v>
      </c>
      <c r="G439">
        <f t="shared" si="131"/>
        <v>39.513748498891111</v>
      </c>
      <c r="H439">
        <f t="shared" si="132"/>
        <v>0</v>
      </c>
      <c r="I439" s="1">
        <f t="shared" si="120"/>
        <v>0</v>
      </c>
      <c r="J439">
        <f t="shared" si="133"/>
        <v>0</v>
      </c>
      <c r="K439">
        <f t="shared" si="121"/>
        <v>0</v>
      </c>
      <c r="L439" cm="1">
        <f t="array" ref="L439">IF(E439*J439=0,0,$C$21*INDEX([3]Sheet1!$C$4:$Q$23,MATCH(K439,[3]Sheet1!$B$4:$B$23,1),MATCH(D439,[3]Sheet1!$C$3:$Q$3,1))
+(K439-INDEX([3]Sheet1!$B$4:$B$23,MATCH(K439,[3]Sheet1!$B$4:$B$23,1),1))/(INDEX([3]Sheet1!$B$4:$B$23,MATCH(K439,[3]Sheet1!$B$4:$B$23,1)+1,1)-INDEX([3]Sheet1!$B$4:$B$23,
MATCH(K439,[3]Sheet1!$B$4:$B$23,1),1))*(INDEX([3]Sheet1!$C$4:$Q$23,MATCH(K439,[3]Sheet1!$B$4:$B$23,1)+1,MATCH(D439,[3]Sheet1!$C$3:$Q$3,1))-INDEX([3]Sheet1!$C$4:$Q$23,
MATCH(K439,[3]Sheet1!$B$4:$B$23,1),MATCH(D439,[3]Sheet1!$C$3:$Q$3,1)))
+(D439-INDEX([3]Sheet1!$C$3:$Q$3,1,MATCH(D439,[3]Sheet1!$C$3:$Q$3)))/(INDEX([3]Sheet1!$C$3:$Q$3,1,MATCH(D439,[3]Sheet1!$C$3:$Q$3)+1)-INDEX([3]Sheet1!$C$3:$Q$3,1,MATCH(
D439,[3]Sheet1!$C$3:$Q$3)))*(INDEX([3]Sheet1!$C$4:$Q$23,MATCH(K439,[3]Sheet1!$B$4:$B$23,1),MATCH(D439,[3]Sheet1!$C$3:$Q$3,1)+1)-INDEX([3]Sheet1!$C$4:$Q$23,MATCH(K439,[3]Sheet1!$B$4:$B$23,1),MATCH(D439,[3]Sheet1!$C$3:$Q$3,1))))</f>
        <v>0</v>
      </c>
      <c r="M439" cm="1">
        <f t="array" ref="M439" xml:space="preserve"> IF(E439*J439=0,0,(INDEX([2]Sheet1!$C$4:$Q$23,MATCH(K439,[2]Sheet1!$B$4:$B$23,1),MATCH(D439,[2]Sheet1!$C$3:$Q$3,1))
+ (K439 - INDEX([2]Sheet1!$B$4:$B$23,MATCH(K439,[2]Sheet1!$B$4:$B$23,1),1))/(INDEX([2]Sheet1!$B$4:$B$23,MATCH(K439,[2]Sheet1!$B$4:$B$23,1)+1,1) - INDEX([2]Sheet1!$B$4:$B$23,MATCH(K439,[2]Sheet1!$B$4:$B$23,1),1))*(INDEX([2]Sheet1!$C$4:$Q$23,MATCH(K439,[2]Sheet1!$B$4:$B$23,1)+1,MATCH(D439,[2]Sheet1!$C$3:$Q$3,1)) - INDEX([2]Sheet1!$C$4:$Q$23,MATCH(K439,[2]Sheet1!$B$4:$B$23,1),MATCH(D439,[2]Sheet1!$C$3:$Q$3,1)))
+ (D439 - INDEX([2]Sheet1!$C$3:$Q$3,1,MATCH(D439,[2]Sheet1!$C$3:$Q$3)))/(INDEX([2]Sheet1!$C$3:$Q$3,1,MATCH(D439,[2]Sheet1!$C$3:$Q$3)+1) - INDEX([2]Sheet1!$C$3:$Q$3,1,MATCH(D439,[2]Sheet1!$C$3:$Q$3)))*(
INDEX([2]Sheet1!$C$4:$Q$23,MATCH(K439,[2]Sheet1!$B$4:$B$23,1),MATCH(D439,[2]Sheet1!$C$3:$Q$3,1)+1) - INDEX([2]Sheet1!$C$4:$Q$23,MATCH(K439,[2]Sheet1!$B$4:$B$23,1),MATCH(D439,[2]Sheet1!$C$3:$Q$3,1)))))</f>
        <v>0</v>
      </c>
      <c r="N439">
        <f t="shared" si="134"/>
        <v>12</v>
      </c>
      <c r="O439">
        <v>8.6926035384675679E-2</v>
      </c>
      <c r="P439" t="e">
        <f t="shared" si="135"/>
        <v>#DIV/0!</v>
      </c>
      <c r="Q439">
        <f t="shared" si="122"/>
        <v>0</v>
      </c>
      <c r="R439">
        <f t="shared" si="136"/>
        <v>741.9099431943954</v>
      </c>
      <c r="T439" t="e">
        <f t="shared" si="125"/>
        <v>#DIV/0!</v>
      </c>
      <c r="U439" t="e">
        <f t="shared" si="126"/>
        <v>#DIV/0!</v>
      </c>
      <c r="V439">
        <f t="shared" si="127"/>
        <v>0</v>
      </c>
      <c r="W439" t="e">
        <f t="shared" si="123"/>
        <v>#DIV/0!</v>
      </c>
    </row>
    <row r="440" spans="1:23" x14ac:dyDescent="0.55000000000000004">
      <c r="A440">
        <f t="shared" si="124"/>
        <v>40.600000000000307</v>
      </c>
      <c r="B440">
        <f t="shared" si="128"/>
        <v>0.316</v>
      </c>
      <c r="C440">
        <f t="shared" si="129"/>
        <v>-21.478260869565421</v>
      </c>
      <c r="D440">
        <v>2.4355934793699938</v>
      </c>
      <c r="E440">
        <f t="shared" si="119"/>
        <v>0</v>
      </c>
      <c r="F440">
        <f t="shared" si="130"/>
        <v>4.8605058816845369E-2</v>
      </c>
      <c r="G440">
        <f t="shared" si="131"/>
        <v>39.513748498891111</v>
      </c>
      <c r="H440">
        <f t="shared" si="132"/>
        <v>0</v>
      </c>
      <c r="I440" s="1">
        <f t="shared" si="120"/>
        <v>0</v>
      </c>
      <c r="J440">
        <f t="shared" si="133"/>
        <v>0</v>
      </c>
      <c r="K440">
        <f t="shared" si="121"/>
        <v>0</v>
      </c>
      <c r="L440" cm="1">
        <f t="array" ref="L440">IF(E440*J440=0,0,$C$21*INDEX([3]Sheet1!$C$4:$Q$23,MATCH(K440,[3]Sheet1!$B$4:$B$23,1),MATCH(D440,[3]Sheet1!$C$3:$Q$3,1))
+(K440-INDEX([3]Sheet1!$B$4:$B$23,MATCH(K440,[3]Sheet1!$B$4:$B$23,1),1))/(INDEX([3]Sheet1!$B$4:$B$23,MATCH(K440,[3]Sheet1!$B$4:$B$23,1)+1,1)-INDEX([3]Sheet1!$B$4:$B$23,
MATCH(K440,[3]Sheet1!$B$4:$B$23,1),1))*(INDEX([3]Sheet1!$C$4:$Q$23,MATCH(K440,[3]Sheet1!$B$4:$B$23,1)+1,MATCH(D440,[3]Sheet1!$C$3:$Q$3,1))-INDEX([3]Sheet1!$C$4:$Q$23,
MATCH(K440,[3]Sheet1!$B$4:$B$23,1),MATCH(D440,[3]Sheet1!$C$3:$Q$3,1)))
+(D440-INDEX([3]Sheet1!$C$3:$Q$3,1,MATCH(D440,[3]Sheet1!$C$3:$Q$3)))/(INDEX([3]Sheet1!$C$3:$Q$3,1,MATCH(D440,[3]Sheet1!$C$3:$Q$3)+1)-INDEX([3]Sheet1!$C$3:$Q$3,1,MATCH(
D440,[3]Sheet1!$C$3:$Q$3)))*(INDEX([3]Sheet1!$C$4:$Q$23,MATCH(K440,[3]Sheet1!$B$4:$B$23,1),MATCH(D440,[3]Sheet1!$C$3:$Q$3,1)+1)-INDEX([3]Sheet1!$C$4:$Q$23,MATCH(K440,[3]Sheet1!$B$4:$B$23,1),MATCH(D440,[3]Sheet1!$C$3:$Q$3,1))))</f>
        <v>0</v>
      </c>
      <c r="M440" cm="1">
        <f t="array" ref="M440" xml:space="preserve"> IF(E440*J440=0,0,(INDEX([2]Sheet1!$C$4:$Q$23,MATCH(K440,[2]Sheet1!$B$4:$B$23,1),MATCH(D440,[2]Sheet1!$C$3:$Q$3,1))
+ (K440 - INDEX([2]Sheet1!$B$4:$B$23,MATCH(K440,[2]Sheet1!$B$4:$B$23,1),1))/(INDEX([2]Sheet1!$B$4:$B$23,MATCH(K440,[2]Sheet1!$B$4:$B$23,1)+1,1) - INDEX([2]Sheet1!$B$4:$B$23,MATCH(K440,[2]Sheet1!$B$4:$B$23,1),1))*(INDEX([2]Sheet1!$C$4:$Q$23,MATCH(K440,[2]Sheet1!$B$4:$B$23,1)+1,MATCH(D440,[2]Sheet1!$C$3:$Q$3,1)) - INDEX([2]Sheet1!$C$4:$Q$23,MATCH(K440,[2]Sheet1!$B$4:$B$23,1),MATCH(D440,[2]Sheet1!$C$3:$Q$3,1)))
+ (D440 - INDEX([2]Sheet1!$C$3:$Q$3,1,MATCH(D440,[2]Sheet1!$C$3:$Q$3)))/(INDEX([2]Sheet1!$C$3:$Q$3,1,MATCH(D440,[2]Sheet1!$C$3:$Q$3)+1) - INDEX([2]Sheet1!$C$3:$Q$3,1,MATCH(D440,[2]Sheet1!$C$3:$Q$3)))*(
INDEX([2]Sheet1!$C$4:$Q$23,MATCH(K440,[2]Sheet1!$B$4:$B$23,1),MATCH(D440,[2]Sheet1!$C$3:$Q$3,1)+1) - INDEX([2]Sheet1!$C$4:$Q$23,MATCH(K440,[2]Sheet1!$B$4:$B$23,1),MATCH(D440,[2]Sheet1!$C$3:$Q$3,1)))))</f>
        <v>0</v>
      </c>
      <c r="N440">
        <f t="shared" si="134"/>
        <v>12</v>
      </c>
      <c r="O440">
        <v>8.6909046473078413E-2</v>
      </c>
      <c r="P440" t="e">
        <f t="shared" si="135"/>
        <v>#DIV/0!</v>
      </c>
      <c r="Q440">
        <f t="shared" si="122"/>
        <v>0</v>
      </c>
      <c r="R440">
        <f t="shared" si="136"/>
        <v>741.9099431943954</v>
      </c>
      <c r="T440" t="e">
        <f t="shared" si="125"/>
        <v>#DIV/0!</v>
      </c>
      <c r="U440" t="e">
        <f t="shared" si="126"/>
        <v>#DIV/0!</v>
      </c>
      <c r="V440">
        <f t="shared" si="127"/>
        <v>0</v>
      </c>
      <c r="W440" t="e">
        <f t="shared" si="123"/>
        <v>#DIV/0!</v>
      </c>
    </row>
    <row r="441" spans="1:23" x14ac:dyDescent="0.55000000000000004">
      <c r="A441">
        <f t="shared" si="124"/>
        <v>40.700000000000308</v>
      </c>
      <c r="B441">
        <f t="shared" si="128"/>
        <v>0.316</v>
      </c>
      <c r="C441">
        <f t="shared" si="129"/>
        <v>-21.543478260869769</v>
      </c>
      <c r="D441">
        <v>2.435508026216596</v>
      </c>
      <c r="E441">
        <f t="shared" si="119"/>
        <v>0</v>
      </c>
      <c r="F441">
        <f t="shared" si="130"/>
        <v>4.8605058816845369E-2</v>
      </c>
      <c r="G441">
        <f t="shared" si="131"/>
        <v>39.513748498891111</v>
      </c>
      <c r="H441">
        <f t="shared" si="132"/>
        <v>0</v>
      </c>
      <c r="I441" s="1">
        <f t="shared" si="120"/>
        <v>0</v>
      </c>
      <c r="J441">
        <f t="shared" si="133"/>
        <v>0</v>
      </c>
      <c r="K441">
        <f t="shared" si="121"/>
        <v>0</v>
      </c>
      <c r="L441" cm="1">
        <f t="array" ref="L441">IF(E441*J441=0,0,$C$21*INDEX([3]Sheet1!$C$4:$Q$23,MATCH(K441,[3]Sheet1!$B$4:$B$23,1),MATCH(D441,[3]Sheet1!$C$3:$Q$3,1))
+(K441-INDEX([3]Sheet1!$B$4:$B$23,MATCH(K441,[3]Sheet1!$B$4:$B$23,1),1))/(INDEX([3]Sheet1!$B$4:$B$23,MATCH(K441,[3]Sheet1!$B$4:$B$23,1)+1,1)-INDEX([3]Sheet1!$B$4:$B$23,
MATCH(K441,[3]Sheet1!$B$4:$B$23,1),1))*(INDEX([3]Sheet1!$C$4:$Q$23,MATCH(K441,[3]Sheet1!$B$4:$B$23,1)+1,MATCH(D441,[3]Sheet1!$C$3:$Q$3,1))-INDEX([3]Sheet1!$C$4:$Q$23,
MATCH(K441,[3]Sheet1!$B$4:$B$23,1),MATCH(D441,[3]Sheet1!$C$3:$Q$3,1)))
+(D441-INDEX([3]Sheet1!$C$3:$Q$3,1,MATCH(D441,[3]Sheet1!$C$3:$Q$3)))/(INDEX([3]Sheet1!$C$3:$Q$3,1,MATCH(D441,[3]Sheet1!$C$3:$Q$3)+1)-INDEX([3]Sheet1!$C$3:$Q$3,1,MATCH(
D441,[3]Sheet1!$C$3:$Q$3)))*(INDEX([3]Sheet1!$C$4:$Q$23,MATCH(K441,[3]Sheet1!$B$4:$B$23,1),MATCH(D441,[3]Sheet1!$C$3:$Q$3,1)+1)-INDEX([3]Sheet1!$C$4:$Q$23,MATCH(K441,[3]Sheet1!$B$4:$B$23,1),MATCH(D441,[3]Sheet1!$C$3:$Q$3,1))))</f>
        <v>0</v>
      </c>
      <c r="M441" cm="1">
        <f t="array" ref="M441" xml:space="preserve"> IF(E441*J441=0,0,(INDEX([2]Sheet1!$C$4:$Q$23,MATCH(K441,[2]Sheet1!$B$4:$B$23,1),MATCH(D441,[2]Sheet1!$C$3:$Q$3,1))
+ (K441 - INDEX([2]Sheet1!$B$4:$B$23,MATCH(K441,[2]Sheet1!$B$4:$B$23,1),1))/(INDEX([2]Sheet1!$B$4:$B$23,MATCH(K441,[2]Sheet1!$B$4:$B$23,1)+1,1) - INDEX([2]Sheet1!$B$4:$B$23,MATCH(K441,[2]Sheet1!$B$4:$B$23,1),1))*(INDEX([2]Sheet1!$C$4:$Q$23,MATCH(K441,[2]Sheet1!$B$4:$B$23,1)+1,MATCH(D441,[2]Sheet1!$C$3:$Q$3,1)) - INDEX([2]Sheet1!$C$4:$Q$23,MATCH(K441,[2]Sheet1!$B$4:$B$23,1),MATCH(D441,[2]Sheet1!$C$3:$Q$3,1)))
+ (D441 - INDEX([2]Sheet1!$C$3:$Q$3,1,MATCH(D441,[2]Sheet1!$C$3:$Q$3)))/(INDEX([2]Sheet1!$C$3:$Q$3,1,MATCH(D441,[2]Sheet1!$C$3:$Q$3)+1) - INDEX([2]Sheet1!$C$3:$Q$3,1,MATCH(D441,[2]Sheet1!$C$3:$Q$3)))*(
INDEX([2]Sheet1!$C$4:$Q$23,MATCH(K441,[2]Sheet1!$B$4:$B$23,1),MATCH(D441,[2]Sheet1!$C$3:$Q$3,1)+1) - INDEX([2]Sheet1!$C$4:$Q$23,MATCH(K441,[2]Sheet1!$B$4:$B$23,1),MATCH(D441,[2]Sheet1!$C$3:$Q$3,1)))))</f>
        <v>0</v>
      </c>
      <c r="N441">
        <f t="shared" si="134"/>
        <v>12</v>
      </c>
      <c r="O441">
        <v>8.6892087558678832E-2</v>
      </c>
      <c r="P441" t="e">
        <f t="shared" si="135"/>
        <v>#DIV/0!</v>
      </c>
      <c r="Q441">
        <f t="shared" si="122"/>
        <v>0</v>
      </c>
      <c r="R441">
        <f t="shared" si="136"/>
        <v>741.9099431943954</v>
      </c>
      <c r="T441" t="e">
        <f t="shared" si="125"/>
        <v>#DIV/0!</v>
      </c>
      <c r="U441" t="e">
        <f t="shared" si="126"/>
        <v>#DIV/0!</v>
      </c>
      <c r="V441">
        <f t="shared" si="127"/>
        <v>0</v>
      </c>
      <c r="W441" t="e">
        <f t="shared" si="123"/>
        <v>#DIV/0!</v>
      </c>
    </row>
    <row r="442" spans="1:23" x14ac:dyDescent="0.55000000000000004">
      <c r="A442">
        <f t="shared" si="124"/>
        <v>40.80000000000031</v>
      </c>
      <c r="B442">
        <f t="shared" si="128"/>
        <v>0.316</v>
      </c>
      <c r="C442">
        <f t="shared" si="129"/>
        <v>-21.608695652174116</v>
      </c>
      <c r="D442">
        <v>2.4354227071196051</v>
      </c>
      <c r="E442">
        <f t="shared" si="119"/>
        <v>0</v>
      </c>
      <c r="F442">
        <f t="shared" si="130"/>
        <v>4.8605058816845369E-2</v>
      </c>
      <c r="G442">
        <f t="shared" si="131"/>
        <v>39.513748498891111</v>
      </c>
      <c r="H442">
        <f t="shared" si="132"/>
        <v>0</v>
      </c>
      <c r="I442" s="1">
        <f t="shared" si="120"/>
        <v>0</v>
      </c>
      <c r="J442">
        <f t="shared" si="133"/>
        <v>0</v>
      </c>
      <c r="K442">
        <f t="shared" si="121"/>
        <v>0</v>
      </c>
      <c r="L442" cm="1">
        <f t="array" ref="L442">IF(E442*J442=0,0,$C$21*INDEX([3]Sheet1!$C$4:$Q$23,MATCH(K442,[3]Sheet1!$B$4:$B$23,1),MATCH(D442,[3]Sheet1!$C$3:$Q$3,1))
+(K442-INDEX([3]Sheet1!$B$4:$B$23,MATCH(K442,[3]Sheet1!$B$4:$B$23,1),1))/(INDEX([3]Sheet1!$B$4:$B$23,MATCH(K442,[3]Sheet1!$B$4:$B$23,1)+1,1)-INDEX([3]Sheet1!$B$4:$B$23,
MATCH(K442,[3]Sheet1!$B$4:$B$23,1),1))*(INDEX([3]Sheet1!$C$4:$Q$23,MATCH(K442,[3]Sheet1!$B$4:$B$23,1)+1,MATCH(D442,[3]Sheet1!$C$3:$Q$3,1))-INDEX([3]Sheet1!$C$4:$Q$23,
MATCH(K442,[3]Sheet1!$B$4:$B$23,1),MATCH(D442,[3]Sheet1!$C$3:$Q$3,1)))
+(D442-INDEX([3]Sheet1!$C$3:$Q$3,1,MATCH(D442,[3]Sheet1!$C$3:$Q$3)))/(INDEX([3]Sheet1!$C$3:$Q$3,1,MATCH(D442,[3]Sheet1!$C$3:$Q$3)+1)-INDEX([3]Sheet1!$C$3:$Q$3,1,MATCH(
D442,[3]Sheet1!$C$3:$Q$3)))*(INDEX([3]Sheet1!$C$4:$Q$23,MATCH(K442,[3]Sheet1!$B$4:$B$23,1),MATCH(D442,[3]Sheet1!$C$3:$Q$3,1)+1)-INDEX([3]Sheet1!$C$4:$Q$23,MATCH(K442,[3]Sheet1!$B$4:$B$23,1),MATCH(D442,[3]Sheet1!$C$3:$Q$3,1))))</f>
        <v>0</v>
      </c>
      <c r="M442" cm="1">
        <f t="array" ref="M442" xml:space="preserve"> IF(E442*J442=0,0,(INDEX([2]Sheet1!$C$4:$Q$23,MATCH(K442,[2]Sheet1!$B$4:$B$23,1),MATCH(D442,[2]Sheet1!$C$3:$Q$3,1))
+ (K442 - INDEX([2]Sheet1!$B$4:$B$23,MATCH(K442,[2]Sheet1!$B$4:$B$23,1),1))/(INDEX([2]Sheet1!$B$4:$B$23,MATCH(K442,[2]Sheet1!$B$4:$B$23,1)+1,1) - INDEX([2]Sheet1!$B$4:$B$23,MATCH(K442,[2]Sheet1!$B$4:$B$23,1),1))*(INDEX([2]Sheet1!$C$4:$Q$23,MATCH(K442,[2]Sheet1!$B$4:$B$23,1)+1,MATCH(D442,[2]Sheet1!$C$3:$Q$3,1)) - INDEX([2]Sheet1!$C$4:$Q$23,MATCH(K442,[2]Sheet1!$B$4:$B$23,1),MATCH(D442,[2]Sheet1!$C$3:$Q$3,1)))
+ (D442 - INDEX([2]Sheet1!$C$3:$Q$3,1,MATCH(D442,[2]Sheet1!$C$3:$Q$3)))/(INDEX([2]Sheet1!$C$3:$Q$3,1,MATCH(D442,[2]Sheet1!$C$3:$Q$3)+1) - INDEX([2]Sheet1!$C$3:$Q$3,1,MATCH(D442,[2]Sheet1!$C$3:$Q$3)))*(
INDEX([2]Sheet1!$C$4:$Q$23,MATCH(K442,[2]Sheet1!$B$4:$B$23,1),MATCH(D442,[2]Sheet1!$C$3:$Q$3,1)+1) - INDEX([2]Sheet1!$C$4:$Q$23,MATCH(K442,[2]Sheet1!$B$4:$B$23,1),MATCH(D442,[2]Sheet1!$C$3:$Q$3,1)))))</f>
        <v>0</v>
      </c>
      <c r="N442">
        <f t="shared" si="134"/>
        <v>12</v>
      </c>
      <c r="O442">
        <v>8.6875158538783318E-2</v>
      </c>
      <c r="P442" t="e">
        <f t="shared" si="135"/>
        <v>#DIV/0!</v>
      </c>
      <c r="Q442">
        <f t="shared" si="122"/>
        <v>0</v>
      </c>
      <c r="R442">
        <f t="shared" si="136"/>
        <v>741.9099431943954</v>
      </c>
      <c r="T442" t="e">
        <f t="shared" si="125"/>
        <v>#DIV/0!</v>
      </c>
      <c r="U442" t="e">
        <f t="shared" si="126"/>
        <v>#DIV/0!</v>
      </c>
      <c r="V442">
        <f t="shared" si="127"/>
        <v>0</v>
      </c>
      <c r="W442" t="e">
        <f t="shared" si="123"/>
        <v>#DIV/0!</v>
      </c>
    </row>
    <row r="443" spans="1:23" x14ac:dyDescent="0.55000000000000004">
      <c r="A443">
        <f t="shared" si="124"/>
        <v>40.900000000000311</v>
      </c>
      <c r="B443">
        <f t="shared" si="128"/>
        <v>0.316</v>
      </c>
      <c r="C443">
        <f t="shared" si="129"/>
        <v>-21.673913043478464</v>
      </c>
      <c r="D443">
        <v>2.4353375216445534</v>
      </c>
      <c r="E443">
        <f t="shared" si="119"/>
        <v>0</v>
      </c>
      <c r="F443">
        <f t="shared" si="130"/>
        <v>4.8605058816845369E-2</v>
      </c>
      <c r="G443">
        <f t="shared" si="131"/>
        <v>39.513748498891111</v>
      </c>
      <c r="H443">
        <f t="shared" si="132"/>
        <v>0</v>
      </c>
      <c r="I443" s="1">
        <f t="shared" si="120"/>
        <v>0</v>
      </c>
      <c r="J443">
        <f t="shared" si="133"/>
        <v>0</v>
      </c>
      <c r="K443">
        <f t="shared" si="121"/>
        <v>0</v>
      </c>
      <c r="L443" cm="1">
        <f t="array" ref="L443">IF(E443*J443=0,0,$C$21*INDEX([3]Sheet1!$C$4:$Q$23,MATCH(K443,[3]Sheet1!$B$4:$B$23,1),MATCH(D443,[3]Sheet1!$C$3:$Q$3,1))
+(K443-INDEX([3]Sheet1!$B$4:$B$23,MATCH(K443,[3]Sheet1!$B$4:$B$23,1),1))/(INDEX([3]Sheet1!$B$4:$B$23,MATCH(K443,[3]Sheet1!$B$4:$B$23,1)+1,1)-INDEX([3]Sheet1!$B$4:$B$23,
MATCH(K443,[3]Sheet1!$B$4:$B$23,1),1))*(INDEX([3]Sheet1!$C$4:$Q$23,MATCH(K443,[3]Sheet1!$B$4:$B$23,1)+1,MATCH(D443,[3]Sheet1!$C$3:$Q$3,1))-INDEX([3]Sheet1!$C$4:$Q$23,
MATCH(K443,[3]Sheet1!$B$4:$B$23,1),MATCH(D443,[3]Sheet1!$C$3:$Q$3,1)))
+(D443-INDEX([3]Sheet1!$C$3:$Q$3,1,MATCH(D443,[3]Sheet1!$C$3:$Q$3)))/(INDEX([3]Sheet1!$C$3:$Q$3,1,MATCH(D443,[3]Sheet1!$C$3:$Q$3)+1)-INDEX([3]Sheet1!$C$3:$Q$3,1,MATCH(
D443,[3]Sheet1!$C$3:$Q$3)))*(INDEX([3]Sheet1!$C$4:$Q$23,MATCH(K443,[3]Sheet1!$B$4:$B$23,1),MATCH(D443,[3]Sheet1!$C$3:$Q$3,1)+1)-INDEX([3]Sheet1!$C$4:$Q$23,MATCH(K443,[3]Sheet1!$B$4:$B$23,1),MATCH(D443,[3]Sheet1!$C$3:$Q$3,1))))</f>
        <v>0</v>
      </c>
      <c r="M443" cm="1">
        <f t="array" ref="M443" xml:space="preserve"> IF(E443*J443=0,0,(INDEX([2]Sheet1!$C$4:$Q$23,MATCH(K443,[2]Sheet1!$B$4:$B$23,1),MATCH(D443,[2]Sheet1!$C$3:$Q$3,1))
+ (K443 - INDEX([2]Sheet1!$B$4:$B$23,MATCH(K443,[2]Sheet1!$B$4:$B$23,1),1))/(INDEX([2]Sheet1!$B$4:$B$23,MATCH(K443,[2]Sheet1!$B$4:$B$23,1)+1,1) - INDEX([2]Sheet1!$B$4:$B$23,MATCH(K443,[2]Sheet1!$B$4:$B$23,1),1))*(INDEX([2]Sheet1!$C$4:$Q$23,MATCH(K443,[2]Sheet1!$B$4:$B$23,1)+1,MATCH(D443,[2]Sheet1!$C$3:$Q$3,1)) - INDEX([2]Sheet1!$C$4:$Q$23,MATCH(K443,[2]Sheet1!$B$4:$B$23,1),MATCH(D443,[2]Sheet1!$C$3:$Q$3,1)))
+ (D443 - INDEX([2]Sheet1!$C$3:$Q$3,1,MATCH(D443,[2]Sheet1!$C$3:$Q$3)))/(INDEX([2]Sheet1!$C$3:$Q$3,1,MATCH(D443,[2]Sheet1!$C$3:$Q$3)+1) - INDEX([2]Sheet1!$C$3:$Q$3,1,MATCH(D443,[2]Sheet1!$C$3:$Q$3)))*(
INDEX([2]Sheet1!$C$4:$Q$23,MATCH(K443,[2]Sheet1!$B$4:$B$23,1),MATCH(D443,[2]Sheet1!$C$3:$Q$3,1)+1) - INDEX([2]Sheet1!$C$4:$Q$23,MATCH(K443,[2]Sheet1!$B$4:$B$23,1),MATCH(D443,[2]Sheet1!$C$3:$Q$3,1)))))</f>
        <v>0</v>
      </c>
      <c r="N443">
        <f t="shared" si="134"/>
        <v>12</v>
      </c>
      <c r="O443">
        <v>8.6858259311220126E-2</v>
      </c>
      <c r="P443" t="e">
        <f t="shared" si="135"/>
        <v>#DIV/0!</v>
      </c>
      <c r="Q443">
        <f t="shared" si="122"/>
        <v>0</v>
      </c>
      <c r="R443">
        <f t="shared" si="136"/>
        <v>741.9099431943954</v>
      </c>
      <c r="T443" t="e">
        <f t="shared" si="125"/>
        <v>#DIV/0!</v>
      </c>
      <c r="U443" t="e">
        <f t="shared" si="126"/>
        <v>#DIV/0!</v>
      </c>
      <c r="V443">
        <f t="shared" si="127"/>
        <v>0</v>
      </c>
      <c r="W443" t="e">
        <f t="shared" si="123"/>
        <v>#DIV/0!</v>
      </c>
    </row>
    <row r="444" spans="1:23" x14ac:dyDescent="0.55000000000000004">
      <c r="A444">
        <f t="shared" si="124"/>
        <v>41.000000000000313</v>
      </c>
      <c r="B444">
        <f t="shared" si="128"/>
        <v>0.316</v>
      </c>
      <c r="C444">
        <f t="shared" si="129"/>
        <v>-21.739130434782815</v>
      </c>
      <c r="D444">
        <v>2.4352524693590962</v>
      </c>
      <c r="E444">
        <f t="shared" si="119"/>
        <v>0</v>
      </c>
      <c r="F444">
        <f t="shared" si="130"/>
        <v>4.8605058816845369E-2</v>
      </c>
      <c r="G444">
        <f t="shared" si="131"/>
        <v>39.513748498891111</v>
      </c>
      <c r="H444">
        <f t="shared" si="132"/>
        <v>0</v>
      </c>
      <c r="I444" s="1">
        <f t="shared" si="120"/>
        <v>0</v>
      </c>
      <c r="J444">
        <f t="shared" si="133"/>
        <v>0</v>
      </c>
      <c r="K444">
        <f t="shared" si="121"/>
        <v>0</v>
      </c>
      <c r="L444" cm="1">
        <f t="array" ref="L444">IF(E444*J444=0,0,$C$21*INDEX([3]Sheet1!$C$4:$Q$23,MATCH(K444,[3]Sheet1!$B$4:$B$23,1),MATCH(D444,[3]Sheet1!$C$3:$Q$3,1))
+(K444-INDEX([3]Sheet1!$B$4:$B$23,MATCH(K444,[3]Sheet1!$B$4:$B$23,1),1))/(INDEX([3]Sheet1!$B$4:$B$23,MATCH(K444,[3]Sheet1!$B$4:$B$23,1)+1,1)-INDEX([3]Sheet1!$B$4:$B$23,
MATCH(K444,[3]Sheet1!$B$4:$B$23,1),1))*(INDEX([3]Sheet1!$C$4:$Q$23,MATCH(K444,[3]Sheet1!$B$4:$B$23,1)+1,MATCH(D444,[3]Sheet1!$C$3:$Q$3,1))-INDEX([3]Sheet1!$C$4:$Q$23,
MATCH(K444,[3]Sheet1!$B$4:$B$23,1),MATCH(D444,[3]Sheet1!$C$3:$Q$3,1)))
+(D444-INDEX([3]Sheet1!$C$3:$Q$3,1,MATCH(D444,[3]Sheet1!$C$3:$Q$3)))/(INDEX([3]Sheet1!$C$3:$Q$3,1,MATCH(D444,[3]Sheet1!$C$3:$Q$3)+1)-INDEX([3]Sheet1!$C$3:$Q$3,1,MATCH(
D444,[3]Sheet1!$C$3:$Q$3)))*(INDEX([3]Sheet1!$C$4:$Q$23,MATCH(K444,[3]Sheet1!$B$4:$B$23,1),MATCH(D444,[3]Sheet1!$C$3:$Q$3,1)+1)-INDEX([3]Sheet1!$C$4:$Q$23,MATCH(K444,[3]Sheet1!$B$4:$B$23,1),MATCH(D444,[3]Sheet1!$C$3:$Q$3,1))))</f>
        <v>0</v>
      </c>
      <c r="M444" cm="1">
        <f t="array" ref="M444" xml:space="preserve"> IF(E444*J444=0,0,(INDEX([2]Sheet1!$C$4:$Q$23,MATCH(K444,[2]Sheet1!$B$4:$B$23,1),MATCH(D444,[2]Sheet1!$C$3:$Q$3,1))
+ (K444 - INDEX([2]Sheet1!$B$4:$B$23,MATCH(K444,[2]Sheet1!$B$4:$B$23,1),1))/(INDEX([2]Sheet1!$B$4:$B$23,MATCH(K444,[2]Sheet1!$B$4:$B$23,1)+1,1) - INDEX([2]Sheet1!$B$4:$B$23,MATCH(K444,[2]Sheet1!$B$4:$B$23,1),1))*(INDEX([2]Sheet1!$C$4:$Q$23,MATCH(K444,[2]Sheet1!$B$4:$B$23,1)+1,MATCH(D444,[2]Sheet1!$C$3:$Q$3,1)) - INDEX([2]Sheet1!$C$4:$Q$23,MATCH(K444,[2]Sheet1!$B$4:$B$23,1),MATCH(D444,[2]Sheet1!$C$3:$Q$3,1)))
+ (D444 - INDEX([2]Sheet1!$C$3:$Q$3,1,MATCH(D444,[2]Sheet1!$C$3:$Q$3)))/(INDEX([2]Sheet1!$C$3:$Q$3,1,MATCH(D444,[2]Sheet1!$C$3:$Q$3)+1) - INDEX([2]Sheet1!$C$3:$Q$3,1,MATCH(D444,[2]Sheet1!$C$3:$Q$3)))*(
INDEX([2]Sheet1!$C$4:$Q$23,MATCH(K444,[2]Sheet1!$B$4:$B$23,1),MATCH(D444,[2]Sheet1!$C$3:$Q$3,1)+1) - INDEX([2]Sheet1!$C$4:$Q$23,MATCH(K444,[2]Sheet1!$B$4:$B$23,1),MATCH(D444,[2]Sheet1!$C$3:$Q$3,1)))))</f>
        <v>0</v>
      </c>
      <c r="N444">
        <f t="shared" si="134"/>
        <v>12</v>
      </c>
      <c r="O444">
        <v>8.6841389774334962E-2</v>
      </c>
      <c r="P444" t="e">
        <f t="shared" si="135"/>
        <v>#DIV/0!</v>
      </c>
      <c r="Q444">
        <f t="shared" si="122"/>
        <v>0</v>
      </c>
      <c r="R444">
        <f t="shared" si="136"/>
        <v>741.9099431943954</v>
      </c>
      <c r="T444" t="e">
        <f t="shared" si="125"/>
        <v>#DIV/0!</v>
      </c>
      <c r="U444" t="e">
        <f t="shared" si="126"/>
        <v>#DIV/0!</v>
      </c>
      <c r="V444">
        <f t="shared" si="127"/>
        <v>0</v>
      </c>
      <c r="W444" t="e">
        <f t="shared" si="123"/>
        <v>#DIV/0!</v>
      </c>
    </row>
    <row r="445" spans="1:23" x14ac:dyDescent="0.55000000000000004">
      <c r="A445">
        <f t="shared" si="124"/>
        <v>41.100000000000314</v>
      </c>
      <c r="B445">
        <f t="shared" si="128"/>
        <v>0.316</v>
      </c>
      <c r="C445">
        <f t="shared" si="129"/>
        <v>-21.804347826087167</v>
      </c>
      <c r="D445">
        <v>2.4351675498329972</v>
      </c>
      <c r="E445">
        <f t="shared" si="119"/>
        <v>0</v>
      </c>
      <c r="F445">
        <f t="shared" si="130"/>
        <v>4.8605058816845369E-2</v>
      </c>
      <c r="G445">
        <f t="shared" si="131"/>
        <v>39.513748498891111</v>
      </c>
      <c r="H445">
        <f t="shared" si="132"/>
        <v>0</v>
      </c>
      <c r="I445" s="1">
        <f t="shared" si="120"/>
        <v>0</v>
      </c>
      <c r="J445">
        <f t="shared" si="133"/>
        <v>0</v>
      </c>
      <c r="K445">
        <f t="shared" si="121"/>
        <v>0</v>
      </c>
      <c r="L445" cm="1">
        <f t="array" ref="L445">IF(E445*J445=0,0,$C$21*INDEX([3]Sheet1!$C$4:$Q$23,MATCH(K445,[3]Sheet1!$B$4:$B$23,1),MATCH(D445,[3]Sheet1!$C$3:$Q$3,1))
+(K445-INDEX([3]Sheet1!$B$4:$B$23,MATCH(K445,[3]Sheet1!$B$4:$B$23,1),1))/(INDEX([3]Sheet1!$B$4:$B$23,MATCH(K445,[3]Sheet1!$B$4:$B$23,1)+1,1)-INDEX([3]Sheet1!$B$4:$B$23,
MATCH(K445,[3]Sheet1!$B$4:$B$23,1),1))*(INDEX([3]Sheet1!$C$4:$Q$23,MATCH(K445,[3]Sheet1!$B$4:$B$23,1)+1,MATCH(D445,[3]Sheet1!$C$3:$Q$3,1))-INDEX([3]Sheet1!$C$4:$Q$23,
MATCH(K445,[3]Sheet1!$B$4:$B$23,1),MATCH(D445,[3]Sheet1!$C$3:$Q$3,1)))
+(D445-INDEX([3]Sheet1!$C$3:$Q$3,1,MATCH(D445,[3]Sheet1!$C$3:$Q$3)))/(INDEX([3]Sheet1!$C$3:$Q$3,1,MATCH(D445,[3]Sheet1!$C$3:$Q$3)+1)-INDEX([3]Sheet1!$C$3:$Q$3,1,MATCH(
D445,[3]Sheet1!$C$3:$Q$3)))*(INDEX([3]Sheet1!$C$4:$Q$23,MATCH(K445,[3]Sheet1!$B$4:$B$23,1),MATCH(D445,[3]Sheet1!$C$3:$Q$3,1)+1)-INDEX([3]Sheet1!$C$4:$Q$23,MATCH(K445,[3]Sheet1!$B$4:$B$23,1),MATCH(D445,[3]Sheet1!$C$3:$Q$3,1))))</f>
        <v>0</v>
      </c>
      <c r="M445" cm="1">
        <f t="array" ref="M445" xml:space="preserve"> IF(E445*J445=0,0,(INDEX([2]Sheet1!$C$4:$Q$23,MATCH(K445,[2]Sheet1!$B$4:$B$23,1),MATCH(D445,[2]Sheet1!$C$3:$Q$3,1))
+ (K445 - INDEX([2]Sheet1!$B$4:$B$23,MATCH(K445,[2]Sheet1!$B$4:$B$23,1),1))/(INDEX([2]Sheet1!$B$4:$B$23,MATCH(K445,[2]Sheet1!$B$4:$B$23,1)+1,1) - INDEX([2]Sheet1!$B$4:$B$23,MATCH(K445,[2]Sheet1!$B$4:$B$23,1),1))*(INDEX([2]Sheet1!$C$4:$Q$23,MATCH(K445,[2]Sheet1!$B$4:$B$23,1)+1,MATCH(D445,[2]Sheet1!$C$3:$Q$3,1)) - INDEX([2]Sheet1!$C$4:$Q$23,MATCH(K445,[2]Sheet1!$B$4:$B$23,1),MATCH(D445,[2]Sheet1!$C$3:$Q$3,1)))
+ (D445 - INDEX([2]Sheet1!$C$3:$Q$3,1,MATCH(D445,[2]Sheet1!$C$3:$Q$3)))/(INDEX([2]Sheet1!$C$3:$Q$3,1,MATCH(D445,[2]Sheet1!$C$3:$Q$3)+1) - INDEX([2]Sheet1!$C$3:$Q$3,1,MATCH(D445,[2]Sheet1!$C$3:$Q$3)))*(
INDEX([2]Sheet1!$C$4:$Q$23,MATCH(K445,[2]Sheet1!$B$4:$B$23,1),MATCH(D445,[2]Sheet1!$C$3:$Q$3,1)+1) - INDEX([2]Sheet1!$C$4:$Q$23,MATCH(K445,[2]Sheet1!$B$4:$B$23,1),MATCH(D445,[2]Sheet1!$C$3:$Q$3,1)))))</f>
        <v>0</v>
      </c>
      <c r="N445">
        <f t="shared" si="134"/>
        <v>12</v>
      </c>
      <c r="O445">
        <v>8.6824549826988354E-2</v>
      </c>
      <c r="P445" t="e">
        <f t="shared" si="135"/>
        <v>#DIV/0!</v>
      </c>
      <c r="Q445">
        <f t="shared" si="122"/>
        <v>0</v>
      </c>
      <c r="R445">
        <f t="shared" si="136"/>
        <v>741.9099431943954</v>
      </c>
      <c r="T445" t="e">
        <f t="shared" si="125"/>
        <v>#DIV/0!</v>
      </c>
      <c r="U445" t="e">
        <f t="shared" si="126"/>
        <v>#DIV/0!</v>
      </c>
      <c r="V445">
        <f t="shared" si="127"/>
        <v>0</v>
      </c>
      <c r="W445" t="e">
        <f t="shared" si="123"/>
        <v>#DIV/0!</v>
      </c>
    </row>
    <row r="446" spans="1:23" x14ac:dyDescent="0.55000000000000004">
      <c r="A446">
        <f t="shared" si="124"/>
        <v>41.200000000000315</v>
      </c>
      <c r="B446">
        <f t="shared" si="128"/>
        <v>0.316</v>
      </c>
      <c r="C446">
        <f t="shared" si="129"/>
        <v>-21.869565217391511</v>
      </c>
      <c r="D446">
        <v>2.435082762638118</v>
      </c>
      <c r="E446">
        <f t="shared" si="119"/>
        <v>0</v>
      </c>
      <c r="F446">
        <f t="shared" si="130"/>
        <v>4.8605058816845369E-2</v>
      </c>
      <c r="G446">
        <f t="shared" si="131"/>
        <v>39.513748498891111</v>
      </c>
      <c r="H446">
        <f t="shared" si="132"/>
        <v>0</v>
      </c>
      <c r="I446" s="1">
        <f t="shared" si="120"/>
        <v>0</v>
      </c>
      <c r="J446">
        <f t="shared" si="133"/>
        <v>0</v>
      </c>
      <c r="K446">
        <f t="shared" si="121"/>
        <v>0</v>
      </c>
      <c r="L446" cm="1">
        <f t="array" ref="L446">IF(E446*J446=0,0,$C$21*INDEX([3]Sheet1!$C$4:$Q$23,MATCH(K446,[3]Sheet1!$B$4:$B$23,1),MATCH(D446,[3]Sheet1!$C$3:$Q$3,1))
+(K446-INDEX([3]Sheet1!$B$4:$B$23,MATCH(K446,[3]Sheet1!$B$4:$B$23,1),1))/(INDEX([3]Sheet1!$B$4:$B$23,MATCH(K446,[3]Sheet1!$B$4:$B$23,1)+1,1)-INDEX([3]Sheet1!$B$4:$B$23,
MATCH(K446,[3]Sheet1!$B$4:$B$23,1),1))*(INDEX([3]Sheet1!$C$4:$Q$23,MATCH(K446,[3]Sheet1!$B$4:$B$23,1)+1,MATCH(D446,[3]Sheet1!$C$3:$Q$3,1))-INDEX([3]Sheet1!$C$4:$Q$23,
MATCH(K446,[3]Sheet1!$B$4:$B$23,1),MATCH(D446,[3]Sheet1!$C$3:$Q$3,1)))
+(D446-INDEX([3]Sheet1!$C$3:$Q$3,1,MATCH(D446,[3]Sheet1!$C$3:$Q$3)))/(INDEX([3]Sheet1!$C$3:$Q$3,1,MATCH(D446,[3]Sheet1!$C$3:$Q$3)+1)-INDEX([3]Sheet1!$C$3:$Q$3,1,MATCH(
D446,[3]Sheet1!$C$3:$Q$3)))*(INDEX([3]Sheet1!$C$4:$Q$23,MATCH(K446,[3]Sheet1!$B$4:$B$23,1),MATCH(D446,[3]Sheet1!$C$3:$Q$3,1)+1)-INDEX([3]Sheet1!$C$4:$Q$23,MATCH(K446,[3]Sheet1!$B$4:$B$23,1),MATCH(D446,[3]Sheet1!$C$3:$Q$3,1))))</f>
        <v>0</v>
      </c>
      <c r="M446" cm="1">
        <f t="array" ref="M446" xml:space="preserve"> IF(E446*J446=0,0,(INDEX([2]Sheet1!$C$4:$Q$23,MATCH(K446,[2]Sheet1!$B$4:$B$23,1),MATCH(D446,[2]Sheet1!$C$3:$Q$3,1))
+ (K446 - INDEX([2]Sheet1!$B$4:$B$23,MATCH(K446,[2]Sheet1!$B$4:$B$23,1),1))/(INDEX([2]Sheet1!$B$4:$B$23,MATCH(K446,[2]Sheet1!$B$4:$B$23,1)+1,1) - INDEX([2]Sheet1!$B$4:$B$23,MATCH(K446,[2]Sheet1!$B$4:$B$23,1),1))*(INDEX([2]Sheet1!$C$4:$Q$23,MATCH(K446,[2]Sheet1!$B$4:$B$23,1)+1,MATCH(D446,[2]Sheet1!$C$3:$Q$3,1)) - INDEX([2]Sheet1!$C$4:$Q$23,MATCH(K446,[2]Sheet1!$B$4:$B$23,1),MATCH(D446,[2]Sheet1!$C$3:$Q$3,1)))
+ (D446 - INDEX([2]Sheet1!$C$3:$Q$3,1,MATCH(D446,[2]Sheet1!$C$3:$Q$3)))/(INDEX([2]Sheet1!$C$3:$Q$3,1,MATCH(D446,[2]Sheet1!$C$3:$Q$3)+1) - INDEX([2]Sheet1!$C$3:$Q$3,1,MATCH(D446,[2]Sheet1!$C$3:$Q$3)))*(
INDEX([2]Sheet1!$C$4:$Q$23,MATCH(K446,[2]Sheet1!$B$4:$B$23,1),MATCH(D446,[2]Sheet1!$C$3:$Q$3,1)+1) - INDEX([2]Sheet1!$C$4:$Q$23,MATCH(K446,[2]Sheet1!$B$4:$B$23,1),MATCH(D446,[2]Sheet1!$C$3:$Q$3,1)))))</f>
        <v>0</v>
      </c>
      <c r="N446">
        <f t="shared" si="134"/>
        <v>12</v>
      </c>
      <c r="O446">
        <v>8.6807739368551504E-2</v>
      </c>
      <c r="P446" t="e">
        <f t="shared" si="135"/>
        <v>#DIV/0!</v>
      </c>
      <c r="Q446">
        <f t="shared" si="122"/>
        <v>0</v>
      </c>
      <c r="R446">
        <f t="shared" si="136"/>
        <v>741.9099431943954</v>
      </c>
      <c r="T446" t="e">
        <f t="shared" si="125"/>
        <v>#DIV/0!</v>
      </c>
      <c r="U446" t="e">
        <f t="shared" si="126"/>
        <v>#DIV/0!</v>
      </c>
      <c r="V446">
        <f t="shared" si="127"/>
        <v>0</v>
      </c>
      <c r="W446" t="e">
        <f t="shared" si="123"/>
        <v>#DIV/0!</v>
      </c>
    </row>
    <row r="447" spans="1:23" x14ac:dyDescent="0.55000000000000004">
      <c r="A447">
        <f t="shared" si="124"/>
        <v>41.300000000000317</v>
      </c>
      <c r="B447">
        <f t="shared" si="128"/>
        <v>0.316</v>
      </c>
      <c r="C447">
        <f t="shared" si="129"/>
        <v>-21.934782608695858</v>
      </c>
      <c r="D447">
        <v>2.4349981073483993</v>
      </c>
      <c r="E447">
        <f t="shared" si="119"/>
        <v>0</v>
      </c>
      <c r="F447">
        <f t="shared" si="130"/>
        <v>4.8605058816845369E-2</v>
      </c>
      <c r="G447">
        <f t="shared" si="131"/>
        <v>39.513748498891111</v>
      </c>
      <c r="H447">
        <f t="shared" si="132"/>
        <v>0</v>
      </c>
      <c r="I447" s="1">
        <f t="shared" si="120"/>
        <v>0</v>
      </c>
      <c r="J447">
        <f t="shared" si="133"/>
        <v>0</v>
      </c>
      <c r="K447">
        <f t="shared" si="121"/>
        <v>0</v>
      </c>
      <c r="L447" cm="1">
        <f t="array" ref="L447">IF(E447*J447=0,0,$C$21*INDEX([3]Sheet1!$C$4:$Q$23,MATCH(K447,[3]Sheet1!$B$4:$B$23,1),MATCH(D447,[3]Sheet1!$C$3:$Q$3,1))
+(K447-INDEX([3]Sheet1!$B$4:$B$23,MATCH(K447,[3]Sheet1!$B$4:$B$23,1),1))/(INDEX([3]Sheet1!$B$4:$B$23,MATCH(K447,[3]Sheet1!$B$4:$B$23,1)+1,1)-INDEX([3]Sheet1!$B$4:$B$23,
MATCH(K447,[3]Sheet1!$B$4:$B$23,1),1))*(INDEX([3]Sheet1!$C$4:$Q$23,MATCH(K447,[3]Sheet1!$B$4:$B$23,1)+1,MATCH(D447,[3]Sheet1!$C$3:$Q$3,1))-INDEX([3]Sheet1!$C$4:$Q$23,
MATCH(K447,[3]Sheet1!$B$4:$B$23,1),MATCH(D447,[3]Sheet1!$C$3:$Q$3,1)))
+(D447-INDEX([3]Sheet1!$C$3:$Q$3,1,MATCH(D447,[3]Sheet1!$C$3:$Q$3)))/(INDEX([3]Sheet1!$C$3:$Q$3,1,MATCH(D447,[3]Sheet1!$C$3:$Q$3)+1)-INDEX([3]Sheet1!$C$3:$Q$3,1,MATCH(
D447,[3]Sheet1!$C$3:$Q$3)))*(INDEX([3]Sheet1!$C$4:$Q$23,MATCH(K447,[3]Sheet1!$B$4:$B$23,1),MATCH(D447,[3]Sheet1!$C$3:$Q$3,1)+1)-INDEX([3]Sheet1!$C$4:$Q$23,MATCH(K447,[3]Sheet1!$B$4:$B$23,1),MATCH(D447,[3]Sheet1!$C$3:$Q$3,1))))</f>
        <v>0</v>
      </c>
      <c r="M447" cm="1">
        <f t="array" ref="M447" xml:space="preserve"> IF(E447*J447=0,0,(INDEX([2]Sheet1!$C$4:$Q$23,MATCH(K447,[2]Sheet1!$B$4:$B$23,1),MATCH(D447,[2]Sheet1!$C$3:$Q$3,1))
+ (K447 - INDEX([2]Sheet1!$B$4:$B$23,MATCH(K447,[2]Sheet1!$B$4:$B$23,1),1))/(INDEX([2]Sheet1!$B$4:$B$23,MATCH(K447,[2]Sheet1!$B$4:$B$23,1)+1,1) - INDEX([2]Sheet1!$B$4:$B$23,MATCH(K447,[2]Sheet1!$B$4:$B$23,1),1))*(INDEX([2]Sheet1!$C$4:$Q$23,MATCH(K447,[2]Sheet1!$B$4:$B$23,1)+1,MATCH(D447,[2]Sheet1!$C$3:$Q$3,1)) - INDEX([2]Sheet1!$C$4:$Q$23,MATCH(K447,[2]Sheet1!$B$4:$B$23,1),MATCH(D447,[2]Sheet1!$C$3:$Q$3,1)))
+ (D447 - INDEX([2]Sheet1!$C$3:$Q$3,1,MATCH(D447,[2]Sheet1!$C$3:$Q$3)))/(INDEX([2]Sheet1!$C$3:$Q$3,1,MATCH(D447,[2]Sheet1!$C$3:$Q$3)+1) - INDEX([2]Sheet1!$C$3:$Q$3,1,MATCH(D447,[2]Sheet1!$C$3:$Q$3)))*(
INDEX([2]Sheet1!$C$4:$Q$23,MATCH(K447,[2]Sheet1!$B$4:$B$23,1),MATCH(D447,[2]Sheet1!$C$3:$Q$3,1)+1) - INDEX([2]Sheet1!$C$4:$Q$23,MATCH(K447,[2]Sheet1!$B$4:$B$23,1),MATCH(D447,[2]Sheet1!$C$3:$Q$3,1)))))</f>
        <v>0</v>
      </c>
      <c r="N447">
        <f t="shared" si="134"/>
        <v>12</v>
      </c>
      <c r="O447">
        <v>8.6790958298902834E-2</v>
      </c>
      <c r="P447" t="e">
        <f t="shared" si="135"/>
        <v>#DIV/0!</v>
      </c>
      <c r="Q447">
        <f t="shared" si="122"/>
        <v>0</v>
      </c>
      <c r="R447">
        <f t="shared" si="136"/>
        <v>741.9099431943954</v>
      </c>
      <c r="T447" t="e">
        <f t="shared" si="125"/>
        <v>#DIV/0!</v>
      </c>
      <c r="U447" t="e">
        <f t="shared" si="126"/>
        <v>#DIV/0!</v>
      </c>
      <c r="V447">
        <f t="shared" si="127"/>
        <v>0</v>
      </c>
      <c r="W447" t="e">
        <f t="shared" si="123"/>
        <v>#DIV/0!</v>
      </c>
    </row>
    <row r="448" spans="1:23" x14ac:dyDescent="0.55000000000000004">
      <c r="A448">
        <f t="shared" si="124"/>
        <v>41.400000000000318</v>
      </c>
      <c r="B448">
        <f t="shared" si="128"/>
        <v>0.316</v>
      </c>
      <c r="C448">
        <f t="shared" si="129"/>
        <v>-22.00000000000021</v>
      </c>
      <c r="D448">
        <v>2.4349135835398528</v>
      </c>
      <c r="E448">
        <f t="shared" si="119"/>
        <v>0</v>
      </c>
      <c r="F448">
        <f t="shared" si="130"/>
        <v>4.8605058816845369E-2</v>
      </c>
      <c r="G448">
        <f t="shared" si="131"/>
        <v>39.513748498891111</v>
      </c>
      <c r="H448">
        <f t="shared" si="132"/>
        <v>0</v>
      </c>
      <c r="I448" s="1">
        <f t="shared" si="120"/>
        <v>0</v>
      </c>
      <c r="J448">
        <f t="shared" si="133"/>
        <v>0</v>
      </c>
      <c r="K448">
        <f t="shared" si="121"/>
        <v>0</v>
      </c>
      <c r="L448" cm="1">
        <f t="array" ref="L448">IF(E448*J448=0,0,$C$21*INDEX([3]Sheet1!$C$4:$Q$23,MATCH(K448,[3]Sheet1!$B$4:$B$23,1),MATCH(D448,[3]Sheet1!$C$3:$Q$3,1))
+(K448-INDEX([3]Sheet1!$B$4:$B$23,MATCH(K448,[3]Sheet1!$B$4:$B$23,1),1))/(INDEX([3]Sheet1!$B$4:$B$23,MATCH(K448,[3]Sheet1!$B$4:$B$23,1)+1,1)-INDEX([3]Sheet1!$B$4:$B$23,
MATCH(K448,[3]Sheet1!$B$4:$B$23,1),1))*(INDEX([3]Sheet1!$C$4:$Q$23,MATCH(K448,[3]Sheet1!$B$4:$B$23,1)+1,MATCH(D448,[3]Sheet1!$C$3:$Q$3,1))-INDEX([3]Sheet1!$C$4:$Q$23,
MATCH(K448,[3]Sheet1!$B$4:$B$23,1),MATCH(D448,[3]Sheet1!$C$3:$Q$3,1)))
+(D448-INDEX([3]Sheet1!$C$3:$Q$3,1,MATCH(D448,[3]Sheet1!$C$3:$Q$3)))/(INDEX([3]Sheet1!$C$3:$Q$3,1,MATCH(D448,[3]Sheet1!$C$3:$Q$3)+1)-INDEX([3]Sheet1!$C$3:$Q$3,1,MATCH(
D448,[3]Sheet1!$C$3:$Q$3)))*(INDEX([3]Sheet1!$C$4:$Q$23,MATCH(K448,[3]Sheet1!$B$4:$B$23,1),MATCH(D448,[3]Sheet1!$C$3:$Q$3,1)+1)-INDEX([3]Sheet1!$C$4:$Q$23,MATCH(K448,[3]Sheet1!$B$4:$B$23,1),MATCH(D448,[3]Sheet1!$C$3:$Q$3,1))))</f>
        <v>0</v>
      </c>
      <c r="M448" cm="1">
        <f t="array" ref="M448" xml:space="preserve"> IF(E448*J448=0,0,(INDEX([2]Sheet1!$C$4:$Q$23,MATCH(K448,[2]Sheet1!$B$4:$B$23,1),MATCH(D448,[2]Sheet1!$C$3:$Q$3,1))
+ (K448 - INDEX([2]Sheet1!$B$4:$B$23,MATCH(K448,[2]Sheet1!$B$4:$B$23,1),1))/(INDEX([2]Sheet1!$B$4:$B$23,MATCH(K448,[2]Sheet1!$B$4:$B$23,1)+1,1) - INDEX([2]Sheet1!$B$4:$B$23,MATCH(K448,[2]Sheet1!$B$4:$B$23,1),1))*(INDEX([2]Sheet1!$C$4:$Q$23,MATCH(K448,[2]Sheet1!$B$4:$B$23,1)+1,MATCH(D448,[2]Sheet1!$C$3:$Q$3,1)) - INDEX([2]Sheet1!$C$4:$Q$23,MATCH(K448,[2]Sheet1!$B$4:$B$23,1),MATCH(D448,[2]Sheet1!$C$3:$Q$3,1)))
+ (D448 - INDEX([2]Sheet1!$C$3:$Q$3,1,MATCH(D448,[2]Sheet1!$C$3:$Q$3)))/(INDEX([2]Sheet1!$C$3:$Q$3,1,MATCH(D448,[2]Sheet1!$C$3:$Q$3)+1) - INDEX([2]Sheet1!$C$3:$Q$3,1,MATCH(D448,[2]Sheet1!$C$3:$Q$3)))*(
INDEX([2]Sheet1!$C$4:$Q$23,MATCH(K448,[2]Sheet1!$B$4:$B$23,1),MATCH(D448,[2]Sheet1!$C$3:$Q$3,1)+1) - INDEX([2]Sheet1!$C$4:$Q$23,MATCH(K448,[2]Sheet1!$B$4:$B$23,1),MATCH(D448,[2]Sheet1!$C$3:$Q$3,1)))))</f>
        <v>0</v>
      </c>
      <c r="N448">
        <f t="shared" si="134"/>
        <v>12</v>
      </c>
      <c r="O448">
        <v>8.6774206518425503E-2</v>
      </c>
      <c r="P448" t="e">
        <f t="shared" si="135"/>
        <v>#DIV/0!</v>
      </c>
      <c r="Q448">
        <f t="shared" si="122"/>
        <v>0</v>
      </c>
      <c r="R448">
        <f t="shared" si="136"/>
        <v>741.9099431943954</v>
      </c>
      <c r="T448" t="e">
        <f t="shared" si="125"/>
        <v>#DIV/0!</v>
      </c>
      <c r="U448" t="e">
        <f t="shared" si="126"/>
        <v>#DIV/0!</v>
      </c>
      <c r="V448">
        <f t="shared" si="127"/>
        <v>0</v>
      </c>
      <c r="W448" t="e">
        <f t="shared" si="123"/>
        <v>#DIV/0!</v>
      </c>
    </row>
    <row r="449" spans="1:23" x14ac:dyDescent="0.55000000000000004">
      <c r="A449">
        <f t="shared" si="124"/>
        <v>41.50000000000032</v>
      </c>
      <c r="B449">
        <f t="shared" si="128"/>
        <v>0.316</v>
      </c>
      <c r="C449">
        <f t="shared" si="129"/>
        <v>-22.065217391304561</v>
      </c>
      <c r="D449">
        <v>2.4348291907905448</v>
      </c>
      <c r="E449">
        <f t="shared" si="119"/>
        <v>0</v>
      </c>
      <c r="F449">
        <f t="shared" si="130"/>
        <v>4.8605058816845369E-2</v>
      </c>
      <c r="G449">
        <f t="shared" si="131"/>
        <v>39.513748498891111</v>
      </c>
      <c r="H449">
        <f t="shared" si="132"/>
        <v>0</v>
      </c>
      <c r="I449" s="1">
        <f t="shared" si="120"/>
        <v>0</v>
      </c>
      <c r="J449">
        <f t="shared" si="133"/>
        <v>0</v>
      </c>
      <c r="K449">
        <f t="shared" si="121"/>
        <v>0</v>
      </c>
      <c r="L449" cm="1">
        <f t="array" ref="L449">IF(E449*J449=0,0,$C$21*INDEX([3]Sheet1!$C$4:$Q$23,MATCH(K449,[3]Sheet1!$B$4:$B$23,1),MATCH(D449,[3]Sheet1!$C$3:$Q$3,1))
+(K449-INDEX([3]Sheet1!$B$4:$B$23,MATCH(K449,[3]Sheet1!$B$4:$B$23,1),1))/(INDEX([3]Sheet1!$B$4:$B$23,MATCH(K449,[3]Sheet1!$B$4:$B$23,1)+1,1)-INDEX([3]Sheet1!$B$4:$B$23,
MATCH(K449,[3]Sheet1!$B$4:$B$23,1),1))*(INDEX([3]Sheet1!$C$4:$Q$23,MATCH(K449,[3]Sheet1!$B$4:$B$23,1)+1,MATCH(D449,[3]Sheet1!$C$3:$Q$3,1))-INDEX([3]Sheet1!$C$4:$Q$23,
MATCH(K449,[3]Sheet1!$B$4:$B$23,1),MATCH(D449,[3]Sheet1!$C$3:$Q$3,1)))
+(D449-INDEX([3]Sheet1!$C$3:$Q$3,1,MATCH(D449,[3]Sheet1!$C$3:$Q$3)))/(INDEX([3]Sheet1!$C$3:$Q$3,1,MATCH(D449,[3]Sheet1!$C$3:$Q$3)+1)-INDEX([3]Sheet1!$C$3:$Q$3,1,MATCH(
D449,[3]Sheet1!$C$3:$Q$3)))*(INDEX([3]Sheet1!$C$4:$Q$23,MATCH(K449,[3]Sheet1!$B$4:$B$23,1),MATCH(D449,[3]Sheet1!$C$3:$Q$3,1)+1)-INDEX([3]Sheet1!$C$4:$Q$23,MATCH(K449,[3]Sheet1!$B$4:$B$23,1),MATCH(D449,[3]Sheet1!$C$3:$Q$3,1))))</f>
        <v>0</v>
      </c>
      <c r="M449" cm="1">
        <f t="array" ref="M449" xml:space="preserve"> IF(E449*J449=0,0,(INDEX([2]Sheet1!$C$4:$Q$23,MATCH(K449,[2]Sheet1!$B$4:$B$23,1),MATCH(D449,[2]Sheet1!$C$3:$Q$3,1))
+ (K449 - INDEX([2]Sheet1!$B$4:$B$23,MATCH(K449,[2]Sheet1!$B$4:$B$23,1),1))/(INDEX([2]Sheet1!$B$4:$B$23,MATCH(K449,[2]Sheet1!$B$4:$B$23,1)+1,1) - INDEX([2]Sheet1!$B$4:$B$23,MATCH(K449,[2]Sheet1!$B$4:$B$23,1),1))*(INDEX([2]Sheet1!$C$4:$Q$23,MATCH(K449,[2]Sheet1!$B$4:$B$23,1)+1,MATCH(D449,[2]Sheet1!$C$3:$Q$3,1)) - INDEX([2]Sheet1!$C$4:$Q$23,MATCH(K449,[2]Sheet1!$B$4:$B$23,1),MATCH(D449,[2]Sheet1!$C$3:$Q$3,1)))
+ (D449 - INDEX([2]Sheet1!$C$3:$Q$3,1,MATCH(D449,[2]Sheet1!$C$3:$Q$3)))/(INDEX([2]Sheet1!$C$3:$Q$3,1,MATCH(D449,[2]Sheet1!$C$3:$Q$3)+1) - INDEX([2]Sheet1!$C$3:$Q$3,1,MATCH(D449,[2]Sheet1!$C$3:$Q$3)))*(
INDEX([2]Sheet1!$C$4:$Q$23,MATCH(K449,[2]Sheet1!$B$4:$B$23,1),MATCH(D449,[2]Sheet1!$C$3:$Q$3,1)+1) - INDEX([2]Sheet1!$C$4:$Q$23,MATCH(K449,[2]Sheet1!$B$4:$B$23,1),MATCH(D449,[2]Sheet1!$C$3:$Q$3,1)))))</f>
        <v>0</v>
      </c>
      <c r="N449">
        <f t="shared" si="134"/>
        <v>12</v>
      </c>
      <c r="O449">
        <v>8.6757483928003379E-2</v>
      </c>
      <c r="P449" t="e">
        <f t="shared" si="135"/>
        <v>#DIV/0!</v>
      </c>
      <c r="Q449">
        <f t="shared" si="122"/>
        <v>0</v>
      </c>
      <c r="R449">
        <f t="shared" si="136"/>
        <v>741.9099431943954</v>
      </c>
      <c r="T449" t="e">
        <f t="shared" si="125"/>
        <v>#DIV/0!</v>
      </c>
      <c r="U449" t="e">
        <f t="shared" si="126"/>
        <v>#DIV/0!</v>
      </c>
      <c r="V449">
        <f t="shared" si="127"/>
        <v>0</v>
      </c>
      <c r="W449" t="e">
        <f t="shared" si="123"/>
        <v>#DIV/0!</v>
      </c>
    </row>
    <row r="450" spans="1:23" x14ac:dyDescent="0.55000000000000004">
      <c r="A450">
        <f t="shared" si="124"/>
        <v>41.600000000000321</v>
      </c>
      <c r="B450">
        <f t="shared" si="128"/>
        <v>0.316</v>
      </c>
      <c r="C450">
        <f t="shared" si="129"/>
        <v>-22.130434782608909</v>
      </c>
      <c r="D450">
        <v>2.4347449286805833</v>
      </c>
      <c r="E450">
        <f t="shared" si="119"/>
        <v>0</v>
      </c>
      <c r="F450">
        <f t="shared" si="130"/>
        <v>4.8605058816845369E-2</v>
      </c>
      <c r="G450">
        <f t="shared" si="131"/>
        <v>39.513748498891111</v>
      </c>
      <c r="H450">
        <f t="shared" si="132"/>
        <v>0</v>
      </c>
      <c r="I450" s="1">
        <f t="shared" si="120"/>
        <v>0</v>
      </c>
      <c r="J450">
        <f t="shared" si="133"/>
        <v>0</v>
      </c>
      <c r="K450">
        <f t="shared" si="121"/>
        <v>0</v>
      </c>
      <c r="L450" cm="1">
        <f t="array" ref="L450">IF(E450*J450=0,0,$C$21*INDEX([3]Sheet1!$C$4:$Q$23,MATCH(K450,[3]Sheet1!$B$4:$B$23,1),MATCH(D450,[3]Sheet1!$C$3:$Q$3,1))
+(K450-INDEX([3]Sheet1!$B$4:$B$23,MATCH(K450,[3]Sheet1!$B$4:$B$23,1),1))/(INDEX([3]Sheet1!$B$4:$B$23,MATCH(K450,[3]Sheet1!$B$4:$B$23,1)+1,1)-INDEX([3]Sheet1!$B$4:$B$23,
MATCH(K450,[3]Sheet1!$B$4:$B$23,1),1))*(INDEX([3]Sheet1!$C$4:$Q$23,MATCH(K450,[3]Sheet1!$B$4:$B$23,1)+1,MATCH(D450,[3]Sheet1!$C$3:$Q$3,1))-INDEX([3]Sheet1!$C$4:$Q$23,
MATCH(K450,[3]Sheet1!$B$4:$B$23,1),MATCH(D450,[3]Sheet1!$C$3:$Q$3,1)))
+(D450-INDEX([3]Sheet1!$C$3:$Q$3,1,MATCH(D450,[3]Sheet1!$C$3:$Q$3)))/(INDEX([3]Sheet1!$C$3:$Q$3,1,MATCH(D450,[3]Sheet1!$C$3:$Q$3)+1)-INDEX([3]Sheet1!$C$3:$Q$3,1,MATCH(
D450,[3]Sheet1!$C$3:$Q$3)))*(INDEX([3]Sheet1!$C$4:$Q$23,MATCH(K450,[3]Sheet1!$B$4:$B$23,1),MATCH(D450,[3]Sheet1!$C$3:$Q$3,1)+1)-INDEX([3]Sheet1!$C$4:$Q$23,MATCH(K450,[3]Sheet1!$B$4:$B$23,1),MATCH(D450,[3]Sheet1!$C$3:$Q$3,1))))</f>
        <v>0</v>
      </c>
      <c r="M450" cm="1">
        <f t="array" ref="M450" xml:space="preserve"> IF(E450*J450=0,0,(INDEX([2]Sheet1!$C$4:$Q$23,MATCH(K450,[2]Sheet1!$B$4:$B$23,1),MATCH(D450,[2]Sheet1!$C$3:$Q$3,1))
+ (K450 - INDEX([2]Sheet1!$B$4:$B$23,MATCH(K450,[2]Sheet1!$B$4:$B$23,1),1))/(INDEX([2]Sheet1!$B$4:$B$23,MATCH(K450,[2]Sheet1!$B$4:$B$23,1)+1,1) - INDEX([2]Sheet1!$B$4:$B$23,MATCH(K450,[2]Sheet1!$B$4:$B$23,1),1))*(INDEX([2]Sheet1!$C$4:$Q$23,MATCH(K450,[2]Sheet1!$B$4:$B$23,1)+1,MATCH(D450,[2]Sheet1!$C$3:$Q$3,1)) - INDEX([2]Sheet1!$C$4:$Q$23,MATCH(K450,[2]Sheet1!$B$4:$B$23,1),MATCH(D450,[2]Sheet1!$C$3:$Q$3,1)))
+ (D450 - INDEX([2]Sheet1!$C$3:$Q$3,1,MATCH(D450,[2]Sheet1!$C$3:$Q$3)))/(INDEX([2]Sheet1!$C$3:$Q$3,1,MATCH(D450,[2]Sheet1!$C$3:$Q$3)+1) - INDEX([2]Sheet1!$C$3:$Q$3,1,MATCH(D450,[2]Sheet1!$C$3:$Q$3)))*(
INDEX([2]Sheet1!$C$4:$Q$23,MATCH(K450,[2]Sheet1!$B$4:$B$23,1),MATCH(D450,[2]Sheet1!$C$3:$Q$3,1)+1) - INDEX([2]Sheet1!$C$4:$Q$23,MATCH(K450,[2]Sheet1!$B$4:$B$23,1),MATCH(D450,[2]Sheet1!$C$3:$Q$3,1)))))</f>
        <v>0</v>
      </c>
      <c r="N450">
        <f t="shared" si="134"/>
        <v>12</v>
      </c>
      <c r="O450">
        <v>8.674079042901775E-2</v>
      </c>
      <c r="P450" t="e">
        <f t="shared" si="135"/>
        <v>#DIV/0!</v>
      </c>
      <c r="Q450">
        <f t="shared" si="122"/>
        <v>0</v>
      </c>
      <c r="R450">
        <f t="shared" si="136"/>
        <v>741.9099431943954</v>
      </c>
      <c r="T450" t="e">
        <f t="shared" si="125"/>
        <v>#DIV/0!</v>
      </c>
      <c r="U450" t="e">
        <f t="shared" si="126"/>
        <v>#DIV/0!</v>
      </c>
      <c r="V450">
        <f t="shared" si="127"/>
        <v>0</v>
      </c>
      <c r="W450" t="e">
        <f t="shared" si="123"/>
        <v>#DIV/0!</v>
      </c>
    </row>
    <row r="451" spans="1:23" x14ac:dyDescent="0.55000000000000004">
      <c r="A451">
        <f t="shared" si="124"/>
        <v>41.700000000000323</v>
      </c>
      <c r="B451">
        <f t="shared" si="128"/>
        <v>0.316</v>
      </c>
      <c r="C451">
        <f t="shared" si="129"/>
        <v>-22.195652173913256</v>
      </c>
      <c r="D451">
        <v>2.4346607967921043</v>
      </c>
      <c r="E451">
        <f t="shared" si="119"/>
        <v>0</v>
      </c>
      <c r="F451">
        <f t="shared" si="130"/>
        <v>4.8605058816845369E-2</v>
      </c>
      <c r="G451">
        <f t="shared" si="131"/>
        <v>39.513748498891111</v>
      </c>
      <c r="H451">
        <f t="shared" si="132"/>
        <v>0</v>
      </c>
      <c r="I451" s="1">
        <f t="shared" si="120"/>
        <v>0</v>
      </c>
      <c r="J451">
        <f t="shared" si="133"/>
        <v>0</v>
      </c>
      <c r="K451">
        <f t="shared" si="121"/>
        <v>0</v>
      </c>
      <c r="L451" cm="1">
        <f t="array" ref="L451">IF(E451*J451=0,0,$C$21*INDEX([3]Sheet1!$C$4:$Q$23,MATCH(K451,[3]Sheet1!$B$4:$B$23,1),MATCH(D451,[3]Sheet1!$C$3:$Q$3,1))
+(K451-INDEX([3]Sheet1!$B$4:$B$23,MATCH(K451,[3]Sheet1!$B$4:$B$23,1),1))/(INDEX([3]Sheet1!$B$4:$B$23,MATCH(K451,[3]Sheet1!$B$4:$B$23,1)+1,1)-INDEX([3]Sheet1!$B$4:$B$23,
MATCH(K451,[3]Sheet1!$B$4:$B$23,1),1))*(INDEX([3]Sheet1!$C$4:$Q$23,MATCH(K451,[3]Sheet1!$B$4:$B$23,1)+1,MATCH(D451,[3]Sheet1!$C$3:$Q$3,1))-INDEX([3]Sheet1!$C$4:$Q$23,
MATCH(K451,[3]Sheet1!$B$4:$B$23,1),MATCH(D451,[3]Sheet1!$C$3:$Q$3,1)))
+(D451-INDEX([3]Sheet1!$C$3:$Q$3,1,MATCH(D451,[3]Sheet1!$C$3:$Q$3)))/(INDEX([3]Sheet1!$C$3:$Q$3,1,MATCH(D451,[3]Sheet1!$C$3:$Q$3)+1)-INDEX([3]Sheet1!$C$3:$Q$3,1,MATCH(
D451,[3]Sheet1!$C$3:$Q$3)))*(INDEX([3]Sheet1!$C$4:$Q$23,MATCH(K451,[3]Sheet1!$B$4:$B$23,1),MATCH(D451,[3]Sheet1!$C$3:$Q$3,1)+1)-INDEX([3]Sheet1!$C$4:$Q$23,MATCH(K451,[3]Sheet1!$B$4:$B$23,1),MATCH(D451,[3]Sheet1!$C$3:$Q$3,1))))</f>
        <v>0</v>
      </c>
      <c r="M451" cm="1">
        <f t="array" ref="M451" xml:space="preserve"> IF(E451*J451=0,0,(INDEX([2]Sheet1!$C$4:$Q$23,MATCH(K451,[2]Sheet1!$B$4:$B$23,1),MATCH(D451,[2]Sheet1!$C$3:$Q$3,1))
+ (K451 - INDEX([2]Sheet1!$B$4:$B$23,MATCH(K451,[2]Sheet1!$B$4:$B$23,1),1))/(INDEX([2]Sheet1!$B$4:$B$23,MATCH(K451,[2]Sheet1!$B$4:$B$23,1)+1,1) - INDEX([2]Sheet1!$B$4:$B$23,MATCH(K451,[2]Sheet1!$B$4:$B$23,1),1))*(INDEX([2]Sheet1!$C$4:$Q$23,MATCH(K451,[2]Sheet1!$B$4:$B$23,1)+1,MATCH(D451,[2]Sheet1!$C$3:$Q$3,1)) - INDEX([2]Sheet1!$C$4:$Q$23,MATCH(K451,[2]Sheet1!$B$4:$B$23,1),MATCH(D451,[2]Sheet1!$C$3:$Q$3,1)))
+ (D451 - INDEX([2]Sheet1!$C$3:$Q$3,1,MATCH(D451,[2]Sheet1!$C$3:$Q$3)))/(INDEX([2]Sheet1!$C$3:$Q$3,1,MATCH(D451,[2]Sheet1!$C$3:$Q$3)+1) - INDEX([2]Sheet1!$C$3:$Q$3,1,MATCH(D451,[2]Sheet1!$C$3:$Q$3)))*(
INDEX([2]Sheet1!$C$4:$Q$23,MATCH(K451,[2]Sheet1!$B$4:$B$23,1),MATCH(D451,[2]Sheet1!$C$3:$Q$3,1)+1) - INDEX([2]Sheet1!$C$4:$Q$23,MATCH(K451,[2]Sheet1!$B$4:$B$23,1),MATCH(D451,[2]Sheet1!$C$3:$Q$3,1)))))</f>
        <v>0</v>
      </c>
      <c r="N451">
        <f t="shared" si="134"/>
        <v>12</v>
      </c>
      <c r="O451">
        <v>8.6724125923343512E-2</v>
      </c>
      <c r="P451" t="e">
        <f t="shared" si="135"/>
        <v>#DIV/0!</v>
      </c>
      <c r="Q451">
        <f t="shared" si="122"/>
        <v>0</v>
      </c>
      <c r="R451">
        <f t="shared" si="136"/>
        <v>741.9099431943954</v>
      </c>
      <c r="T451" t="e">
        <f t="shared" si="125"/>
        <v>#DIV/0!</v>
      </c>
      <c r="U451" t="e">
        <f t="shared" si="126"/>
        <v>#DIV/0!</v>
      </c>
      <c r="V451">
        <f t="shared" si="127"/>
        <v>0</v>
      </c>
      <c r="W451" t="e">
        <f t="shared" si="123"/>
        <v>#DIV/0!</v>
      </c>
    </row>
    <row r="452" spans="1:23" x14ac:dyDescent="0.55000000000000004">
      <c r="A452">
        <f t="shared" si="124"/>
        <v>41.800000000000324</v>
      </c>
      <c r="B452">
        <f t="shared" si="128"/>
        <v>0.316</v>
      </c>
      <c r="C452">
        <f t="shared" si="129"/>
        <v>-22.260869565217604</v>
      </c>
      <c r="D452">
        <v>2.4345767947092618</v>
      </c>
      <c r="E452">
        <f t="shared" si="119"/>
        <v>0</v>
      </c>
      <c r="F452">
        <f t="shared" si="130"/>
        <v>4.8605058816845369E-2</v>
      </c>
      <c r="G452">
        <f t="shared" si="131"/>
        <v>39.513748498891111</v>
      </c>
      <c r="H452">
        <f t="shared" si="132"/>
        <v>0</v>
      </c>
      <c r="I452" s="1">
        <f t="shared" si="120"/>
        <v>0</v>
      </c>
      <c r="J452">
        <f t="shared" si="133"/>
        <v>0</v>
      </c>
      <c r="K452">
        <f t="shared" si="121"/>
        <v>0</v>
      </c>
      <c r="L452" cm="1">
        <f t="array" ref="L452">IF(E452*J452=0,0,$C$21*INDEX([3]Sheet1!$C$4:$Q$23,MATCH(K452,[3]Sheet1!$B$4:$B$23,1),MATCH(D452,[3]Sheet1!$C$3:$Q$3,1))
+(K452-INDEX([3]Sheet1!$B$4:$B$23,MATCH(K452,[3]Sheet1!$B$4:$B$23,1),1))/(INDEX([3]Sheet1!$B$4:$B$23,MATCH(K452,[3]Sheet1!$B$4:$B$23,1)+1,1)-INDEX([3]Sheet1!$B$4:$B$23,
MATCH(K452,[3]Sheet1!$B$4:$B$23,1),1))*(INDEX([3]Sheet1!$C$4:$Q$23,MATCH(K452,[3]Sheet1!$B$4:$B$23,1)+1,MATCH(D452,[3]Sheet1!$C$3:$Q$3,1))-INDEX([3]Sheet1!$C$4:$Q$23,
MATCH(K452,[3]Sheet1!$B$4:$B$23,1),MATCH(D452,[3]Sheet1!$C$3:$Q$3,1)))
+(D452-INDEX([3]Sheet1!$C$3:$Q$3,1,MATCH(D452,[3]Sheet1!$C$3:$Q$3)))/(INDEX([3]Sheet1!$C$3:$Q$3,1,MATCH(D452,[3]Sheet1!$C$3:$Q$3)+1)-INDEX([3]Sheet1!$C$3:$Q$3,1,MATCH(
D452,[3]Sheet1!$C$3:$Q$3)))*(INDEX([3]Sheet1!$C$4:$Q$23,MATCH(K452,[3]Sheet1!$B$4:$B$23,1),MATCH(D452,[3]Sheet1!$C$3:$Q$3,1)+1)-INDEX([3]Sheet1!$C$4:$Q$23,MATCH(K452,[3]Sheet1!$B$4:$B$23,1),MATCH(D452,[3]Sheet1!$C$3:$Q$3,1))))</f>
        <v>0</v>
      </c>
      <c r="M452" cm="1">
        <f t="array" ref="M452" xml:space="preserve"> IF(E452*J452=0,0,(INDEX([2]Sheet1!$C$4:$Q$23,MATCH(K452,[2]Sheet1!$B$4:$B$23,1),MATCH(D452,[2]Sheet1!$C$3:$Q$3,1))
+ (K452 - INDEX([2]Sheet1!$B$4:$B$23,MATCH(K452,[2]Sheet1!$B$4:$B$23,1),1))/(INDEX([2]Sheet1!$B$4:$B$23,MATCH(K452,[2]Sheet1!$B$4:$B$23,1)+1,1) - INDEX([2]Sheet1!$B$4:$B$23,MATCH(K452,[2]Sheet1!$B$4:$B$23,1),1))*(INDEX([2]Sheet1!$C$4:$Q$23,MATCH(K452,[2]Sheet1!$B$4:$B$23,1)+1,MATCH(D452,[2]Sheet1!$C$3:$Q$3,1)) - INDEX([2]Sheet1!$C$4:$Q$23,MATCH(K452,[2]Sheet1!$B$4:$B$23,1),MATCH(D452,[2]Sheet1!$C$3:$Q$3,1)))
+ (D452 - INDEX([2]Sheet1!$C$3:$Q$3,1,MATCH(D452,[2]Sheet1!$C$3:$Q$3)))/(INDEX([2]Sheet1!$C$3:$Q$3,1,MATCH(D452,[2]Sheet1!$C$3:$Q$3)+1) - INDEX([2]Sheet1!$C$3:$Q$3,1,MATCH(D452,[2]Sheet1!$C$3:$Q$3)))*(
INDEX([2]Sheet1!$C$4:$Q$23,MATCH(K452,[2]Sheet1!$B$4:$B$23,1),MATCH(D452,[2]Sheet1!$C$3:$Q$3,1)+1) - INDEX([2]Sheet1!$C$4:$Q$23,MATCH(K452,[2]Sheet1!$B$4:$B$23,1),MATCH(D452,[2]Sheet1!$C$3:$Q$3,1)))))</f>
        <v>0</v>
      </c>
      <c r="N452">
        <f t="shared" si="134"/>
        <v>12</v>
      </c>
      <c r="O452">
        <v>8.6707490313347943E-2</v>
      </c>
      <c r="P452" t="e">
        <f t="shared" si="135"/>
        <v>#DIV/0!</v>
      </c>
      <c r="Q452">
        <f t="shared" si="122"/>
        <v>0</v>
      </c>
      <c r="R452">
        <f t="shared" si="136"/>
        <v>741.9099431943954</v>
      </c>
      <c r="T452" t="e">
        <f t="shared" si="125"/>
        <v>#DIV/0!</v>
      </c>
      <c r="U452" t="e">
        <f t="shared" si="126"/>
        <v>#DIV/0!</v>
      </c>
      <c r="V452">
        <f t="shared" si="127"/>
        <v>0</v>
      </c>
      <c r="W452" t="e">
        <f t="shared" si="123"/>
        <v>#DIV/0!</v>
      </c>
    </row>
    <row r="453" spans="1:23" x14ac:dyDescent="0.55000000000000004">
      <c r="A453">
        <f t="shared" si="124"/>
        <v>41.900000000000325</v>
      </c>
      <c r="B453">
        <f t="shared" si="128"/>
        <v>0.316</v>
      </c>
      <c r="C453">
        <f t="shared" si="129"/>
        <v>-22.326086956521955</v>
      </c>
      <c r="D453">
        <v>2.4344929220182081</v>
      </c>
      <c r="E453">
        <f t="shared" si="119"/>
        <v>0</v>
      </c>
      <c r="F453">
        <f t="shared" si="130"/>
        <v>4.8605058816845369E-2</v>
      </c>
      <c r="G453">
        <f t="shared" si="131"/>
        <v>39.513748498891111</v>
      </c>
      <c r="H453">
        <f t="shared" si="132"/>
        <v>0</v>
      </c>
      <c r="I453" s="1">
        <f t="shared" si="120"/>
        <v>0</v>
      </c>
      <c r="J453">
        <f t="shared" si="133"/>
        <v>0</v>
      </c>
      <c r="K453">
        <f t="shared" si="121"/>
        <v>0</v>
      </c>
      <c r="L453" cm="1">
        <f t="array" ref="L453">IF(E453*J453=0,0,$C$21*INDEX([3]Sheet1!$C$4:$Q$23,MATCH(K453,[3]Sheet1!$B$4:$B$23,1),MATCH(D453,[3]Sheet1!$C$3:$Q$3,1))
+(K453-INDEX([3]Sheet1!$B$4:$B$23,MATCH(K453,[3]Sheet1!$B$4:$B$23,1),1))/(INDEX([3]Sheet1!$B$4:$B$23,MATCH(K453,[3]Sheet1!$B$4:$B$23,1)+1,1)-INDEX([3]Sheet1!$B$4:$B$23,
MATCH(K453,[3]Sheet1!$B$4:$B$23,1),1))*(INDEX([3]Sheet1!$C$4:$Q$23,MATCH(K453,[3]Sheet1!$B$4:$B$23,1)+1,MATCH(D453,[3]Sheet1!$C$3:$Q$3,1))-INDEX([3]Sheet1!$C$4:$Q$23,
MATCH(K453,[3]Sheet1!$B$4:$B$23,1),MATCH(D453,[3]Sheet1!$C$3:$Q$3,1)))
+(D453-INDEX([3]Sheet1!$C$3:$Q$3,1,MATCH(D453,[3]Sheet1!$C$3:$Q$3)))/(INDEX([3]Sheet1!$C$3:$Q$3,1,MATCH(D453,[3]Sheet1!$C$3:$Q$3)+1)-INDEX([3]Sheet1!$C$3:$Q$3,1,MATCH(
D453,[3]Sheet1!$C$3:$Q$3)))*(INDEX([3]Sheet1!$C$4:$Q$23,MATCH(K453,[3]Sheet1!$B$4:$B$23,1),MATCH(D453,[3]Sheet1!$C$3:$Q$3,1)+1)-INDEX([3]Sheet1!$C$4:$Q$23,MATCH(K453,[3]Sheet1!$B$4:$B$23,1),MATCH(D453,[3]Sheet1!$C$3:$Q$3,1))))</f>
        <v>0</v>
      </c>
      <c r="M453" cm="1">
        <f t="array" ref="M453" xml:space="preserve"> IF(E453*J453=0,0,(INDEX([2]Sheet1!$C$4:$Q$23,MATCH(K453,[2]Sheet1!$B$4:$B$23,1),MATCH(D453,[2]Sheet1!$C$3:$Q$3,1))
+ (K453 - INDEX([2]Sheet1!$B$4:$B$23,MATCH(K453,[2]Sheet1!$B$4:$B$23,1),1))/(INDEX([2]Sheet1!$B$4:$B$23,MATCH(K453,[2]Sheet1!$B$4:$B$23,1)+1,1) - INDEX([2]Sheet1!$B$4:$B$23,MATCH(K453,[2]Sheet1!$B$4:$B$23,1),1))*(INDEX([2]Sheet1!$C$4:$Q$23,MATCH(K453,[2]Sheet1!$B$4:$B$23,1)+1,MATCH(D453,[2]Sheet1!$C$3:$Q$3,1)) - INDEX([2]Sheet1!$C$4:$Q$23,MATCH(K453,[2]Sheet1!$B$4:$B$23,1),MATCH(D453,[2]Sheet1!$C$3:$Q$3,1)))
+ (D453 - INDEX([2]Sheet1!$C$3:$Q$3,1,MATCH(D453,[2]Sheet1!$C$3:$Q$3)))/(INDEX([2]Sheet1!$C$3:$Q$3,1,MATCH(D453,[2]Sheet1!$C$3:$Q$3)+1) - INDEX([2]Sheet1!$C$3:$Q$3,1,MATCH(D453,[2]Sheet1!$C$3:$Q$3)))*(
INDEX([2]Sheet1!$C$4:$Q$23,MATCH(K453,[2]Sheet1!$B$4:$B$23,1),MATCH(D453,[2]Sheet1!$C$3:$Q$3,1)+1) - INDEX([2]Sheet1!$C$4:$Q$23,MATCH(K453,[2]Sheet1!$B$4:$B$23,1),MATCH(D453,[2]Sheet1!$C$3:$Q$3,1)))))</f>
        <v>0</v>
      </c>
      <c r="N453">
        <f t="shared" si="134"/>
        <v>12</v>
      </c>
      <c r="O453">
        <v>8.6690883501884156E-2</v>
      </c>
      <c r="P453" t="e">
        <f t="shared" si="135"/>
        <v>#DIV/0!</v>
      </c>
      <c r="Q453">
        <f t="shared" si="122"/>
        <v>0</v>
      </c>
      <c r="R453">
        <f t="shared" si="136"/>
        <v>741.9099431943954</v>
      </c>
      <c r="T453" t="e">
        <f t="shared" si="125"/>
        <v>#DIV/0!</v>
      </c>
      <c r="U453" t="e">
        <f t="shared" si="126"/>
        <v>#DIV/0!</v>
      </c>
      <c r="V453">
        <f t="shared" si="127"/>
        <v>0</v>
      </c>
      <c r="W453" t="e">
        <f t="shared" si="123"/>
        <v>#DIV/0!</v>
      </c>
    </row>
    <row r="454" spans="1:23" x14ac:dyDescent="0.55000000000000004">
      <c r="A454">
        <f t="shared" si="124"/>
        <v>42.000000000000327</v>
      </c>
      <c r="B454">
        <f t="shared" si="128"/>
        <v>0.316</v>
      </c>
      <c r="C454">
        <f t="shared" si="129"/>
        <v>-22.391304347826303</v>
      </c>
      <c r="D454">
        <v>2.43440917830709</v>
      </c>
      <c r="E454">
        <f t="shared" si="119"/>
        <v>0</v>
      </c>
      <c r="F454">
        <f>F453+(J453+J452)*(A454-A453)/2</f>
        <v>4.8605058816845369E-2</v>
      </c>
      <c r="G454">
        <f>IF(SQRT(4*F454/($C$15*PI()*$C$11*$C$12*0.001)+($C$13*0.001)^2)*1000&lt;$C$14,SQRT(4*F454/($C$15*PI()*$C$11*$C$12*0.001)+($C$13*0.001)^2)*1000,$C$14)</f>
        <v>39.513748498891111</v>
      </c>
      <c r="H454">
        <f t="shared" si="132"/>
        <v>0</v>
      </c>
      <c r="I454" s="1">
        <f t="shared" si="120"/>
        <v>0</v>
      </c>
      <c r="J454">
        <f t="shared" si="133"/>
        <v>0</v>
      </c>
      <c r="K454">
        <f t="shared" si="121"/>
        <v>0</v>
      </c>
      <c r="L454" cm="1">
        <f t="array" ref="L454">IF(E454*J454=0,0,$C$21*INDEX([3]Sheet1!$C$4:$Q$23,MATCH(K454,[3]Sheet1!$B$4:$B$23,1),MATCH(D454,[3]Sheet1!$C$3:$Q$3,1))
+(K454-INDEX([3]Sheet1!$B$4:$B$23,MATCH(K454,[3]Sheet1!$B$4:$B$23,1),1))/(INDEX([3]Sheet1!$B$4:$B$23,MATCH(K454,[3]Sheet1!$B$4:$B$23,1)+1,1)-INDEX([3]Sheet1!$B$4:$B$23,
MATCH(K454,[3]Sheet1!$B$4:$B$23,1),1))*(INDEX([3]Sheet1!$C$4:$Q$23,MATCH(K454,[3]Sheet1!$B$4:$B$23,1)+1,MATCH(D454,[3]Sheet1!$C$3:$Q$3,1))-INDEX([3]Sheet1!$C$4:$Q$23,
MATCH(K454,[3]Sheet1!$B$4:$B$23,1),MATCH(D454,[3]Sheet1!$C$3:$Q$3,1)))
+(D454-INDEX([3]Sheet1!$C$3:$Q$3,1,MATCH(D454,[3]Sheet1!$C$3:$Q$3)))/(INDEX([3]Sheet1!$C$3:$Q$3,1,MATCH(D454,[3]Sheet1!$C$3:$Q$3)+1)-INDEX([3]Sheet1!$C$3:$Q$3,1,MATCH(
D454,[3]Sheet1!$C$3:$Q$3)))*(INDEX([3]Sheet1!$C$4:$Q$23,MATCH(K454,[3]Sheet1!$B$4:$B$23,1),MATCH(D454,[3]Sheet1!$C$3:$Q$3,1)+1)-INDEX([3]Sheet1!$C$4:$Q$23,MATCH(K454,[3]Sheet1!$B$4:$B$23,1),MATCH(D454,[3]Sheet1!$C$3:$Q$3,1))))</f>
        <v>0</v>
      </c>
      <c r="M454" cm="1">
        <f t="array" ref="M454" xml:space="preserve"> IF(E454*J454=0,0,(INDEX([2]Sheet1!$C$4:$Q$23,MATCH(K454,[2]Sheet1!$B$4:$B$23,1),MATCH(D454,[2]Sheet1!$C$3:$Q$3,1))
+ (K454 - INDEX([2]Sheet1!$B$4:$B$23,MATCH(K454,[2]Sheet1!$B$4:$B$23,1),1))/(INDEX([2]Sheet1!$B$4:$B$23,MATCH(K454,[2]Sheet1!$B$4:$B$23,1)+1,1) - INDEX([2]Sheet1!$B$4:$B$23,MATCH(K454,[2]Sheet1!$B$4:$B$23,1),1))*(INDEX([2]Sheet1!$C$4:$Q$23,MATCH(K454,[2]Sheet1!$B$4:$B$23,1)+1,MATCH(D454,[2]Sheet1!$C$3:$Q$3,1)) - INDEX([2]Sheet1!$C$4:$Q$23,MATCH(K454,[2]Sheet1!$B$4:$B$23,1),MATCH(D454,[2]Sheet1!$C$3:$Q$3,1)))
+ (D454 - INDEX([2]Sheet1!$C$3:$Q$3,1,MATCH(D454,[2]Sheet1!$C$3:$Q$3)))/(INDEX([2]Sheet1!$C$3:$Q$3,1,MATCH(D454,[2]Sheet1!$C$3:$Q$3)+1) - INDEX([2]Sheet1!$C$3:$Q$3,1,MATCH(D454,[2]Sheet1!$C$3:$Q$3)))*(
INDEX([2]Sheet1!$C$4:$Q$23,MATCH(K454,[2]Sheet1!$B$4:$B$23,1),MATCH(D454,[2]Sheet1!$C$3:$Q$3,1)+1) - INDEX([2]Sheet1!$C$4:$Q$23,MATCH(K454,[2]Sheet1!$B$4:$B$23,1),MATCH(D454,[2]Sheet1!$C$3:$Q$3,1)))))</f>
        <v>0</v>
      </c>
      <c r="N454">
        <f t="shared" si="134"/>
        <v>12</v>
      </c>
      <c r="O454">
        <v>8.6674305392291012E-2</v>
      </c>
      <c r="P454" t="e">
        <f t="shared" si="135"/>
        <v>#DIV/0!</v>
      </c>
      <c r="Q454">
        <f t="shared" si="122"/>
        <v>0</v>
      </c>
      <c r="R454">
        <f t="shared" si="136"/>
        <v>741.9099431943954</v>
      </c>
      <c r="T454" t="e">
        <f t="shared" si="125"/>
        <v>#DIV/0!</v>
      </c>
      <c r="U454" t="e">
        <f t="shared" si="126"/>
        <v>#DIV/0!</v>
      </c>
      <c r="V454">
        <f t="shared" si="127"/>
        <v>0</v>
      </c>
      <c r="W454" t="e">
        <f t="shared" si="123"/>
        <v>#DIV/0!</v>
      </c>
    </row>
    <row r="455" spans="1:23" x14ac:dyDescent="0.55000000000000004">
      <c r="A455">
        <f t="shared" si="124"/>
        <v>42.100000000000328</v>
      </c>
      <c r="B455">
        <f t="shared" si="128"/>
        <v>0.316</v>
      </c>
      <c r="C455">
        <f t="shared" si="129"/>
        <v>-22.45652173913065</v>
      </c>
      <c r="D455">
        <v>2.4343255631660279</v>
      </c>
      <c r="E455">
        <f t="shared" si="119"/>
        <v>0</v>
      </c>
      <c r="F455">
        <f t="shared" si="130"/>
        <v>4.8605058816845369E-2</v>
      </c>
      <c r="G455">
        <f t="shared" si="131"/>
        <v>39.513748498891111</v>
      </c>
      <c r="H455">
        <f t="shared" si="132"/>
        <v>0</v>
      </c>
      <c r="I455" s="1">
        <f t="shared" si="120"/>
        <v>0</v>
      </c>
      <c r="J455">
        <f t="shared" si="133"/>
        <v>0</v>
      </c>
      <c r="K455">
        <f t="shared" si="121"/>
        <v>0</v>
      </c>
      <c r="L455" cm="1">
        <f t="array" ref="L455">IF(E455*J455=0,0,$C$21*INDEX([3]Sheet1!$C$4:$Q$23,MATCH(K455,[3]Sheet1!$B$4:$B$23,1),MATCH(D455,[3]Sheet1!$C$3:$Q$3,1))
+(K455-INDEX([3]Sheet1!$B$4:$B$23,MATCH(K455,[3]Sheet1!$B$4:$B$23,1),1))/(INDEX([3]Sheet1!$B$4:$B$23,MATCH(K455,[3]Sheet1!$B$4:$B$23,1)+1,1)-INDEX([3]Sheet1!$B$4:$B$23,
MATCH(K455,[3]Sheet1!$B$4:$B$23,1),1))*(INDEX([3]Sheet1!$C$4:$Q$23,MATCH(K455,[3]Sheet1!$B$4:$B$23,1)+1,MATCH(D455,[3]Sheet1!$C$3:$Q$3,1))-INDEX([3]Sheet1!$C$4:$Q$23,
MATCH(K455,[3]Sheet1!$B$4:$B$23,1),MATCH(D455,[3]Sheet1!$C$3:$Q$3,1)))
+(D455-INDEX([3]Sheet1!$C$3:$Q$3,1,MATCH(D455,[3]Sheet1!$C$3:$Q$3)))/(INDEX([3]Sheet1!$C$3:$Q$3,1,MATCH(D455,[3]Sheet1!$C$3:$Q$3)+1)-INDEX([3]Sheet1!$C$3:$Q$3,1,MATCH(
D455,[3]Sheet1!$C$3:$Q$3)))*(INDEX([3]Sheet1!$C$4:$Q$23,MATCH(K455,[3]Sheet1!$B$4:$B$23,1),MATCH(D455,[3]Sheet1!$C$3:$Q$3,1)+1)-INDEX([3]Sheet1!$C$4:$Q$23,MATCH(K455,[3]Sheet1!$B$4:$B$23,1),MATCH(D455,[3]Sheet1!$C$3:$Q$3,1))))</f>
        <v>0</v>
      </c>
      <c r="M455" cm="1">
        <f t="array" ref="M455" xml:space="preserve"> IF(E455*J455=0,0,(INDEX([2]Sheet1!$C$4:$Q$23,MATCH(K455,[2]Sheet1!$B$4:$B$23,1),MATCH(D455,[2]Sheet1!$C$3:$Q$3,1))
+ (K455 - INDEX([2]Sheet1!$B$4:$B$23,MATCH(K455,[2]Sheet1!$B$4:$B$23,1),1))/(INDEX([2]Sheet1!$B$4:$B$23,MATCH(K455,[2]Sheet1!$B$4:$B$23,1)+1,1) - INDEX([2]Sheet1!$B$4:$B$23,MATCH(K455,[2]Sheet1!$B$4:$B$23,1),1))*(INDEX([2]Sheet1!$C$4:$Q$23,MATCH(K455,[2]Sheet1!$B$4:$B$23,1)+1,MATCH(D455,[2]Sheet1!$C$3:$Q$3,1)) - INDEX([2]Sheet1!$C$4:$Q$23,MATCH(K455,[2]Sheet1!$B$4:$B$23,1),MATCH(D455,[2]Sheet1!$C$3:$Q$3,1)))
+ (D455 - INDEX([2]Sheet1!$C$3:$Q$3,1,MATCH(D455,[2]Sheet1!$C$3:$Q$3)))/(INDEX([2]Sheet1!$C$3:$Q$3,1,MATCH(D455,[2]Sheet1!$C$3:$Q$3)+1) - INDEX([2]Sheet1!$C$3:$Q$3,1,MATCH(D455,[2]Sheet1!$C$3:$Q$3)))*(
INDEX([2]Sheet1!$C$4:$Q$23,MATCH(K455,[2]Sheet1!$B$4:$B$23,1),MATCH(D455,[2]Sheet1!$C$3:$Q$3,1)+1) - INDEX([2]Sheet1!$C$4:$Q$23,MATCH(K455,[2]Sheet1!$B$4:$B$23,1),MATCH(D455,[2]Sheet1!$C$3:$Q$3,1)))))</f>
        <v>0</v>
      </c>
      <c r="N455">
        <f t="shared" si="134"/>
        <v>12</v>
      </c>
      <c r="O455">
        <v>8.6657755888387575E-2</v>
      </c>
      <c r="P455" t="e">
        <f t="shared" si="135"/>
        <v>#DIV/0!</v>
      </c>
      <c r="Q455">
        <f t="shared" si="122"/>
        <v>0</v>
      </c>
      <c r="R455">
        <f t="shared" si="136"/>
        <v>741.9099431943954</v>
      </c>
      <c r="T455" t="e">
        <f t="shared" si="125"/>
        <v>#DIV/0!</v>
      </c>
      <c r="U455" t="e">
        <f t="shared" si="126"/>
        <v>#DIV/0!</v>
      </c>
      <c r="V455">
        <f t="shared" si="127"/>
        <v>0</v>
      </c>
      <c r="W455" t="e">
        <f t="shared" si="123"/>
        <v>#DIV/0!</v>
      </c>
    </row>
    <row r="456" spans="1:23" x14ac:dyDescent="0.55000000000000004">
      <c r="A456">
        <f t="shared" si="124"/>
        <v>42.20000000000033</v>
      </c>
      <c r="B456">
        <f t="shared" si="128"/>
        <v>0.316</v>
      </c>
      <c r="C456">
        <f t="shared" si="129"/>
        <v>-22.521739130434998</v>
      </c>
      <c r="D456">
        <v>2.4342420761871084</v>
      </c>
      <c r="E456">
        <f t="shared" si="119"/>
        <v>0</v>
      </c>
      <c r="F456">
        <f t="shared" si="130"/>
        <v>4.8605058816845369E-2</v>
      </c>
      <c r="G456">
        <f t="shared" si="131"/>
        <v>39.513748498891111</v>
      </c>
      <c r="H456">
        <f t="shared" si="132"/>
        <v>0</v>
      </c>
      <c r="I456" s="1">
        <f t="shared" si="120"/>
        <v>0</v>
      </c>
      <c r="J456">
        <f t="shared" si="133"/>
        <v>0</v>
      </c>
      <c r="K456">
        <f t="shared" si="121"/>
        <v>0</v>
      </c>
      <c r="L456" cm="1">
        <f t="array" ref="L456">IF(E456*J456=0,0,$C$21*INDEX([3]Sheet1!$C$4:$Q$23,MATCH(K456,[3]Sheet1!$B$4:$B$23,1),MATCH(D456,[3]Sheet1!$C$3:$Q$3,1))
+(K456-INDEX([3]Sheet1!$B$4:$B$23,MATCH(K456,[3]Sheet1!$B$4:$B$23,1),1))/(INDEX([3]Sheet1!$B$4:$B$23,MATCH(K456,[3]Sheet1!$B$4:$B$23,1)+1,1)-INDEX([3]Sheet1!$B$4:$B$23,
MATCH(K456,[3]Sheet1!$B$4:$B$23,1),1))*(INDEX([3]Sheet1!$C$4:$Q$23,MATCH(K456,[3]Sheet1!$B$4:$B$23,1)+1,MATCH(D456,[3]Sheet1!$C$3:$Q$3,1))-INDEX([3]Sheet1!$C$4:$Q$23,
MATCH(K456,[3]Sheet1!$B$4:$B$23,1),MATCH(D456,[3]Sheet1!$C$3:$Q$3,1)))
+(D456-INDEX([3]Sheet1!$C$3:$Q$3,1,MATCH(D456,[3]Sheet1!$C$3:$Q$3)))/(INDEX([3]Sheet1!$C$3:$Q$3,1,MATCH(D456,[3]Sheet1!$C$3:$Q$3)+1)-INDEX([3]Sheet1!$C$3:$Q$3,1,MATCH(
D456,[3]Sheet1!$C$3:$Q$3)))*(INDEX([3]Sheet1!$C$4:$Q$23,MATCH(K456,[3]Sheet1!$B$4:$B$23,1),MATCH(D456,[3]Sheet1!$C$3:$Q$3,1)+1)-INDEX([3]Sheet1!$C$4:$Q$23,MATCH(K456,[3]Sheet1!$B$4:$B$23,1),MATCH(D456,[3]Sheet1!$C$3:$Q$3,1))))</f>
        <v>0</v>
      </c>
      <c r="M456" cm="1">
        <f t="array" ref="M456" xml:space="preserve"> IF(E456*J456=0,0,(INDEX([2]Sheet1!$C$4:$Q$23,MATCH(K456,[2]Sheet1!$B$4:$B$23,1),MATCH(D456,[2]Sheet1!$C$3:$Q$3,1))
+ (K456 - INDEX([2]Sheet1!$B$4:$B$23,MATCH(K456,[2]Sheet1!$B$4:$B$23,1),1))/(INDEX([2]Sheet1!$B$4:$B$23,MATCH(K456,[2]Sheet1!$B$4:$B$23,1)+1,1) - INDEX([2]Sheet1!$B$4:$B$23,MATCH(K456,[2]Sheet1!$B$4:$B$23,1),1))*(INDEX([2]Sheet1!$C$4:$Q$23,MATCH(K456,[2]Sheet1!$B$4:$B$23,1)+1,MATCH(D456,[2]Sheet1!$C$3:$Q$3,1)) - INDEX([2]Sheet1!$C$4:$Q$23,MATCH(K456,[2]Sheet1!$B$4:$B$23,1),MATCH(D456,[2]Sheet1!$C$3:$Q$3,1)))
+ (D456 - INDEX([2]Sheet1!$C$3:$Q$3,1,MATCH(D456,[2]Sheet1!$C$3:$Q$3)))/(INDEX([2]Sheet1!$C$3:$Q$3,1,MATCH(D456,[2]Sheet1!$C$3:$Q$3)+1) - INDEX([2]Sheet1!$C$3:$Q$3,1,MATCH(D456,[2]Sheet1!$C$3:$Q$3)))*(
INDEX([2]Sheet1!$C$4:$Q$23,MATCH(K456,[2]Sheet1!$B$4:$B$23,1),MATCH(D456,[2]Sheet1!$C$3:$Q$3,1)+1) - INDEX([2]Sheet1!$C$4:$Q$23,MATCH(K456,[2]Sheet1!$B$4:$B$23,1),MATCH(D456,[2]Sheet1!$C$3:$Q$3,1)))))</f>
        <v>0</v>
      </c>
      <c r="N456">
        <f t="shared" si="134"/>
        <v>12</v>
      </c>
      <c r="O456">
        <v>8.6641234894472285E-2</v>
      </c>
      <c r="P456" t="e">
        <f t="shared" si="135"/>
        <v>#DIV/0!</v>
      </c>
      <c r="Q456">
        <f t="shared" si="122"/>
        <v>0</v>
      </c>
      <c r="R456">
        <f t="shared" si="136"/>
        <v>741.9099431943954</v>
      </c>
      <c r="T456" t="e">
        <f t="shared" si="125"/>
        <v>#DIV/0!</v>
      </c>
      <c r="U456" t="e">
        <f t="shared" si="126"/>
        <v>#DIV/0!</v>
      </c>
      <c r="V456">
        <f t="shared" si="127"/>
        <v>0</v>
      </c>
      <c r="W456" t="e">
        <f t="shared" si="123"/>
        <v>#DIV/0!</v>
      </c>
    </row>
    <row r="457" spans="1:23" x14ac:dyDescent="0.55000000000000004">
      <c r="A457">
        <f t="shared" si="124"/>
        <v>42.300000000000331</v>
      </c>
      <c r="B457">
        <f t="shared" si="128"/>
        <v>0.316</v>
      </c>
      <c r="C457">
        <f t="shared" si="129"/>
        <v>-22.586956521739349</v>
      </c>
      <c r="D457">
        <v>2.4341587169643688</v>
      </c>
      <c r="E457">
        <f t="shared" si="119"/>
        <v>0</v>
      </c>
      <c r="F457">
        <f t="shared" si="130"/>
        <v>4.8605058816845369E-2</v>
      </c>
      <c r="G457">
        <f t="shared" si="131"/>
        <v>39.513748498891111</v>
      </c>
      <c r="H457">
        <f t="shared" si="132"/>
        <v>0</v>
      </c>
      <c r="I457" s="1">
        <f t="shared" si="120"/>
        <v>0</v>
      </c>
      <c r="J457">
        <f t="shared" si="133"/>
        <v>0</v>
      </c>
      <c r="K457">
        <f t="shared" si="121"/>
        <v>0</v>
      </c>
      <c r="L457" cm="1">
        <f t="array" ref="L457">IF(E457*J457=0,0,$C$21*INDEX([3]Sheet1!$C$4:$Q$23,MATCH(K457,[3]Sheet1!$B$4:$B$23,1),MATCH(D457,[3]Sheet1!$C$3:$Q$3,1))
+(K457-INDEX([3]Sheet1!$B$4:$B$23,MATCH(K457,[3]Sheet1!$B$4:$B$23,1),1))/(INDEX([3]Sheet1!$B$4:$B$23,MATCH(K457,[3]Sheet1!$B$4:$B$23,1)+1,1)-INDEX([3]Sheet1!$B$4:$B$23,
MATCH(K457,[3]Sheet1!$B$4:$B$23,1),1))*(INDEX([3]Sheet1!$C$4:$Q$23,MATCH(K457,[3]Sheet1!$B$4:$B$23,1)+1,MATCH(D457,[3]Sheet1!$C$3:$Q$3,1))-INDEX([3]Sheet1!$C$4:$Q$23,
MATCH(K457,[3]Sheet1!$B$4:$B$23,1),MATCH(D457,[3]Sheet1!$C$3:$Q$3,1)))
+(D457-INDEX([3]Sheet1!$C$3:$Q$3,1,MATCH(D457,[3]Sheet1!$C$3:$Q$3)))/(INDEX([3]Sheet1!$C$3:$Q$3,1,MATCH(D457,[3]Sheet1!$C$3:$Q$3)+1)-INDEX([3]Sheet1!$C$3:$Q$3,1,MATCH(
D457,[3]Sheet1!$C$3:$Q$3)))*(INDEX([3]Sheet1!$C$4:$Q$23,MATCH(K457,[3]Sheet1!$B$4:$B$23,1),MATCH(D457,[3]Sheet1!$C$3:$Q$3,1)+1)-INDEX([3]Sheet1!$C$4:$Q$23,MATCH(K457,[3]Sheet1!$B$4:$B$23,1),MATCH(D457,[3]Sheet1!$C$3:$Q$3,1))))</f>
        <v>0</v>
      </c>
      <c r="M457" cm="1">
        <f t="array" ref="M457" xml:space="preserve"> IF(E457*J457=0,0,(INDEX([2]Sheet1!$C$4:$Q$23,MATCH(K457,[2]Sheet1!$B$4:$B$23,1),MATCH(D457,[2]Sheet1!$C$3:$Q$3,1))
+ (K457 - INDEX([2]Sheet1!$B$4:$B$23,MATCH(K457,[2]Sheet1!$B$4:$B$23,1),1))/(INDEX([2]Sheet1!$B$4:$B$23,MATCH(K457,[2]Sheet1!$B$4:$B$23,1)+1,1) - INDEX([2]Sheet1!$B$4:$B$23,MATCH(K457,[2]Sheet1!$B$4:$B$23,1),1))*(INDEX([2]Sheet1!$C$4:$Q$23,MATCH(K457,[2]Sheet1!$B$4:$B$23,1)+1,MATCH(D457,[2]Sheet1!$C$3:$Q$3,1)) - INDEX([2]Sheet1!$C$4:$Q$23,MATCH(K457,[2]Sheet1!$B$4:$B$23,1),MATCH(D457,[2]Sheet1!$C$3:$Q$3,1)))
+ (D457 - INDEX([2]Sheet1!$C$3:$Q$3,1,MATCH(D457,[2]Sheet1!$C$3:$Q$3)))/(INDEX([2]Sheet1!$C$3:$Q$3,1,MATCH(D457,[2]Sheet1!$C$3:$Q$3)+1) - INDEX([2]Sheet1!$C$3:$Q$3,1,MATCH(D457,[2]Sheet1!$C$3:$Q$3)))*(
INDEX([2]Sheet1!$C$4:$Q$23,MATCH(K457,[2]Sheet1!$B$4:$B$23,1),MATCH(D457,[2]Sheet1!$C$3:$Q$3,1)+1) - INDEX([2]Sheet1!$C$4:$Q$23,MATCH(K457,[2]Sheet1!$B$4:$B$23,1),MATCH(D457,[2]Sheet1!$C$3:$Q$3,1)))))</f>
        <v>0</v>
      </c>
      <c r="N457">
        <f t="shared" si="134"/>
        <v>12</v>
      </c>
      <c r="O457">
        <v>8.662474231531711E-2</v>
      </c>
      <c r="P457" t="e">
        <f t="shared" si="135"/>
        <v>#DIV/0!</v>
      </c>
      <c r="Q457">
        <f t="shared" si="122"/>
        <v>0</v>
      </c>
      <c r="R457">
        <f t="shared" si="136"/>
        <v>741.9099431943954</v>
      </c>
      <c r="T457" t="e">
        <f t="shared" si="125"/>
        <v>#DIV/0!</v>
      </c>
      <c r="U457" t="e">
        <f t="shared" si="126"/>
        <v>#DIV/0!</v>
      </c>
      <c r="V457">
        <f t="shared" si="127"/>
        <v>0</v>
      </c>
      <c r="W457" t="e">
        <f t="shared" si="123"/>
        <v>#DIV/0!</v>
      </c>
    </row>
    <row r="458" spans="1:23" x14ac:dyDescent="0.55000000000000004">
      <c r="A458">
        <f t="shared" si="124"/>
        <v>42.400000000000333</v>
      </c>
      <c r="B458">
        <f t="shared" si="128"/>
        <v>0.316</v>
      </c>
      <c r="C458">
        <f t="shared" si="129"/>
        <v>-22.652173913043697</v>
      </c>
      <c r="D458">
        <v>2.4340754850937873</v>
      </c>
      <c r="E458">
        <f t="shared" si="119"/>
        <v>0</v>
      </c>
      <c r="F458">
        <f t="shared" si="130"/>
        <v>4.8605058816845369E-2</v>
      </c>
      <c r="G458">
        <f t="shared" si="131"/>
        <v>39.513748498891111</v>
      </c>
      <c r="H458">
        <f t="shared" si="132"/>
        <v>0</v>
      </c>
      <c r="I458" s="1">
        <f t="shared" si="120"/>
        <v>0</v>
      </c>
      <c r="J458">
        <f t="shared" si="133"/>
        <v>0</v>
      </c>
      <c r="K458">
        <f t="shared" si="121"/>
        <v>0</v>
      </c>
      <c r="L458" cm="1">
        <f t="array" ref="L458">IF(E458*J458=0,0,$C$21*INDEX([3]Sheet1!$C$4:$Q$23,MATCH(K458,[3]Sheet1!$B$4:$B$23,1),MATCH(D458,[3]Sheet1!$C$3:$Q$3,1))
+(K458-INDEX([3]Sheet1!$B$4:$B$23,MATCH(K458,[3]Sheet1!$B$4:$B$23,1),1))/(INDEX([3]Sheet1!$B$4:$B$23,MATCH(K458,[3]Sheet1!$B$4:$B$23,1)+1,1)-INDEX([3]Sheet1!$B$4:$B$23,
MATCH(K458,[3]Sheet1!$B$4:$B$23,1),1))*(INDEX([3]Sheet1!$C$4:$Q$23,MATCH(K458,[3]Sheet1!$B$4:$B$23,1)+1,MATCH(D458,[3]Sheet1!$C$3:$Q$3,1))-INDEX([3]Sheet1!$C$4:$Q$23,
MATCH(K458,[3]Sheet1!$B$4:$B$23,1),MATCH(D458,[3]Sheet1!$C$3:$Q$3,1)))
+(D458-INDEX([3]Sheet1!$C$3:$Q$3,1,MATCH(D458,[3]Sheet1!$C$3:$Q$3)))/(INDEX([3]Sheet1!$C$3:$Q$3,1,MATCH(D458,[3]Sheet1!$C$3:$Q$3)+1)-INDEX([3]Sheet1!$C$3:$Q$3,1,MATCH(
D458,[3]Sheet1!$C$3:$Q$3)))*(INDEX([3]Sheet1!$C$4:$Q$23,MATCH(K458,[3]Sheet1!$B$4:$B$23,1),MATCH(D458,[3]Sheet1!$C$3:$Q$3,1)+1)-INDEX([3]Sheet1!$C$4:$Q$23,MATCH(K458,[3]Sheet1!$B$4:$B$23,1),MATCH(D458,[3]Sheet1!$C$3:$Q$3,1))))</f>
        <v>0</v>
      </c>
      <c r="M458" cm="1">
        <f t="array" ref="M458" xml:space="preserve"> IF(E458*J458=0,0,(INDEX([2]Sheet1!$C$4:$Q$23,MATCH(K458,[2]Sheet1!$B$4:$B$23,1),MATCH(D458,[2]Sheet1!$C$3:$Q$3,1))
+ (K458 - INDEX([2]Sheet1!$B$4:$B$23,MATCH(K458,[2]Sheet1!$B$4:$B$23,1),1))/(INDEX([2]Sheet1!$B$4:$B$23,MATCH(K458,[2]Sheet1!$B$4:$B$23,1)+1,1) - INDEX([2]Sheet1!$B$4:$B$23,MATCH(K458,[2]Sheet1!$B$4:$B$23,1),1))*(INDEX([2]Sheet1!$C$4:$Q$23,MATCH(K458,[2]Sheet1!$B$4:$B$23,1)+1,MATCH(D458,[2]Sheet1!$C$3:$Q$3,1)) - INDEX([2]Sheet1!$C$4:$Q$23,MATCH(K458,[2]Sheet1!$B$4:$B$23,1),MATCH(D458,[2]Sheet1!$C$3:$Q$3,1)))
+ (D458 - INDEX([2]Sheet1!$C$3:$Q$3,1,MATCH(D458,[2]Sheet1!$C$3:$Q$3)))/(INDEX([2]Sheet1!$C$3:$Q$3,1,MATCH(D458,[2]Sheet1!$C$3:$Q$3)+1) - INDEX([2]Sheet1!$C$3:$Q$3,1,MATCH(D458,[2]Sheet1!$C$3:$Q$3)))*(
INDEX([2]Sheet1!$C$4:$Q$23,MATCH(K458,[2]Sheet1!$B$4:$B$23,1),MATCH(D458,[2]Sheet1!$C$3:$Q$3,1)+1) - INDEX([2]Sheet1!$C$4:$Q$23,MATCH(K458,[2]Sheet1!$B$4:$B$23,1),MATCH(D458,[2]Sheet1!$C$3:$Q$3,1)))))</f>
        <v>0</v>
      </c>
      <c r="N458">
        <f t="shared" si="134"/>
        <v>12</v>
      </c>
      <c r="O458">
        <v>8.6608278056167137E-2</v>
      </c>
      <c r="P458" t="e">
        <f t="shared" si="135"/>
        <v>#DIV/0!</v>
      </c>
      <c r="Q458">
        <f t="shared" si="122"/>
        <v>0</v>
      </c>
      <c r="R458">
        <f t="shared" si="136"/>
        <v>741.9099431943954</v>
      </c>
      <c r="T458" t="e">
        <f t="shared" si="125"/>
        <v>#DIV/0!</v>
      </c>
      <c r="U458" t="e">
        <f t="shared" si="126"/>
        <v>#DIV/0!</v>
      </c>
      <c r="V458">
        <f t="shared" si="127"/>
        <v>0</v>
      </c>
      <c r="W458" t="e">
        <f t="shared" si="123"/>
        <v>#DIV/0!</v>
      </c>
    </row>
    <row r="459" spans="1:23" x14ac:dyDescent="0.55000000000000004">
      <c r="A459">
        <f t="shared" si="124"/>
        <v>42.500000000000334</v>
      </c>
      <c r="B459">
        <f t="shared" si="128"/>
        <v>0.316</v>
      </c>
      <c r="C459">
        <f t="shared" si="129"/>
        <v>-22.717391304348045</v>
      </c>
      <c r="D459">
        <v>2.4339923801732675</v>
      </c>
      <c r="E459">
        <f t="shared" si="119"/>
        <v>0</v>
      </c>
      <c r="F459">
        <f t="shared" si="130"/>
        <v>4.8605058816845369E-2</v>
      </c>
      <c r="G459">
        <f t="shared" si="131"/>
        <v>39.513748498891111</v>
      </c>
      <c r="H459">
        <f t="shared" si="132"/>
        <v>0</v>
      </c>
      <c r="I459" s="1">
        <f t="shared" si="120"/>
        <v>0</v>
      </c>
      <c r="J459">
        <f t="shared" si="133"/>
        <v>0</v>
      </c>
      <c r="K459">
        <f t="shared" si="121"/>
        <v>0</v>
      </c>
      <c r="L459" cm="1">
        <f t="array" ref="L459">IF(E459*J459=0,0,$C$21*INDEX([3]Sheet1!$C$4:$Q$23,MATCH(K459,[3]Sheet1!$B$4:$B$23,1),MATCH(D459,[3]Sheet1!$C$3:$Q$3,1))
+(K459-INDEX([3]Sheet1!$B$4:$B$23,MATCH(K459,[3]Sheet1!$B$4:$B$23,1),1))/(INDEX([3]Sheet1!$B$4:$B$23,MATCH(K459,[3]Sheet1!$B$4:$B$23,1)+1,1)-INDEX([3]Sheet1!$B$4:$B$23,
MATCH(K459,[3]Sheet1!$B$4:$B$23,1),1))*(INDEX([3]Sheet1!$C$4:$Q$23,MATCH(K459,[3]Sheet1!$B$4:$B$23,1)+1,MATCH(D459,[3]Sheet1!$C$3:$Q$3,1))-INDEX([3]Sheet1!$C$4:$Q$23,
MATCH(K459,[3]Sheet1!$B$4:$B$23,1),MATCH(D459,[3]Sheet1!$C$3:$Q$3,1)))
+(D459-INDEX([3]Sheet1!$C$3:$Q$3,1,MATCH(D459,[3]Sheet1!$C$3:$Q$3)))/(INDEX([3]Sheet1!$C$3:$Q$3,1,MATCH(D459,[3]Sheet1!$C$3:$Q$3)+1)-INDEX([3]Sheet1!$C$3:$Q$3,1,MATCH(
D459,[3]Sheet1!$C$3:$Q$3)))*(INDEX([3]Sheet1!$C$4:$Q$23,MATCH(K459,[3]Sheet1!$B$4:$B$23,1),MATCH(D459,[3]Sheet1!$C$3:$Q$3,1)+1)-INDEX([3]Sheet1!$C$4:$Q$23,MATCH(K459,[3]Sheet1!$B$4:$B$23,1),MATCH(D459,[3]Sheet1!$C$3:$Q$3,1))))</f>
        <v>0</v>
      </c>
      <c r="M459" cm="1">
        <f t="array" ref="M459" xml:space="preserve"> IF(E459*J459=0,0,(INDEX([2]Sheet1!$C$4:$Q$23,MATCH(K459,[2]Sheet1!$B$4:$B$23,1),MATCH(D459,[2]Sheet1!$C$3:$Q$3,1))
+ (K459 - INDEX([2]Sheet1!$B$4:$B$23,MATCH(K459,[2]Sheet1!$B$4:$B$23,1),1))/(INDEX([2]Sheet1!$B$4:$B$23,MATCH(K459,[2]Sheet1!$B$4:$B$23,1)+1,1) - INDEX([2]Sheet1!$B$4:$B$23,MATCH(K459,[2]Sheet1!$B$4:$B$23,1),1))*(INDEX([2]Sheet1!$C$4:$Q$23,MATCH(K459,[2]Sheet1!$B$4:$B$23,1)+1,MATCH(D459,[2]Sheet1!$C$3:$Q$3,1)) - INDEX([2]Sheet1!$C$4:$Q$23,MATCH(K459,[2]Sheet1!$B$4:$B$23,1),MATCH(D459,[2]Sheet1!$C$3:$Q$3,1)))
+ (D459 - INDEX([2]Sheet1!$C$3:$Q$3,1,MATCH(D459,[2]Sheet1!$C$3:$Q$3)))/(INDEX([2]Sheet1!$C$3:$Q$3,1,MATCH(D459,[2]Sheet1!$C$3:$Q$3)+1) - INDEX([2]Sheet1!$C$3:$Q$3,1,MATCH(D459,[2]Sheet1!$C$3:$Q$3)))*(
INDEX([2]Sheet1!$C$4:$Q$23,MATCH(K459,[2]Sheet1!$B$4:$B$23,1),MATCH(D459,[2]Sheet1!$C$3:$Q$3,1)+1) - INDEX([2]Sheet1!$C$4:$Q$23,MATCH(K459,[2]Sheet1!$B$4:$B$23,1),MATCH(D459,[2]Sheet1!$C$3:$Q$3,1)))))</f>
        <v>0</v>
      </c>
      <c r="N459">
        <f t="shared" si="134"/>
        <v>12</v>
      </c>
      <c r="O459">
        <v>8.6591842022735205E-2</v>
      </c>
      <c r="P459" t="e">
        <f t="shared" si="135"/>
        <v>#DIV/0!</v>
      </c>
      <c r="Q459">
        <f t="shared" si="122"/>
        <v>0</v>
      </c>
      <c r="R459">
        <f t="shared" si="136"/>
        <v>741.9099431943954</v>
      </c>
      <c r="T459" t="e">
        <f t="shared" si="125"/>
        <v>#DIV/0!</v>
      </c>
      <c r="U459" t="e">
        <f t="shared" si="126"/>
        <v>#DIV/0!</v>
      </c>
      <c r="V459">
        <f t="shared" si="127"/>
        <v>0</v>
      </c>
      <c r="W459" t="e">
        <f t="shared" si="123"/>
        <v>#DIV/0!</v>
      </c>
    </row>
    <row r="460" spans="1:23" x14ac:dyDescent="0.55000000000000004">
      <c r="A460">
        <f t="shared" si="124"/>
        <v>42.600000000000335</v>
      </c>
      <c r="B460">
        <f t="shared" si="128"/>
        <v>0.316</v>
      </c>
      <c r="C460">
        <f t="shared" si="129"/>
        <v>-22.782608695652396</v>
      </c>
      <c r="D460">
        <v>2.433909401802627</v>
      </c>
      <c r="E460">
        <f t="shared" si="119"/>
        <v>0</v>
      </c>
      <c r="F460">
        <f t="shared" si="130"/>
        <v>4.8605058816845369E-2</v>
      </c>
      <c r="G460">
        <f t="shared" si="131"/>
        <v>39.513748498891111</v>
      </c>
      <c r="H460">
        <f t="shared" si="132"/>
        <v>0</v>
      </c>
      <c r="I460" s="1">
        <f t="shared" si="120"/>
        <v>0</v>
      </c>
      <c r="J460">
        <f t="shared" si="133"/>
        <v>0</v>
      </c>
      <c r="K460">
        <f t="shared" si="121"/>
        <v>0</v>
      </c>
      <c r="L460" cm="1">
        <f t="array" ref="L460">IF(E460*J460=0,0,$C$21*INDEX([3]Sheet1!$C$4:$Q$23,MATCH(K460,[3]Sheet1!$B$4:$B$23,1),MATCH(D460,[3]Sheet1!$C$3:$Q$3,1))
+(K460-INDEX([3]Sheet1!$B$4:$B$23,MATCH(K460,[3]Sheet1!$B$4:$B$23,1),1))/(INDEX([3]Sheet1!$B$4:$B$23,MATCH(K460,[3]Sheet1!$B$4:$B$23,1)+1,1)-INDEX([3]Sheet1!$B$4:$B$23,
MATCH(K460,[3]Sheet1!$B$4:$B$23,1),1))*(INDEX([3]Sheet1!$C$4:$Q$23,MATCH(K460,[3]Sheet1!$B$4:$B$23,1)+1,MATCH(D460,[3]Sheet1!$C$3:$Q$3,1))-INDEX([3]Sheet1!$C$4:$Q$23,
MATCH(K460,[3]Sheet1!$B$4:$B$23,1),MATCH(D460,[3]Sheet1!$C$3:$Q$3,1)))
+(D460-INDEX([3]Sheet1!$C$3:$Q$3,1,MATCH(D460,[3]Sheet1!$C$3:$Q$3)))/(INDEX([3]Sheet1!$C$3:$Q$3,1,MATCH(D460,[3]Sheet1!$C$3:$Q$3)+1)-INDEX([3]Sheet1!$C$3:$Q$3,1,MATCH(
D460,[3]Sheet1!$C$3:$Q$3)))*(INDEX([3]Sheet1!$C$4:$Q$23,MATCH(K460,[3]Sheet1!$B$4:$B$23,1),MATCH(D460,[3]Sheet1!$C$3:$Q$3,1)+1)-INDEX([3]Sheet1!$C$4:$Q$23,MATCH(K460,[3]Sheet1!$B$4:$B$23,1),MATCH(D460,[3]Sheet1!$C$3:$Q$3,1))))</f>
        <v>0</v>
      </c>
      <c r="M460" cm="1">
        <f t="array" ref="M460" xml:space="preserve"> IF(E460*J460=0,0,(INDEX([2]Sheet1!$C$4:$Q$23,MATCH(K460,[2]Sheet1!$B$4:$B$23,1),MATCH(D460,[2]Sheet1!$C$3:$Q$3,1))
+ (K460 - INDEX([2]Sheet1!$B$4:$B$23,MATCH(K460,[2]Sheet1!$B$4:$B$23,1),1))/(INDEX([2]Sheet1!$B$4:$B$23,MATCH(K460,[2]Sheet1!$B$4:$B$23,1)+1,1) - INDEX([2]Sheet1!$B$4:$B$23,MATCH(K460,[2]Sheet1!$B$4:$B$23,1),1))*(INDEX([2]Sheet1!$C$4:$Q$23,MATCH(K460,[2]Sheet1!$B$4:$B$23,1)+1,MATCH(D460,[2]Sheet1!$C$3:$Q$3,1)) - INDEX([2]Sheet1!$C$4:$Q$23,MATCH(K460,[2]Sheet1!$B$4:$B$23,1),MATCH(D460,[2]Sheet1!$C$3:$Q$3,1)))
+ (D460 - INDEX([2]Sheet1!$C$3:$Q$3,1,MATCH(D460,[2]Sheet1!$C$3:$Q$3)))/(INDEX([2]Sheet1!$C$3:$Q$3,1,MATCH(D460,[2]Sheet1!$C$3:$Q$3)+1) - INDEX([2]Sheet1!$C$3:$Q$3,1,MATCH(D460,[2]Sheet1!$C$3:$Q$3)))*(
INDEX([2]Sheet1!$C$4:$Q$23,MATCH(K460,[2]Sheet1!$B$4:$B$23,1),MATCH(D460,[2]Sheet1!$C$3:$Q$3,1)+1) - INDEX([2]Sheet1!$C$4:$Q$23,MATCH(K460,[2]Sheet1!$B$4:$B$23,1),MATCH(D460,[2]Sheet1!$C$3:$Q$3,1)))))</f>
        <v>0</v>
      </c>
      <c r="N460">
        <f t="shared" si="134"/>
        <v>12</v>
      </c>
      <c r="O460">
        <v>8.6575434121199904E-2</v>
      </c>
      <c r="P460" t="e">
        <f t="shared" si="135"/>
        <v>#DIV/0!</v>
      </c>
      <c r="Q460">
        <f t="shared" si="122"/>
        <v>0</v>
      </c>
      <c r="R460">
        <f t="shared" si="136"/>
        <v>741.9099431943954</v>
      </c>
      <c r="T460" t="e">
        <f t="shared" si="125"/>
        <v>#DIV/0!</v>
      </c>
      <c r="U460" t="e">
        <f t="shared" si="126"/>
        <v>#DIV/0!</v>
      </c>
      <c r="V460">
        <f t="shared" si="127"/>
        <v>0</v>
      </c>
      <c r="W460" t="e">
        <f t="shared" si="123"/>
        <v>#DIV/0!</v>
      </c>
    </row>
    <row r="461" spans="1:23" x14ac:dyDescent="0.55000000000000004">
      <c r="A461">
        <f t="shared" si="124"/>
        <v>42.700000000000337</v>
      </c>
      <c r="B461">
        <f t="shared" si="128"/>
        <v>0.316</v>
      </c>
      <c r="C461">
        <f t="shared" si="129"/>
        <v>-22.847826086956744</v>
      </c>
      <c r="D461">
        <v>2.4338265495835878</v>
      </c>
      <c r="E461">
        <f t="shared" si="119"/>
        <v>0</v>
      </c>
      <c r="F461">
        <f t="shared" si="130"/>
        <v>4.8605058816845369E-2</v>
      </c>
      <c r="G461">
        <f t="shared" si="131"/>
        <v>39.513748498891111</v>
      </c>
      <c r="H461">
        <f t="shared" si="132"/>
        <v>0</v>
      </c>
      <c r="I461" s="1">
        <f t="shared" si="120"/>
        <v>0</v>
      </c>
      <c r="J461">
        <f t="shared" si="133"/>
        <v>0</v>
      </c>
      <c r="K461">
        <f t="shared" si="121"/>
        <v>0</v>
      </c>
      <c r="L461" cm="1">
        <f t="array" ref="L461">IF(E461*J461=0,0,$C$21*INDEX([3]Sheet1!$C$4:$Q$23,MATCH(K461,[3]Sheet1!$B$4:$B$23,1),MATCH(D461,[3]Sheet1!$C$3:$Q$3,1))
+(K461-INDEX([3]Sheet1!$B$4:$B$23,MATCH(K461,[3]Sheet1!$B$4:$B$23,1),1))/(INDEX([3]Sheet1!$B$4:$B$23,MATCH(K461,[3]Sheet1!$B$4:$B$23,1)+1,1)-INDEX([3]Sheet1!$B$4:$B$23,
MATCH(K461,[3]Sheet1!$B$4:$B$23,1),1))*(INDEX([3]Sheet1!$C$4:$Q$23,MATCH(K461,[3]Sheet1!$B$4:$B$23,1)+1,MATCH(D461,[3]Sheet1!$C$3:$Q$3,1))-INDEX([3]Sheet1!$C$4:$Q$23,
MATCH(K461,[3]Sheet1!$B$4:$B$23,1),MATCH(D461,[3]Sheet1!$C$3:$Q$3,1)))
+(D461-INDEX([3]Sheet1!$C$3:$Q$3,1,MATCH(D461,[3]Sheet1!$C$3:$Q$3)))/(INDEX([3]Sheet1!$C$3:$Q$3,1,MATCH(D461,[3]Sheet1!$C$3:$Q$3)+1)-INDEX([3]Sheet1!$C$3:$Q$3,1,MATCH(
D461,[3]Sheet1!$C$3:$Q$3)))*(INDEX([3]Sheet1!$C$4:$Q$23,MATCH(K461,[3]Sheet1!$B$4:$B$23,1),MATCH(D461,[3]Sheet1!$C$3:$Q$3,1)+1)-INDEX([3]Sheet1!$C$4:$Q$23,MATCH(K461,[3]Sheet1!$B$4:$B$23,1),MATCH(D461,[3]Sheet1!$C$3:$Q$3,1))))</f>
        <v>0</v>
      </c>
      <c r="M461" cm="1">
        <f t="array" ref="M461" xml:space="preserve"> IF(E461*J461=0,0,(INDEX([2]Sheet1!$C$4:$Q$23,MATCH(K461,[2]Sheet1!$B$4:$B$23,1),MATCH(D461,[2]Sheet1!$C$3:$Q$3,1))
+ (K461 - INDEX([2]Sheet1!$B$4:$B$23,MATCH(K461,[2]Sheet1!$B$4:$B$23,1),1))/(INDEX([2]Sheet1!$B$4:$B$23,MATCH(K461,[2]Sheet1!$B$4:$B$23,1)+1,1) - INDEX([2]Sheet1!$B$4:$B$23,MATCH(K461,[2]Sheet1!$B$4:$B$23,1),1))*(INDEX([2]Sheet1!$C$4:$Q$23,MATCH(K461,[2]Sheet1!$B$4:$B$23,1)+1,MATCH(D461,[2]Sheet1!$C$3:$Q$3,1)) - INDEX([2]Sheet1!$C$4:$Q$23,MATCH(K461,[2]Sheet1!$B$4:$B$23,1),MATCH(D461,[2]Sheet1!$C$3:$Q$3,1)))
+ (D461 - INDEX([2]Sheet1!$C$3:$Q$3,1,MATCH(D461,[2]Sheet1!$C$3:$Q$3)))/(INDEX([2]Sheet1!$C$3:$Q$3,1,MATCH(D461,[2]Sheet1!$C$3:$Q$3)+1) - INDEX([2]Sheet1!$C$3:$Q$3,1,MATCH(D461,[2]Sheet1!$C$3:$Q$3)))*(
INDEX([2]Sheet1!$C$4:$Q$23,MATCH(K461,[2]Sheet1!$B$4:$B$23,1),MATCH(D461,[2]Sheet1!$C$3:$Q$3,1)+1) - INDEX([2]Sheet1!$C$4:$Q$23,MATCH(K461,[2]Sheet1!$B$4:$B$23,1),MATCH(D461,[2]Sheet1!$C$3:$Q$3,1)))))</f>
        <v>0</v>
      </c>
      <c r="N461">
        <f t="shared" si="134"/>
        <v>12</v>
      </c>
      <c r="O461">
        <v>8.6559054258203011E-2</v>
      </c>
      <c r="P461" t="e">
        <f t="shared" si="135"/>
        <v>#DIV/0!</v>
      </c>
      <c r="Q461">
        <f t="shared" si="122"/>
        <v>0</v>
      </c>
      <c r="R461">
        <f t="shared" si="136"/>
        <v>741.9099431943954</v>
      </c>
      <c r="T461" t="e">
        <f t="shared" si="125"/>
        <v>#DIV/0!</v>
      </c>
      <c r="U461" t="e">
        <f t="shared" si="126"/>
        <v>#DIV/0!</v>
      </c>
      <c r="V461">
        <f t="shared" si="127"/>
        <v>0</v>
      </c>
      <c r="W461" t="e">
        <f t="shared" si="123"/>
        <v>#DIV/0!</v>
      </c>
    </row>
    <row r="462" spans="1:23" x14ac:dyDescent="0.55000000000000004">
      <c r="A462">
        <f t="shared" si="124"/>
        <v>42.800000000000338</v>
      </c>
      <c r="B462">
        <f t="shared" si="128"/>
        <v>0.316</v>
      </c>
      <c r="C462">
        <f t="shared" si="129"/>
        <v>-22.913043478261088</v>
      </c>
      <c r="D462">
        <v>2.4337438231197619</v>
      </c>
      <c r="E462">
        <f t="shared" si="119"/>
        <v>0</v>
      </c>
      <c r="F462">
        <f t="shared" si="130"/>
        <v>4.8605058816845369E-2</v>
      </c>
      <c r="G462">
        <f t="shared" si="131"/>
        <v>39.513748498891111</v>
      </c>
      <c r="H462">
        <f t="shared" si="132"/>
        <v>0</v>
      </c>
      <c r="I462" s="1">
        <f t="shared" si="120"/>
        <v>0</v>
      </c>
      <c r="J462">
        <f t="shared" si="133"/>
        <v>0</v>
      </c>
      <c r="K462">
        <f t="shared" si="121"/>
        <v>0</v>
      </c>
      <c r="L462" cm="1">
        <f t="array" ref="L462">IF(E462*J462=0,0,$C$21*INDEX([3]Sheet1!$C$4:$Q$23,MATCH(K462,[3]Sheet1!$B$4:$B$23,1),MATCH(D462,[3]Sheet1!$C$3:$Q$3,1))
+(K462-INDEX([3]Sheet1!$B$4:$B$23,MATCH(K462,[3]Sheet1!$B$4:$B$23,1),1))/(INDEX([3]Sheet1!$B$4:$B$23,MATCH(K462,[3]Sheet1!$B$4:$B$23,1)+1,1)-INDEX([3]Sheet1!$B$4:$B$23,
MATCH(K462,[3]Sheet1!$B$4:$B$23,1),1))*(INDEX([3]Sheet1!$C$4:$Q$23,MATCH(K462,[3]Sheet1!$B$4:$B$23,1)+1,MATCH(D462,[3]Sheet1!$C$3:$Q$3,1))-INDEX([3]Sheet1!$C$4:$Q$23,
MATCH(K462,[3]Sheet1!$B$4:$B$23,1),MATCH(D462,[3]Sheet1!$C$3:$Q$3,1)))
+(D462-INDEX([3]Sheet1!$C$3:$Q$3,1,MATCH(D462,[3]Sheet1!$C$3:$Q$3)))/(INDEX([3]Sheet1!$C$3:$Q$3,1,MATCH(D462,[3]Sheet1!$C$3:$Q$3)+1)-INDEX([3]Sheet1!$C$3:$Q$3,1,MATCH(
D462,[3]Sheet1!$C$3:$Q$3)))*(INDEX([3]Sheet1!$C$4:$Q$23,MATCH(K462,[3]Sheet1!$B$4:$B$23,1),MATCH(D462,[3]Sheet1!$C$3:$Q$3,1)+1)-INDEX([3]Sheet1!$C$4:$Q$23,MATCH(K462,[3]Sheet1!$B$4:$B$23,1),MATCH(D462,[3]Sheet1!$C$3:$Q$3,1))))</f>
        <v>0</v>
      </c>
      <c r="M462" cm="1">
        <f t="array" ref="M462" xml:space="preserve"> IF(E462*J462=0,0,(INDEX([2]Sheet1!$C$4:$Q$23,MATCH(K462,[2]Sheet1!$B$4:$B$23,1),MATCH(D462,[2]Sheet1!$C$3:$Q$3,1))
+ (K462 - INDEX([2]Sheet1!$B$4:$B$23,MATCH(K462,[2]Sheet1!$B$4:$B$23,1),1))/(INDEX([2]Sheet1!$B$4:$B$23,MATCH(K462,[2]Sheet1!$B$4:$B$23,1)+1,1) - INDEX([2]Sheet1!$B$4:$B$23,MATCH(K462,[2]Sheet1!$B$4:$B$23,1),1))*(INDEX([2]Sheet1!$C$4:$Q$23,MATCH(K462,[2]Sheet1!$B$4:$B$23,1)+1,MATCH(D462,[2]Sheet1!$C$3:$Q$3,1)) - INDEX([2]Sheet1!$C$4:$Q$23,MATCH(K462,[2]Sheet1!$B$4:$B$23,1),MATCH(D462,[2]Sheet1!$C$3:$Q$3,1)))
+ (D462 - INDEX([2]Sheet1!$C$3:$Q$3,1,MATCH(D462,[2]Sheet1!$C$3:$Q$3)))/(INDEX([2]Sheet1!$C$3:$Q$3,1,MATCH(D462,[2]Sheet1!$C$3:$Q$3)+1) - INDEX([2]Sheet1!$C$3:$Q$3,1,MATCH(D462,[2]Sheet1!$C$3:$Q$3)))*(
INDEX([2]Sheet1!$C$4:$Q$23,MATCH(K462,[2]Sheet1!$B$4:$B$23,1),MATCH(D462,[2]Sheet1!$C$3:$Q$3,1)+1) - INDEX([2]Sheet1!$C$4:$Q$23,MATCH(K462,[2]Sheet1!$B$4:$B$23,1),MATCH(D462,[2]Sheet1!$C$3:$Q$3,1)))))</f>
        <v>0</v>
      </c>
      <c r="N462">
        <f t="shared" si="134"/>
        <v>12</v>
      </c>
      <c r="O462">
        <v>8.6542702340845296E-2</v>
      </c>
      <c r="P462" t="e">
        <f t="shared" si="135"/>
        <v>#DIV/0!</v>
      </c>
      <c r="Q462">
        <f t="shared" si="122"/>
        <v>0</v>
      </c>
      <c r="R462">
        <f t="shared" si="136"/>
        <v>741.9099431943954</v>
      </c>
      <c r="T462" t="e">
        <f t="shared" si="125"/>
        <v>#DIV/0!</v>
      </c>
      <c r="U462" t="e">
        <f t="shared" si="126"/>
        <v>#DIV/0!</v>
      </c>
      <c r="V462">
        <f t="shared" si="127"/>
        <v>0</v>
      </c>
      <c r="W462" t="e">
        <f t="shared" si="123"/>
        <v>#DIV/0!</v>
      </c>
    </row>
    <row r="463" spans="1:23" x14ac:dyDescent="0.55000000000000004">
      <c r="A463">
        <f t="shared" si="124"/>
        <v>42.90000000000034</v>
      </c>
      <c r="B463">
        <f t="shared" si="128"/>
        <v>0.316</v>
      </c>
      <c r="C463">
        <f t="shared" si="129"/>
        <v>-22.978260869565439</v>
      </c>
      <c r="D463">
        <v>2.4336612220162825</v>
      </c>
      <c r="E463">
        <f t="shared" si="119"/>
        <v>0</v>
      </c>
      <c r="F463">
        <f t="shared" si="130"/>
        <v>4.8605058816845369E-2</v>
      </c>
      <c r="G463">
        <f t="shared" si="131"/>
        <v>39.513748498891111</v>
      </c>
      <c r="H463">
        <f t="shared" si="132"/>
        <v>0</v>
      </c>
      <c r="I463" s="1">
        <f t="shared" si="120"/>
        <v>0</v>
      </c>
      <c r="J463">
        <f t="shared" si="133"/>
        <v>0</v>
      </c>
      <c r="K463">
        <f t="shared" si="121"/>
        <v>0</v>
      </c>
      <c r="L463" cm="1">
        <f t="array" ref="L463">IF(E463*J463=0,0,$C$21*INDEX([3]Sheet1!$C$4:$Q$23,MATCH(K463,[3]Sheet1!$B$4:$B$23,1),MATCH(D463,[3]Sheet1!$C$3:$Q$3,1))
+(K463-INDEX([3]Sheet1!$B$4:$B$23,MATCH(K463,[3]Sheet1!$B$4:$B$23,1),1))/(INDEX([3]Sheet1!$B$4:$B$23,MATCH(K463,[3]Sheet1!$B$4:$B$23,1)+1,1)-INDEX([3]Sheet1!$B$4:$B$23,
MATCH(K463,[3]Sheet1!$B$4:$B$23,1),1))*(INDEX([3]Sheet1!$C$4:$Q$23,MATCH(K463,[3]Sheet1!$B$4:$B$23,1)+1,MATCH(D463,[3]Sheet1!$C$3:$Q$3,1))-INDEX([3]Sheet1!$C$4:$Q$23,
MATCH(K463,[3]Sheet1!$B$4:$B$23,1),MATCH(D463,[3]Sheet1!$C$3:$Q$3,1)))
+(D463-INDEX([3]Sheet1!$C$3:$Q$3,1,MATCH(D463,[3]Sheet1!$C$3:$Q$3)))/(INDEX([3]Sheet1!$C$3:$Q$3,1,MATCH(D463,[3]Sheet1!$C$3:$Q$3)+1)-INDEX([3]Sheet1!$C$3:$Q$3,1,MATCH(
D463,[3]Sheet1!$C$3:$Q$3)))*(INDEX([3]Sheet1!$C$4:$Q$23,MATCH(K463,[3]Sheet1!$B$4:$B$23,1),MATCH(D463,[3]Sheet1!$C$3:$Q$3,1)+1)-INDEX([3]Sheet1!$C$4:$Q$23,MATCH(K463,[3]Sheet1!$B$4:$B$23,1),MATCH(D463,[3]Sheet1!$C$3:$Q$3,1))))</f>
        <v>0</v>
      </c>
      <c r="M463" cm="1">
        <f t="array" ref="M463" xml:space="preserve"> IF(E463*J463=0,0,(INDEX([2]Sheet1!$C$4:$Q$23,MATCH(K463,[2]Sheet1!$B$4:$B$23,1),MATCH(D463,[2]Sheet1!$C$3:$Q$3,1))
+ (K463 - INDEX([2]Sheet1!$B$4:$B$23,MATCH(K463,[2]Sheet1!$B$4:$B$23,1),1))/(INDEX([2]Sheet1!$B$4:$B$23,MATCH(K463,[2]Sheet1!$B$4:$B$23,1)+1,1) - INDEX([2]Sheet1!$B$4:$B$23,MATCH(K463,[2]Sheet1!$B$4:$B$23,1),1))*(INDEX([2]Sheet1!$C$4:$Q$23,MATCH(K463,[2]Sheet1!$B$4:$B$23,1)+1,MATCH(D463,[2]Sheet1!$C$3:$Q$3,1)) - INDEX([2]Sheet1!$C$4:$Q$23,MATCH(K463,[2]Sheet1!$B$4:$B$23,1),MATCH(D463,[2]Sheet1!$C$3:$Q$3,1)))
+ (D463 - INDEX([2]Sheet1!$C$3:$Q$3,1,MATCH(D463,[2]Sheet1!$C$3:$Q$3)))/(INDEX([2]Sheet1!$C$3:$Q$3,1,MATCH(D463,[2]Sheet1!$C$3:$Q$3)+1) - INDEX([2]Sheet1!$C$3:$Q$3,1,MATCH(D463,[2]Sheet1!$C$3:$Q$3)))*(
INDEX([2]Sheet1!$C$4:$Q$23,MATCH(K463,[2]Sheet1!$B$4:$B$23,1),MATCH(D463,[2]Sheet1!$C$3:$Q$3,1)+1) - INDEX([2]Sheet1!$C$4:$Q$23,MATCH(K463,[2]Sheet1!$B$4:$B$23,1),MATCH(D463,[2]Sheet1!$C$3:$Q$3,1)))))</f>
        <v>0</v>
      </c>
      <c r="N463">
        <f t="shared" si="134"/>
        <v>12</v>
      </c>
      <c r="O463">
        <v>8.6526378276618438E-2</v>
      </c>
      <c r="P463" t="e">
        <f t="shared" si="135"/>
        <v>#DIV/0!</v>
      </c>
      <c r="Q463">
        <f t="shared" si="122"/>
        <v>0</v>
      </c>
      <c r="R463">
        <f t="shared" si="136"/>
        <v>741.9099431943954</v>
      </c>
      <c r="T463" t="e">
        <f t="shared" si="125"/>
        <v>#DIV/0!</v>
      </c>
      <c r="U463" t="e">
        <f t="shared" si="126"/>
        <v>#DIV/0!</v>
      </c>
      <c r="V463">
        <f t="shared" si="127"/>
        <v>0</v>
      </c>
      <c r="W463" t="e">
        <f t="shared" si="123"/>
        <v>#DIV/0!</v>
      </c>
    </row>
    <row r="464" spans="1:23" x14ac:dyDescent="0.55000000000000004">
      <c r="A464">
        <f t="shared" si="124"/>
        <v>43.000000000000341</v>
      </c>
      <c r="B464">
        <f t="shared" si="128"/>
        <v>0.316</v>
      </c>
      <c r="C464">
        <f t="shared" si="129"/>
        <v>-23.04347826086979</v>
      </c>
      <c r="D464">
        <v>2.4335787458806779</v>
      </c>
      <c r="E464">
        <f t="shared" si="119"/>
        <v>0</v>
      </c>
      <c r="F464">
        <f t="shared" si="130"/>
        <v>4.8605058816845369E-2</v>
      </c>
      <c r="G464">
        <f t="shared" si="131"/>
        <v>39.513748498891111</v>
      </c>
      <c r="H464">
        <f t="shared" si="132"/>
        <v>0</v>
      </c>
      <c r="I464" s="1">
        <f t="shared" si="120"/>
        <v>0</v>
      </c>
      <c r="J464">
        <f t="shared" si="133"/>
        <v>0</v>
      </c>
      <c r="K464">
        <f t="shared" si="121"/>
        <v>0</v>
      </c>
      <c r="L464" cm="1">
        <f t="array" ref="L464">IF(E464*J464=0,0,$C$21*INDEX([3]Sheet1!$C$4:$Q$23,MATCH(K464,[3]Sheet1!$B$4:$B$23,1),MATCH(D464,[3]Sheet1!$C$3:$Q$3,1))
+(K464-INDEX([3]Sheet1!$B$4:$B$23,MATCH(K464,[3]Sheet1!$B$4:$B$23,1),1))/(INDEX([3]Sheet1!$B$4:$B$23,MATCH(K464,[3]Sheet1!$B$4:$B$23,1)+1,1)-INDEX([3]Sheet1!$B$4:$B$23,
MATCH(K464,[3]Sheet1!$B$4:$B$23,1),1))*(INDEX([3]Sheet1!$C$4:$Q$23,MATCH(K464,[3]Sheet1!$B$4:$B$23,1)+1,MATCH(D464,[3]Sheet1!$C$3:$Q$3,1))-INDEX([3]Sheet1!$C$4:$Q$23,
MATCH(K464,[3]Sheet1!$B$4:$B$23,1),MATCH(D464,[3]Sheet1!$C$3:$Q$3,1)))
+(D464-INDEX([3]Sheet1!$C$3:$Q$3,1,MATCH(D464,[3]Sheet1!$C$3:$Q$3)))/(INDEX([3]Sheet1!$C$3:$Q$3,1,MATCH(D464,[3]Sheet1!$C$3:$Q$3)+1)-INDEX([3]Sheet1!$C$3:$Q$3,1,MATCH(
D464,[3]Sheet1!$C$3:$Q$3)))*(INDEX([3]Sheet1!$C$4:$Q$23,MATCH(K464,[3]Sheet1!$B$4:$B$23,1),MATCH(D464,[3]Sheet1!$C$3:$Q$3,1)+1)-INDEX([3]Sheet1!$C$4:$Q$23,MATCH(K464,[3]Sheet1!$B$4:$B$23,1),MATCH(D464,[3]Sheet1!$C$3:$Q$3,1))))</f>
        <v>0</v>
      </c>
      <c r="M464" cm="1">
        <f t="array" ref="M464" xml:space="preserve"> IF(E464*J464=0,0,(INDEX([2]Sheet1!$C$4:$Q$23,MATCH(K464,[2]Sheet1!$B$4:$B$23,1),MATCH(D464,[2]Sheet1!$C$3:$Q$3,1))
+ (K464 - INDEX([2]Sheet1!$B$4:$B$23,MATCH(K464,[2]Sheet1!$B$4:$B$23,1),1))/(INDEX([2]Sheet1!$B$4:$B$23,MATCH(K464,[2]Sheet1!$B$4:$B$23,1)+1,1) - INDEX([2]Sheet1!$B$4:$B$23,MATCH(K464,[2]Sheet1!$B$4:$B$23,1),1))*(INDEX([2]Sheet1!$C$4:$Q$23,MATCH(K464,[2]Sheet1!$B$4:$B$23,1)+1,MATCH(D464,[2]Sheet1!$C$3:$Q$3,1)) - INDEX([2]Sheet1!$C$4:$Q$23,MATCH(K464,[2]Sheet1!$B$4:$B$23,1),MATCH(D464,[2]Sheet1!$C$3:$Q$3,1)))
+ (D464 - INDEX([2]Sheet1!$C$3:$Q$3,1,MATCH(D464,[2]Sheet1!$C$3:$Q$3)))/(INDEX([2]Sheet1!$C$3:$Q$3,1,MATCH(D464,[2]Sheet1!$C$3:$Q$3)+1) - INDEX([2]Sheet1!$C$3:$Q$3,1,MATCH(D464,[2]Sheet1!$C$3:$Q$3)))*(
INDEX([2]Sheet1!$C$4:$Q$23,MATCH(K464,[2]Sheet1!$B$4:$B$23,1),MATCH(D464,[2]Sheet1!$C$3:$Q$3,1)+1) - INDEX([2]Sheet1!$C$4:$Q$23,MATCH(K464,[2]Sheet1!$B$4:$B$23,1),MATCH(D464,[2]Sheet1!$C$3:$Q$3,1)))))</f>
        <v>0</v>
      </c>
      <c r="N464">
        <f t="shared" si="134"/>
        <v>12</v>
      </c>
      <c r="O464">
        <v>8.6510081973564801E-2</v>
      </c>
      <c r="P464" t="e">
        <f t="shared" si="135"/>
        <v>#DIV/0!</v>
      </c>
      <c r="Q464">
        <f t="shared" si="122"/>
        <v>0</v>
      </c>
      <c r="R464">
        <f t="shared" si="136"/>
        <v>741.9099431943954</v>
      </c>
      <c r="T464" t="e">
        <f t="shared" si="125"/>
        <v>#DIV/0!</v>
      </c>
      <c r="U464" t="e">
        <f t="shared" si="126"/>
        <v>#DIV/0!</v>
      </c>
      <c r="V464">
        <f t="shared" si="127"/>
        <v>0</v>
      </c>
      <c r="W464" t="e">
        <f t="shared" si="123"/>
        <v>#DIV/0!</v>
      </c>
    </row>
    <row r="465" spans="1:23" x14ac:dyDescent="0.55000000000000004">
      <c r="A465">
        <f t="shared" si="124"/>
        <v>43.100000000000342</v>
      </c>
      <c r="B465">
        <f t="shared" si="128"/>
        <v>0.316</v>
      </c>
      <c r="C465">
        <f t="shared" si="129"/>
        <v>-23.108695652174141</v>
      </c>
      <c r="D465">
        <v>2.4334963943223458</v>
      </c>
      <c r="E465">
        <f t="shared" si="119"/>
        <v>0</v>
      </c>
      <c r="F465">
        <f t="shared" si="130"/>
        <v>4.8605058816845369E-2</v>
      </c>
      <c r="G465">
        <f t="shared" si="131"/>
        <v>39.513748498891111</v>
      </c>
      <c r="H465">
        <f t="shared" si="132"/>
        <v>0</v>
      </c>
      <c r="I465" s="1">
        <f t="shared" si="120"/>
        <v>0</v>
      </c>
      <c r="J465">
        <f t="shared" si="133"/>
        <v>0</v>
      </c>
      <c r="K465">
        <f t="shared" si="121"/>
        <v>0</v>
      </c>
      <c r="L465" cm="1">
        <f t="array" ref="L465">IF(E465*J465=0,0,$C$21*INDEX([3]Sheet1!$C$4:$Q$23,MATCH(K465,[3]Sheet1!$B$4:$B$23,1),MATCH(D465,[3]Sheet1!$C$3:$Q$3,1))
+(K465-INDEX([3]Sheet1!$B$4:$B$23,MATCH(K465,[3]Sheet1!$B$4:$B$23,1),1))/(INDEX([3]Sheet1!$B$4:$B$23,MATCH(K465,[3]Sheet1!$B$4:$B$23,1)+1,1)-INDEX([3]Sheet1!$B$4:$B$23,
MATCH(K465,[3]Sheet1!$B$4:$B$23,1),1))*(INDEX([3]Sheet1!$C$4:$Q$23,MATCH(K465,[3]Sheet1!$B$4:$B$23,1)+1,MATCH(D465,[3]Sheet1!$C$3:$Q$3,1))-INDEX([3]Sheet1!$C$4:$Q$23,
MATCH(K465,[3]Sheet1!$B$4:$B$23,1),MATCH(D465,[3]Sheet1!$C$3:$Q$3,1)))
+(D465-INDEX([3]Sheet1!$C$3:$Q$3,1,MATCH(D465,[3]Sheet1!$C$3:$Q$3)))/(INDEX([3]Sheet1!$C$3:$Q$3,1,MATCH(D465,[3]Sheet1!$C$3:$Q$3)+1)-INDEX([3]Sheet1!$C$3:$Q$3,1,MATCH(
D465,[3]Sheet1!$C$3:$Q$3)))*(INDEX([3]Sheet1!$C$4:$Q$23,MATCH(K465,[3]Sheet1!$B$4:$B$23,1),MATCH(D465,[3]Sheet1!$C$3:$Q$3,1)+1)-INDEX([3]Sheet1!$C$4:$Q$23,MATCH(K465,[3]Sheet1!$B$4:$B$23,1),MATCH(D465,[3]Sheet1!$C$3:$Q$3,1))))</f>
        <v>0</v>
      </c>
      <c r="M465" cm="1">
        <f t="array" ref="M465" xml:space="preserve"> IF(E465*J465=0,0,(INDEX([2]Sheet1!$C$4:$Q$23,MATCH(K465,[2]Sheet1!$B$4:$B$23,1),MATCH(D465,[2]Sheet1!$C$3:$Q$3,1))
+ (K465 - INDEX([2]Sheet1!$B$4:$B$23,MATCH(K465,[2]Sheet1!$B$4:$B$23,1),1))/(INDEX([2]Sheet1!$B$4:$B$23,MATCH(K465,[2]Sheet1!$B$4:$B$23,1)+1,1) - INDEX([2]Sheet1!$B$4:$B$23,MATCH(K465,[2]Sheet1!$B$4:$B$23,1),1))*(INDEX([2]Sheet1!$C$4:$Q$23,MATCH(K465,[2]Sheet1!$B$4:$B$23,1)+1,MATCH(D465,[2]Sheet1!$C$3:$Q$3,1)) - INDEX([2]Sheet1!$C$4:$Q$23,MATCH(K465,[2]Sheet1!$B$4:$B$23,1),MATCH(D465,[2]Sheet1!$C$3:$Q$3,1)))
+ (D465 - INDEX([2]Sheet1!$C$3:$Q$3,1,MATCH(D465,[2]Sheet1!$C$3:$Q$3)))/(INDEX([2]Sheet1!$C$3:$Q$3,1,MATCH(D465,[2]Sheet1!$C$3:$Q$3)+1) - INDEX([2]Sheet1!$C$3:$Q$3,1,MATCH(D465,[2]Sheet1!$C$3:$Q$3)))*(
INDEX([2]Sheet1!$C$4:$Q$23,MATCH(K465,[2]Sheet1!$B$4:$B$23,1),MATCH(D465,[2]Sheet1!$C$3:$Q$3,1)+1) - INDEX([2]Sheet1!$C$4:$Q$23,MATCH(K465,[2]Sheet1!$B$4:$B$23,1),MATCH(D465,[2]Sheet1!$C$3:$Q$3,1)))))</f>
        <v>0</v>
      </c>
      <c r="N465">
        <f t="shared" si="134"/>
        <v>12</v>
      </c>
      <c r="O465">
        <v>8.6493813340181705E-2</v>
      </c>
      <c r="P465" t="e">
        <f t="shared" si="135"/>
        <v>#DIV/0!</v>
      </c>
      <c r="Q465">
        <f t="shared" si="122"/>
        <v>0</v>
      </c>
      <c r="R465">
        <f t="shared" si="136"/>
        <v>741.9099431943954</v>
      </c>
      <c r="T465" t="e">
        <f t="shared" si="125"/>
        <v>#DIV/0!</v>
      </c>
      <c r="U465" t="e">
        <f t="shared" si="126"/>
        <v>#DIV/0!</v>
      </c>
      <c r="V465">
        <f t="shared" si="127"/>
        <v>0</v>
      </c>
      <c r="W465" t="e">
        <f t="shared" si="123"/>
        <v>#DIV/0!</v>
      </c>
    </row>
    <row r="466" spans="1:23" x14ac:dyDescent="0.55000000000000004">
      <c r="A466">
        <f t="shared" si="124"/>
        <v>43.200000000000344</v>
      </c>
      <c r="B466">
        <f t="shared" si="128"/>
        <v>0.316</v>
      </c>
      <c r="C466">
        <f t="shared" si="129"/>
        <v>-23.173913043478489</v>
      </c>
      <c r="D466">
        <v>2.4334141669523399</v>
      </c>
      <c r="E466">
        <f t="shared" si="119"/>
        <v>0</v>
      </c>
      <c r="F466">
        <f t="shared" si="130"/>
        <v>4.8605058816845369E-2</v>
      </c>
      <c r="G466">
        <f t="shared" si="131"/>
        <v>39.513748498891111</v>
      </c>
      <c r="H466">
        <f t="shared" si="132"/>
        <v>0</v>
      </c>
      <c r="I466" s="1">
        <f t="shared" si="120"/>
        <v>0</v>
      </c>
      <c r="J466">
        <f t="shared" si="133"/>
        <v>0</v>
      </c>
      <c r="K466">
        <f t="shared" si="121"/>
        <v>0</v>
      </c>
      <c r="L466" cm="1">
        <f t="array" ref="L466">IF(E466*J466=0,0,$C$21*INDEX([3]Sheet1!$C$4:$Q$23,MATCH(K466,[3]Sheet1!$B$4:$B$23,1),MATCH(D466,[3]Sheet1!$C$3:$Q$3,1))
+(K466-INDEX([3]Sheet1!$B$4:$B$23,MATCH(K466,[3]Sheet1!$B$4:$B$23,1),1))/(INDEX([3]Sheet1!$B$4:$B$23,MATCH(K466,[3]Sheet1!$B$4:$B$23,1)+1,1)-INDEX([3]Sheet1!$B$4:$B$23,
MATCH(K466,[3]Sheet1!$B$4:$B$23,1),1))*(INDEX([3]Sheet1!$C$4:$Q$23,MATCH(K466,[3]Sheet1!$B$4:$B$23,1)+1,MATCH(D466,[3]Sheet1!$C$3:$Q$3,1))-INDEX([3]Sheet1!$C$4:$Q$23,
MATCH(K466,[3]Sheet1!$B$4:$B$23,1),MATCH(D466,[3]Sheet1!$C$3:$Q$3,1)))
+(D466-INDEX([3]Sheet1!$C$3:$Q$3,1,MATCH(D466,[3]Sheet1!$C$3:$Q$3)))/(INDEX([3]Sheet1!$C$3:$Q$3,1,MATCH(D466,[3]Sheet1!$C$3:$Q$3)+1)-INDEX([3]Sheet1!$C$3:$Q$3,1,MATCH(
D466,[3]Sheet1!$C$3:$Q$3)))*(INDEX([3]Sheet1!$C$4:$Q$23,MATCH(K466,[3]Sheet1!$B$4:$B$23,1),MATCH(D466,[3]Sheet1!$C$3:$Q$3,1)+1)-INDEX([3]Sheet1!$C$4:$Q$23,MATCH(K466,[3]Sheet1!$B$4:$B$23,1),MATCH(D466,[3]Sheet1!$C$3:$Q$3,1))))</f>
        <v>0</v>
      </c>
      <c r="M466" cm="1">
        <f t="array" ref="M466" xml:space="preserve"> IF(E466*J466=0,0,(INDEX([2]Sheet1!$C$4:$Q$23,MATCH(K466,[2]Sheet1!$B$4:$B$23,1),MATCH(D466,[2]Sheet1!$C$3:$Q$3,1))
+ (K466 - INDEX([2]Sheet1!$B$4:$B$23,MATCH(K466,[2]Sheet1!$B$4:$B$23,1),1))/(INDEX([2]Sheet1!$B$4:$B$23,MATCH(K466,[2]Sheet1!$B$4:$B$23,1)+1,1) - INDEX([2]Sheet1!$B$4:$B$23,MATCH(K466,[2]Sheet1!$B$4:$B$23,1),1))*(INDEX([2]Sheet1!$C$4:$Q$23,MATCH(K466,[2]Sheet1!$B$4:$B$23,1)+1,MATCH(D466,[2]Sheet1!$C$3:$Q$3,1)) - INDEX([2]Sheet1!$C$4:$Q$23,MATCH(K466,[2]Sheet1!$B$4:$B$23,1),MATCH(D466,[2]Sheet1!$C$3:$Q$3,1)))
+ (D466 - INDEX([2]Sheet1!$C$3:$Q$3,1,MATCH(D466,[2]Sheet1!$C$3:$Q$3)))/(INDEX([2]Sheet1!$C$3:$Q$3,1,MATCH(D466,[2]Sheet1!$C$3:$Q$3)+1) - INDEX([2]Sheet1!$C$3:$Q$3,1,MATCH(D466,[2]Sheet1!$C$3:$Q$3)))*(
INDEX([2]Sheet1!$C$4:$Q$23,MATCH(K466,[2]Sheet1!$B$4:$B$23,1),MATCH(D466,[2]Sheet1!$C$3:$Q$3,1)+1) - INDEX([2]Sheet1!$C$4:$Q$23,MATCH(K466,[2]Sheet1!$B$4:$B$23,1),MATCH(D466,[2]Sheet1!$C$3:$Q$3,1)))))</f>
        <v>0</v>
      </c>
      <c r="N466">
        <f t="shared" si="134"/>
        <v>12</v>
      </c>
      <c r="O466">
        <v>8.6477572285378876E-2</v>
      </c>
      <c r="P466" t="e">
        <f t="shared" si="135"/>
        <v>#DIV/0!</v>
      </c>
      <c r="Q466">
        <f t="shared" si="122"/>
        <v>0</v>
      </c>
      <c r="R466">
        <f t="shared" si="136"/>
        <v>741.9099431943954</v>
      </c>
      <c r="T466" t="e">
        <f t="shared" si="125"/>
        <v>#DIV/0!</v>
      </c>
      <c r="U466" t="e">
        <f t="shared" si="126"/>
        <v>#DIV/0!</v>
      </c>
      <c r="V466">
        <f t="shared" si="127"/>
        <v>0</v>
      </c>
      <c r="W466" t="e">
        <f t="shared" si="123"/>
        <v>#DIV/0!</v>
      </c>
    </row>
    <row r="467" spans="1:23" x14ac:dyDescent="0.55000000000000004">
      <c r="A467">
        <f t="shared" si="124"/>
        <v>43.300000000000345</v>
      </c>
      <c r="B467">
        <f t="shared" si="128"/>
        <v>0.316</v>
      </c>
      <c r="C467">
        <f t="shared" si="129"/>
        <v>-23.239130434782833</v>
      </c>
      <c r="D467">
        <v>2.4333320633835469</v>
      </c>
      <c r="E467">
        <f t="shared" si="119"/>
        <v>0</v>
      </c>
      <c r="F467">
        <f t="shared" si="130"/>
        <v>4.8605058816845369E-2</v>
      </c>
      <c r="G467">
        <f t="shared" si="131"/>
        <v>39.513748498891111</v>
      </c>
      <c r="H467">
        <f t="shared" si="132"/>
        <v>0</v>
      </c>
      <c r="I467" s="1">
        <f t="shared" si="120"/>
        <v>0</v>
      </c>
      <c r="J467">
        <f t="shared" si="133"/>
        <v>0</v>
      </c>
      <c r="K467">
        <f t="shared" si="121"/>
        <v>0</v>
      </c>
      <c r="L467" cm="1">
        <f t="array" ref="L467">IF(E467*J467=0,0,$C$21*INDEX([3]Sheet1!$C$4:$Q$23,MATCH(K467,[3]Sheet1!$B$4:$B$23,1),MATCH(D467,[3]Sheet1!$C$3:$Q$3,1))
+(K467-INDEX([3]Sheet1!$B$4:$B$23,MATCH(K467,[3]Sheet1!$B$4:$B$23,1),1))/(INDEX([3]Sheet1!$B$4:$B$23,MATCH(K467,[3]Sheet1!$B$4:$B$23,1)+1,1)-INDEX([3]Sheet1!$B$4:$B$23,
MATCH(K467,[3]Sheet1!$B$4:$B$23,1),1))*(INDEX([3]Sheet1!$C$4:$Q$23,MATCH(K467,[3]Sheet1!$B$4:$B$23,1)+1,MATCH(D467,[3]Sheet1!$C$3:$Q$3,1))-INDEX([3]Sheet1!$C$4:$Q$23,
MATCH(K467,[3]Sheet1!$B$4:$B$23,1),MATCH(D467,[3]Sheet1!$C$3:$Q$3,1)))
+(D467-INDEX([3]Sheet1!$C$3:$Q$3,1,MATCH(D467,[3]Sheet1!$C$3:$Q$3)))/(INDEX([3]Sheet1!$C$3:$Q$3,1,MATCH(D467,[3]Sheet1!$C$3:$Q$3)+1)-INDEX([3]Sheet1!$C$3:$Q$3,1,MATCH(
D467,[3]Sheet1!$C$3:$Q$3)))*(INDEX([3]Sheet1!$C$4:$Q$23,MATCH(K467,[3]Sheet1!$B$4:$B$23,1),MATCH(D467,[3]Sheet1!$C$3:$Q$3,1)+1)-INDEX([3]Sheet1!$C$4:$Q$23,MATCH(K467,[3]Sheet1!$B$4:$B$23,1),MATCH(D467,[3]Sheet1!$C$3:$Q$3,1))))</f>
        <v>0</v>
      </c>
      <c r="M467" cm="1">
        <f t="array" ref="M467" xml:space="preserve"> IF(E467*J467=0,0,(INDEX([2]Sheet1!$C$4:$Q$23,MATCH(K467,[2]Sheet1!$B$4:$B$23,1),MATCH(D467,[2]Sheet1!$C$3:$Q$3,1))
+ (K467 - INDEX([2]Sheet1!$B$4:$B$23,MATCH(K467,[2]Sheet1!$B$4:$B$23,1),1))/(INDEX([2]Sheet1!$B$4:$B$23,MATCH(K467,[2]Sheet1!$B$4:$B$23,1)+1,1) - INDEX([2]Sheet1!$B$4:$B$23,MATCH(K467,[2]Sheet1!$B$4:$B$23,1),1))*(INDEX([2]Sheet1!$C$4:$Q$23,MATCH(K467,[2]Sheet1!$B$4:$B$23,1)+1,MATCH(D467,[2]Sheet1!$C$3:$Q$3,1)) - INDEX([2]Sheet1!$C$4:$Q$23,MATCH(K467,[2]Sheet1!$B$4:$B$23,1),MATCH(D467,[2]Sheet1!$C$3:$Q$3,1)))
+ (D467 - INDEX([2]Sheet1!$C$3:$Q$3,1,MATCH(D467,[2]Sheet1!$C$3:$Q$3)))/(INDEX([2]Sheet1!$C$3:$Q$3,1,MATCH(D467,[2]Sheet1!$C$3:$Q$3)+1) - INDEX([2]Sheet1!$C$3:$Q$3,1,MATCH(D467,[2]Sheet1!$C$3:$Q$3)))*(
INDEX([2]Sheet1!$C$4:$Q$23,MATCH(K467,[2]Sheet1!$B$4:$B$23,1),MATCH(D467,[2]Sheet1!$C$3:$Q$3,1)+1) - INDEX([2]Sheet1!$C$4:$Q$23,MATCH(K467,[2]Sheet1!$B$4:$B$23,1),MATCH(D467,[2]Sheet1!$C$3:$Q$3,1)))))</f>
        <v>0</v>
      </c>
      <c r="N467">
        <f t="shared" si="134"/>
        <v>12</v>
      </c>
      <c r="O467">
        <v>8.6461358718510267E-2</v>
      </c>
      <c r="P467" t="e">
        <f t="shared" si="135"/>
        <v>#DIV/0!</v>
      </c>
      <c r="Q467">
        <f t="shared" si="122"/>
        <v>0</v>
      </c>
      <c r="R467">
        <f t="shared" si="136"/>
        <v>741.9099431943954</v>
      </c>
      <c r="T467" t="e">
        <f t="shared" si="125"/>
        <v>#DIV/0!</v>
      </c>
      <c r="U467" t="e">
        <f t="shared" si="126"/>
        <v>#DIV/0!</v>
      </c>
      <c r="V467">
        <f t="shared" si="127"/>
        <v>0</v>
      </c>
      <c r="W467" t="e">
        <f t="shared" si="123"/>
        <v>#DIV/0!</v>
      </c>
    </row>
    <row r="468" spans="1:23" x14ac:dyDescent="0.55000000000000004">
      <c r="A468">
        <f t="shared" si="124"/>
        <v>43.400000000000347</v>
      </c>
      <c r="B468">
        <f t="shared" si="128"/>
        <v>0.316</v>
      </c>
      <c r="C468">
        <f t="shared" si="129"/>
        <v>-23.304347826087184</v>
      </c>
      <c r="D468">
        <v>2.4332500832306718</v>
      </c>
      <c r="E468">
        <f t="shared" si="119"/>
        <v>0</v>
      </c>
      <c r="F468">
        <f t="shared" si="130"/>
        <v>4.8605058816845369E-2</v>
      </c>
      <c r="G468">
        <f t="shared" si="131"/>
        <v>39.513748498891111</v>
      </c>
      <c r="H468">
        <f t="shared" si="132"/>
        <v>0</v>
      </c>
      <c r="I468" s="1">
        <f t="shared" si="120"/>
        <v>0</v>
      </c>
      <c r="J468">
        <f t="shared" si="133"/>
        <v>0</v>
      </c>
      <c r="K468">
        <f t="shared" si="121"/>
        <v>0</v>
      </c>
      <c r="L468" cm="1">
        <f t="array" ref="L468">IF(E468*J468=0,0,$C$21*INDEX([3]Sheet1!$C$4:$Q$23,MATCH(K468,[3]Sheet1!$B$4:$B$23,1),MATCH(D468,[3]Sheet1!$C$3:$Q$3,1))
+(K468-INDEX([3]Sheet1!$B$4:$B$23,MATCH(K468,[3]Sheet1!$B$4:$B$23,1),1))/(INDEX([3]Sheet1!$B$4:$B$23,MATCH(K468,[3]Sheet1!$B$4:$B$23,1)+1,1)-INDEX([3]Sheet1!$B$4:$B$23,
MATCH(K468,[3]Sheet1!$B$4:$B$23,1),1))*(INDEX([3]Sheet1!$C$4:$Q$23,MATCH(K468,[3]Sheet1!$B$4:$B$23,1)+1,MATCH(D468,[3]Sheet1!$C$3:$Q$3,1))-INDEX([3]Sheet1!$C$4:$Q$23,
MATCH(K468,[3]Sheet1!$B$4:$B$23,1),MATCH(D468,[3]Sheet1!$C$3:$Q$3,1)))
+(D468-INDEX([3]Sheet1!$C$3:$Q$3,1,MATCH(D468,[3]Sheet1!$C$3:$Q$3)))/(INDEX([3]Sheet1!$C$3:$Q$3,1,MATCH(D468,[3]Sheet1!$C$3:$Q$3)+1)-INDEX([3]Sheet1!$C$3:$Q$3,1,MATCH(
D468,[3]Sheet1!$C$3:$Q$3)))*(INDEX([3]Sheet1!$C$4:$Q$23,MATCH(K468,[3]Sheet1!$B$4:$B$23,1),MATCH(D468,[3]Sheet1!$C$3:$Q$3,1)+1)-INDEX([3]Sheet1!$C$4:$Q$23,MATCH(K468,[3]Sheet1!$B$4:$B$23,1),MATCH(D468,[3]Sheet1!$C$3:$Q$3,1))))</f>
        <v>0</v>
      </c>
      <c r="M468" cm="1">
        <f t="array" ref="M468" xml:space="preserve"> IF(E468*J468=0,0,(INDEX([2]Sheet1!$C$4:$Q$23,MATCH(K468,[2]Sheet1!$B$4:$B$23,1),MATCH(D468,[2]Sheet1!$C$3:$Q$3,1))
+ (K468 - INDEX([2]Sheet1!$B$4:$B$23,MATCH(K468,[2]Sheet1!$B$4:$B$23,1),1))/(INDEX([2]Sheet1!$B$4:$B$23,MATCH(K468,[2]Sheet1!$B$4:$B$23,1)+1,1) - INDEX([2]Sheet1!$B$4:$B$23,MATCH(K468,[2]Sheet1!$B$4:$B$23,1),1))*(INDEX([2]Sheet1!$C$4:$Q$23,MATCH(K468,[2]Sheet1!$B$4:$B$23,1)+1,MATCH(D468,[2]Sheet1!$C$3:$Q$3,1)) - INDEX([2]Sheet1!$C$4:$Q$23,MATCH(K468,[2]Sheet1!$B$4:$B$23,1),MATCH(D468,[2]Sheet1!$C$3:$Q$3,1)))
+ (D468 - INDEX([2]Sheet1!$C$3:$Q$3,1,MATCH(D468,[2]Sheet1!$C$3:$Q$3)))/(INDEX([2]Sheet1!$C$3:$Q$3,1,MATCH(D468,[2]Sheet1!$C$3:$Q$3)+1) - INDEX([2]Sheet1!$C$3:$Q$3,1,MATCH(D468,[2]Sheet1!$C$3:$Q$3)))*(
INDEX([2]Sheet1!$C$4:$Q$23,MATCH(K468,[2]Sheet1!$B$4:$B$23,1),MATCH(D468,[2]Sheet1!$C$3:$Q$3,1)+1) - INDEX([2]Sheet1!$C$4:$Q$23,MATCH(K468,[2]Sheet1!$B$4:$B$23,1),MATCH(D468,[2]Sheet1!$C$3:$Q$3,1)))))</f>
        <v>0</v>
      </c>
      <c r="N468">
        <f t="shared" si="134"/>
        <v>12</v>
      </c>
      <c r="O468">
        <v>8.6445172549373159E-2</v>
      </c>
      <c r="P468" t="e">
        <f t="shared" si="135"/>
        <v>#DIV/0!</v>
      </c>
      <c r="Q468">
        <f t="shared" si="122"/>
        <v>0</v>
      </c>
      <c r="R468">
        <f t="shared" si="136"/>
        <v>741.9099431943954</v>
      </c>
      <c r="T468" t="e">
        <f t="shared" si="125"/>
        <v>#DIV/0!</v>
      </c>
      <c r="U468" t="e">
        <f t="shared" si="126"/>
        <v>#DIV/0!</v>
      </c>
      <c r="V468">
        <f t="shared" si="127"/>
        <v>0</v>
      </c>
      <c r="W468" t="e">
        <f t="shared" si="123"/>
        <v>#DIV/0!</v>
      </c>
    </row>
    <row r="469" spans="1:23" x14ac:dyDescent="0.55000000000000004">
      <c r="A469">
        <f t="shared" si="124"/>
        <v>43.500000000000348</v>
      </c>
      <c r="B469">
        <f t="shared" si="128"/>
        <v>0.316</v>
      </c>
      <c r="C469">
        <f t="shared" si="129"/>
        <v>-23.369565217391536</v>
      </c>
      <c r="D469">
        <v>2.4331682261102303</v>
      </c>
      <c r="E469">
        <f t="shared" si="119"/>
        <v>0</v>
      </c>
      <c r="F469">
        <f t="shared" si="130"/>
        <v>4.8605058816845369E-2</v>
      </c>
      <c r="G469">
        <f t="shared" si="131"/>
        <v>39.513748498891111</v>
      </c>
      <c r="H469">
        <f t="shared" si="132"/>
        <v>0</v>
      </c>
      <c r="I469" s="1">
        <f t="shared" si="120"/>
        <v>0</v>
      </c>
      <c r="J469">
        <f t="shared" si="133"/>
        <v>0</v>
      </c>
      <c r="K469">
        <f t="shared" si="121"/>
        <v>0</v>
      </c>
      <c r="L469" cm="1">
        <f t="array" ref="L469">IF(E469*J469=0,0,$C$21*INDEX([3]Sheet1!$C$4:$Q$23,MATCH(K469,[3]Sheet1!$B$4:$B$23,1),MATCH(D469,[3]Sheet1!$C$3:$Q$3,1))
+(K469-INDEX([3]Sheet1!$B$4:$B$23,MATCH(K469,[3]Sheet1!$B$4:$B$23,1),1))/(INDEX([3]Sheet1!$B$4:$B$23,MATCH(K469,[3]Sheet1!$B$4:$B$23,1)+1,1)-INDEX([3]Sheet1!$B$4:$B$23,
MATCH(K469,[3]Sheet1!$B$4:$B$23,1),1))*(INDEX([3]Sheet1!$C$4:$Q$23,MATCH(K469,[3]Sheet1!$B$4:$B$23,1)+1,MATCH(D469,[3]Sheet1!$C$3:$Q$3,1))-INDEX([3]Sheet1!$C$4:$Q$23,
MATCH(K469,[3]Sheet1!$B$4:$B$23,1),MATCH(D469,[3]Sheet1!$C$3:$Q$3,1)))
+(D469-INDEX([3]Sheet1!$C$3:$Q$3,1,MATCH(D469,[3]Sheet1!$C$3:$Q$3)))/(INDEX([3]Sheet1!$C$3:$Q$3,1,MATCH(D469,[3]Sheet1!$C$3:$Q$3)+1)-INDEX([3]Sheet1!$C$3:$Q$3,1,MATCH(
D469,[3]Sheet1!$C$3:$Q$3)))*(INDEX([3]Sheet1!$C$4:$Q$23,MATCH(K469,[3]Sheet1!$B$4:$B$23,1),MATCH(D469,[3]Sheet1!$C$3:$Q$3,1)+1)-INDEX([3]Sheet1!$C$4:$Q$23,MATCH(K469,[3]Sheet1!$B$4:$B$23,1),MATCH(D469,[3]Sheet1!$C$3:$Q$3,1))))</f>
        <v>0</v>
      </c>
      <c r="M469" cm="1">
        <f t="array" ref="M469" xml:space="preserve"> IF(E469*J469=0,0,(INDEX([2]Sheet1!$C$4:$Q$23,MATCH(K469,[2]Sheet1!$B$4:$B$23,1),MATCH(D469,[2]Sheet1!$C$3:$Q$3,1))
+ (K469 - INDEX([2]Sheet1!$B$4:$B$23,MATCH(K469,[2]Sheet1!$B$4:$B$23,1),1))/(INDEX([2]Sheet1!$B$4:$B$23,MATCH(K469,[2]Sheet1!$B$4:$B$23,1)+1,1) - INDEX([2]Sheet1!$B$4:$B$23,MATCH(K469,[2]Sheet1!$B$4:$B$23,1),1))*(INDEX([2]Sheet1!$C$4:$Q$23,MATCH(K469,[2]Sheet1!$B$4:$B$23,1)+1,MATCH(D469,[2]Sheet1!$C$3:$Q$3,1)) - INDEX([2]Sheet1!$C$4:$Q$23,MATCH(K469,[2]Sheet1!$B$4:$B$23,1),MATCH(D469,[2]Sheet1!$C$3:$Q$3,1)))
+ (D469 - INDEX([2]Sheet1!$C$3:$Q$3,1,MATCH(D469,[2]Sheet1!$C$3:$Q$3)))/(INDEX([2]Sheet1!$C$3:$Q$3,1,MATCH(D469,[2]Sheet1!$C$3:$Q$3)+1) - INDEX([2]Sheet1!$C$3:$Q$3,1,MATCH(D469,[2]Sheet1!$C$3:$Q$3)))*(
INDEX([2]Sheet1!$C$4:$Q$23,MATCH(K469,[2]Sheet1!$B$4:$B$23,1),MATCH(D469,[2]Sheet1!$C$3:$Q$3,1)+1) - INDEX([2]Sheet1!$C$4:$Q$23,MATCH(K469,[2]Sheet1!$B$4:$B$23,1),MATCH(D469,[2]Sheet1!$C$3:$Q$3,1)))))</f>
        <v>0</v>
      </c>
      <c r="N469">
        <f t="shared" si="134"/>
        <v>12</v>
      </c>
      <c r="O469">
        <v>8.6429013688202827E-2</v>
      </c>
      <c r="P469" t="e">
        <f t="shared" si="135"/>
        <v>#DIV/0!</v>
      </c>
      <c r="Q469">
        <f t="shared" si="122"/>
        <v>0</v>
      </c>
      <c r="R469">
        <f t="shared" si="136"/>
        <v>741.9099431943954</v>
      </c>
      <c r="T469" t="e">
        <f t="shared" si="125"/>
        <v>#DIV/0!</v>
      </c>
      <c r="U469" t="e">
        <f t="shared" si="126"/>
        <v>#DIV/0!</v>
      </c>
      <c r="V469">
        <f t="shared" si="127"/>
        <v>0</v>
      </c>
      <c r="W469" t="e">
        <f t="shared" si="123"/>
        <v>#DIV/0!</v>
      </c>
    </row>
    <row r="470" spans="1:23" x14ac:dyDescent="0.55000000000000004">
      <c r="A470">
        <f t="shared" si="124"/>
        <v>43.60000000000035</v>
      </c>
      <c r="B470">
        <f t="shared" si="128"/>
        <v>0.316</v>
      </c>
      <c r="C470">
        <f t="shared" si="129"/>
        <v>-23.43478260869588</v>
      </c>
      <c r="D470">
        <v>2.4330864916405348</v>
      </c>
      <c r="E470">
        <f t="shared" si="119"/>
        <v>0</v>
      </c>
      <c r="F470">
        <f t="shared" si="130"/>
        <v>4.8605058816845369E-2</v>
      </c>
      <c r="G470">
        <f t="shared" si="131"/>
        <v>39.513748498891111</v>
      </c>
      <c r="H470">
        <f t="shared" si="132"/>
        <v>0</v>
      </c>
      <c r="I470" s="1">
        <f t="shared" si="120"/>
        <v>0</v>
      </c>
      <c r="J470">
        <f t="shared" si="133"/>
        <v>0</v>
      </c>
      <c r="K470">
        <f t="shared" si="121"/>
        <v>0</v>
      </c>
      <c r="L470" cm="1">
        <f t="array" ref="L470">IF(E470*J470=0,0,$C$21*INDEX([3]Sheet1!$C$4:$Q$23,MATCH(K470,[3]Sheet1!$B$4:$B$23,1),MATCH(D470,[3]Sheet1!$C$3:$Q$3,1))
+(K470-INDEX([3]Sheet1!$B$4:$B$23,MATCH(K470,[3]Sheet1!$B$4:$B$23,1),1))/(INDEX([3]Sheet1!$B$4:$B$23,MATCH(K470,[3]Sheet1!$B$4:$B$23,1)+1,1)-INDEX([3]Sheet1!$B$4:$B$23,
MATCH(K470,[3]Sheet1!$B$4:$B$23,1),1))*(INDEX([3]Sheet1!$C$4:$Q$23,MATCH(K470,[3]Sheet1!$B$4:$B$23,1)+1,MATCH(D470,[3]Sheet1!$C$3:$Q$3,1))-INDEX([3]Sheet1!$C$4:$Q$23,
MATCH(K470,[3]Sheet1!$B$4:$B$23,1),MATCH(D470,[3]Sheet1!$C$3:$Q$3,1)))
+(D470-INDEX([3]Sheet1!$C$3:$Q$3,1,MATCH(D470,[3]Sheet1!$C$3:$Q$3)))/(INDEX([3]Sheet1!$C$3:$Q$3,1,MATCH(D470,[3]Sheet1!$C$3:$Q$3)+1)-INDEX([3]Sheet1!$C$3:$Q$3,1,MATCH(
D470,[3]Sheet1!$C$3:$Q$3)))*(INDEX([3]Sheet1!$C$4:$Q$23,MATCH(K470,[3]Sheet1!$B$4:$B$23,1),MATCH(D470,[3]Sheet1!$C$3:$Q$3,1)+1)-INDEX([3]Sheet1!$C$4:$Q$23,MATCH(K470,[3]Sheet1!$B$4:$B$23,1),MATCH(D470,[3]Sheet1!$C$3:$Q$3,1))))</f>
        <v>0</v>
      </c>
      <c r="M470" cm="1">
        <f t="array" ref="M470" xml:space="preserve"> IF(E470*J470=0,0,(INDEX([2]Sheet1!$C$4:$Q$23,MATCH(K470,[2]Sheet1!$B$4:$B$23,1),MATCH(D470,[2]Sheet1!$C$3:$Q$3,1))
+ (K470 - INDEX([2]Sheet1!$B$4:$B$23,MATCH(K470,[2]Sheet1!$B$4:$B$23,1),1))/(INDEX([2]Sheet1!$B$4:$B$23,MATCH(K470,[2]Sheet1!$B$4:$B$23,1)+1,1) - INDEX([2]Sheet1!$B$4:$B$23,MATCH(K470,[2]Sheet1!$B$4:$B$23,1),1))*(INDEX([2]Sheet1!$C$4:$Q$23,MATCH(K470,[2]Sheet1!$B$4:$B$23,1)+1,MATCH(D470,[2]Sheet1!$C$3:$Q$3,1)) - INDEX([2]Sheet1!$C$4:$Q$23,MATCH(K470,[2]Sheet1!$B$4:$B$23,1),MATCH(D470,[2]Sheet1!$C$3:$Q$3,1)))
+ (D470 - INDEX([2]Sheet1!$C$3:$Q$3,1,MATCH(D470,[2]Sheet1!$C$3:$Q$3)))/(INDEX([2]Sheet1!$C$3:$Q$3,1,MATCH(D470,[2]Sheet1!$C$3:$Q$3)+1) - INDEX([2]Sheet1!$C$3:$Q$3,1,MATCH(D470,[2]Sheet1!$C$3:$Q$3)))*(
INDEX([2]Sheet1!$C$4:$Q$23,MATCH(K470,[2]Sheet1!$B$4:$B$23,1),MATCH(D470,[2]Sheet1!$C$3:$Q$3,1)+1) - INDEX([2]Sheet1!$C$4:$Q$23,MATCH(K470,[2]Sheet1!$B$4:$B$23,1),MATCH(D470,[2]Sheet1!$C$3:$Q$3,1)))))</f>
        <v>0</v>
      </c>
      <c r="N470">
        <f t="shared" si="134"/>
        <v>12</v>
      </c>
      <c r="O470">
        <v>8.6412882045672046E-2</v>
      </c>
      <c r="P470" t="e">
        <f t="shared" si="135"/>
        <v>#DIV/0!</v>
      </c>
      <c r="Q470">
        <f t="shared" si="122"/>
        <v>0</v>
      </c>
      <c r="R470">
        <f t="shared" si="136"/>
        <v>741.9099431943954</v>
      </c>
      <c r="T470" t="e">
        <f t="shared" si="125"/>
        <v>#DIV/0!</v>
      </c>
      <c r="U470" t="e">
        <f t="shared" si="126"/>
        <v>#DIV/0!</v>
      </c>
      <c r="V470">
        <f t="shared" si="127"/>
        <v>0</v>
      </c>
      <c r="W470" t="e">
        <f t="shared" si="123"/>
        <v>#DIV/0!</v>
      </c>
    </row>
    <row r="471" spans="1:23" x14ac:dyDescent="0.55000000000000004">
      <c r="A471">
        <f t="shared" si="124"/>
        <v>43.700000000000351</v>
      </c>
      <c r="B471">
        <f t="shared" si="128"/>
        <v>0.316</v>
      </c>
      <c r="C471">
        <f t="shared" si="129"/>
        <v>-23.500000000000231</v>
      </c>
      <c r="D471">
        <v>2.4330048794416825</v>
      </c>
      <c r="E471">
        <f t="shared" si="119"/>
        <v>0</v>
      </c>
      <c r="F471">
        <f t="shared" si="130"/>
        <v>4.8605058816845369E-2</v>
      </c>
      <c r="G471">
        <f t="shared" si="131"/>
        <v>39.513748498891111</v>
      </c>
      <c r="H471">
        <f t="shared" si="132"/>
        <v>0</v>
      </c>
      <c r="I471" s="1">
        <f t="shared" si="120"/>
        <v>0</v>
      </c>
      <c r="J471">
        <f t="shared" si="133"/>
        <v>0</v>
      </c>
      <c r="K471">
        <f t="shared" si="121"/>
        <v>0</v>
      </c>
      <c r="L471" cm="1">
        <f t="array" ref="L471">IF(E471*J471=0,0,$C$21*INDEX([3]Sheet1!$C$4:$Q$23,MATCH(K471,[3]Sheet1!$B$4:$B$23,1),MATCH(D471,[3]Sheet1!$C$3:$Q$3,1))
+(K471-INDEX([3]Sheet1!$B$4:$B$23,MATCH(K471,[3]Sheet1!$B$4:$B$23,1),1))/(INDEX([3]Sheet1!$B$4:$B$23,MATCH(K471,[3]Sheet1!$B$4:$B$23,1)+1,1)-INDEX([3]Sheet1!$B$4:$B$23,
MATCH(K471,[3]Sheet1!$B$4:$B$23,1),1))*(INDEX([3]Sheet1!$C$4:$Q$23,MATCH(K471,[3]Sheet1!$B$4:$B$23,1)+1,MATCH(D471,[3]Sheet1!$C$3:$Q$3,1))-INDEX([3]Sheet1!$C$4:$Q$23,
MATCH(K471,[3]Sheet1!$B$4:$B$23,1),MATCH(D471,[3]Sheet1!$C$3:$Q$3,1)))
+(D471-INDEX([3]Sheet1!$C$3:$Q$3,1,MATCH(D471,[3]Sheet1!$C$3:$Q$3)))/(INDEX([3]Sheet1!$C$3:$Q$3,1,MATCH(D471,[3]Sheet1!$C$3:$Q$3)+1)-INDEX([3]Sheet1!$C$3:$Q$3,1,MATCH(
D471,[3]Sheet1!$C$3:$Q$3)))*(INDEX([3]Sheet1!$C$4:$Q$23,MATCH(K471,[3]Sheet1!$B$4:$B$23,1),MATCH(D471,[3]Sheet1!$C$3:$Q$3,1)+1)-INDEX([3]Sheet1!$C$4:$Q$23,MATCH(K471,[3]Sheet1!$B$4:$B$23,1),MATCH(D471,[3]Sheet1!$C$3:$Q$3,1))))</f>
        <v>0</v>
      </c>
      <c r="M471" cm="1">
        <f t="array" ref="M471" xml:space="preserve"> IF(E471*J471=0,0,(INDEX([2]Sheet1!$C$4:$Q$23,MATCH(K471,[2]Sheet1!$B$4:$B$23,1),MATCH(D471,[2]Sheet1!$C$3:$Q$3,1))
+ (K471 - INDEX([2]Sheet1!$B$4:$B$23,MATCH(K471,[2]Sheet1!$B$4:$B$23,1),1))/(INDEX([2]Sheet1!$B$4:$B$23,MATCH(K471,[2]Sheet1!$B$4:$B$23,1)+1,1) - INDEX([2]Sheet1!$B$4:$B$23,MATCH(K471,[2]Sheet1!$B$4:$B$23,1),1))*(INDEX([2]Sheet1!$C$4:$Q$23,MATCH(K471,[2]Sheet1!$B$4:$B$23,1)+1,MATCH(D471,[2]Sheet1!$C$3:$Q$3,1)) - INDEX([2]Sheet1!$C$4:$Q$23,MATCH(K471,[2]Sheet1!$B$4:$B$23,1),MATCH(D471,[2]Sheet1!$C$3:$Q$3,1)))
+ (D471 - INDEX([2]Sheet1!$C$3:$Q$3,1,MATCH(D471,[2]Sheet1!$C$3:$Q$3)))/(INDEX([2]Sheet1!$C$3:$Q$3,1,MATCH(D471,[2]Sheet1!$C$3:$Q$3)+1) - INDEX([2]Sheet1!$C$3:$Q$3,1,MATCH(D471,[2]Sheet1!$C$3:$Q$3)))*(
INDEX([2]Sheet1!$C$4:$Q$23,MATCH(K471,[2]Sheet1!$B$4:$B$23,1),MATCH(D471,[2]Sheet1!$C$3:$Q$3,1)+1) - INDEX([2]Sheet1!$C$4:$Q$23,MATCH(K471,[2]Sheet1!$B$4:$B$23,1),MATCH(D471,[2]Sheet1!$C$3:$Q$3,1)))))</f>
        <v>0</v>
      </c>
      <c r="N471">
        <f t="shared" si="134"/>
        <v>12</v>
      </c>
      <c r="O471">
        <v>8.6396777532885785E-2</v>
      </c>
      <c r="P471" t="e">
        <f t="shared" si="135"/>
        <v>#DIV/0!</v>
      </c>
      <c r="Q471">
        <f t="shared" si="122"/>
        <v>0</v>
      </c>
      <c r="R471">
        <f t="shared" si="136"/>
        <v>741.9099431943954</v>
      </c>
      <c r="T471" t="e">
        <f t="shared" si="125"/>
        <v>#DIV/0!</v>
      </c>
      <c r="U471" t="e">
        <f t="shared" si="126"/>
        <v>#DIV/0!</v>
      </c>
      <c r="V471">
        <f t="shared" si="127"/>
        <v>0</v>
      </c>
      <c r="W471" t="e">
        <f t="shared" si="123"/>
        <v>#DIV/0!</v>
      </c>
    </row>
    <row r="472" spans="1:23" x14ac:dyDescent="0.55000000000000004">
      <c r="A472">
        <f t="shared" si="124"/>
        <v>43.800000000000352</v>
      </c>
      <c r="B472">
        <f t="shared" si="128"/>
        <v>0.316</v>
      </c>
      <c r="C472">
        <f t="shared" si="129"/>
        <v>-23.565217391304579</v>
      </c>
      <c r="D472">
        <v>2.4329233891355457</v>
      </c>
      <c r="E472">
        <f t="shared" si="119"/>
        <v>0</v>
      </c>
      <c r="F472">
        <f t="shared" si="130"/>
        <v>4.8605058816845369E-2</v>
      </c>
      <c r="G472">
        <f t="shared" si="131"/>
        <v>39.513748498891111</v>
      </c>
      <c r="H472">
        <f t="shared" si="132"/>
        <v>0</v>
      </c>
      <c r="I472" s="1">
        <f t="shared" si="120"/>
        <v>0</v>
      </c>
      <c r="J472">
        <f t="shared" si="133"/>
        <v>0</v>
      </c>
      <c r="K472">
        <f t="shared" si="121"/>
        <v>0</v>
      </c>
      <c r="L472" cm="1">
        <f t="array" ref="L472">IF(E472*J472=0,0,$C$21*INDEX([3]Sheet1!$C$4:$Q$23,MATCH(K472,[3]Sheet1!$B$4:$B$23,1),MATCH(D472,[3]Sheet1!$C$3:$Q$3,1))
+(K472-INDEX([3]Sheet1!$B$4:$B$23,MATCH(K472,[3]Sheet1!$B$4:$B$23,1),1))/(INDEX([3]Sheet1!$B$4:$B$23,MATCH(K472,[3]Sheet1!$B$4:$B$23,1)+1,1)-INDEX([3]Sheet1!$B$4:$B$23,
MATCH(K472,[3]Sheet1!$B$4:$B$23,1),1))*(INDEX([3]Sheet1!$C$4:$Q$23,MATCH(K472,[3]Sheet1!$B$4:$B$23,1)+1,MATCH(D472,[3]Sheet1!$C$3:$Q$3,1))-INDEX([3]Sheet1!$C$4:$Q$23,
MATCH(K472,[3]Sheet1!$B$4:$B$23,1),MATCH(D472,[3]Sheet1!$C$3:$Q$3,1)))
+(D472-INDEX([3]Sheet1!$C$3:$Q$3,1,MATCH(D472,[3]Sheet1!$C$3:$Q$3)))/(INDEX([3]Sheet1!$C$3:$Q$3,1,MATCH(D472,[3]Sheet1!$C$3:$Q$3)+1)-INDEX([3]Sheet1!$C$3:$Q$3,1,MATCH(
D472,[3]Sheet1!$C$3:$Q$3)))*(INDEX([3]Sheet1!$C$4:$Q$23,MATCH(K472,[3]Sheet1!$B$4:$B$23,1),MATCH(D472,[3]Sheet1!$C$3:$Q$3,1)+1)-INDEX([3]Sheet1!$C$4:$Q$23,MATCH(K472,[3]Sheet1!$B$4:$B$23,1),MATCH(D472,[3]Sheet1!$C$3:$Q$3,1))))</f>
        <v>0</v>
      </c>
      <c r="M472" cm="1">
        <f t="array" ref="M472" xml:space="preserve"> IF(E472*J472=0,0,(INDEX([2]Sheet1!$C$4:$Q$23,MATCH(K472,[2]Sheet1!$B$4:$B$23,1),MATCH(D472,[2]Sheet1!$C$3:$Q$3,1))
+ (K472 - INDEX([2]Sheet1!$B$4:$B$23,MATCH(K472,[2]Sheet1!$B$4:$B$23,1),1))/(INDEX([2]Sheet1!$B$4:$B$23,MATCH(K472,[2]Sheet1!$B$4:$B$23,1)+1,1) - INDEX([2]Sheet1!$B$4:$B$23,MATCH(K472,[2]Sheet1!$B$4:$B$23,1),1))*(INDEX([2]Sheet1!$C$4:$Q$23,MATCH(K472,[2]Sheet1!$B$4:$B$23,1)+1,MATCH(D472,[2]Sheet1!$C$3:$Q$3,1)) - INDEX([2]Sheet1!$C$4:$Q$23,MATCH(K472,[2]Sheet1!$B$4:$B$23,1),MATCH(D472,[2]Sheet1!$C$3:$Q$3,1)))
+ (D472 - INDEX([2]Sheet1!$C$3:$Q$3,1,MATCH(D472,[2]Sheet1!$C$3:$Q$3)))/(INDEX([2]Sheet1!$C$3:$Q$3,1,MATCH(D472,[2]Sheet1!$C$3:$Q$3)+1) - INDEX([2]Sheet1!$C$3:$Q$3,1,MATCH(D472,[2]Sheet1!$C$3:$Q$3)))*(
INDEX([2]Sheet1!$C$4:$Q$23,MATCH(K472,[2]Sheet1!$B$4:$B$23,1),MATCH(D472,[2]Sheet1!$C$3:$Q$3,1)+1) - INDEX([2]Sheet1!$C$4:$Q$23,MATCH(K472,[2]Sheet1!$B$4:$B$23,1),MATCH(D472,[2]Sheet1!$C$3:$Q$3,1)))))</f>
        <v>0</v>
      </c>
      <c r="N472">
        <f t="shared" si="134"/>
        <v>12</v>
      </c>
      <c r="O472">
        <v>8.6380700061380475E-2</v>
      </c>
      <c r="P472" t="e">
        <f t="shared" si="135"/>
        <v>#DIV/0!</v>
      </c>
      <c r="Q472">
        <f t="shared" si="122"/>
        <v>0</v>
      </c>
      <c r="R472">
        <f t="shared" si="136"/>
        <v>741.9099431943954</v>
      </c>
      <c r="T472" t="e">
        <f t="shared" si="125"/>
        <v>#DIV/0!</v>
      </c>
      <c r="U472" t="e">
        <f t="shared" si="126"/>
        <v>#DIV/0!</v>
      </c>
      <c r="V472">
        <f t="shared" si="127"/>
        <v>0</v>
      </c>
      <c r="W472" t="e">
        <f t="shared" si="123"/>
        <v>#DIV/0!</v>
      </c>
    </row>
    <row r="473" spans="1:23" x14ac:dyDescent="0.55000000000000004">
      <c r="A473">
        <f t="shared" si="124"/>
        <v>43.900000000000354</v>
      </c>
      <c r="B473">
        <f t="shared" si="128"/>
        <v>0.316</v>
      </c>
      <c r="C473">
        <f t="shared" si="129"/>
        <v>-23.63043478260893</v>
      </c>
      <c r="D473">
        <v>2.4328420203457624</v>
      </c>
      <c r="E473">
        <f t="shared" si="119"/>
        <v>0</v>
      </c>
      <c r="F473">
        <f t="shared" si="130"/>
        <v>4.8605058816845369E-2</v>
      </c>
      <c r="G473">
        <f t="shared" si="131"/>
        <v>39.513748498891111</v>
      </c>
      <c r="H473">
        <f t="shared" si="132"/>
        <v>0</v>
      </c>
      <c r="I473" s="1">
        <f t="shared" si="120"/>
        <v>0</v>
      </c>
      <c r="J473">
        <f t="shared" si="133"/>
        <v>0</v>
      </c>
      <c r="K473">
        <f t="shared" si="121"/>
        <v>0</v>
      </c>
      <c r="L473" cm="1">
        <f t="array" ref="L473">IF(E473*J473=0,0,$C$21*INDEX([3]Sheet1!$C$4:$Q$23,MATCH(K473,[3]Sheet1!$B$4:$B$23,1),MATCH(D473,[3]Sheet1!$C$3:$Q$3,1))
+(K473-INDEX([3]Sheet1!$B$4:$B$23,MATCH(K473,[3]Sheet1!$B$4:$B$23,1),1))/(INDEX([3]Sheet1!$B$4:$B$23,MATCH(K473,[3]Sheet1!$B$4:$B$23,1)+1,1)-INDEX([3]Sheet1!$B$4:$B$23,
MATCH(K473,[3]Sheet1!$B$4:$B$23,1),1))*(INDEX([3]Sheet1!$C$4:$Q$23,MATCH(K473,[3]Sheet1!$B$4:$B$23,1)+1,MATCH(D473,[3]Sheet1!$C$3:$Q$3,1))-INDEX([3]Sheet1!$C$4:$Q$23,
MATCH(K473,[3]Sheet1!$B$4:$B$23,1),MATCH(D473,[3]Sheet1!$C$3:$Q$3,1)))
+(D473-INDEX([3]Sheet1!$C$3:$Q$3,1,MATCH(D473,[3]Sheet1!$C$3:$Q$3)))/(INDEX([3]Sheet1!$C$3:$Q$3,1,MATCH(D473,[3]Sheet1!$C$3:$Q$3)+1)-INDEX([3]Sheet1!$C$3:$Q$3,1,MATCH(
D473,[3]Sheet1!$C$3:$Q$3)))*(INDEX([3]Sheet1!$C$4:$Q$23,MATCH(K473,[3]Sheet1!$B$4:$B$23,1),MATCH(D473,[3]Sheet1!$C$3:$Q$3,1)+1)-INDEX([3]Sheet1!$C$4:$Q$23,MATCH(K473,[3]Sheet1!$B$4:$B$23,1),MATCH(D473,[3]Sheet1!$C$3:$Q$3,1))))</f>
        <v>0</v>
      </c>
      <c r="M473" cm="1">
        <f t="array" ref="M473" xml:space="preserve"> IF(E473*J473=0,0,(INDEX([2]Sheet1!$C$4:$Q$23,MATCH(K473,[2]Sheet1!$B$4:$B$23,1),MATCH(D473,[2]Sheet1!$C$3:$Q$3,1))
+ (K473 - INDEX([2]Sheet1!$B$4:$B$23,MATCH(K473,[2]Sheet1!$B$4:$B$23,1),1))/(INDEX([2]Sheet1!$B$4:$B$23,MATCH(K473,[2]Sheet1!$B$4:$B$23,1)+1,1) - INDEX([2]Sheet1!$B$4:$B$23,MATCH(K473,[2]Sheet1!$B$4:$B$23,1),1))*(INDEX([2]Sheet1!$C$4:$Q$23,MATCH(K473,[2]Sheet1!$B$4:$B$23,1)+1,MATCH(D473,[2]Sheet1!$C$3:$Q$3,1)) - INDEX([2]Sheet1!$C$4:$Q$23,MATCH(K473,[2]Sheet1!$B$4:$B$23,1),MATCH(D473,[2]Sheet1!$C$3:$Q$3,1)))
+ (D473 - INDEX([2]Sheet1!$C$3:$Q$3,1,MATCH(D473,[2]Sheet1!$C$3:$Q$3)))/(INDEX([2]Sheet1!$C$3:$Q$3,1,MATCH(D473,[2]Sheet1!$C$3:$Q$3)+1) - INDEX([2]Sheet1!$C$3:$Q$3,1,MATCH(D473,[2]Sheet1!$C$3:$Q$3)))*(
INDEX([2]Sheet1!$C$4:$Q$23,MATCH(K473,[2]Sheet1!$B$4:$B$23,1),MATCH(D473,[2]Sheet1!$C$3:$Q$3,1)+1) - INDEX([2]Sheet1!$C$4:$Q$23,MATCH(K473,[2]Sheet1!$B$4:$B$23,1),MATCH(D473,[2]Sheet1!$C$3:$Q$3,1)))))</f>
        <v>0</v>
      </c>
      <c r="N473">
        <f t="shared" si="134"/>
        <v>12</v>
      </c>
      <c r="O473">
        <v>8.6364649543120883E-2</v>
      </c>
      <c r="P473" t="e">
        <f t="shared" si="135"/>
        <v>#DIV/0!</v>
      </c>
      <c r="Q473">
        <f t="shared" si="122"/>
        <v>0</v>
      </c>
      <c r="R473">
        <f t="shared" si="136"/>
        <v>741.9099431943954</v>
      </c>
      <c r="T473" t="e">
        <f t="shared" si="125"/>
        <v>#DIV/0!</v>
      </c>
      <c r="U473" t="e">
        <f t="shared" si="126"/>
        <v>#DIV/0!</v>
      </c>
      <c r="V473">
        <f t="shared" si="127"/>
        <v>0</v>
      </c>
      <c r="W473" t="e">
        <f t="shared" si="123"/>
        <v>#DIV/0!</v>
      </c>
    </row>
    <row r="474" spans="1:23" x14ac:dyDescent="0.55000000000000004">
      <c r="A474">
        <f t="shared" si="124"/>
        <v>44.000000000000355</v>
      </c>
      <c r="B474">
        <f t="shared" si="128"/>
        <v>0.316</v>
      </c>
      <c r="C474">
        <f t="shared" si="129"/>
        <v>-23.695652173913281</v>
      </c>
      <c r="D474">
        <v>2.4327607726977205</v>
      </c>
      <c r="E474">
        <f t="shared" si="119"/>
        <v>0</v>
      </c>
      <c r="F474">
        <f t="shared" si="130"/>
        <v>4.8605058816845369E-2</v>
      </c>
      <c r="G474">
        <f t="shared" si="131"/>
        <v>39.513748498891111</v>
      </c>
      <c r="H474">
        <f t="shared" si="132"/>
        <v>0</v>
      </c>
      <c r="I474" s="1">
        <f t="shared" si="120"/>
        <v>0</v>
      </c>
      <c r="J474">
        <f t="shared" si="133"/>
        <v>0</v>
      </c>
      <c r="K474">
        <f t="shared" si="121"/>
        <v>0</v>
      </c>
      <c r="L474" cm="1">
        <f t="array" ref="L474">IF(E474*J474=0,0,$C$21*INDEX([3]Sheet1!$C$4:$Q$23,MATCH(K474,[3]Sheet1!$B$4:$B$23,1),MATCH(D474,[3]Sheet1!$C$3:$Q$3,1))
+(K474-INDEX([3]Sheet1!$B$4:$B$23,MATCH(K474,[3]Sheet1!$B$4:$B$23,1),1))/(INDEX([3]Sheet1!$B$4:$B$23,MATCH(K474,[3]Sheet1!$B$4:$B$23,1)+1,1)-INDEX([3]Sheet1!$B$4:$B$23,
MATCH(K474,[3]Sheet1!$B$4:$B$23,1),1))*(INDEX([3]Sheet1!$C$4:$Q$23,MATCH(K474,[3]Sheet1!$B$4:$B$23,1)+1,MATCH(D474,[3]Sheet1!$C$3:$Q$3,1))-INDEX([3]Sheet1!$C$4:$Q$23,
MATCH(K474,[3]Sheet1!$B$4:$B$23,1),MATCH(D474,[3]Sheet1!$C$3:$Q$3,1)))
+(D474-INDEX([3]Sheet1!$C$3:$Q$3,1,MATCH(D474,[3]Sheet1!$C$3:$Q$3)))/(INDEX([3]Sheet1!$C$3:$Q$3,1,MATCH(D474,[3]Sheet1!$C$3:$Q$3)+1)-INDEX([3]Sheet1!$C$3:$Q$3,1,MATCH(
D474,[3]Sheet1!$C$3:$Q$3)))*(INDEX([3]Sheet1!$C$4:$Q$23,MATCH(K474,[3]Sheet1!$B$4:$B$23,1),MATCH(D474,[3]Sheet1!$C$3:$Q$3,1)+1)-INDEX([3]Sheet1!$C$4:$Q$23,MATCH(K474,[3]Sheet1!$B$4:$B$23,1),MATCH(D474,[3]Sheet1!$C$3:$Q$3,1))))</f>
        <v>0</v>
      </c>
      <c r="M474" cm="1">
        <f t="array" ref="M474" xml:space="preserve"> IF(E474*J474=0,0,(INDEX([2]Sheet1!$C$4:$Q$23,MATCH(K474,[2]Sheet1!$B$4:$B$23,1),MATCH(D474,[2]Sheet1!$C$3:$Q$3,1))
+ (K474 - INDEX([2]Sheet1!$B$4:$B$23,MATCH(K474,[2]Sheet1!$B$4:$B$23,1),1))/(INDEX([2]Sheet1!$B$4:$B$23,MATCH(K474,[2]Sheet1!$B$4:$B$23,1)+1,1) - INDEX([2]Sheet1!$B$4:$B$23,MATCH(K474,[2]Sheet1!$B$4:$B$23,1),1))*(INDEX([2]Sheet1!$C$4:$Q$23,MATCH(K474,[2]Sheet1!$B$4:$B$23,1)+1,MATCH(D474,[2]Sheet1!$C$3:$Q$3,1)) - INDEX([2]Sheet1!$C$4:$Q$23,MATCH(K474,[2]Sheet1!$B$4:$B$23,1),MATCH(D474,[2]Sheet1!$C$3:$Q$3,1)))
+ (D474 - INDEX([2]Sheet1!$C$3:$Q$3,1,MATCH(D474,[2]Sheet1!$C$3:$Q$3)))/(INDEX([2]Sheet1!$C$3:$Q$3,1,MATCH(D474,[2]Sheet1!$C$3:$Q$3)+1) - INDEX([2]Sheet1!$C$3:$Q$3,1,MATCH(D474,[2]Sheet1!$C$3:$Q$3)))*(
INDEX([2]Sheet1!$C$4:$Q$23,MATCH(K474,[2]Sheet1!$B$4:$B$23,1),MATCH(D474,[2]Sheet1!$C$3:$Q$3,1)+1) - INDEX([2]Sheet1!$C$4:$Q$23,MATCH(K474,[2]Sheet1!$B$4:$B$23,1),MATCH(D474,[2]Sheet1!$C$3:$Q$3,1)))))</f>
        <v>0</v>
      </c>
      <c r="N474">
        <f t="shared" si="134"/>
        <v>12</v>
      </c>
      <c r="O474">
        <v>8.6348625890495911E-2</v>
      </c>
      <c r="P474" t="e">
        <f t="shared" si="135"/>
        <v>#DIV/0!</v>
      </c>
      <c r="Q474">
        <f t="shared" si="122"/>
        <v>0</v>
      </c>
      <c r="R474">
        <f t="shared" si="136"/>
        <v>741.9099431943954</v>
      </c>
      <c r="T474" t="e">
        <f t="shared" si="125"/>
        <v>#DIV/0!</v>
      </c>
      <c r="U474" t="e">
        <f t="shared" si="126"/>
        <v>#DIV/0!</v>
      </c>
      <c r="V474">
        <f t="shared" si="127"/>
        <v>0</v>
      </c>
      <c r="W474" t="e">
        <f t="shared" si="123"/>
        <v>#DIV/0!</v>
      </c>
    </row>
    <row r="475" spans="1:23" x14ac:dyDescent="0.55000000000000004">
      <c r="A475">
        <f t="shared" si="124"/>
        <v>44.100000000000357</v>
      </c>
      <c r="B475">
        <f t="shared" si="128"/>
        <v>0.316</v>
      </c>
      <c r="C475">
        <f t="shared" si="129"/>
        <v>-23.760869565217625</v>
      </c>
      <c r="D475">
        <v>2.4326796458185522</v>
      </c>
      <c r="E475">
        <f t="shared" si="119"/>
        <v>0</v>
      </c>
      <c r="F475">
        <f t="shared" si="130"/>
        <v>4.8605058816845369E-2</v>
      </c>
      <c r="G475">
        <f t="shared" si="131"/>
        <v>39.513748498891111</v>
      </c>
      <c r="H475">
        <f t="shared" si="132"/>
        <v>0</v>
      </c>
      <c r="I475" s="1">
        <f t="shared" si="120"/>
        <v>0</v>
      </c>
      <c r="J475">
        <f t="shared" si="133"/>
        <v>0</v>
      </c>
      <c r="K475">
        <f t="shared" si="121"/>
        <v>0</v>
      </c>
      <c r="L475" cm="1">
        <f t="array" ref="L475">IF(E475*J475=0,0,$C$21*INDEX([3]Sheet1!$C$4:$Q$23,MATCH(K475,[3]Sheet1!$B$4:$B$23,1),MATCH(D475,[3]Sheet1!$C$3:$Q$3,1))
+(K475-INDEX([3]Sheet1!$B$4:$B$23,MATCH(K475,[3]Sheet1!$B$4:$B$23,1),1))/(INDEX([3]Sheet1!$B$4:$B$23,MATCH(K475,[3]Sheet1!$B$4:$B$23,1)+1,1)-INDEX([3]Sheet1!$B$4:$B$23,
MATCH(K475,[3]Sheet1!$B$4:$B$23,1),1))*(INDEX([3]Sheet1!$C$4:$Q$23,MATCH(K475,[3]Sheet1!$B$4:$B$23,1)+1,MATCH(D475,[3]Sheet1!$C$3:$Q$3,1))-INDEX([3]Sheet1!$C$4:$Q$23,
MATCH(K475,[3]Sheet1!$B$4:$B$23,1),MATCH(D475,[3]Sheet1!$C$3:$Q$3,1)))
+(D475-INDEX([3]Sheet1!$C$3:$Q$3,1,MATCH(D475,[3]Sheet1!$C$3:$Q$3)))/(INDEX([3]Sheet1!$C$3:$Q$3,1,MATCH(D475,[3]Sheet1!$C$3:$Q$3)+1)-INDEX([3]Sheet1!$C$3:$Q$3,1,MATCH(
D475,[3]Sheet1!$C$3:$Q$3)))*(INDEX([3]Sheet1!$C$4:$Q$23,MATCH(K475,[3]Sheet1!$B$4:$B$23,1),MATCH(D475,[3]Sheet1!$C$3:$Q$3,1)+1)-INDEX([3]Sheet1!$C$4:$Q$23,MATCH(K475,[3]Sheet1!$B$4:$B$23,1),MATCH(D475,[3]Sheet1!$C$3:$Q$3,1))))</f>
        <v>0</v>
      </c>
      <c r="M475" cm="1">
        <f t="array" ref="M475" xml:space="preserve"> IF(E475*J475=0,0,(INDEX([2]Sheet1!$C$4:$Q$23,MATCH(K475,[2]Sheet1!$B$4:$B$23,1),MATCH(D475,[2]Sheet1!$C$3:$Q$3,1))
+ (K475 - INDEX([2]Sheet1!$B$4:$B$23,MATCH(K475,[2]Sheet1!$B$4:$B$23,1),1))/(INDEX([2]Sheet1!$B$4:$B$23,MATCH(K475,[2]Sheet1!$B$4:$B$23,1)+1,1) - INDEX([2]Sheet1!$B$4:$B$23,MATCH(K475,[2]Sheet1!$B$4:$B$23,1),1))*(INDEX([2]Sheet1!$C$4:$Q$23,MATCH(K475,[2]Sheet1!$B$4:$B$23,1)+1,MATCH(D475,[2]Sheet1!$C$3:$Q$3,1)) - INDEX([2]Sheet1!$C$4:$Q$23,MATCH(K475,[2]Sheet1!$B$4:$B$23,1),MATCH(D475,[2]Sheet1!$C$3:$Q$3,1)))
+ (D475 - INDEX([2]Sheet1!$C$3:$Q$3,1,MATCH(D475,[2]Sheet1!$C$3:$Q$3)))/(INDEX([2]Sheet1!$C$3:$Q$3,1,MATCH(D475,[2]Sheet1!$C$3:$Q$3)+1) - INDEX([2]Sheet1!$C$3:$Q$3,1,MATCH(D475,[2]Sheet1!$C$3:$Q$3)))*(
INDEX([2]Sheet1!$C$4:$Q$23,MATCH(K475,[2]Sheet1!$B$4:$B$23,1),MATCH(D475,[2]Sheet1!$C$3:$Q$3,1)+1) - INDEX([2]Sheet1!$C$4:$Q$23,MATCH(K475,[2]Sheet1!$B$4:$B$23,1),MATCH(D475,[2]Sheet1!$C$3:$Q$3,1)))))</f>
        <v>0</v>
      </c>
      <c r="N475">
        <f t="shared" si="134"/>
        <v>12</v>
      </c>
      <c r="O475">
        <v>8.6332629016318191E-2</v>
      </c>
      <c r="P475" t="e">
        <f t="shared" si="135"/>
        <v>#DIV/0!</v>
      </c>
      <c r="Q475">
        <f t="shared" si="122"/>
        <v>0</v>
      </c>
      <c r="R475">
        <f t="shared" si="136"/>
        <v>741.9099431943954</v>
      </c>
      <c r="T475" t="e">
        <f t="shared" si="125"/>
        <v>#DIV/0!</v>
      </c>
      <c r="U475" t="e">
        <f t="shared" si="126"/>
        <v>#DIV/0!</v>
      </c>
      <c r="V475">
        <f t="shared" si="127"/>
        <v>0</v>
      </c>
      <c r="W475" t="e">
        <f t="shared" si="123"/>
        <v>#DIV/0!</v>
      </c>
    </row>
    <row r="476" spans="1:23" x14ac:dyDescent="0.55000000000000004">
      <c r="A476">
        <f t="shared" si="124"/>
        <v>44.200000000000358</v>
      </c>
      <c r="B476">
        <f t="shared" si="128"/>
        <v>0.316</v>
      </c>
      <c r="C476">
        <f t="shared" si="129"/>
        <v>-23.826086956521976</v>
      </c>
      <c r="D476">
        <v>2.4325986393371206</v>
      </c>
      <c r="E476">
        <f t="shared" si="119"/>
        <v>0</v>
      </c>
      <c r="F476">
        <f t="shared" si="130"/>
        <v>4.8605058816845369E-2</v>
      </c>
      <c r="G476">
        <f t="shared" si="131"/>
        <v>39.513748498891111</v>
      </c>
      <c r="H476">
        <f t="shared" si="132"/>
        <v>0</v>
      </c>
      <c r="I476" s="1">
        <f t="shared" si="120"/>
        <v>0</v>
      </c>
      <c r="J476">
        <f t="shared" si="133"/>
        <v>0</v>
      </c>
      <c r="K476">
        <f t="shared" si="121"/>
        <v>0</v>
      </c>
      <c r="L476" cm="1">
        <f t="array" ref="L476">IF(E476*J476=0,0,$C$21*INDEX([3]Sheet1!$C$4:$Q$23,MATCH(K476,[3]Sheet1!$B$4:$B$23,1),MATCH(D476,[3]Sheet1!$C$3:$Q$3,1))
+(K476-INDEX([3]Sheet1!$B$4:$B$23,MATCH(K476,[3]Sheet1!$B$4:$B$23,1),1))/(INDEX([3]Sheet1!$B$4:$B$23,MATCH(K476,[3]Sheet1!$B$4:$B$23,1)+1,1)-INDEX([3]Sheet1!$B$4:$B$23,
MATCH(K476,[3]Sheet1!$B$4:$B$23,1),1))*(INDEX([3]Sheet1!$C$4:$Q$23,MATCH(K476,[3]Sheet1!$B$4:$B$23,1)+1,MATCH(D476,[3]Sheet1!$C$3:$Q$3,1))-INDEX([3]Sheet1!$C$4:$Q$23,
MATCH(K476,[3]Sheet1!$B$4:$B$23,1),MATCH(D476,[3]Sheet1!$C$3:$Q$3,1)))
+(D476-INDEX([3]Sheet1!$C$3:$Q$3,1,MATCH(D476,[3]Sheet1!$C$3:$Q$3)))/(INDEX([3]Sheet1!$C$3:$Q$3,1,MATCH(D476,[3]Sheet1!$C$3:$Q$3)+1)-INDEX([3]Sheet1!$C$3:$Q$3,1,MATCH(
D476,[3]Sheet1!$C$3:$Q$3)))*(INDEX([3]Sheet1!$C$4:$Q$23,MATCH(K476,[3]Sheet1!$B$4:$B$23,1),MATCH(D476,[3]Sheet1!$C$3:$Q$3,1)+1)-INDEX([3]Sheet1!$C$4:$Q$23,MATCH(K476,[3]Sheet1!$B$4:$B$23,1),MATCH(D476,[3]Sheet1!$C$3:$Q$3,1))))</f>
        <v>0</v>
      </c>
      <c r="M476" cm="1">
        <f t="array" ref="M476" xml:space="preserve"> IF(E476*J476=0,0,(INDEX([2]Sheet1!$C$4:$Q$23,MATCH(K476,[2]Sheet1!$B$4:$B$23,1),MATCH(D476,[2]Sheet1!$C$3:$Q$3,1))
+ (K476 - INDEX([2]Sheet1!$B$4:$B$23,MATCH(K476,[2]Sheet1!$B$4:$B$23,1),1))/(INDEX([2]Sheet1!$B$4:$B$23,MATCH(K476,[2]Sheet1!$B$4:$B$23,1)+1,1) - INDEX([2]Sheet1!$B$4:$B$23,MATCH(K476,[2]Sheet1!$B$4:$B$23,1),1))*(INDEX([2]Sheet1!$C$4:$Q$23,MATCH(K476,[2]Sheet1!$B$4:$B$23,1)+1,MATCH(D476,[2]Sheet1!$C$3:$Q$3,1)) - INDEX([2]Sheet1!$C$4:$Q$23,MATCH(K476,[2]Sheet1!$B$4:$B$23,1),MATCH(D476,[2]Sheet1!$C$3:$Q$3,1)))
+ (D476 - INDEX([2]Sheet1!$C$3:$Q$3,1,MATCH(D476,[2]Sheet1!$C$3:$Q$3)))/(INDEX([2]Sheet1!$C$3:$Q$3,1,MATCH(D476,[2]Sheet1!$C$3:$Q$3)+1) - INDEX([2]Sheet1!$C$3:$Q$3,1,MATCH(D476,[2]Sheet1!$C$3:$Q$3)))*(
INDEX([2]Sheet1!$C$4:$Q$23,MATCH(K476,[2]Sheet1!$B$4:$B$23,1),MATCH(D476,[2]Sheet1!$C$3:$Q$3,1)+1) - INDEX([2]Sheet1!$C$4:$Q$23,MATCH(K476,[2]Sheet1!$B$4:$B$23,1),MATCH(D476,[2]Sheet1!$C$3:$Q$3,1)))))</f>
        <v>0</v>
      </c>
      <c r="N476">
        <f t="shared" si="134"/>
        <v>12</v>
      </c>
      <c r="O476">
        <v>8.631665883381974E-2</v>
      </c>
      <c r="P476" t="e">
        <f t="shared" si="135"/>
        <v>#DIV/0!</v>
      </c>
      <c r="Q476">
        <f t="shared" si="122"/>
        <v>0</v>
      </c>
      <c r="R476">
        <f t="shared" si="136"/>
        <v>741.9099431943954</v>
      </c>
      <c r="T476" t="e">
        <f t="shared" si="125"/>
        <v>#DIV/0!</v>
      </c>
      <c r="U476" t="e">
        <f t="shared" si="126"/>
        <v>#DIV/0!</v>
      </c>
      <c r="V476">
        <f t="shared" si="127"/>
        <v>0</v>
      </c>
      <c r="W476" t="e">
        <f t="shared" si="123"/>
        <v>#DIV/0!</v>
      </c>
    </row>
    <row r="477" spans="1:23" x14ac:dyDescent="0.55000000000000004">
      <c r="A477">
        <f t="shared" si="124"/>
        <v>44.30000000000036</v>
      </c>
      <c r="B477">
        <f t="shared" si="128"/>
        <v>0.316</v>
      </c>
      <c r="C477">
        <f t="shared" si="129"/>
        <v>-23.891304347826324</v>
      </c>
      <c r="D477">
        <v>2.4325177528840065</v>
      </c>
      <c r="E477">
        <f t="shared" si="119"/>
        <v>0</v>
      </c>
      <c r="F477">
        <f t="shared" si="130"/>
        <v>4.8605058816845369E-2</v>
      </c>
      <c r="G477">
        <f t="shared" si="131"/>
        <v>39.513748498891111</v>
      </c>
      <c r="H477">
        <f t="shared" si="132"/>
        <v>0</v>
      </c>
      <c r="I477" s="1">
        <f t="shared" si="120"/>
        <v>0</v>
      </c>
      <c r="J477">
        <f t="shared" si="133"/>
        <v>0</v>
      </c>
      <c r="K477">
        <f t="shared" si="121"/>
        <v>0</v>
      </c>
      <c r="L477" cm="1">
        <f t="array" ref="L477">IF(E477*J477=0,0,$C$21*INDEX([3]Sheet1!$C$4:$Q$23,MATCH(K477,[3]Sheet1!$B$4:$B$23,1),MATCH(D477,[3]Sheet1!$C$3:$Q$3,1))
+(K477-INDEX([3]Sheet1!$B$4:$B$23,MATCH(K477,[3]Sheet1!$B$4:$B$23,1),1))/(INDEX([3]Sheet1!$B$4:$B$23,MATCH(K477,[3]Sheet1!$B$4:$B$23,1)+1,1)-INDEX([3]Sheet1!$B$4:$B$23,
MATCH(K477,[3]Sheet1!$B$4:$B$23,1),1))*(INDEX([3]Sheet1!$C$4:$Q$23,MATCH(K477,[3]Sheet1!$B$4:$B$23,1)+1,MATCH(D477,[3]Sheet1!$C$3:$Q$3,1))-INDEX([3]Sheet1!$C$4:$Q$23,
MATCH(K477,[3]Sheet1!$B$4:$B$23,1),MATCH(D477,[3]Sheet1!$C$3:$Q$3,1)))
+(D477-INDEX([3]Sheet1!$C$3:$Q$3,1,MATCH(D477,[3]Sheet1!$C$3:$Q$3)))/(INDEX([3]Sheet1!$C$3:$Q$3,1,MATCH(D477,[3]Sheet1!$C$3:$Q$3)+1)-INDEX([3]Sheet1!$C$3:$Q$3,1,MATCH(
D477,[3]Sheet1!$C$3:$Q$3)))*(INDEX([3]Sheet1!$C$4:$Q$23,MATCH(K477,[3]Sheet1!$B$4:$B$23,1),MATCH(D477,[3]Sheet1!$C$3:$Q$3,1)+1)-INDEX([3]Sheet1!$C$4:$Q$23,MATCH(K477,[3]Sheet1!$B$4:$B$23,1),MATCH(D477,[3]Sheet1!$C$3:$Q$3,1))))</f>
        <v>0</v>
      </c>
      <c r="M477" cm="1">
        <f t="array" ref="M477" xml:space="preserve"> IF(E477*J477=0,0,(INDEX([2]Sheet1!$C$4:$Q$23,MATCH(K477,[2]Sheet1!$B$4:$B$23,1),MATCH(D477,[2]Sheet1!$C$3:$Q$3,1))
+ (K477 - INDEX([2]Sheet1!$B$4:$B$23,MATCH(K477,[2]Sheet1!$B$4:$B$23,1),1))/(INDEX([2]Sheet1!$B$4:$B$23,MATCH(K477,[2]Sheet1!$B$4:$B$23,1)+1,1) - INDEX([2]Sheet1!$B$4:$B$23,MATCH(K477,[2]Sheet1!$B$4:$B$23,1),1))*(INDEX([2]Sheet1!$C$4:$Q$23,MATCH(K477,[2]Sheet1!$B$4:$B$23,1)+1,MATCH(D477,[2]Sheet1!$C$3:$Q$3,1)) - INDEX([2]Sheet1!$C$4:$Q$23,MATCH(K477,[2]Sheet1!$B$4:$B$23,1),MATCH(D477,[2]Sheet1!$C$3:$Q$3,1)))
+ (D477 - INDEX([2]Sheet1!$C$3:$Q$3,1,MATCH(D477,[2]Sheet1!$C$3:$Q$3)))/(INDEX([2]Sheet1!$C$3:$Q$3,1,MATCH(D477,[2]Sheet1!$C$3:$Q$3)+1) - INDEX([2]Sheet1!$C$3:$Q$3,1,MATCH(D477,[2]Sheet1!$C$3:$Q$3)))*(
INDEX([2]Sheet1!$C$4:$Q$23,MATCH(K477,[2]Sheet1!$B$4:$B$23,1),MATCH(D477,[2]Sheet1!$C$3:$Q$3,1)+1) - INDEX([2]Sheet1!$C$4:$Q$23,MATCH(K477,[2]Sheet1!$B$4:$B$23,1),MATCH(D477,[2]Sheet1!$C$3:$Q$3,1)))))</f>
        <v>0</v>
      </c>
      <c r="N477">
        <f t="shared" si="134"/>
        <v>12</v>
      </c>
      <c r="O477">
        <v>8.6300715256649146E-2</v>
      </c>
      <c r="P477" t="e">
        <f t="shared" si="135"/>
        <v>#DIV/0!</v>
      </c>
      <c r="Q477">
        <f t="shared" si="122"/>
        <v>0</v>
      </c>
      <c r="R477">
        <f t="shared" si="136"/>
        <v>741.9099431943954</v>
      </c>
      <c r="T477" t="e">
        <f t="shared" si="125"/>
        <v>#DIV/0!</v>
      </c>
      <c r="U477" t="e">
        <f t="shared" si="126"/>
        <v>#DIV/0!</v>
      </c>
      <c r="V477">
        <f t="shared" si="127"/>
        <v>0</v>
      </c>
      <c r="W477" t="e">
        <f t="shared" si="123"/>
        <v>#DIV/0!</v>
      </c>
    </row>
    <row r="478" spans="1:23" x14ac:dyDescent="0.55000000000000004">
      <c r="A478">
        <f t="shared" si="124"/>
        <v>44.400000000000361</v>
      </c>
      <c r="B478">
        <f t="shared" si="128"/>
        <v>0.316</v>
      </c>
      <c r="C478">
        <f t="shared" si="129"/>
        <v>-23.956521739130668</v>
      </c>
      <c r="D478">
        <v>2.4324369860915036</v>
      </c>
      <c r="E478">
        <f t="shared" si="119"/>
        <v>0</v>
      </c>
      <c r="F478">
        <f t="shared" si="130"/>
        <v>4.8605058816845369E-2</v>
      </c>
      <c r="G478">
        <f t="shared" si="131"/>
        <v>39.513748498891111</v>
      </c>
      <c r="H478">
        <f t="shared" si="132"/>
        <v>0</v>
      </c>
      <c r="I478" s="1">
        <f t="shared" si="120"/>
        <v>0</v>
      </c>
      <c r="J478">
        <f t="shared" si="133"/>
        <v>0</v>
      </c>
      <c r="K478">
        <f t="shared" si="121"/>
        <v>0</v>
      </c>
      <c r="L478" cm="1">
        <f t="array" ref="L478">IF(E478*J478=0,0,$C$21*INDEX([3]Sheet1!$C$4:$Q$23,MATCH(K478,[3]Sheet1!$B$4:$B$23,1),MATCH(D478,[3]Sheet1!$C$3:$Q$3,1))
+(K478-INDEX([3]Sheet1!$B$4:$B$23,MATCH(K478,[3]Sheet1!$B$4:$B$23,1),1))/(INDEX([3]Sheet1!$B$4:$B$23,MATCH(K478,[3]Sheet1!$B$4:$B$23,1)+1,1)-INDEX([3]Sheet1!$B$4:$B$23,
MATCH(K478,[3]Sheet1!$B$4:$B$23,1),1))*(INDEX([3]Sheet1!$C$4:$Q$23,MATCH(K478,[3]Sheet1!$B$4:$B$23,1)+1,MATCH(D478,[3]Sheet1!$C$3:$Q$3,1))-INDEX([3]Sheet1!$C$4:$Q$23,
MATCH(K478,[3]Sheet1!$B$4:$B$23,1),MATCH(D478,[3]Sheet1!$C$3:$Q$3,1)))
+(D478-INDEX([3]Sheet1!$C$3:$Q$3,1,MATCH(D478,[3]Sheet1!$C$3:$Q$3)))/(INDEX([3]Sheet1!$C$3:$Q$3,1,MATCH(D478,[3]Sheet1!$C$3:$Q$3)+1)-INDEX([3]Sheet1!$C$3:$Q$3,1,MATCH(
D478,[3]Sheet1!$C$3:$Q$3)))*(INDEX([3]Sheet1!$C$4:$Q$23,MATCH(K478,[3]Sheet1!$B$4:$B$23,1),MATCH(D478,[3]Sheet1!$C$3:$Q$3,1)+1)-INDEX([3]Sheet1!$C$4:$Q$23,MATCH(K478,[3]Sheet1!$B$4:$B$23,1),MATCH(D478,[3]Sheet1!$C$3:$Q$3,1))))</f>
        <v>0</v>
      </c>
      <c r="M478" cm="1">
        <f t="array" ref="M478" xml:space="preserve"> IF(E478*J478=0,0,(INDEX([2]Sheet1!$C$4:$Q$23,MATCH(K478,[2]Sheet1!$B$4:$B$23,1),MATCH(D478,[2]Sheet1!$C$3:$Q$3,1))
+ (K478 - INDEX([2]Sheet1!$B$4:$B$23,MATCH(K478,[2]Sheet1!$B$4:$B$23,1),1))/(INDEX([2]Sheet1!$B$4:$B$23,MATCH(K478,[2]Sheet1!$B$4:$B$23,1)+1,1) - INDEX([2]Sheet1!$B$4:$B$23,MATCH(K478,[2]Sheet1!$B$4:$B$23,1),1))*(INDEX([2]Sheet1!$C$4:$Q$23,MATCH(K478,[2]Sheet1!$B$4:$B$23,1)+1,MATCH(D478,[2]Sheet1!$C$3:$Q$3,1)) - INDEX([2]Sheet1!$C$4:$Q$23,MATCH(K478,[2]Sheet1!$B$4:$B$23,1),MATCH(D478,[2]Sheet1!$C$3:$Q$3,1)))
+ (D478 - INDEX([2]Sheet1!$C$3:$Q$3,1,MATCH(D478,[2]Sheet1!$C$3:$Q$3)))/(INDEX([2]Sheet1!$C$3:$Q$3,1,MATCH(D478,[2]Sheet1!$C$3:$Q$3)+1) - INDEX([2]Sheet1!$C$3:$Q$3,1,MATCH(D478,[2]Sheet1!$C$3:$Q$3)))*(
INDEX([2]Sheet1!$C$4:$Q$23,MATCH(K478,[2]Sheet1!$B$4:$B$23,1),MATCH(D478,[2]Sheet1!$C$3:$Q$3,1)+1) - INDEX([2]Sheet1!$C$4:$Q$23,MATCH(K478,[2]Sheet1!$B$4:$B$23,1),MATCH(D478,[2]Sheet1!$C$3:$Q$3,1)))))</f>
        <v>0</v>
      </c>
      <c r="N478">
        <f t="shared" si="134"/>
        <v>12</v>
      </c>
      <c r="O478">
        <v>8.628479819886993E-2</v>
      </c>
      <c r="P478" t="e">
        <f t="shared" si="135"/>
        <v>#DIV/0!</v>
      </c>
      <c r="Q478">
        <f t="shared" si="122"/>
        <v>0</v>
      </c>
      <c r="R478">
        <f t="shared" si="136"/>
        <v>741.9099431943954</v>
      </c>
      <c r="T478" t="e">
        <f t="shared" si="125"/>
        <v>#DIV/0!</v>
      </c>
      <c r="U478" t="e">
        <f t="shared" si="126"/>
        <v>#DIV/0!</v>
      </c>
      <c r="V478">
        <f t="shared" si="127"/>
        <v>0</v>
      </c>
      <c r="W478" t="e">
        <f t="shared" si="123"/>
        <v>#DIV/0!</v>
      </c>
    </row>
    <row r="479" spans="1:23" x14ac:dyDescent="0.55000000000000004">
      <c r="A479">
        <f t="shared" si="124"/>
        <v>44.500000000000362</v>
      </c>
      <c r="B479">
        <f t="shared" si="128"/>
        <v>0.316</v>
      </c>
      <c r="C479">
        <f t="shared" si="129"/>
        <v>-24.021739130435019</v>
      </c>
      <c r="D479">
        <v>2.4323563385936038</v>
      </c>
      <c r="E479">
        <f t="shared" si="119"/>
        <v>0</v>
      </c>
      <c r="F479">
        <f t="shared" si="130"/>
        <v>4.8605058816845369E-2</v>
      </c>
      <c r="G479">
        <f t="shared" si="131"/>
        <v>39.513748498891111</v>
      </c>
      <c r="H479">
        <f t="shared" si="132"/>
        <v>0</v>
      </c>
      <c r="I479" s="1">
        <f t="shared" si="120"/>
        <v>0</v>
      </c>
      <c r="J479">
        <f t="shared" si="133"/>
        <v>0</v>
      </c>
      <c r="K479">
        <f t="shared" si="121"/>
        <v>0</v>
      </c>
      <c r="L479" cm="1">
        <f t="array" ref="L479">IF(E479*J479=0,0,$C$21*INDEX([3]Sheet1!$C$4:$Q$23,MATCH(K479,[3]Sheet1!$B$4:$B$23,1),MATCH(D479,[3]Sheet1!$C$3:$Q$3,1))
+(K479-INDEX([3]Sheet1!$B$4:$B$23,MATCH(K479,[3]Sheet1!$B$4:$B$23,1),1))/(INDEX([3]Sheet1!$B$4:$B$23,MATCH(K479,[3]Sheet1!$B$4:$B$23,1)+1,1)-INDEX([3]Sheet1!$B$4:$B$23,
MATCH(K479,[3]Sheet1!$B$4:$B$23,1),1))*(INDEX([3]Sheet1!$C$4:$Q$23,MATCH(K479,[3]Sheet1!$B$4:$B$23,1)+1,MATCH(D479,[3]Sheet1!$C$3:$Q$3,1))-INDEX([3]Sheet1!$C$4:$Q$23,
MATCH(K479,[3]Sheet1!$B$4:$B$23,1),MATCH(D479,[3]Sheet1!$C$3:$Q$3,1)))
+(D479-INDEX([3]Sheet1!$C$3:$Q$3,1,MATCH(D479,[3]Sheet1!$C$3:$Q$3)))/(INDEX([3]Sheet1!$C$3:$Q$3,1,MATCH(D479,[3]Sheet1!$C$3:$Q$3)+1)-INDEX([3]Sheet1!$C$3:$Q$3,1,MATCH(
D479,[3]Sheet1!$C$3:$Q$3)))*(INDEX([3]Sheet1!$C$4:$Q$23,MATCH(K479,[3]Sheet1!$B$4:$B$23,1),MATCH(D479,[3]Sheet1!$C$3:$Q$3,1)+1)-INDEX([3]Sheet1!$C$4:$Q$23,MATCH(K479,[3]Sheet1!$B$4:$B$23,1),MATCH(D479,[3]Sheet1!$C$3:$Q$3,1))))</f>
        <v>0</v>
      </c>
      <c r="M479" cm="1">
        <f t="array" ref="M479" xml:space="preserve"> IF(E479*J479=0,0,(INDEX([2]Sheet1!$C$4:$Q$23,MATCH(K479,[2]Sheet1!$B$4:$B$23,1),MATCH(D479,[2]Sheet1!$C$3:$Q$3,1))
+ (K479 - INDEX([2]Sheet1!$B$4:$B$23,MATCH(K479,[2]Sheet1!$B$4:$B$23,1),1))/(INDEX([2]Sheet1!$B$4:$B$23,MATCH(K479,[2]Sheet1!$B$4:$B$23,1)+1,1) - INDEX([2]Sheet1!$B$4:$B$23,MATCH(K479,[2]Sheet1!$B$4:$B$23,1),1))*(INDEX([2]Sheet1!$C$4:$Q$23,MATCH(K479,[2]Sheet1!$B$4:$B$23,1)+1,MATCH(D479,[2]Sheet1!$C$3:$Q$3,1)) - INDEX([2]Sheet1!$C$4:$Q$23,MATCH(K479,[2]Sheet1!$B$4:$B$23,1),MATCH(D479,[2]Sheet1!$C$3:$Q$3,1)))
+ (D479 - INDEX([2]Sheet1!$C$3:$Q$3,1,MATCH(D479,[2]Sheet1!$C$3:$Q$3)))/(INDEX([2]Sheet1!$C$3:$Q$3,1,MATCH(D479,[2]Sheet1!$C$3:$Q$3)+1) - INDEX([2]Sheet1!$C$3:$Q$3,1,MATCH(D479,[2]Sheet1!$C$3:$Q$3)))*(
INDEX([2]Sheet1!$C$4:$Q$23,MATCH(K479,[2]Sheet1!$B$4:$B$23,1),MATCH(D479,[2]Sheet1!$C$3:$Q$3,1)+1) - INDEX([2]Sheet1!$C$4:$Q$23,MATCH(K479,[2]Sheet1!$B$4:$B$23,1),MATCH(D479,[2]Sheet1!$C$3:$Q$3,1)))))</f>
        <v>0</v>
      </c>
      <c r="N479">
        <f t="shared" si="134"/>
        <v>12</v>
      </c>
      <c r="O479">
        <v>8.6268907574958087E-2</v>
      </c>
      <c r="P479" t="e">
        <f t="shared" si="135"/>
        <v>#DIV/0!</v>
      </c>
      <c r="Q479">
        <f t="shared" si="122"/>
        <v>0</v>
      </c>
      <c r="R479">
        <f t="shared" si="136"/>
        <v>741.9099431943954</v>
      </c>
      <c r="T479" t="e">
        <f t="shared" si="125"/>
        <v>#DIV/0!</v>
      </c>
      <c r="U479" t="e">
        <f t="shared" si="126"/>
        <v>#DIV/0!</v>
      </c>
      <c r="V479">
        <f t="shared" si="127"/>
        <v>0</v>
      </c>
      <c r="W479" t="e">
        <f t="shared" si="123"/>
        <v>#DIV/0!</v>
      </c>
    </row>
    <row r="480" spans="1:23" x14ac:dyDescent="0.55000000000000004">
      <c r="A480">
        <f t="shared" si="124"/>
        <v>44.600000000000364</v>
      </c>
      <c r="B480">
        <f t="shared" si="128"/>
        <v>0.316</v>
      </c>
      <c r="C480">
        <f t="shared" si="129"/>
        <v>-24.086956521739371</v>
      </c>
      <c r="D480">
        <v>2.4322758100259865</v>
      </c>
      <c r="E480">
        <f t="shared" si="119"/>
        <v>0</v>
      </c>
      <c r="F480">
        <f t="shared" si="130"/>
        <v>4.8605058816845369E-2</v>
      </c>
      <c r="G480">
        <f t="shared" si="131"/>
        <v>39.513748498891111</v>
      </c>
      <c r="H480">
        <f t="shared" si="132"/>
        <v>0</v>
      </c>
      <c r="I480" s="1">
        <f t="shared" si="120"/>
        <v>0</v>
      </c>
      <c r="J480">
        <f t="shared" si="133"/>
        <v>0</v>
      </c>
      <c r="K480">
        <f t="shared" si="121"/>
        <v>0</v>
      </c>
      <c r="L480" cm="1">
        <f t="array" ref="L480">IF(E480*J480=0,0,$C$21*INDEX([3]Sheet1!$C$4:$Q$23,MATCH(K480,[3]Sheet1!$B$4:$B$23,1),MATCH(D480,[3]Sheet1!$C$3:$Q$3,1))
+(K480-INDEX([3]Sheet1!$B$4:$B$23,MATCH(K480,[3]Sheet1!$B$4:$B$23,1),1))/(INDEX([3]Sheet1!$B$4:$B$23,MATCH(K480,[3]Sheet1!$B$4:$B$23,1)+1,1)-INDEX([3]Sheet1!$B$4:$B$23,
MATCH(K480,[3]Sheet1!$B$4:$B$23,1),1))*(INDEX([3]Sheet1!$C$4:$Q$23,MATCH(K480,[3]Sheet1!$B$4:$B$23,1)+1,MATCH(D480,[3]Sheet1!$C$3:$Q$3,1))-INDEX([3]Sheet1!$C$4:$Q$23,
MATCH(K480,[3]Sheet1!$B$4:$B$23,1),MATCH(D480,[3]Sheet1!$C$3:$Q$3,1)))
+(D480-INDEX([3]Sheet1!$C$3:$Q$3,1,MATCH(D480,[3]Sheet1!$C$3:$Q$3)))/(INDEX([3]Sheet1!$C$3:$Q$3,1,MATCH(D480,[3]Sheet1!$C$3:$Q$3)+1)-INDEX([3]Sheet1!$C$3:$Q$3,1,MATCH(
D480,[3]Sheet1!$C$3:$Q$3)))*(INDEX([3]Sheet1!$C$4:$Q$23,MATCH(K480,[3]Sheet1!$B$4:$B$23,1),MATCH(D480,[3]Sheet1!$C$3:$Q$3,1)+1)-INDEX([3]Sheet1!$C$4:$Q$23,MATCH(K480,[3]Sheet1!$B$4:$B$23,1),MATCH(D480,[3]Sheet1!$C$3:$Q$3,1))))</f>
        <v>0</v>
      </c>
      <c r="M480" cm="1">
        <f t="array" ref="M480" xml:space="preserve"> IF(E480*J480=0,0,(INDEX([2]Sheet1!$C$4:$Q$23,MATCH(K480,[2]Sheet1!$B$4:$B$23,1),MATCH(D480,[2]Sheet1!$C$3:$Q$3,1))
+ (K480 - INDEX([2]Sheet1!$B$4:$B$23,MATCH(K480,[2]Sheet1!$B$4:$B$23,1),1))/(INDEX([2]Sheet1!$B$4:$B$23,MATCH(K480,[2]Sheet1!$B$4:$B$23,1)+1,1) - INDEX([2]Sheet1!$B$4:$B$23,MATCH(K480,[2]Sheet1!$B$4:$B$23,1),1))*(INDEX([2]Sheet1!$C$4:$Q$23,MATCH(K480,[2]Sheet1!$B$4:$B$23,1)+1,MATCH(D480,[2]Sheet1!$C$3:$Q$3,1)) - INDEX([2]Sheet1!$C$4:$Q$23,MATCH(K480,[2]Sheet1!$B$4:$B$23,1),MATCH(D480,[2]Sheet1!$C$3:$Q$3,1)))
+ (D480 - INDEX([2]Sheet1!$C$3:$Q$3,1,MATCH(D480,[2]Sheet1!$C$3:$Q$3)))/(INDEX([2]Sheet1!$C$3:$Q$3,1,MATCH(D480,[2]Sheet1!$C$3:$Q$3)+1) - INDEX([2]Sheet1!$C$3:$Q$3,1,MATCH(D480,[2]Sheet1!$C$3:$Q$3)))*(
INDEX([2]Sheet1!$C$4:$Q$23,MATCH(K480,[2]Sheet1!$B$4:$B$23,1),MATCH(D480,[2]Sheet1!$C$3:$Q$3,1)+1) - INDEX([2]Sheet1!$C$4:$Q$23,MATCH(K480,[2]Sheet1!$B$4:$B$23,1),MATCH(D480,[2]Sheet1!$C$3:$Q$3,1)))))</f>
        <v>0</v>
      </c>
      <c r="N480">
        <f t="shared" si="134"/>
        <v>12</v>
      </c>
      <c r="O480">
        <v>8.6253043299797785E-2</v>
      </c>
      <c r="P480" t="e">
        <f t="shared" si="135"/>
        <v>#DIV/0!</v>
      </c>
      <c r="Q480">
        <f t="shared" si="122"/>
        <v>0</v>
      </c>
      <c r="R480">
        <f t="shared" si="136"/>
        <v>741.9099431943954</v>
      </c>
      <c r="T480" t="e">
        <f t="shared" si="125"/>
        <v>#DIV/0!</v>
      </c>
      <c r="U480" t="e">
        <f t="shared" si="126"/>
        <v>#DIV/0!</v>
      </c>
      <c r="V480">
        <f t="shared" si="127"/>
        <v>0</v>
      </c>
      <c r="W480" t="e">
        <f t="shared" si="123"/>
        <v>#DIV/0!</v>
      </c>
    </row>
    <row r="481" spans="1:23" x14ac:dyDescent="0.55000000000000004">
      <c r="A481">
        <f t="shared" si="124"/>
        <v>44.700000000000365</v>
      </c>
      <c r="B481">
        <f t="shared" si="128"/>
        <v>0.316</v>
      </c>
      <c r="C481">
        <f t="shared" si="129"/>
        <v>-24.152173913043722</v>
      </c>
      <c r="D481">
        <v>2.432195400026012</v>
      </c>
      <c r="E481">
        <f t="shared" si="119"/>
        <v>0</v>
      </c>
      <c r="F481">
        <f t="shared" si="130"/>
        <v>4.8605058816845369E-2</v>
      </c>
      <c r="G481">
        <f t="shared" si="131"/>
        <v>39.513748498891111</v>
      </c>
      <c r="H481">
        <f t="shared" si="132"/>
        <v>0</v>
      </c>
      <c r="I481" s="1">
        <f t="shared" si="120"/>
        <v>0</v>
      </c>
      <c r="J481">
        <f t="shared" si="133"/>
        <v>0</v>
      </c>
      <c r="K481">
        <f t="shared" si="121"/>
        <v>0</v>
      </c>
      <c r="L481" cm="1">
        <f t="array" ref="L481">IF(E481*J481=0,0,$C$21*INDEX([3]Sheet1!$C$4:$Q$23,MATCH(K481,[3]Sheet1!$B$4:$B$23,1),MATCH(D481,[3]Sheet1!$C$3:$Q$3,1))
+(K481-INDEX([3]Sheet1!$B$4:$B$23,MATCH(K481,[3]Sheet1!$B$4:$B$23,1),1))/(INDEX([3]Sheet1!$B$4:$B$23,MATCH(K481,[3]Sheet1!$B$4:$B$23,1)+1,1)-INDEX([3]Sheet1!$B$4:$B$23,
MATCH(K481,[3]Sheet1!$B$4:$B$23,1),1))*(INDEX([3]Sheet1!$C$4:$Q$23,MATCH(K481,[3]Sheet1!$B$4:$B$23,1)+1,MATCH(D481,[3]Sheet1!$C$3:$Q$3,1))-INDEX([3]Sheet1!$C$4:$Q$23,
MATCH(K481,[3]Sheet1!$B$4:$B$23,1),MATCH(D481,[3]Sheet1!$C$3:$Q$3,1)))
+(D481-INDEX([3]Sheet1!$C$3:$Q$3,1,MATCH(D481,[3]Sheet1!$C$3:$Q$3)))/(INDEX([3]Sheet1!$C$3:$Q$3,1,MATCH(D481,[3]Sheet1!$C$3:$Q$3)+1)-INDEX([3]Sheet1!$C$3:$Q$3,1,MATCH(
D481,[3]Sheet1!$C$3:$Q$3)))*(INDEX([3]Sheet1!$C$4:$Q$23,MATCH(K481,[3]Sheet1!$B$4:$B$23,1),MATCH(D481,[3]Sheet1!$C$3:$Q$3,1)+1)-INDEX([3]Sheet1!$C$4:$Q$23,MATCH(K481,[3]Sheet1!$B$4:$B$23,1),MATCH(D481,[3]Sheet1!$C$3:$Q$3,1))))</f>
        <v>0</v>
      </c>
      <c r="M481" cm="1">
        <f t="array" ref="M481" xml:space="preserve"> IF(E481*J481=0,0,(INDEX([2]Sheet1!$C$4:$Q$23,MATCH(K481,[2]Sheet1!$B$4:$B$23,1),MATCH(D481,[2]Sheet1!$C$3:$Q$3,1))
+ (K481 - INDEX([2]Sheet1!$B$4:$B$23,MATCH(K481,[2]Sheet1!$B$4:$B$23,1),1))/(INDEX([2]Sheet1!$B$4:$B$23,MATCH(K481,[2]Sheet1!$B$4:$B$23,1)+1,1) - INDEX([2]Sheet1!$B$4:$B$23,MATCH(K481,[2]Sheet1!$B$4:$B$23,1),1))*(INDEX([2]Sheet1!$C$4:$Q$23,MATCH(K481,[2]Sheet1!$B$4:$B$23,1)+1,MATCH(D481,[2]Sheet1!$C$3:$Q$3,1)) - INDEX([2]Sheet1!$C$4:$Q$23,MATCH(K481,[2]Sheet1!$B$4:$B$23,1),MATCH(D481,[2]Sheet1!$C$3:$Q$3,1)))
+ (D481 - INDEX([2]Sheet1!$C$3:$Q$3,1,MATCH(D481,[2]Sheet1!$C$3:$Q$3)))/(INDEX([2]Sheet1!$C$3:$Q$3,1,MATCH(D481,[2]Sheet1!$C$3:$Q$3)+1) - INDEX([2]Sheet1!$C$3:$Q$3,1,MATCH(D481,[2]Sheet1!$C$3:$Q$3)))*(
INDEX([2]Sheet1!$C$4:$Q$23,MATCH(K481,[2]Sheet1!$B$4:$B$23,1),MATCH(D481,[2]Sheet1!$C$3:$Q$3,1)+1) - INDEX([2]Sheet1!$C$4:$Q$23,MATCH(K481,[2]Sheet1!$B$4:$B$23,1),MATCH(D481,[2]Sheet1!$C$3:$Q$3,1)))))</f>
        <v>0</v>
      </c>
      <c r="N481">
        <f t="shared" si="134"/>
        <v>12</v>
      </c>
      <c r="O481">
        <v>8.623720528868116E-2</v>
      </c>
      <c r="P481" t="e">
        <f t="shared" si="135"/>
        <v>#DIV/0!</v>
      </c>
      <c r="Q481">
        <f t="shared" si="122"/>
        <v>0</v>
      </c>
      <c r="R481">
        <f t="shared" si="136"/>
        <v>741.9099431943954</v>
      </c>
      <c r="T481" t="e">
        <f t="shared" si="125"/>
        <v>#DIV/0!</v>
      </c>
      <c r="U481" t="e">
        <f t="shared" si="126"/>
        <v>#DIV/0!</v>
      </c>
      <c r="V481">
        <f t="shared" si="127"/>
        <v>0</v>
      </c>
      <c r="W481" t="e">
        <f t="shared" si="123"/>
        <v>#DIV/0!</v>
      </c>
    </row>
    <row r="482" spans="1:23" x14ac:dyDescent="0.55000000000000004">
      <c r="A482">
        <f t="shared" si="124"/>
        <v>44.800000000000367</v>
      </c>
      <c r="B482">
        <f t="shared" si="128"/>
        <v>0.316</v>
      </c>
      <c r="C482">
        <f t="shared" si="129"/>
        <v>-24.21739130434807</v>
      </c>
      <c r="D482">
        <v>2.4321151082327046</v>
      </c>
      <c r="E482">
        <f t="shared" si="119"/>
        <v>0</v>
      </c>
      <c r="F482">
        <f t="shared" si="130"/>
        <v>4.8605058816845369E-2</v>
      </c>
      <c r="G482">
        <f t="shared" si="131"/>
        <v>39.513748498891111</v>
      </c>
      <c r="H482">
        <f t="shared" si="132"/>
        <v>0</v>
      </c>
      <c r="I482" s="1">
        <f t="shared" si="120"/>
        <v>0</v>
      </c>
      <c r="J482">
        <f t="shared" si="133"/>
        <v>0</v>
      </c>
      <c r="K482">
        <f t="shared" si="121"/>
        <v>0</v>
      </c>
      <c r="L482" cm="1">
        <f t="array" ref="L482">IF(E482*J482=0,0,$C$21*INDEX([3]Sheet1!$C$4:$Q$23,MATCH(K482,[3]Sheet1!$B$4:$B$23,1),MATCH(D482,[3]Sheet1!$C$3:$Q$3,1))
+(K482-INDEX([3]Sheet1!$B$4:$B$23,MATCH(K482,[3]Sheet1!$B$4:$B$23,1),1))/(INDEX([3]Sheet1!$B$4:$B$23,MATCH(K482,[3]Sheet1!$B$4:$B$23,1)+1,1)-INDEX([3]Sheet1!$B$4:$B$23,
MATCH(K482,[3]Sheet1!$B$4:$B$23,1),1))*(INDEX([3]Sheet1!$C$4:$Q$23,MATCH(K482,[3]Sheet1!$B$4:$B$23,1)+1,MATCH(D482,[3]Sheet1!$C$3:$Q$3,1))-INDEX([3]Sheet1!$C$4:$Q$23,
MATCH(K482,[3]Sheet1!$B$4:$B$23,1),MATCH(D482,[3]Sheet1!$C$3:$Q$3,1)))
+(D482-INDEX([3]Sheet1!$C$3:$Q$3,1,MATCH(D482,[3]Sheet1!$C$3:$Q$3)))/(INDEX([3]Sheet1!$C$3:$Q$3,1,MATCH(D482,[3]Sheet1!$C$3:$Q$3)+1)-INDEX([3]Sheet1!$C$3:$Q$3,1,MATCH(
D482,[3]Sheet1!$C$3:$Q$3)))*(INDEX([3]Sheet1!$C$4:$Q$23,MATCH(K482,[3]Sheet1!$B$4:$B$23,1),MATCH(D482,[3]Sheet1!$C$3:$Q$3,1)+1)-INDEX([3]Sheet1!$C$4:$Q$23,MATCH(K482,[3]Sheet1!$B$4:$B$23,1),MATCH(D482,[3]Sheet1!$C$3:$Q$3,1))))</f>
        <v>0</v>
      </c>
      <c r="M482" cm="1">
        <f t="array" ref="M482" xml:space="preserve"> IF(E482*J482=0,0,(INDEX([2]Sheet1!$C$4:$Q$23,MATCH(K482,[2]Sheet1!$B$4:$B$23,1),MATCH(D482,[2]Sheet1!$C$3:$Q$3,1))
+ (K482 - INDEX([2]Sheet1!$B$4:$B$23,MATCH(K482,[2]Sheet1!$B$4:$B$23,1),1))/(INDEX([2]Sheet1!$B$4:$B$23,MATCH(K482,[2]Sheet1!$B$4:$B$23,1)+1,1) - INDEX([2]Sheet1!$B$4:$B$23,MATCH(K482,[2]Sheet1!$B$4:$B$23,1),1))*(INDEX([2]Sheet1!$C$4:$Q$23,MATCH(K482,[2]Sheet1!$B$4:$B$23,1)+1,MATCH(D482,[2]Sheet1!$C$3:$Q$3,1)) - INDEX([2]Sheet1!$C$4:$Q$23,MATCH(K482,[2]Sheet1!$B$4:$B$23,1),MATCH(D482,[2]Sheet1!$C$3:$Q$3,1)))
+ (D482 - INDEX([2]Sheet1!$C$3:$Q$3,1,MATCH(D482,[2]Sheet1!$C$3:$Q$3)))/(INDEX([2]Sheet1!$C$3:$Q$3,1,MATCH(D482,[2]Sheet1!$C$3:$Q$3)+1) - INDEX([2]Sheet1!$C$3:$Q$3,1,MATCH(D482,[2]Sheet1!$C$3:$Q$3)))*(
INDEX([2]Sheet1!$C$4:$Q$23,MATCH(K482,[2]Sheet1!$B$4:$B$23,1),MATCH(D482,[2]Sheet1!$C$3:$Q$3,1)+1) - INDEX([2]Sheet1!$C$4:$Q$23,MATCH(K482,[2]Sheet1!$B$4:$B$23,1),MATCH(D482,[2]Sheet1!$C$3:$Q$3,1)))))</f>
        <v>0</v>
      </c>
      <c r="N482">
        <f t="shared" si="134"/>
        <v>12</v>
      </c>
      <c r="O482">
        <v>8.6221393457302814E-2</v>
      </c>
      <c r="P482" t="e">
        <f t="shared" si="135"/>
        <v>#DIV/0!</v>
      </c>
      <c r="Q482">
        <f t="shared" si="122"/>
        <v>0</v>
      </c>
      <c r="R482">
        <f t="shared" si="136"/>
        <v>741.9099431943954</v>
      </c>
      <c r="T482" t="e">
        <f t="shared" si="125"/>
        <v>#DIV/0!</v>
      </c>
      <c r="U482" t="e">
        <f t="shared" si="126"/>
        <v>#DIV/0!</v>
      </c>
      <c r="V482">
        <f t="shared" si="127"/>
        <v>0</v>
      </c>
      <c r="W482" t="e">
        <f t="shared" si="123"/>
        <v>#DIV/0!</v>
      </c>
    </row>
    <row r="483" spans="1:23" x14ac:dyDescent="0.55000000000000004">
      <c r="A483">
        <f t="shared" si="124"/>
        <v>44.900000000000368</v>
      </c>
      <c r="B483">
        <f t="shared" si="128"/>
        <v>0.316</v>
      </c>
      <c r="C483">
        <f t="shared" si="129"/>
        <v>-24.282608695652414</v>
      </c>
      <c r="D483">
        <v>2.4320349342867504</v>
      </c>
      <c r="E483">
        <f t="shared" ref="E483:E546" si="137">IF(B483&lt;($C$5*$C$6*10^-6),$C$9*(PI()/4*($C$8*0.001)^2)*SQRT(2*$C$6*IF(C483&gt;D483,(C483-D483),0)*10^6),0)</f>
        <v>0</v>
      </c>
      <c r="F483">
        <f t="shared" si="130"/>
        <v>4.8605058816845369E-2</v>
      </c>
      <c r="G483">
        <f t="shared" si="131"/>
        <v>39.513748498891111</v>
      </c>
      <c r="H483">
        <f t="shared" si="132"/>
        <v>0</v>
      </c>
      <c r="I483" s="1">
        <f t="shared" ref="I483:I546" si="138">IF(G483=$C$14,0,$C$16*(H483)^$C$17)</f>
        <v>0</v>
      </c>
      <c r="J483">
        <f t="shared" si="133"/>
        <v>0</v>
      </c>
      <c r="K483">
        <f t="shared" ref="K483:K546" si="139">IF(E483*J483=0,0,E483/J483)</f>
        <v>0</v>
      </c>
      <c r="L483" cm="1">
        <f t="array" ref="L483">IF(E483*J483=0,0,$C$21*INDEX([3]Sheet1!$C$4:$Q$23,MATCH(K483,[3]Sheet1!$B$4:$B$23,1),MATCH(D483,[3]Sheet1!$C$3:$Q$3,1))
+(K483-INDEX([3]Sheet1!$B$4:$B$23,MATCH(K483,[3]Sheet1!$B$4:$B$23,1),1))/(INDEX([3]Sheet1!$B$4:$B$23,MATCH(K483,[3]Sheet1!$B$4:$B$23,1)+1,1)-INDEX([3]Sheet1!$B$4:$B$23,
MATCH(K483,[3]Sheet1!$B$4:$B$23,1),1))*(INDEX([3]Sheet1!$C$4:$Q$23,MATCH(K483,[3]Sheet1!$B$4:$B$23,1)+1,MATCH(D483,[3]Sheet1!$C$3:$Q$3,1))-INDEX([3]Sheet1!$C$4:$Q$23,
MATCH(K483,[3]Sheet1!$B$4:$B$23,1),MATCH(D483,[3]Sheet1!$C$3:$Q$3,1)))
+(D483-INDEX([3]Sheet1!$C$3:$Q$3,1,MATCH(D483,[3]Sheet1!$C$3:$Q$3)))/(INDEX([3]Sheet1!$C$3:$Q$3,1,MATCH(D483,[3]Sheet1!$C$3:$Q$3)+1)-INDEX([3]Sheet1!$C$3:$Q$3,1,MATCH(
D483,[3]Sheet1!$C$3:$Q$3)))*(INDEX([3]Sheet1!$C$4:$Q$23,MATCH(K483,[3]Sheet1!$B$4:$B$23,1),MATCH(D483,[3]Sheet1!$C$3:$Q$3,1)+1)-INDEX([3]Sheet1!$C$4:$Q$23,MATCH(K483,[3]Sheet1!$B$4:$B$23,1),MATCH(D483,[3]Sheet1!$C$3:$Q$3,1))))</f>
        <v>0</v>
      </c>
      <c r="M483" cm="1">
        <f t="array" ref="M483" xml:space="preserve"> IF(E483*J483=0,0,(INDEX([2]Sheet1!$C$4:$Q$23,MATCH(K483,[2]Sheet1!$B$4:$B$23,1),MATCH(D483,[2]Sheet1!$C$3:$Q$3,1))
+ (K483 - INDEX([2]Sheet1!$B$4:$B$23,MATCH(K483,[2]Sheet1!$B$4:$B$23,1),1))/(INDEX([2]Sheet1!$B$4:$B$23,MATCH(K483,[2]Sheet1!$B$4:$B$23,1)+1,1) - INDEX([2]Sheet1!$B$4:$B$23,MATCH(K483,[2]Sheet1!$B$4:$B$23,1),1))*(INDEX([2]Sheet1!$C$4:$Q$23,MATCH(K483,[2]Sheet1!$B$4:$B$23,1)+1,MATCH(D483,[2]Sheet1!$C$3:$Q$3,1)) - INDEX([2]Sheet1!$C$4:$Q$23,MATCH(K483,[2]Sheet1!$B$4:$B$23,1),MATCH(D483,[2]Sheet1!$C$3:$Q$3,1)))
+ (D483 - INDEX([2]Sheet1!$C$3:$Q$3,1,MATCH(D483,[2]Sheet1!$C$3:$Q$3)))/(INDEX([2]Sheet1!$C$3:$Q$3,1,MATCH(D483,[2]Sheet1!$C$3:$Q$3)+1) - INDEX([2]Sheet1!$C$3:$Q$3,1,MATCH(D483,[2]Sheet1!$C$3:$Q$3)))*(
INDEX([2]Sheet1!$C$4:$Q$23,MATCH(K483,[2]Sheet1!$B$4:$B$23,1),MATCH(D483,[2]Sheet1!$C$3:$Q$3,1)+1) - INDEX([2]Sheet1!$C$4:$Q$23,MATCH(K483,[2]Sheet1!$B$4:$B$23,1),MATCH(D483,[2]Sheet1!$C$3:$Q$3,1)))))</f>
        <v>0</v>
      </c>
      <c r="N483">
        <f t="shared" si="134"/>
        <v>12</v>
      </c>
      <c r="O483">
        <v>8.6205607721760294E-2</v>
      </c>
      <c r="P483" t="e">
        <f t="shared" si="135"/>
        <v>#DIV/0!</v>
      </c>
      <c r="Q483">
        <f t="shared" ref="Q483:Q546" si="140">IF(E483*J483=0,0,((1+COS(RADIANS($C$25)))/2)*P483*D483*(PI()*($C$23^2)/4))</f>
        <v>0</v>
      </c>
      <c r="R483">
        <f t="shared" si="136"/>
        <v>741.9099431943954</v>
      </c>
      <c r="T483" t="e">
        <f t="shared" si="125"/>
        <v>#DIV/0!</v>
      </c>
      <c r="U483" t="e">
        <f t="shared" si="126"/>
        <v>#DIV/0!</v>
      </c>
      <c r="V483">
        <f t="shared" si="127"/>
        <v>0</v>
      </c>
      <c r="W483" t="e">
        <f t="shared" ref="W483:W546" si="141">(D483-V483)/V483*100</f>
        <v>#DIV/0!</v>
      </c>
    </row>
    <row r="484" spans="1:23" x14ac:dyDescent="0.55000000000000004">
      <c r="A484">
        <f t="shared" ref="A484:A547" si="142">A483+$C$29</f>
        <v>45.000000000000369</v>
      </c>
      <c r="B484">
        <f t="shared" si="128"/>
        <v>0.316</v>
      </c>
      <c r="C484">
        <f t="shared" si="129"/>
        <v>-24.347826086956765</v>
      </c>
      <c r="D484">
        <v>2.4319548778304809</v>
      </c>
      <c r="E484">
        <f t="shared" si="137"/>
        <v>0</v>
      </c>
      <c r="F484">
        <f t="shared" si="130"/>
        <v>4.8605058816845369E-2</v>
      </c>
      <c r="G484">
        <f t="shared" si="131"/>
        <v>39.513748498891111</v>
      </c>
      <c r="H484">
        <f t="shared" si="132"/>
        <v>0</v>
      </c>
      <c r="I484" s="1">
        <f t="shared" si="138"/>
        <v>0</v>
      </c>
      <c r="J484">
        <f t="shared" si="133"/>
        <v>0</v>
      </c>
      <c r="K484">
        <f t="shared" si="139"/>
        <v>0</v>
      </c>
      <c r="L484" cm="1">
        <f t="array" ref="L484">IF(E484*J484=0,0,$C$21*INDEX([3]Sheet1!$C$4:$Q$23,MATCH(K484,[3]Sheet1!$B$4:$B$23,1),MATCH(D484,[3]Sheet1!$C$3:$Q$3,1))
+(K484-INDEX([3]Sheet1!$B$4:$B$23,MATCH(K484,[3]Sheet1!$B$4:$B$23,1),1))/(INDEX([3]Sheet1!$B$4:$B$23,MATCH(K484,[3]Sheet1!$B$4:$B$23,1)+1,1)-INDEX([3]Sheet1!$B$4:$B$23,
MATCH(K484,[3]Sheet1!$B$4:$B$23,1),1))*(INDEX([3]Sheet1!$C$4:$Q$23,MATCH(K484,[3]Sheet1!$B$4:$B$23,1)+1,MATCH(D484,[3]Sheet1!$C$3:$Q$3,1))-INDEX([3]Sheet1!$C$4:$Q$23,
MATCH(K484,[3]Sheet1!$B$4:$B$23,1),MATCH(D484,[3]Sheet1!$C$3:$Q$3,1)))
+(D484-INDEX([3]Sheet1!$C$3:$Q$3,1,MATCH(D484,[3]Sheet1!$C$3:$Q$3)))/(INDEX([3]Sheet1!$C$3:$Q$3,1,MATCH(D484,[3]Sheet1!$C$3:$Q$3)+1)-INDEX([3]Sheet1!$C$3:$Q$3,1,MATCH(
D484,[3]Sheet1!$C$3:$Q$3)))*(INDEX([3]Sheet1!$C$4:$Q$23,MATCH(K484,[3]Sheet1!$B$4:$B$23,1),MATCH(D484,[3]Sheet1!$C$3:$Q$3,1)+1)-INDEX([3]Sheet1!$C$4:$Q$23,MATCH(K484,[3]Sheet1!$B$4:$B$23,1),MATCH(D484,[3]Sheet1!$C$3:$Q$3,1))))</f>
        <v>0</v>
      </c>
      <c r="M484" cm="1">
        <f t="array" ref="M484" xml:space="preserve"> IF(E484*J484=0,0,(INDEX([2]Sheet1!$C$4:$Q$23,MATCH(K484,[2]Sheet1!$B$4:$B$23,1),MATCH(D484,[2]Sheet1!$C$3:$Q$3,1))
+ (K484 - INDEX([2]Sheet1!$B$4:$B$23,MATCH(K484,[2]Sheet1!$B$4:$B$23,1),1))/(INDEX([2]Sheet1!$B$4:$B$23,MATCH(K484,[2]Sheet1!$B$4:$B$23,1)+1,1) - INDEX([2]Sheet1!$B$4:$B$23,MATCH(K484,[2]Sheet1!$B$4:$B$23,1),1))*(INDEX([2]Sheet1!$C$4:$Q$23,MATCH(K484,[2]Sheet1!$B$4:$B$23,1)+1,MATCH(D484,[2]Sheet1!$C$3:$Q$3,1)) - INDEX([2]Sheet1!$C$4:$Q$23,MATCH(K484,[2]Sheet1!$B$4:$B$23,1),MATCH(D484,[2]Sheet1!$C$3:$Q$3,1)))
+ (D484 - INDEX([2]Sheet1!$C$3:$Q$3,1,MATCH(D484,[2]Sheet1!$C$3:$Q$3)))/(INDEX([2]Sheet1!$C$3:$Q$3,1,MATCH(D484,[2]Sheet1!$C$3:$Q$3)+1) - INDEX([2]Sheet1!$C$3:$Q$3,1,MATCH(D484,[2]Sheet1!$C$3:$Q$3)))*(
INDEX([2]Sheet1!$C$4:$Q$23,MATCH(K484,[2]Sheet1!$B$4:$B$23,1),MATCH(D484,[2]Sheet1!$C$3:$Q$3,1)+1) - INDEX([2]Sheet1!$C$4:$Q$23,MATCH(K484,[2]Sheet1!$B$4:$B$23,1),MATCH(D484,[2]Sheet1!$C$3:$Q$3,1)))))</f>
        <v>0</v>
      </c>
      <c r="N484">
        <f t="shared" si="134"/>
        <v>12</v>
      </c>
      <c r="O484">
        <v>8.6189847998549257E-2</v>
      </c>
      <c r="P484" t="e">
        <f t="shared" si="135"/>
        <v>#DIV/0!</v>
      </c>
      <c r="Q484">
        <f t="shared" si="140"/>
        <v>0</v>
      </c>
      <c r="R484">
        <f t="shared" si="136"/>
        <v>741.9099431943954</v>
      </c>
      <c r="T484" t="e">
        <f t="shared" si="125"/>
        <v>#DIV/0!</v>
      </c>
      <c r="U484" t="e">
        <f t="shared" si="126"/>
        <v>#DIV/0!</v>
      </c>
      <c r="V484">
        <f t="shared" si="127"/>
        <v>0</v>
      </c>
      <c r="W484" t="e">
        <f t="shared" si="141"/>
        <v>#DIV/0!</v>
      </c>
    </row>
    <row r="485" spans="1:23" x14ac:dyDescent="0.55000000000000004">
      <c r="A485">
        <f t="shared" si="142"/>
        <v>45.100000000000371</v>
      </c>
      <c r="B485">
        <f t="shared" si="128"/>
        <v>0.316</v>
      </c>
      <c r="C485">
        <f t="shared" si="129"/>
        <v>-24.413043478261116</v>
      </c>
      <c r="D485">
        <v>2.4318749385078653</v>
      </c>
      <c r="E485">
        <f t="shared" si="137"/>
        <v>0</v>
      </c>
      <c r="F485">
        <f t="shared" si="130"/>
        <v>4.8605058816845369E-2</v>
      </c>
      <c r="G485">
        <f t="shared" si="131"/>
        <v>39.513748498891111</v>
      </c>
      <c r="H485">
        <f t="shared" si="132"/>
        <v>0</v>
      </c>
      <c r="I485" s="1">
        <f t="shared" si="138"/>
        <v>0</v>
      </c>
      <c r="J485">
        <f t="shared" si="133"/>
        <v>0</v>
      </c>
      <c r="K485">
        <f t="shared" si="139"/>
        <v>0</v>
      </c>
      <c r="L485" cm="1">
        <f t="array" ref="L485">IF(E485*J485=0,0,$C$21*INDEX([3]Sheet1!$C$4:$Q$23,MATCH(K485,[3]Sheet1!$B$4:$B$23,1),MATCH(D485,[3]Sheet1!$C$3:$Q$3,1))
+(K485-INDEX([3]Sheet1!$B$4:$B$23,MATCH(K485,[3]Sheet1!$B$4:$B$23,1),1))/(INDEX([3]Sheet1!$B$4:$B$23,MATCH(K485,[3]Sheet1!$B$4:$B$23,1)+1,1)-INDEX([3]Sheet1!$B$4:$B$23,
MATCH(K485,[3]Sheet1!$B$4:$B$23,1),1))*(INDEX([3]Sheet1!$C$4:$Q$23,MATCH(K485,[3]Sheet1!$B$4:$B$23,1)+1,MATCH(D485,[3]Sheet1!$C$3:$Q$3,1))-INDEX([3]Sheet1!$C$4:$Q$23,
MATCH(K485,[3]Sheet1!$B$4:$B$23,1),MATCH(D485,[3]Sheet1!$C$3:$Q$3,1)))
+(D485-INDEX([3]Sheet1!$C$3:$Q$3,1,MATCH(D485,[3]Sheet1!$C$3:$Q$3)))/(INDEX([3]Sheet1!$C$3:$Q$3,1,MATCH(D485,[3]Sheet1!$C$3:$Q$3)+1)-INDEX([3]Sheet1!$C$3:$Q$3,1,MATCH(
D485,[3]Sheet1!$C$3:$Q$3)))*(INDEX([3]Sheet1!$C$4:$Q$23,MATCH(K485,[3]Sheet1!$B$4:$B$23,1),MATCH(D485,[3]Sheet1!$C$3:$Q$3,1)+1)-INDEX([3]Sheet1!$C$4:$Q$23,MATCH(K485,[3]Sheet1!$B$4:$B$23,1),MATCH(D485,[3]Sheet1!$C$3:$Q$3,1))))</f>
        <v>0</v>
      </c>
      <c r="M485" cm="1">
        <f t="array" ref="M485" xml:space="preserve"> IF(E485*J485=0,0,(INDEX([2]Sheet1!$C$4:$Q$23,MATCH(K485,[2]Sheet1!$B$4:$B$23,1),MATCH(D485,[2]Sheet1!$C$3:$Q$3,1))
+ (K485 - INDEX([2]Sheet1!$B$4:$B$23,MATCH(K485,[2]Sheet1!$B$4:$B$23,1),1))/(INDEX([2]Sheet1!$B$4:$B$23,MATCH(K485,[2]Sheet1!$B$4:$B$23,1)+1,1) - INDEX([2]Sheet1!$B$4:$B$23,MATCH(K485,[2]Sheet1!$B$4:$B$23,1),1))*(INDEX([2]Sheet1!$C$4:$Q$23,MATCH(K485,[2]Sheet1!$B$4:$B$23,1)+1,MATCH(D485,[2]Sheet1!$C$3:$Q$3,1)) - INDEX([2]Sheet1!$C$4:$Q$23,MATCH(K485,[2]Sheet1!$B$4:$B$23,1),MATCH(D485,[2]Sheet1!$C$3:$Q$3,1)))
+ (D485 - INDEX([2]Sheet1!$C$3:$Q$3,1,MATCH(D485,[2]Sheet1!$C$3:$Q$3)))/(INDEX([2]Sheet1!$C$3:$Q$3,1,MATCH(D485,[2]Sheet1!$C$3:$Q$3)+1) - INDEX([2]Sheet1!$C$3:$Q$3,1,MATCH(D485,[2]Sheet1!$C$3:$Q$3)))*(
INDEX([2]Sheet1!$C$4:$Q$23,MATCH(K485,[2]Sheet1!$B$4:$B$23,1),MATCH(D485,[2]Sheet1!$C$3:$Q$3,1)+1) - INDEX([2]Sheet1!$C$4:$Q$23,MATCH(K485,[2]Sheet1!$B$4:$B$23,1),MATCH(D485,[2]Sheet1!$C$3:$Q$3,1)))))</f>
        <v>0</v>
      </c>
      <c r="N485">
        <f t="shared" si="134"/>
        <v>12</v>
      </c>
      <c r="O485">
        <v>8.6174114204562918E-2</v>
      </c>
      <c r="P485" t="e">
        <f t="shared" si="135"/>
        <v>#DIV/0!</v>
      </c>
      <c r="Q485">
        <f t="shared" si="140"/>
        <v>0</v>
      </c>
      <c r="R485">
        <f t="shared" si="136"/>
        <v>741.9099431943954</v>
      </c>
      <c r="T485" t="e">
        <f t="shared" ref="T485:T548" si="143">((2/(M485+1))^(1/(M485-1)))*((D485/O485)^(1/M485))/SQRT(((M485+1)/(M485-1))*(1-(O485/D485)^((M485-1)/M485)))</f>
        <v>#DIV/0!</v>
      </c>
      <c r="U485" t="e">
        <f t="shared" ref="U485:U548" si="144">(T485-(($C$24^2)/(N485^2)))/(($C$24^2)/(N485^2))*100</f>
        <v>#DIV/0!</v>
      </c>
      <c r="V485">
        <f t="shared" ref="V485:V548" si="145">4*L485*(E485+J485)/(PI()*N485^2)</f>
        <v>0</v>
      </c>
      <c r="W485" t="e">
        <f t="shared" si="141"/>
        <v>#DIV/0!</v>
      </c>
    </row>
    <row r="486" spans="1:23" x14ac:dyDescent="0.55000000000000004">
      <c r="A486">
        <f t="shared" si="142"/>
        <v>45.200000000000372</v>
      </c>
      <c r="B486">
        <f t="shared" ref="B486:B549" si="146">IF(B485+(E485+E484)*(A485-A484)/2&lt;$C$5*$C$6*10^-6,B485+(E485+E484)*(A485-A484)/2,$C$5*$C$6*10^-6)</f>
        <v>0.316</v>
      </c>
      <c r="C486">
        <f t="shared" ref="C486:C549" si="147">($C$3-$C$2)*A486/$C$4+$C$2</f>
        <v>-24.47826086956546</v>
      </c>
      <c r="D486">
        <v>2.4317951159645004</v>
      </c>
      <c r="E486">
        <f t="shared" si="137"/>
        <v>0</v>
      </c>
      <c r="F486">
        <f t="shared" ref="F486:F549" si="148">F485+(J485+J484)*(A486-A485)/2</f>
        <v>4.8605058816845369E-2</v>
      </c>
      <c r="G486">
        <f t="shared" ref="G486:G549" si="149">IF(SQRT(4*F486/($C$15*PI()*$C$11*$C$12*0.001)+($C$13*0.001)^2)*1000&lt;$C$14,SQRT(4*F486/($C$15*PI()*$C$11*$C$12*0.001)+($C$13*0.001)^2)*1000,$C$14)</f>
        <v>39.513748498891111</v>
      </c>
      <c r="H486">
        <f t="shared" ref="H486:H549" si="150">4*E486/($C$15*PI()*(G486*0.001)^2)</f>
        <v>0</v>
      </c>
      <c r="I486" s="1">
        <f t="shared" si="138"/>
        <v>0</v>
      </c>
      <c r="J486">
        <f t="shared" ref="J486:J549" si="151">($C$12*10^-3)*PI()*(G486*10^-3)*$C$11*(I486*10^-3)*$C$15</f>
        <v>0</v>
      </c>
      <c r="K486">
        <f t="shared" si="139"/>
        <v>0</v>
      </c>
      <c r="L486" cm="1">
        <f t="array" ref="L486">IF(E486*J486=0,0,$C$21*INDEX([3]Sheet1!$C$4:$Q$23,MATCH(K486,[3]Sheet1!$B$4:$B$23,1),MATCH(D486,[3]Sheet1!$C$3:$Q$3,1))
+(K486-INDEX([3]Sheet1!$B$4:$B$23,MATCH(K486,[3]Sheet1!$B$4:$B$23,1),1))/(INDEX([3]Sheet1!$B$4:$B$23,MATCH(K486,[3]Sheet1!$B$4:$B$23,1)+1,1)-INDEX([3]Sheet1!$B$4:$B$23,
MATCH(K486,[3]Sheet1!$B$4:$B$23,1),1))*(INDEX([3]Sheet1!$C$4:$Q$23,MATCH(K486,[3]Sheet1!$B$4:$B$23,1)+1,MATCH(D486,[3]Sheet1!$C$3:$Q$3,1))-INDEX([3]Sheet1!$C$4:$Q$23,
MATCH(K486,[3]Sheet1!$B$4:$B$23,1),MATCH(D486,[3]Sheet1!$C$3:$Q$3,1)))
+(D486-INDEX([3]Sheet1!$C$3:$Q$3,1,MATCH(D486,[3]Sheet1!$C$3:$Q$3)))/(INDEX([3]Sheet1!$C$3:$Q$3,1,MATCH(D486,[3]Sheet1!$C$3:$Q$3)+1)-INDEX([3]Sheet1!$C$3:$Q$3,1,MATCH(
D486,[3]Sheet1!$C$3:$Q$3)))*(INDEX([3]Sheet1!$C$4:$Q$23,MATCH(K486,[3]Sheet1!$B$4:$B$23,1),MATCH(D486,[3]Sheet1!$C$3:$Q$3,1)+1)-INDEX([3]Sheet1!$C$4:$Q$23,MATCH(K486,[3]Sheet1!$B$4:$B$23,1),MATCH(D486,[3]Sheet1!$C$3:$Q$3,1))))</f>
        <v>0</v>
      </c>
      <c r="M486" cm="1">
        <f t="array" ref="M486" xml:space="preserve"> IF(E486*J486=0,0,(INDEX([2]Sheet1!$C$4:$Q$23,MATCH(K486,[2]Sheet1!$B$4:$B$23,1),MATCH(D486,[2]Sheet1!$C$3:$Q$3,1))
+ (K486 - INDEX([2]Sheet1!$B$4:$B$23,MATCH(K486,[2]Sheet1!$B$4:$B$23,1),1))/(INDEX([2]Sheet1!$B$4:$B$23,MATCH(K486,[2]Sheet1!$B$4:$B$23,1)+1,1) - INDEX([2]Sheet1!$B$4:$B$23,MATCH(K486,[2]Sheet1!$B$4:$B$23,1),1))*(INDEX([2]Sheet1!$C$4:$Q$23,MATCH(K486,[2]Sheet1!$B$4:$B$23,1)+1,MATCH(D486,[2]Sheet1!$C$3:$Q$3,1)) - INDEX([2]Sheet1!$C$4:$Q$23,MATCH(K486,[2]Sheet1!$B$4:$B$23,1),MATCH(D486,[2]Sheet1!$C$3:$Q$3,1)))
+ (D486 - INDEX([2]Sheet1!$C$3:$Q$3,1,MATCH(D486,[2]Sheet1!$C$3:$Q$3)))/(INDEX([2]Sheet1!$C$3:$Q$3,1,MATCH(D486,[2]Sheet1!$C$3:$Q$3)+1) - INDEX([2]Sheet1!$C$3:$Q$3,1,MATCH(D486,[2]Sheet1!$C$3:$Q$3)))*(
INDEX([2]Sheet1!$C$4:$Q$23,MATCH(K486,[2]Sheet1!$B$4:$B$23,1),MATCH(D486,[2]Sheet1!$C$3:$Q$3,1)+1) - INDEX([2]Sheet1!$C$4:$Q$23,MATCH(K486,[2]Sheet1!$B$4:$B$23,1),MATCH(D486,[2]Sheet1!$C$3:$Q$3,1)))))</f>
        <v>0</v>
      </c>
      <c r="N486">
        <f t="shared" ref="N486:N549" si="152">C$23+$C$26*(A487-A486)</f>
        <v>12</v>
      </c>
      <c r="O486">
        <v>8.6158406257087178E-2</v>
      </c>
      <c r="P486" t="e">
        <f t="shared" ref="P486:P549" si="153">SQRT(2*(M486^2)/(M486-1)*((2/(M486+1))^((M486+1)/(M486-1)))*(1-(O486/D486)^((M486-1)/M486)))+((O486-$C$22)/D486)*(($C$24^2)/($C$23^2))</f>
        <v>#DIV/0!</v>
      </c>
      <c r="Q486">
        <f t="shared" si="140"/>
        <v>0</v>
      </c>
      <c r="R486">
        <f t="shared" ref="R486:R549" si="154">R485+(Q486+Q485)*(A486-A485)/2</f>
        <v>741.9099431943954</v>
      </c>
      <c r="T486" t="e">
        <f t="shared" si="143"/>
        <v>#DIV/0!</v>
      </c>
      <c r="U486" t="e">
        <f t="shared" si="144"/>
        <v>#DIV/0!</v>
      </c>
      <c r="V486">
        <f t="shared" si="145"/>
        <v>0</v>
      </c>
      <c r="W486" t="e">
        <f t="shared" si="141"/>
        <v>#DIV/0!</v>
      </c>
    </row>
    <row r="487" spans="1:23" x14ac:dyDescent="0.55000000000000004">
      <c r="A487">
        <f t="shared" si="142"/>
        <v>45.300000000000374</v>
      </c>
      <c r="B487">
        <f t="shared" si="146"/>
        <v>0.316</v>
      </c>
      <c r="C487">
        <f t="shared" si="147"/>
        <v>-24.543478260869811</v>
      </c>
      <c r="D487">
        <v>2.4317154098476008</v>
      </c>
      <c r="E487">
        <f t="shared" si="137"/>
        <v>0</v>
      </c>
      <c r="F487">
        <f t="shared" si="148"/>
        <v>4.8605058816845369E-2</v>
      </c>
      <c r="G487">
        <f t="shared" si="149"/>
        <v>39.513748498891111</v>
      </c>
      <c r="H487">
        <f t="shared" si="150"/>
        <v>0</v>
      </c>
      <c r="I487" s="1">
        <f t="shared" si="138"/>
        <v>0</v>
      </c>
      <c r="J487">
        <f t="shared" si="151"/>
        <v>0</v>
      </c>
      <c r="K487">
        <f t="shared" si="139"/>
        <v>0</v>
      </c>
      <c r="L487" cm="1">
        <f t="array" ref="L487">IF(E487*J487=0,0,$C$21*INDEX([3]Sheet1!$C$4:$Q$23,MATCH(K487,[3]Sheet1!$B$4:$B$23,1),MATCH(D487,[3]Sheet1!$C$3:$Q$3,1))
+(K487-INDEX([3]Sheet1!$B$4:$B$23,MATCH(K487,[3]Sheet1!$B$4:$B$23,1),1))/(INDEX([3]Sheet1!$B$4:$B$23,MATCH(K487,[3]Sheet1!$B$4:$B$23,1)+1,1)-INDEX([3]Sheet1!$B$4:$B$23,
MATCH(K487,[3]Sheet1!$B$4:$B$23,1),1))*(INDEX([3]Sheet1!$C$4:$Q$23,MATCH(K487,[3]Sheet1!$B$4:$B$23,1)+1,MATCH(D487,[3]Sheet1!$C$3:$Q$3,1))-INDEX([3]Sheet1!$C$4:$Q$23,
MATCH(K487,[3]Sheet1!$B$4:$B$23,1),MATCH(D487,[3]Sheet1!$C$3:$Q$3,1)))
+(D487-INDEX([3]Sheet1!$C$3:$Q$3,1,MATCH(D487,[3]Sheet1!$C$3:$Q$3)))/(INDEX([3]Sheet1!$C$3:$Q$3,1,MATCH(D487,[3]Sheet1!$C$3:$Q$3)+1)-INDEX([3]Sheet1!$C$3:$Q$3,1,MATCH(
D487,[3]Sheet1!$C$3:$Q$3)))*(INDEX([3]Sheet1!$C$4:$Q$23,MATCH(K487,[3]Sheet1!$B$4:$B$23,1),MATCH(D487,[3]Sheet1!$C$3:$Q$3,1)+1)-INDEX([3]Sheet1!$C$4:$Q$23,MATCH(K487,[3]Sheet1!$B$4:$B$23,1),MATCH(D487,[3]Sheet1!$C$3:$Q$3,1))))</f>
        <v>0</v>
      </c>
      <c r="M487" cm="1">
        <f t="array" ref="M487" xml:space="preserve"> IF(E487*J487=0,0,(INDEX([2]Sheet1!$C$4:$Q$23,MATCH(K487,[2]Sheet1!$B$4:$B$23,1),MATCH(D487,[2]Sheet1!$C$3:$Q$3,1))
+ (K487 - INDEX([2]Sheet1!$B$4:$B$23,MATCH(K487,[2]Sheet1!$B$4:$B$23,1),1))/(INDEX([2]Sheet1!$B$4:$B$23,MATCH(K487,[2]Sheet1!$B$4:$B$23,1)+1,1) - INDEX([2]Sheet1!$B$4:$B$23,MATCH(K487,[2]Sheet1!$B$4:$B$23,1),1))*(INDEX([2]Sheet1!$C$4:$Q$23,MATCH(K487,[2]Sheet1!$B$4:$B$23,1)+1,MATCH(D487,[2]Sheet1!$C$3:$Q$3,1)) - INDEX([2]Sheet1!$C$4:$Q$23,MATCH(K487,[2]Sheet1!$B$4:$B$23,1),MATCH(D487,[2]Sheet1!$C$3:$Q$3,1)))
+ (D487 - INDEX([2]Sheet1!$C$3:$Q$3,1,MATCH(D487,[2]Sheet1!$C$3:$Q$3)))/(INDEX([2]Sheet1!$C$3:$Q$3,1,MATCH(D487,[2]Sheet1!$C$3:$Q$3)+1) - INDEX([2]Sheet1!$C$3:$Q$3,1,MATCH(D487,[2]Sheet1!$C$3:$Q$3)))*(
INDEX([2]Sheet1!$C$4:$Q$23,MATCH(K487,[2]Sheet1!$B$4:$B$23,1),MATCH(D487,[2]Sheet1!$C$3:$Q$3,1)+1) - INDEX([2]Sheet1!$C$4:$Q$23,MATCH(K487,[2]Sheet1!$B$4:$B$23,1),MATCH(D487,[2]Sheet1!$C$3:$Q$3,1)))))</f>
        <v>0</v>
      </c>
      <c r="N487">
        <f t="shared" si="152"/>
        <v>12</v>
      </c>
      <c r="O487">
        <v>8.6142724073800442E-2</v>
      </c>
      <c r="P487" t="e">
        <f t="shared" si="153"/>
        <v>#DIV/0!</v>
      </c>
      <c r="Q487">
        <f t="shared" si="140"/>
        <v>0</v>
      </c>
      <c r="R487">
        <f t="shared" si="154"/>
        <v>741.9099431943954</v>
      </c>
      <c r="T487" t="e">
        <f t="shared" si="143"/>
        <v>#DIV/0!</v>
      </c>
      <c r="U487" t="e">
        <f t="shared" si="144"/>
        <v>#DIV/0!</v>
      </c>
      <c r="V487">
        <f t="shared" si="145"/>
        <v>0</v>
      </c>
      <c r="W487" t="e">
        <f t="shared" si="141"/>
        <v>#DIV/0!</v>
      </c>
    </row>
    <row r="488" spans="1:23" x14ac:dyDescent="0.55000000000000004">
      <c r="A488">
        <f t="shared" si="142"/>
        <v>45.400000000000375</v>
      </c>
      <c r="B488">
        <f t="shared" si="146"/>
        <v>0.316</v>
      </c>
      <c r="C488">
        <f t="shared" si="147"/>
        <v>-24.608695652174159</v>
      </c>
      <c r="D488">
        <v>2.4316358198059884</v>
      </c>
      <c r="E488">
        <f t="shared" si="137"/>
        <v>0</v>
      </c>
      <c r="F488">
        <f t="shared" si="148"/>
        <v>4.8605058816845369E-2</v>
      </c>
      <c r="G488">
        <f t="shared" si="149"/>
        <v>39.513748498891111</v>
      </c>
      <c r="H488">
        <f t="shared" si="150"/>
        <v>0</v>
      </c>
      <c r="I488" s="1">
        <f t="shared" si="138"/>
        <v>0</v>
      </c>
      <c r="J488">
        <f t="shared" si="151"/>
        <v>0</v>
      </c>
      <c r="K488">
        <f t="shared" si="139"/>
        <v>0</v>
      </c>
      <c r="L488" cm="1">
        <f t="array" ref="L488">IF(E488*J488=0,0,$C$21*INDEX([3]Sheet1!$C$4:$Q$23,MATCH(K488,[3]Sheet1!$B$4:$B$23,1),MATCH(D488,[3]Sheet1!$C$3:$Q$3,1))
+(K488-INDEX([3]Sheet1!$B$4:$B$23,MATCH(K488,[3]Sheet1!$B$4:$B$23,1),1))/(INDEX([3]Sheet1!$B$4:$B$23,MATCH(K488,[3]Sheet1!$B$4:$B$23,1)+1,1)-INDEX([3]Sheet1!$B$4:$B$23,
MATCH(K488,[3]Sheet1!$B$4:$B$23,1),1))*(INDEX([3]Sheet1!$C$4:$Q$23,MATCH(K488,[3]Sheet1!$B$4:$B$23,1)+1,MATCH(D488,[3]Sheet1!$C$3:$Q$3,1))-INDEX([3]Sheet1!$C$4:$Q$23,
MATCH(K488,[3]Sheet1!$B$4:$B$23,1),MATCH(D488,[3]Sheet1!$C$3:$Q$3,1)))
+(D488-INDEX([3]Sheet1!$C$3:$Q$3,1,MATCH(D488,[3]Sheet1!$C$3:$Q$3)))/(INDEX([3]Sheet1!$C$3:$Q$3,1,MATCH(D488,[3]Sheet1!$C$3:$Q$3)+1)-INDEX([3]Sheet1!$C$3:$Q$3,1,MATCH(
D488,[3]Sheet1!$C$3:$Q$3)))*(INDEX([3]Sheet1!$C$4:$Q$23,MATCH(K488,[3]Sheet1!$B$4:$B$23,1),MATCH(D488,[3]Sheet1!$C$3:$Q$3,1)+1)-INDEX([3]Sheet1!$C$4:$Q$23,MATCH(K488,[3]Sheet1!$B$4:$B$23,1),MATCH(D488,[3]Sheet1!$C$3:$Q$3,1))))</f>
        <v>0</v>
      </c>
      <c r="M488" cm="1">
        <f t="array" ref="M488" xml:space="preserve"> IF(E488*J488=0,0,(INDEX([2]Sheet1!$C$4:$Q$23,MATCH(K488,[2]Sheet1!$B$4:$B$23,1),MATCH(D488,[2]Sheet1!$C$3:$Q$3,1))
+ (K488 - INDEX([2]Sheet1!$B$4:$B$23,MATCH(K488,[2]Sheet1!$B$4:$B$23,1),1))/(INDEX([2]Sheet1!$B$4:$B$23,MATCH(K488,[2]Sheet1!$B$4:$B$23,1)+1,1) - INDEX([2]Sheet1!$B$4:$B$23,MATCH(K488,[2]Sheet1!$B$4:$B$23,1),1))*(INDEX([2]Sheet1!$C$4:$Q$23,MATCH(K488,[2]Sheet1!$B$4:$B$23,1)+1,MATCH(D488,[2]Sheet1!$C$3:$Q$3,1)) - INDEX([2]Sheet1!$C$4:$Q$23,MATCH(K488,[2]Sheet1!$B$4:$B$23,1),MATCH(D488,[2]Sheet1!$C$3:$Q$3,1)))
+ (D488 - INDEX([2]Sheet1!$C$3:$Q$3,1,MATCH(D488,[2]Sheet1!$C$3:$Q$3)))/(INDEX([2]Sheet1!$C$3:$Q$3,1,MATCH(D488,[2]Sheet1!$C$3:$Q$3)+1) - INDEX([2]Sheet1!$C$3:$Q$3,1,MATCH(D488,[2]Sheet1!$C$3:$Q$3)))*(
INDEX([2]Sheet1!$C$4:$Q$23,MATCH(K488,[2]Sheet1!$B$4:$B$23,1),MATCH(D488,[2]Sheet1!$C$3:$Q$3,1)+1) - INDEX([2]Sheet1!$C$4:$Q$23,MATCH(K488,[2]Sheet1!$B$4:$B$23,1),MATCH(D488,[2]Sheet1!$C$3:$Q$3,1)))))</f>
        <v>0</v>
      </c>
      <c r="N488">
        <f t="shared" si="152"/>
        <v>12</v>
      </c>
      <c r="O488">
        <v>8.6127067572770166E-2</v>
      </c>
      <c r="P488" t="e">
        <f t="shared" si="153"/>
        <v>#DIV/0!</v>
      </c>
      <c r="Q488">
        <f t="shared" si="140"/>
        <v>0</v>
      </c>
      <c r="R488">
        <f t="shared" si="154"/>
        <v>741.9099431943954</v>
      </c>
      <c r="T488" t="e">
        <f t="shared" si="143"/>
        <v>#DIV/0!</v>
      </c>
      <c r="U488" t="e">
        <f t="shared" si="144"/>
        <v>#DIV/0!</v>
      </c>
      <c r="V488">
        <f t="shared" si="145"/>
        <v>0</v>
      </c>
      <c r="W488" t="e">
        <f t="shared" si="141"/>
        <v>#DIV/0!</v>
      </c>
    </row>
    <row r="489" spans="1:23" x14ac:dyDescent="0.55000000000000004">
      <c r="A489">
        <f t="shared" si="142"/>
        <v>45.500000000000377</v>
      </c>
      <c r="B489">
        <f t="shared" si="146"/>
        <v>0.316</v>
      </c>
      <c r="C489">
        <f t="shared" si="147"/>
        <v>-24.67391304347851</v>
      </c>
      <c r="D489">
        <v>2.4315563454900837</v>
      </c>
      <c r="E489">
        <f t="shared" si="137"/>
        <v>0</v>
      </c>
      <c r="F489">
        <f t="shared" si="148"/>
        <v>4.8605058816845369E-2</v>
      </c>
      <c r="G489">
        <f t="shared" si="149"/>
        <v>39.513748498891111</v>
      </c>
      <c r="H489">
        <f t="shared" si="150"/>
        <v>0</v>
      </c>
      <c r="I489" s="1">
        <f t="shared" si="138"/>
        <v>0</v>
      </c>
      <c r="J489">
        <f t="shared" si="151"/>
        <v>0</v>
      </c>
      <c r="K489">
        <f t="shared" si="139"/>
        <v>0</v>
      </c>
      <c r="L489" cm="1">
        <f t="array" ref="L489">IF(E489*J489=0,0,$C$21*INDEX([3]Sheet1!$C$4:$Q$23,MATCH(K489,[3]Sheet1!$B$4:$B$23,1),MATCH(D489,[3]Sheet1!$C$3:$Q$3,1))
+(K489-INDEX([3]Sheet1!$B$4:$B$23,MATCH(K489,[3]Sheet1!$B$4:$B$23,1),1))/(INDEX([3]Sheet1!$B$4:$B$23,MATCH(K489,[3]Sheet1!$B$4:$B$23,1)+1,1)-INDEX([3]Sheet1!$B$4:$B$23,
MATCH(K489,[3]Sheet1!$B$4:$B$23,1),1))*(INDEX([3]Sheet1!$C$4:$Q$23,MATCH(K489,[3]Sheet1!$B$4:$B$23,1)+1,MATCH(D489,[3]Sheet1!$C$3:$Q$3,1))-INDEX([3]Sheet1!$C$4:$Q$23,
MATCH(K489,[3]Sheet1!$B$4:$B$23,1),MATCH(D489,[3]Sheet1!$C$3:$Q$3,1)))
+(D489-INDEX([3]Sheet1!$C$3:$Q$3,1,MATCH(D489,[3]Sheet1!$C$3:$Q$3)))/(INDEX([3]Sheet1!$C$3:$Q$3,1,MATCH(D489,[3]Sheet1!$C$3:$Q$3)+1)-INDEX([3]Sheet1!$C$3:$Q$3,1,MATCH(
D489,[3]Sheet1!$C$3:$Q$3)))*(INDEX([3]Sheet1!$C$4:$Q$23,MATCH(K489,[3]Sheet1!$B$4:$B$23,1),MATCH(D489,[3]Sheet1!$C$3:$Q$3,1)+1)-INDEX([3]Sheet1!$C$4:$Q$23,MATCH(K489,[3]Sheet1!$B$4:$B$23,1),MATCH(D489,[3]Sheet1!$C$3:$Q$3,1))))</f>
        <v>0</v>
      </c>
      <c r="M489" cm="1">
        <f t="array" ref="M489" xml:space="preserve"> IF(E489*J489=0,0,(INDEX([2]Sheet1!$C$4:$Q$23,MATCH(K489,[2]Sheet1!$B$4:$B$23,1),MATCH(D489,[2]Sheet1!$C$3:$Q$3,1))
+ (K489 - INDEX([2]Sheet1!$B$4:$B$23,MATCH(K489,[2]Sheet1!$B$4:$B$23,1),1))/(INDEX([2]Sheet1!$B$4:$B$23,MATCH(K489,[2]Sheet1!$B$4:$B$23,1)+1,1) - INDEX([2]Sheet1!$B$4:$B$23,MATCH(K489,[2]Sheet1!$B$4:$B$23,1),1))*(INDEX([2]Sheet1!$C$4:$Q$23,MATCH(K489,[2]Sheet1!$B$4:$B$23,1)+1,MATCH(D489,[2]Sheet1!$C$3:$Q$3,1)) - INDEX([2]Sheet1!$C$4:$Q$23,MATCH(K489,[2]Sheet1!$B$4:$B$23,1),MATCH(D489,[2]Sheet1!$C$3:$Q$3,1)))
+ (D489 - INDEX([2]Sheet1!$C$3:$Q$3,1,MATCH(D489,[2]Sheet1!$C$3:$Q$3)))/(INDEX([2]Sheet1!$C$3:$Q$3,1,MATCH(D489,[2]Sheet1!$C$3:$Q$3)+1) - INDEX([2]Sheet1!$C$3:$Q$3,1,MATCH(D489,[2]Sheet1!$C$3:$Q$3)))*(
INDEX([2]Sheet1!$C$4:$Q$23,MATCH(K489,[2]Sheet1!$B$4:$B$23,1),MATCH(D489,[2]Sheet1!$C$3:$Q$3,1)+1) - INDEX([2]Sheet1!$C$4:$Q$23,MATCH(K489,[2]Sheet1!$B$4:$B$23,1),MATCH(D489,[2]Sheet1!$C$3:$Q$3,1)))))</f>
        <v>0</v>
      </c>
      <c r="N489">
        <f t="shared" si="152"/>
        <v>12</v>
      </c>
      <c r="O489">
        <v>8.6111436672449818E-2</v>
      </c>
      <c r="P489" t="e">
        <f t="shared" si="153"/>
        <v>#DIV/0!</v>
      </c>
      <c r="Q489">
        <f t="shared" si="140"/>
        <v>0</v>
      </c>
      <c r="R489">
        <f t="shared" si="154"/>
        <v>741.9099431943954</v>
      </c>
      <c r="T489" t="e">
        <f t="shared" si="143"/>
        <v>#DIV/0!</v>
      </c>
      <c r="U489" t="e">
        <f t="shared" si="144"/>
        <v>#DIV/0!</v>
      </c>
      <c r="V489">
        <f t="shared" si="145"/>
        <v>0</v>
      </c>
      <c r="W489" t="e">
        <f t="shared" si="141"/>
        <v>#DIV/0!</v>
      </c>
    </row>
    <row r="490" spans="1:23" x14ac:dyDescent="0.55000000000000004">
      <c r="A490">
        <f t="shared" si="142"/>
        <v>45.600000000000378</v>
      </c>
      <c r="B490">
        <f t="shared" si="146"/>
        <v>0.316</v>
      </c>
      <c r="C490">
        <f t="shared" si="147"/>
        <v>-24.739130434782862</v>
      </c>
      <c r="D490">
        <v>2.4314769865518948</v>
      </c>
      <c r="E490">
        <f t="shared" si="137"/>
        <v>0</v>
      </c>
      <c r="F490">
        <f t="shared" si="148"/>
        <v>4.8605058816845369E-2</v>
      </c>
      <c r="G490">
        <f t="shared" si="149"/>
        <v>39.513748498891111</v>
      </c>
      <c r="H490">
        <f t="shared" si="150"/>
        <v>0</v>
      </c>
      <c r="I490" s="1">
        <f t="shared" si="138"/>
        <v>0</v>
      </c>
      <c r="J490">
        <f t="shared" si="151"/>
        <v>0</v>
      </c>
      <c r="K490">
        <f t="shared" si="139"/>
        <v>0</v>
      </c>
      <c r="L490" cm="1">
        <f t="array" ref="L490">IF(E490*J490=0,0,$C$21*INDEX([3]Sheet1!$C$4:$Q$23,MATCH(K490,[3]Sheet1!$B$4:$B$23,1),MATCH(D490,[3]Sheet1!$C$3:$Q$3,1))
+(K490-INDEX([3]Sheet1!$B$4:$B$23,MATCH(K490,[3]Sheet1!$B$4:$B$23,1),1))/(INDEX([3]Sheet1!$B$4:$B$23,MATCH(K490,[3]Sheet1!$B$4:$B$23,1)+1,1)-INDEX([3]Sheet1!$B$4:$B$23,
MATCH(K490,[3]Sheet1!$B$4:$B$23,1),1))*(INDEX([3]Sheet1!$C$4:$Q$23,MATCH(K490,[3]Sheet1!$B$4:$B$23,1)+1,MATCH(D490,[3]Sheet1!$C$3:$Q$3,1))-INDEX([3]Sheet1!$C$4:$Q$23,
MATCH(K490,[3]Sheet1!$B$4:$B$23,1),MATCH(D490,[3]Sheet1!$C$3:$Q$3,1)))
+(D490-INDEX([3]Sheet1!$C$3:$Q$3,1,MATCH(D490,[3]Sheet1!$C$3:$Q$3)))/(INDEX([3]Sheet1!$C$3:$Q$3,1,MATCH(D490,[3]Sheet1!$C$3:$Q$3)+1)-INDEX([3]Sheet1!$C$3:$Q$3,1,MATCH(
D490,[3]Sheet1!$C$3:$Q$3)))*(INDEX([3]Sheet1!$C$4:$Q$23,MATCH(K490,[3]Sheet1!$B$4:$B$23,1),MATCH(D490,[3]Sheet1!$C$3:$Q$3,1)+1)-INDEX([3]Sheet1!$C$4:$Q$23,MATCH(K490,[3]Sheet1!$B$4:$B$23,1),MATCH(D490,[3]Sheet1!$C$3:$Q$3,1))))</f>
        <v>0</v>
      </c>
      <c r="M490" cm="1">
        <f t="array" ref="M490" xml:space="preserve"> IF(E490*J490=0,0,(INDEX([2]Sheet1!$C$4:$Q$23,MATCH(K490,[2]Sheet1!$B$4:$B$23,1),MATCH(D490,[2]Sheet1!$C$3:$Q$3,1))
+ (K490 - INDEX([2]Sheet1!$B$4:$B$23,MATCH(K490,[2]Sheet1!$B$4:$B$23,1),1))/(INDEX([2]Sheet1!$B$4:$B$23,MATCH(K490,[2]Sheet1!$B$4:$B$23,1)+1,1) - INDEX([2]Sheet1!$B$4:$B$23,MATCH(K490,[2]Sheet1!$B$4:$B$23,1),1))*(INDEX([2]Sheet1!$C$4:$Q$23,MATCH(K490,[2]Sheet1!$B$4:$B$23,1)+1,MATCH(D490,[2]Sheet1!$C$3:$Q$3,1)) - INDEX([2]Sheet1!$C$4:$Q$23,MATCH(K490,[2]Sheet1!$B$4:$B$23,1),MATCH(D490,[2]Sheet1!$C$3:$Q$3,1)))
+ (D490 - INDEX([2]Sheet1!$C$3:$Q$3,1,MATCH(D490,[2]Sheet1!$C$3:$Q$3)))/(INDEX([2]Sheet1!$C$3:$Q$3,1,MATCH(D490,[2]Sheet1!$C$3:$Q$3)+1) - INDEX([2]Sheet1!$C$3:$Q$3,1,MATCH(D490,[2]Sheet1!$C$3:$Q$3)))*(
INDEX([2]Sheet1!$C$4:$Q$23,MATCH(K490,[2]Sheet1!$B$4:$B$23,1),MATCH(D490,[2]Sheet1!$C$3:$Q$3,1)+1) - INDEX([2]Sheet1!$C$4:$Q$23,MATCH(K490,[2]Sheet1!$B$4:$B$23,1),MATCH(D490,[2]Sheet1!$C$3:$Q$3,1)))))</f>
        <v>0</v>
      </c>
      <c r="N490">
        <f t="shared" si="152"/>
        <v>12</v>
      </c>
      <c r="O490">
        <v>8.6095831291677832E-2</v>
      </c>
      <c r="P490" t="e">
        <f t="shared" si="153"/>
        <v>#DIV/0!</v>
      </c>
      <c r="Q490">
        <f t="shared" si="140"/>
        <v>0</v>
      </c>
      <c r="R490">
        <f t="shared" si="154"/>
        <v>741.9099431943954</v>
      </c>
      <c r="T490" t="e">
        <f t="shared" si="143"/>
        <v>#DIV/0!</v>
      </c>
      <c r="U490" t="e">
        <f t="shared" si="144"/>
        <v>#DIV/0!</v>
      </c>
      <c r="V490">
        <f t="shared" si="145"/>
        <v>0</v>
      </c>
      <c r="W490" t="e">
        <f t="shared" si="141"/>
        <v>#DIV/0!</v>
      </c>
    </row>
    <row r="491" spans="1:23" x14ac:dyDescent="0.55000000000000004">
      <c r="A491">
        <f t="shared" si="142"/>
        <v>45.700000000000379</v>
      </c>
      <c r="B491">
        <f t="shared" si="146"/>
        <v>0.316</v>
      </c>
      <c r="C491">
        <f t="shared" si="147"/>
        <v>-24.804347826087206</v>
      </c>
      <c r="D491">
        <v>2.4313977426450091</v>
      </c>
      <c r="E491">
        <f t="shared" si="137"/>
        <v>0</v>
      </c>
      <c r="F491">
        <f t="shared" si="148"/>
        <v>4.8605058816845369E-2</v>
      </c>
      <c r="G491">
        <f t="shared" si="149"/>
        <v>39.513748498891111</v>
      </c>
      <c r="H491">
        <f t="shared" si="150"/>
        <v>0</v>
      </c>
      <c r="I491" s="1">
        <f t="shared" si="138"/>
        <v>0</v>
      </c>
      <c r="J491">
        <f t="shared" si="151"/>
        <v>0</v>
      </c>
      <c r="K491">
        <f t="shared" si="139"/>
        <v>0</v>
      </c>
      <c r="L491" cm="1">
        <f t="array" ref="L491">IF(E491*J491=0,0,$C$21*INDEX([3]Sheet1!$C$4:$Q$23,MATCH(K491,[3]Sheet1!$B$4:$B$23,1),MATCH(D491,[3]Sheet1!$C$3:$Q$3,1))
+(K491-INDEX([3]Sheet1!$B$4:$B$23,MATCH(K491,[3]Sheet1!$B$4:$B$23,1),1))/(INDEX([3]Sheet1!$B$4:$B$23,MATCH(K491,[3]Sheet1!$B$4:$B$23,1)+1,1)-INDEX([3]Sheet1!$B$4:$B$23,
MATCH(K491,[3]Sheet1!$B$4:$B$23,1),1))*(INDEX([3]Sheet1!$C$4:$Q$23,MATCH(K491,[3]Sheet1!$B$4:$B$23,1)+1,MATCH(D491,[3]Sheet1!$C$3:$Q$3,1))-INDEX([3]Sheet1!$C$4:$Q$23,
MATCH(K491,[3]Sheet1!$B$4:$B$23,1),MATCH(D491,[3]Sheet1!$C$3:$Q$3,1)))
+(D491-INDEX([3]Sheet1!$C$3:$Q$3,1,MATCH(D491,[3]Sheet1!$C$3:$Q$3)))/(INDEX([3]Sheet1!$C$3:$Q$3,1,MATCH(D491,[3]Sheet1!$C$3:$Q$3)+1)-INDEX([3]Sheet1!$C$3:$Q$3,1,MATCH(
D491,[3]Sheet1!$C$3:$Q$3)))*(INDEX([3]Sheet1!$C$4:$Q$23,MATCH(K491,[3]Sheet1!$B$4:$B$23,1),MATCH(D491,[3]Sheet1!$C$3:$Q$3,1)+1)-INDEX([3]Sheet1!$C$4:$Q$23,MATCH(K491,[3]Sheet1!$B$4:$B$23,1),MATCH(D491,[3]Sheet1!$C$3:$Q$3,1))))</f>
        <v>0</v>
      </c>
      <c r="M491" cm="1">
        <f t="array" ref="M491" xml:space="preserve"> IF(E491*J491=0,0,(INDEX([2]Sheet1!$C$4:$Q$23,MATCH(K491,[2]Sheet1!$B$4:$B$23,1),MATCH(D491,[2]Sheet1!$C$3:$Q$3,1))
+ (K491 - INDEX([2]Sheet1!$B$4:$B$23,MATCH(K491,[2]Sheet1!$B$4:$B$23,1),1))/(INDEX([2]Sheet1!$B$4:$B$23,MATCH(K491,[2]Sheet1!$B$4:$B$23,1)+1,1) - INDEX([2]Sheet1!$B$4:$B$23,MATCH(K491,[2]Sheet1!$B$4:$B$23,1),1))*(INDEX([2]Sheet1!$C$4:$Q$23,MATCH(K491,[2]Sheet1!$B$4:$B$23,1)+1,MATCH(D491,[2]Sheet1!$C$3:$Q$3,1)) - INDEX([2]Sheet1!$C$4:$Q$23,MATCH(K491,[2]Sheet1!$B$4:$B$23,1),MATCH(D491,[2]Sheet1!$C$3:$Q$3,1)))
+ (D491 - INDEX([2]Sheet1!$C$3:$Q$3,1,MATCH(D491,[2]Sheet1!$C$3:$Q$3)))/(INDEX([2]Sheet1!$C$3:$Q$3,1,MATCH(D491,[2]Sheet1!$C$3:$Q$3)+1) - INDEX([2]Sheet1!$C$3:$Q$3,1,MATCH(D491,[2]Sheet1!$C$3:$Q$3)))*(
INDEX([2]Sheet1!$C$4:$Q$23,MATCH(K491,[2]Sheet1!$B$4:$B$23,1),MATCH(D491,[2]Sheet1!$C$3:$Q$3,1)+1) - INDEX([2]Sheet1!$C$4:$Q$23,MATCH(K491,[2]Sheet1!$B$4:$B$23,1),MATCH(D491,[2]Sheet1!$C$3:$Q$3,1)))))</f>
        <v>0</v>
      </c>
      <c r="N491">
        <f t="shared" si="152"/>
        <v>12</v>
      </c>
      <c r="O491">
        <v>8.6080251349674453E-2</v>
      </c>
      <c r="P491" t="e">
        <f t="shared" si="153"/>
        <v>#DIV/0!</v>
      </c>
      <c r="Q491">
        <f t="shared" si="140"/>
        <v>0</v>
      </c>
      <c r="R491">
        <f t="shared" si="154"/>
        <v>741.9099431943954</v>
      </c>
      <c r="T491" t="e">
        <f t="shared" si="143"/>
        <v>#DIV/0!</v>
      </c>
      <c r="U491" t="e">
        <f t="shared" si="144"/>
        <v>#DIV/0!</v>
      </c>
      <c r="V491">
        <f t="shared" si="145"/>
        <v>0</v>
      </c>
      <c r="W491" t="e">
        <f t="shared" si="141"/>
        <v>#DIV/0!</v>
      </c>
    </row>
    <row r="492" spans="1:23" x14ac:dyDescent="0.55000000000000004">
      <c r="A492">
        <f t="shared" si="142"/>
        <v>45.800000000000381</v>
      </c>
      <c r="B492">
        <f t="shared" si="146"/>
        <v>0.316</v>
      </c>
      <c r="C492">
        <f t="shared" si="147"/>
        <v>-24.869565217391553</v>
      </c>
      <c r="D492">
        <v>2.4313186134245814</v>
      </c>
      <c r="E492">
        <f t="shared" si="137"/>
        <v>0</v>
      </c>
      <c r="F492">
        <f t="shared" si="148"/>
        <v>4.8605058816845369E-2</v>
      </c>
      <c r="G492">
        <f t="shared" si="149"/>
        <v>39.513748498891111</v>
      </c>
      <c r="H492">
        <f t="shared" si="150"/>
        <v>0</v>
      </c>
      <c r="I492" s="1">
        <f t="shared" si="138"/>
        <v>0</v>
      </c>
      <c r="J492">
        <f t="shared" si="151"/>
        <v>0</v>
      </c>
      <c r="K492">
        <f t="shared" si="139"/>
        <v>0</v>
      </c>
      <c r="L492" cm="1">
        <f t="array" ref="L492">IF(E492*J492=0,0,$C$21*INDEX([3]Sheet1!$C$4:$Q$23,MATCH(K492,[3]Sheet1!$B$4:$B$23,1),MATCH(D492,[3]Sheet1!$C$3:$Q$3,1))
+(K492-INDEX([3]Sheet1!$B$4:$B$23,MATCH(K492,[3]Sheet1!$B$4:$B$23,1),1))/(INDEX([3]Sheet1!$B$4:$B$23,MATCH(K492,[3]Sheet1!$B$4:$B$23,1)+1,1)-INDEX([3]Sheet1!$B$4:$B$23,
MATCH(K492,[3]Sheet1!$B$4:$B$23,1),1))*(INDEX([3]Sheet1!$C$4:$Q$23,MATCH(K492,[3]Sheet1!$B$4:$B$23,1)+1,MATCH(D492,[3]Sheet1!$C$3:$Q$3,1))-INDEX([3]Sheet1!$C$4:$Q$23,
MATCH(K492,[3]Sheet1!$B$4:$B$23,1),MATCH(D492,[3]Sheet1!$C$3:$Q$3,1)))
+(D492-INDEX([3]Sheet1!$C$3:$Q$3,1,MATCH(D492,[3]Sheet1!$C$3:$Q$3)))/(INDEX([3]Sheet1!$C$3:$Q$3,1,MATCH(D492,[3]Sheet1!$C$3:$Q$3)+1)-INDEX([3]Sheet1!$C$3:$Q$3,1,MATCH(
D492,[3]Sheet1!$C$3:$Q$3)))*(INDEX([3]Sheet1!$C$4:$Q$23,MATCH(K492,[3]Sheet1!$B$4:$B$23,1),MATCH(D492,[3]Sheet1!$C$3:$Q$3,1)+1)-INDEX([3]Sheet1!$C$4:$Q$23,MATCH(K492,[3]Sheet1!$B$4:$B$23,1),MATCH(D492,[3]Sheet1!$C$3:$Q$3,1))))</f>
        <v>0</v>
      </c>
      <c r="M492" cm="1">
        <f t="array" ref="M492" xml:space="preserve"> IF(E492*J492=0,0,(INDEX([2]Sheet1!$C$4:$Q$23,MATCH(K492,[2]Sheet1!$B$4:$B$23,1),MATCH(D492,[2]Sheet1!$C$3:$Q$3,1))
+ (K492 - INDEX([2]Sheet1!$B$4:$B$23,MATCH(K492,[2]Sheet1!$B$4:$B$23,1),1))/(INDEX([2]Sheet1!$B$4:$B$23,MATCH(K492,[2]Sheet1!$B$4:$B$23,1)+1,1) - INDEX([2]Sheet1!$B$4:$B$23,MATCH(K492,[2]Sheet1!$B$4:$B$23,1),1))*(INDEX([2]Sheet1!$C$4:$Q$23,MATCH(K492,[2]Sheet1!$B$4:$B$23,1)+1,MATCH(D492,[2]Sheet1!$C$3:$Q$3,1)) - INDEX([2]Sheet1!$C$4:$Q$23,MATCH(K492,[2]Sheet1!$B$4:$B$23,1),MATCH(D492,[2]Sheet1!$C$3:$Q$3,1)))
+ (D492 - INDEX([2]Sheet1!$C$3:$Q$3,1,MATCH(D492,[2]Sheet1!$C$3:$Q$3)))/(INDEX([2]Sheet1!$C$3:$Q$3,1,MATCH(D492,[2]Sheet1!$C$3:$Q$3)+1) - INDEX([2]Sheet1!$C$3:$Q$3,1,MATCH(D492,[2]Sheet1!$C$3:$Q$3)))*(
INDEX([2]Sheet1!$C$4:$Q$23,MATCH(K492,[2]Sheet1!$B$4:$B$23,1),MATCH(D492,[2]Sheet1!$C$3:$Q$3,1)+1) - INDEX([2]Sheet1!$C$4:$Q$23,MATCH(K492,[2]Sheet1!$B$4:$B$23,1),MATCH(D492,[2]Sheet1!$C$3:$Q$3,1)))))</f>
        <v>0</v>
      </c>
      <c r="N492">
        <f t="shared" si="152"/>
        <v>12</v>
      </c>
      <c r="O492">
        <v>8.6064696766038881E-2</v>
      </c>
      <c r="P492" t="e">
        <f t="shared" si="153"/>
        <v>#DIV/0!</v>
      </c>
      <c r="Q492">
        <f t="shared" si="140"/>
        <v>0</v>
      </c>
      <c r="R492">
        <f t="shared" si="154"/>
        <v>741.9099431943954</v>
      </c>
      <c r="T492" t="e">
        <f t="shared" si="143"/>
        <v>#DIV/0!</v>
      </c>
      <c r="U492" t="e">
        <f t="shared" si="144"/>
        <v>#DIV/0!</v>
      </c>
      <c r="V492">
        <f t="shared" si="145"/>
        <v>0</v>
      </c>
      <c r="W492" t="e">
        <f t="shared" si="141"/>
        <v>#DIV/0!</v>
      </c>
    </row>
    <row r="493" spans="1:23" x14ac:dyDescent="0.55000000000000004">
      <c r="A493">
        <f t="shared" si="142"/>
        <v>45.900000000000382</v>
      </c>
      <c r="B493">
        <f t="shared" si="146"/>
        <v>0.316</v>
      </c>
      <c r="C493">
        <f t="shared" si="147"/>
        <v>-24.934782608695905</v>
      </c>
      <c r="D493">
        <v>2.4312395985473274</v>
      </c>
      <c r="E493">
        <f t="shared" si="137"/>
        <v>0</v>
      </c>
      <c r="F493">
        <f t="shared" si="148"/>
        <v>4.8605058816845369E-2</v>
      </c>
      <c r="G493">
        <f t="shared" si="149"/>
        <v>39.513748498891111</v>
      </c>
      <c r="H493">
        <f t="shared" si="150"/>
        <v>0</v>
      </c>
      <c r="I493" s="1">
        <f t="shared" si="138"/>
        <v>0</v>
      </c>
      <c r="J493">
        <f t="shared" si="151"/>
        <v>0</v>
      </c>
      <c r="K493">
        <f t="shared" si="139"/>
        <v>0</v>
      </c>
      <c r="L493" cm="1">
        <f t="array" ref="L493">IF(E493*J493=0,0,$C$21*INDEX([3]Sheet1!$C$4:$Q$23,MATCH(K493,[3]Sheet1!$B$4:$B$23,1),MATCH(D493,[3]Sheet1!$C$3:$Q$3,1))
+(K493-INDEX([3]Sheet1!$B$4:$B$23,MATCH(K493,[3]Sheet1!$B$4:$B$23,1),1))/(INDEX([3]Sheet1!$B$4:$B$23,MATCH(K493,[3]Sheet1!$B$4:$B$23,1)+1,1)-INDEX([3]Sheet1!$B$4:$B$23,
MATCH(K493,[3]Sheet1!$B$4:$B$23,1),1))*(INDEX([3]Sheet1!$C$4:$Q$23,MATCH(K493,[3]Sheet1!$B$4:$B$23,1)+1,MATCH(D493,[3]Sheet1!$C$3:$Q$3,1))-INDEX([3]Sheet1!$C$4:$Q$23,
MATCH(K493,[3]Sheet1!$B$4:$B$23,1),MATCH(D493,[3]Sheet1!$C$3:$Q$3,1)))
+(D493-INDEX([3]Sheet1!$C$3:$Q$3,1,MATCH(D493,[3]Sheet1!$C$3:$Q$3)))/(INDEX([3]Sheet1!$C$3:$Q$3,1,MATCH(D493,[3]Sheet1!$C$3:$Q$3)+1)-INDEX([3]Sheet1!$C$3:$Q$3,1,MATCH(
D493,[3]Sheet1!$C$3:$Q$3)))*(INDEX([3]Sheet1!$C$4:$Q$23,MATCH(K493,[3]Sheet1!$B$4:$B$23,1),MATCH(D493,[3]Sheet1!$C$3:$Q$3,1)+1)-INDEX([3]Sheet1!$C$4:$Q$23,MATCH(K493,[3]Sheet1!$B$4:$B$23,1),MATCH(D493,[3]Sheet1!$C$3:$Q$3,1))))</f>
        <v>0</v>
      </c>
      <c r="M493" cm="1">
        <f t="array" ref="M493" xml:space="preserve"> IF(E493*J493=0,0,(INDEX([2]Sheet1!$C$4:$Q$23,MATCH(K493,[2]Sheet1!$B$4:$B$23,1),MATCH(D493,[2]Sheet1!$C$3:$Q$3,1))
+ (K493 - INDEX([2]Sheet1!$B$4:$B$23,MATCH(K493,[2]Sheet1!$B$4:$B$23,1),1))/(INDEX([2]Sheet1!$B$4:$B$23,MATCH(K493,[2]Sheet1!$B$4:$B$23,1)+1,1) - INDEX([2]Sheet1!$B$4:$B$23,MATCH(K493,[2]Sheet1!$B$4:$B$23,1),1))*(INDEX([2]Sheet1!$C$4:$Q$23,MATCH(K493,[2]Sheet1!$B$4:$B$23,1)+1,MATCH(D493,[2]Sheet1!$C$3:$Q$3,1)) - INDEX([2]Sheet1!$C$4:$Q$23,MATCH(K493,[2]Sheet1!$B$4:$B$23,1),MATCH(D493,[2]Sheet1!$C$3:$Q$3,1)))
+ (D493 - INDEX([2]Sheet1!$C$3:$Q$3,1,MATCH(D493,[2]Sheet1!$C$3:$Q$3)))/(INDEX([2]Sheet1!$C$3:$Q$3,1,MATCH(D493,[2]Sheet1!$C$3:$Q$3)+1) - INDEX([2]Sheet1!$C$3:$Q$3,1,MATCH(D493,[2]Sheet1!$C$3:$Q$3)))*(
INDEX([2]Sheet1!$C$4:$Q$23,MATCH(K493,[2]Sheet1!$B$4:$B$23,1),MATCH(D493,[2]Sheet1!$C$3:$Q$3,1)+1) - INDEX([2]Sheet1!$C$4:$Q$23,MATCH(K493,[2]Sheet1!$B$4:$B$23,1),MATCH(D493,[2]Sheet1!$C$3:$Q$3,1)))))</f>
        <v>0</v>
      </c>
      <c r="N493">
        <f t="shared" si="152"/>
        <v>12</v>
      </c>
      <c r="O493">
        <v>8.6049167460747714E-2</v>
      </c>
      <c r="P493" t="e">
        <f t="shared" si="153"/>
        <v>#DIV/0!</v>
      </c>
      <c r="Q493">
        <f t="shared" si="140"/>
        <v>0</v>
      </c>
      <c r="R493">
        <f t="shared" si="154"/>
        <v>741.9099431943954</v>
      </c>
      <c r="T493" t="e">
        <f t="shared" si="143"/>
        <v>#DIV/0!</v>
      </c>
      <c r="U493" t="e">
        <f t="shared" si="144"/>
        <v>#DIV/0!</v>
      </c>
      <c r="V493">
        <f t="shared" si="145"/>
        <v>0</v>
      </c>
      <c r="W493" t="e">
        <f t="shared" si="141"/>
        <v>#DIV/0!</v>
      </c>
    </row>
    <row r="494" spans="1:23" x14ac:dyDescent="0.55000000000000004">
      <c r="A494">
        <f t="shared" si="142"/>
        <v>46.000000000000384</v>
      </c>
      <c r="B494">
        <f t="shared" si="146"/>
        <v>0.316</v>
      </c>
      <c r="C494">
        <f t="shared" si="147"/>
        <v>-25.000000000000249</v>
      </c>
      <c r="D494">
        <v>2.4311606976715128</v>
      </c>
      <c r="E494">
        <f t="shared" si="137"/>
        <v>0</v>
      </c>
      <c r="F494">
        <f t="shared" si="148"/>
        <v>4.8605058816845369E-2</v>
      </c>
      <c r="G494">
        <f t="shared" si="149"/>
        <v>39.513748498891111</v>
      </c>
      <c r="H494">
        <f t="shared" si="150"/>
        <v>0</v>
      </c>
      <c r="I494" s="1">
        <f t="shared" si="138"/>
        <v>0</v>
      </c>
      <c r="J494">
        <f t="shared" si="151"/>
        <v>0</v>
      </c>
      <c r="K494">
        <f t="shared" si="139"/>
        <v>0</v>
      </c>
      <c r="L494" cm="1">
        <f t="array" ref="L494">IF(E494*J494=0,0,$C$21*INDEX([3]Sheet1!$C$4:$Q$23,MATCH(K494,[3]Sheet1!$B$4:$B$23,1),MATCH(D494,[3]Sheet1!$C$3:$Q$3,1))
+(K494-INDEX([3]Sheet1!$B$4:$B$23,MATCH(K494,[3]Sheet1!$B$4:$B$23,1),1))/(INDEX([3]Sheet1!$B$4:$B$23,MATCH(K494,[3]Sheet1!$B$4:$B$23,1)+1,1)-INDEX([3]Sheet1!$B$4:$B$23,
MATCH(K494,[3]Sheet1!$B$4:$B$23,1),1))*(INDEX([3]Sheet1!$C$4:$Q$23,MATCH(K494,[3]Sheet1!$B$4:$B$23,1)+1,MATCH(D494,[3]Sheet1!$C$3:$Q$3,1))-INDEX([3]Sheet1!$C$4:$Q$23,
MATCH(K494,[3]Sheet1!$B$4:$B$23,1),MATCH(D494,[3]Sheet1!$C$3:$Q$3,1)))
+(D494-INDEX([3]Sheet1!$C$3:$Q$3,1,MATCH(D494,[3]Sheet1!$C$3:$Q$3)))/(INDEX([3]Sheet1!$C$3:$Q$3,1,MATCH(D494,[3]Sheet1!$C$3:$Q$3)+1)-INDEX([3]Sheet1!$C$3:$Q$3,1,MATCH(
D494,[3]Sheet1!$C$3:$Q$3)))*(INDEX([3]Sheet1!$C$4:$Q$23,MATCH(K494,[3]Sheet1!$B$4:$B$23,1),MATCH(D494,[3]Sheet1!$C$3:$Q$3,1)+1)-INDEX([3]Sheet1!$C$4:$Q$23,MATCH(K494,[3]Sheet1!$B$4:$B$23,1),MATCH(D494,[3]Sheet1!$C$3:$Q$3,1))))</f>
        <v>0</v>
      </c>
      <c r="M494" cm="1">
        <f t="array" ref="M494" xml:space="preserve"> IF(E494*J494=0,0,(INDEX([2]Sheet1!$C$4:$Q$23,MATCH(K494,[2]Sheet1!$B$4:$B$23,1),MATCH(D494,[2]Sheet1!$C$3:$Q$3,1))
+ (K494 - INDEX([2]Sheet1!$B$4:$B$23,MATCH(K494,[2]Sheet1!$B$4:$B$23,1),1))/(INDEX([2]Sheet1!$B$4:$B$23,MATCH(K494,[2]Sheet1!$B$4:$B$23,1)+1,1) - INDEX([2]Sheet1!$B$4:$B$23,MATCH(K494,[2]Sheet1!$B$4:$B$23,1),1))*(INDEX([2]Sheet1!$C$4:$Q$23,MATCH(K494,[2]Sheet1!$B$4:$B$23,1)+1,MATCH(D494,[2]Sheet1!$C$3:$Q$3,1)) - INDEX([2]Sheet1!$C$4:$Q$23,MATCH(K494,[2]Sheet1!$B$4:$B$23,1),MATCH(D494,[2]Sheet1!$C$3:$Q$3,1)))
+ (D494 - INDEX([2]Sheet1!$C$3:$Q$3,1,MATCH(D494,[2]Sheet1!$C$3:$Q$3)))/(INDEX([2]Sheet1!$C$3:$Q$3,1,MATCH(D494,[2]Sheet1!$C$3:$Q$3)+1) - INDEX([2]Sheet1!$C$3:$Q$3,1,MATCH(D494,[2]Sheet1!$C$3:$Q$3)))*(
INDEX([2]Sheet1!$C$4:$Q$23,MATCH(K494,[2]Sheet1!$B$4:$B$23,1),MATCH(D494,[2]Sheet1!$C$3:$Q$3,1)+1) - INDEX([2]Sheet1!$C$4:$Q$23,MATCH(K494,[2]Sheet1!$B$4:$B$23,1),MATCH(D494,[2]Sheet1!$C$3:$Q$3,1)))))</f>
        <v>0</v>
      </c>
      <c r="N494">
        <f t="shared" si="152"/>
        <v>12</v>
      </c>
      <c r="O494">
        <v>8.6033663354152218E-2</v>
      </c>
      <c r="P494" t="e">
        <f t="shared" si="153"/>
        <v>#DIV/0!</v>
      </c>
      <c r="Q494">
        <f t="shared" si="140"/>
        <v>0</v>
      </c>
      <c r="R494">
        <f t="shared" si="154"/>
        <v>741.9099431943954</v>
      </c>
      <c r="T494" t="e">
        <f t="shared" si="143"/>
        <v>#DIV/0!</v>
      </c>
      <c r="U494" t="e">
        <f t="shared" si="144"/>
        <v>#DIV/0!</v>
      </c>
      <c r="V494">
        <f t="shared" si="145"/>
        <v>0</v>
      </c>
      <c r="W494" t="e">
        <f t="shared" si="141"/>
        <v>#DIV/0!</v>
      </c>
    </row>
    <row r="495" spans="1:23" x14ac:dyDescent="0.55000000000000004">
      <c r="A495">
        <f t="shared" si="142"/>
        <v>46.100000000000385</v>
      </c>
      <c r="B495">
        <f t="shared" si="146"/>
        <v>0.316</v>
      </c>
      <c r="C495">
        <f t="shared" si="147"/>
        <v>-25.0652173913046</v>
      </c>
      <c r="D495">
        <v>2.431081910456943</v>
      </c>
      <c r="E495">
        <f t="shared" si="137"/>
        <v>0</v>
      </c>
      <c r="F495">
        <f t="shared" si="148"/>
        <v>4.8605058816845369E-2</v>
      </c>
      <c r="G495">
        <f t="shared" si="149"/>
        <v>39.513748498891111</v>
      </c>
      <c r="H495">
        <f t="shared" si="150"/>
        <v>0</v>
      </c>
      <c r="I495" s="1">
        <f t="shared" si="138"/>
        <v>0</v>
      </c>
      <c r="J495">
        <f t="shared" si="151"/>
        <v>0</v>
      </c>
      <c r="K495">
        <f t="shared" si="139"/>
        <v>0</v>
      </c>
      <c r="L495" cm="1">
        <f t="array" ref="L495">IF(E495*J495=0,0,$C$21*INDEX([3]Sheet1!$C$4:$Q$23,MATCH(K495,[3]Sheet1!$B$4:$B$23,1),MATCH(D495,[3]Sheet1!$C$3:$Q$3,1))
+(K495-INDEX([3]Sheet1!$B$4:$B$23,MATCH(K495,[3]Sheet1!$B$4:$B$23,1),1))/(INDEX([3]Sheet1!$B$4:$B$23,MATCH(K495,[3]Sheet1!$B$4:$B$23,1)+1,1)-INDEX([3]Sheet1!$B$4:$B$23,
MATCH(K495,[3]Sheet1!$B$4:$B$23,1),1))*(INDEX([3]Sheet1!$C$4:$Q$23,MATCH(K495,[3]Sheet1!$B$4:$B$23,1)+1,MATCH(D495,[3]Sheet1!$C$3:$Q$3,1))-INDEX([3]Sheet1!$C$4:$Q$23,
MATCH(K495,[3]Sheet1!$B$4:$B$23,1),MATCH(D495,[3]Sheet1!$C$3:$Q$3,1)))
+(D495-INDEX([3]Sheet1!$C$3:$Q$3,1,MATCH(D495,[3]Sheet1!$C$3:$Q$3)))/(INDEX([3]Sheet1!$C$3:$Q$3,1,MATCH(D495,[3]Sheet1!$C$3:$Q$3)+1)-INDEX([3]Sheet1!$C$3:$Q$3,1,MATCH(
D495,[3]Sheet1!$C$3:$Q$3)))*(INDEX([3]Sheet1!$C$4:$Q$23,MATCH(K495,[3]Sheet1!$B$4:$B$23,1),MATCH(D495,[3]Sheet1!$C$3:$Q$3,1)+1)-INDEX([3]Sheet1!$C$4:$Q$23,MATCH(K495,[3]Sheet1!$B$4:$B$23,1),MATCH(D495,[3]Sheet1!$C$3:$Q$3,1))))</f>
        <v>0</v>
      </c>
      <c r="M495" cm="1">
        <f t="array" ref="M495" xml:space="preserve"> IF(E495*J495=0,0,(INDEX([2]Sheet1!$C$4:$Q$23,MATCH(K495,[2]Sheet1!$B$4:$B$23,1),MATCH(D495,[2]Sheet1!$C$3:$Q$3,1))
+ (K495 - INDEX([2]Sheet1!$B$4:$B$23,MATCH(K495,[2]Sheet1!$B$4:$B$23,1),1))/(INDEX([2]Sheet1!$B$4:$B$23,MATCH(K495,[2]Sheet1!$B$4:$B$23,1)+1,1) - INDEX([2]Sheet1!$B$4:$B$23,MATCH(K495,[2]Sheet1!$B$4:$B$23,1),1))*(INDEX([2]Sheet1!$C$4:$Q$23,MATCH(K495,[2]Sheet1!$B$4:$B$23,1)+1,MATCH(D495,[2]Sheet1!$C$3:$Q$3,1)) - INDEX([2]Sheet1!$C$4:$Q$23,MATCH(K495,[2]Sheet1!$B$4:$B$23,1),MATCH(D495,[2]Sheet1!$C$3:$Q$3,1)))
+ (D495 - INDEX([2]Sheet1!$C$3:$Q$3,1,MATCH(D495,[2]Sheet1!$C$3:$Q$3)))/(INDEX([2]Sheet1!$C$3:$Q$3,1,MATCH(D495,[2]Sheet1!$C$3:$Q$3)+1) - INDEX([2]Sheet1!$C$3:$Q$3,1,MATCH(D495,[2]Sheet1!$C$3:$Q$3)))*(
INDEX([2]Sheet1!$C$4:$Q$23,MATCH(K495,[2]Sheet1!$B$4:$B$23,1),MATCH(D495,[2]Sheet1!$C$3:$Q$3,1)+1) - INDEX([2]Sheet1!$C$4:$Q$23,MATCH(K495,[2]Sheet1!$B$4:$B$23,1),MATCH(D495,[2]Sheet1!$C$3:$Q$3,1)))))</f>
        <v>0</v>
      </c>
      <c r="N495">
        <f t="shared" si="152"/>
        <v>12</v>
      </c>
      <c r="O495">
        <v>8.6018184366976488E-2</v>
      </c>
      <c r="P495" t="e">
        <f t="shared" si="153"/>
        <v>#DIV/0!</v>
      </c>
      <c r="Q495">
        <f t="shared" si="140"/>
        <v>0</v>
      </c>
      <c r="R495">
        <f t="shared" si="154"/>
        <v>741.9099431943954</v>
      </c>
      <c r="T495" t="e">
        <f t="shared" si="143"/>
        <v>#DIV/0!</v>
      </c>
      <c r="U495" t="e">
        <f t="shared" si="144"/>
        <v>#DIV/0!</v>
      </c>
      <c r="V495">
        <f t="shared" si="145"/>
        <v>0</v>
      </c>
      <c r="W495" t="e">
        <f t="shared" si="141"/>
        <v>#DIV/0!</v>
      </c>
    </row>
    <row r="496" spans="1:23" x14ac:dyDescent="0.55000000000000004">
      <c r="A496">
        <f t="shared" si="142"/>
        <v>46.200000000000387</v>
      </c>
      <c r="B496">
        <f t="shared" si="146"/>
        <v>0.316</v>
      </c>
      <c r="C496">
        <f t="shared" si="147"/>
        <v>-25.130434782608951</v>
      </c>
      <c r="D496">
        <v>2.4310032365649583</v>
      </c>
      <c r="E496">
        <f t="shared" si="137"/>
        <v>0</v>
      </c>
      <c r="F496">
        <f t="shared" si="148"/>
        <v>4.8605058816845369E-2</v>
      </c>
      <c r="G496">
        <f t="shared" si="149"/>
        <v>39.513748498891111</v>
      </c>
      <c r="H496">
        <f t="shared" si="150"/>
        <v>0</v>
      </c>
      <c r="I496" s="1">
        <f t="shared" si="138"/>
        <v>0</v>
      </c>
      <c r="J496">
        <f t="shared" si="151"/>
        <v>0</v>
      </c>
      <c r="K496">
        <f t="shared" si="139"/>
        <v>0</v>
      </c>
      <c r="L496" cm="1">
        <f t="array" ref="L496">IF(E496*J496=0,0,$C$21*INDEX([3]Sheet1!$C$4:$Q$23,MATCH(K496,[3]Sheet1!$B$4:$B$23,1),MATCH(D496,[3]Sheet1!$C$3:$Q$3,1))
+(K496-INDEX([3]Sheet1!$B$4:$B$23,MATCH(K496,[3]Sheet1!$B$4:$B$23,1),1))/(INDEX([3]Sheet1!$B$4:$B$23,MATCH(K496,[3]Sheet1!$B$4:$B$23,1)+1,1)-INDEX([3]Sheet1!$B$4:$B$23,
MATCH(K496,[3]Sheet1!$B$4:$B$23,1),1))*(INDEX([3]Sheet1!$C$4:$Q$23,MATCH(K496,[3]Sheet1!$B$4:$B$23,1)+1,MATCH(D496,[3]Sheet1!$C$3:$Q$3,1))-INDEX([3]Sheet1!$C$4:$Q$23,
MATCH(K496,[3]Sheet1!$B$4:$B$23,1),MATCH(D496,[3]Sheet1!$C$3:$Q$3,1)))
+(D496-INDEX([3]Sheet1!$C$3:$Q$3,1,MATCH(D496,[3]Sheet1!$C$3:$Q$3)))/(INDEX([3]Sheet1!$C$3:$Q$3,1,MATCH(D496,[3]Sheet1!$C$3:$Q$3)+1)-INDEX([3]Sheet1!$C$3:$Q$3,1,MATCH(
D496,[3]Sheet1!$C$3:$Q$3)))*(INDEX([3]Sheet1!$C$4:$Q$23,MATCH(K496,[3]Sheet1!$B$4:$B$23,1),MATCH(D496,[3]Sheet1!$C$3:$Q$3,1)+1)-INDEX([3]Sheet1!$C$4:$Q$23,MATCH(K496,[3]Sheet1!$B$4:$B$23,1),MATCH(D496,[3]Sheet1!$C$3:$Q$3,1))))</f>
        <v>0</v>
      </c>
      <c r="M496" cm="1">
        <f t="array" ref="M496" xml:space="preserve"> IF(E496*J496=0,0,(INDEX([2]Sheet1!$C$4:$Q$23,MATCH(K496,[2]Sheet1!$B$4:$B$23,1),MATCH(D496,[2]Sheet1!$C$3:$Q$3,1))
+ (K496 - INDEX([2]Sheet1!$B$4:$B$23,MATCH(K496,[2]Sheet1!$B$4:$B$23,1),1))/(INDEX([2]Sheet1!$B$4:$B$23,MATCH(K496,[2]Sheet1!$B$4:$B$23,1)+1,1) - INDEX([2]Sheet1!$B$4:$B$23,MATCH(K496,[2]Sheet1!$B$4:$B$23,1),1))*(INDEX([2]Sheet1!$C$4:$Q$23,MATCH(K496,[2]Sheet1!$B$4:$B$23,1)+1,MATCH(D496,[2]Sheet1!$C$3:$Q$3,1)) - INDEX([2]Sheet1!$C$4:$Q$23,MATCH(K496,[2]Sheet1!$B$4:$B$23,1),MATCH(D496,[2]Sheet1!$C$3:$Q$3,1)))
+ (D496 - INDEX([2]Sheet1!$C$3:$Q$3,1,MATCH(D496,[2]Sheet1!$C$3:$Q$3)))/(INDEX([2]Sheet1!$C$3:$Q$3,1,MATCH(D496,[2]Sheet1!$C$3:$Q$3)+1) - INDEX([2]Sheet1!$C$3:$Q$3,1,MATCH(D496,[2]Sheet1!$C$3:$Q$3)))*(
INDEX([2]Sheet1!$C$4:$Q$23,MATCH(K496,[2]Sheet1!$B$4:$B$23,1),MATCH(D496,[2]Sheet1!$C$3:$Q$3,1)+1) - INDEX([2]Sheet1!$C$4:$Q$23,MATCH(K496,[2]Sheet1!$B$4:$B$23,1),MATCH(D496,[2]Sheet1!$C$3:$Q$3,1)))))</f>
        <v>0</v>
      </c>
      <c r="N496">
        <f t="shared" si="152"/>
        <v>12</v>
      </c>
      <c r="O496">
        <v>8.6002730420314866E-2</v>
      </c>
      <c r="P496" t="e">
        <f t="shared" si="153"/>
        <v>#DIV/0!</v>
      </c>
      <c r="Q496">
        <f t="shared" si="140"/>
        <v>0</v>
      </c>
      <c r="R496">
        <f t="shared" si="154"/>
        <v>741.9099431943954</v>
      </c>
      <c r="T496" t="e">
        <f t="shared" si="143"/>
        <v>#DIV/0!</v>
      </c>
      <c r="U496" t="e">
        <f t="shared" si="144"/>
        <v>#DIV/0!</v>
      </c>
      <c r="V496">
        <f t="shared" si="145"/>
        <v>0</v>
      </c>
      <c r="W496" t="e">
        <f t="shared" si="141"/>
        <v>#DIV/0!</v>
      </c>
    </row>
    <row r="497" spans="1:23" x14ac:dyDescent="0.55000000000000004">
      <c r="A497">
        <f t="shared" si="142"/>
        <v>46.300000000000388</v>
      </c>
      <c r="B497">
        <f t="shared" si="146"/>
        <v>0.316</v>
      </c>
      <c r="C497">
        <f t="shared" si="147"/>
        <v>-25.195652173913299</v>
      </c>
      <c r="D497">
        <v>2.4309246756584169</v>
      </c>
      <c r="E497">
        <f t="shared" si="137"/>
        <v>0</v>
      </c>
      <c r="F497">
        <f t="shared" si="148"/>
        <v>4.8605058816845369E-2</v>
      </c>
      <c r="G497">
        <f t="shared" si="149"/>
        <v>39.513748498891111</v>
      </c>
      <c r="H497">
        <f t="shared" si="150"/>
        <v>0</v>
      </c>
      <c r="I497" s="1">
        <f t="shared" si="138"/>
        <v>0</v>
      </c>
      <c r="J497">
        <f t="shared" si="151"/>
        <v>0</v>
      </c>
      <c r="K497">
        <f t="shared" si="139"/>
        <v>0</v>
      </c>
      <c r="L497" cm="1">
        <f t="array" ref="L497">IF(E497*J497=0,0,$C$21*INDEX([3]Sheet1!$C$4:$Q$23,MATCH(K497,[3]Sheet1!$B$4:$B$23,1),MATCH(D497,[3]Sheet1!$C$3:$Q$3,1))
+(K497-INDEX([3]Sheet1!$B$4:$B$23,MATCH(K497,[3]Sheet1!$B$4:$B$23,1),1))/(INDEX([3]Sheet1!$B$4:$B$23,MATCH(K497,[3]Sheet1!$B$4:$B$23,1)+1,1)-INDEX([3]Sheet1!$B$4:$B$23,
MATCH(K497,[3]Sheet1!$B$4:$B$23,1),1))*(INDEX([3]Sheet1!$C$4:$Q$23,MATCH(K497,[3]Sheet1!$B$4:$B$23,1)+1,MATCH(D497,[3]Sheet1!$C$3:$Q$3,1))-INDEX([3]Sheet1!$C$4:$Q$23,
MATCH(K497,[3]Sheet1!$B$4:$B$23,1),MATCH(D497,[3]Sheet1!$C$3:$Q$3,1)))
+(D497-INDEX([3]Sheet1!$C$3:$Q$3,1,MATCH(D497,[3]Sheet1!$C$3:$Q$3)))/(INDEX([3]Sheet1!$C$3:$Q$3,1,MATCH(D497,[3]Sheet1!$C$3:$Q$3)+1)-INDEX([3]Sheet1!$C$3:$Q$3,1,MATCH(
D497,[3]Sheet1!$C$3:$Q$3)))*(INDEX([3]Sheet1!$C$4:$Q$23,MATCH(K497,[3]Sheet1!$B$4:$B$23,1),MATCH(D497,[3]Sheet1!$C$3:$Q$3,1)+1)-INDEX([3]Sheet1!$C$4:$Q$23,MATCH(K497,[3]Sheet1!$B$4:$B$23,1),MATCH(D497,[3]Sheet1!$C$3:$Q$3,1))))</f>
        <v>0</v>
      </c>
      <c r="M497" cm="1">
        <f t="array" ref="M497" xml:space="preserve"> IF(E497*J497=0,0,(INDEX([2]Sheet1!$C$4:$Q$23,MATCH(K497,[2]Sheet1!$B$4:$B$23,1),MATCH(D497,[2]Sheet1!$C$3:$Q$3,1))
+ (K497 - INDEX([2]Sheet1!$B$4:$B$23,MATCH(K497,[2]Sheet1!$B$4:$B$23,1),1))/(INDEX([2]Sheet1!$B$4:$B$23,MATCH(K497,[2]Sheet1!$B$4:$B$23,1)+1,1) - INDEX([2]Sheet1!$B$4:$B$23,MATCH(K497,[2]Sheet1!$B$4:$B$23,1),1))*(INDEX([2]Sheet1!$C$4:$Q$23,MATCH(K497,[2]Sheet1!$B$4:$B$23,1)+1,MATCH(D497,[2]Sheet1!$C$3:$Q$3,1)) - INDEX([2]Sheet1!$C$4:$Q$23,MATCH(K497,[2]Sheet1!$B$4:$B$23,1),MATCH(D497,[2]Sheet1!$C$3:$Q$3,1)))
+ (D497 - INDEX([2]Sheet1!$C$3:$Q$3,1,MATCH(D497,[2]Sheet1!$C$3:$Q$3)))/(INDEX([2]Sheet1!$C$3:$Q$3,1,MATCH(D497,[2]Sheet1!$C$3:$Q$3)+1) - INDEX([2]Sheet1!$C$3:$Q$3,1,MATCH(D497,[2]Sheet1!$C$3:$Q$3)))*(
INDEX([2]Sheet1!$C$4:$Q$23,MATCH(K497,[2]Sheet1!$B$4:$B$23,1),MATCH(D497,[2]Sheet1!$C$3:$Q$3,1)+1) - INDEX([2]Sheet1!$C$4:$Q$23,MATCH(K497,[2]Sheet1!$B$4:$B$23,1),MATCH(D497,[2]Sheet1!$C$3:$Q$3,1)))))</f>
        <v>0</v>
      </c>
      <c r="N497">
        <f t="shared" si="152"/>
        <v>12</v>
      </c>
      <c r="O497">
        <v>8.5987301435628688E-2</v>
      </c>
      <c r="P497" t="e">
        <f t="shared" si="153"/>
        <v>#DIV/0!</v>
      </c>
      <c r="Q497">
        <f t="shared" si="140"/>
        <v>0</v>
      </c>
      <c r="R497">
        <f t="shared" si="154"/>
        <v>741.9099431943954</v>
      </c>
      <c r="T497" t="e">
        <f t="shared" si="143"/>
        <v>#DIV/0!</v>
      </c>
      <c r="U497" t="e">
        <f t="shared" si="144"/>
        <v>#DIV/0!</v>
      </c>
      <c r="V497">
        <f t="shared" si="145"/>
        <v>0</v>
      </c>
      <c r="W497" t="e">
        <f t="shared" si="141"/>
        <v>#DIV/0!</v>
      </c>
    </row>
    <row r="498" spans="1:23" x14ac:dyDescent="0.55000000000000004">
      <c r="A498">
        <f t="shared" si="142"/>
        <v>46.400000000000389</v>
      </c>
      <c r="B498">
        <f t="shared" si="146"/>
        <v>0.316</v>
      </c>
      <c r="C498">
        <f t="shared" si="147"/>
        <v>-25.26086956521765</v>
      </c>
      <c r="D498">
        <v>2.4308462274016915</v>
      </c>
      <c r="E498">
        <f t="shared" si="137"/>
        <v>0</v>
      </c>
      <c r="F498">
        <f t="shared" si="148"/>
        <v>4.8605058816845369E-2</v>
      </c>
      <c r="G498">
        <f t="shared" si="149"/>
        <v>39.513748498891111</v>
      </c>
      <c r="H498">
        <f t="shared" si="150"/>
        <v>0</v>
      </c>
      <c r="I498" s="1">
        <f t="shared" si="138"/>
        <v>0</v>
      </c>
      <c r="J498">
        <f t="shared" si="151"/>
        <v>0</v>
      </c>
      <c r="K498">
        <f t="shared" si="139"/>
        <v>0</v>
      </c>
      <c r="L498" cm="1">
        <f t="array" ref="L498">IF(E498*J498=0,0,$C$21*INDEX([3]Sheet1!$C$4:$Q$23,MATCH(K498,[3]Sheet1!$B$4:$B$23,1),MATCH(D498,[3]Sheet1!$C$3:$Q$3,1))
+(K498-INDEX([3]Sheet1!$B$4:$B$23,MATCH(K498,[3]Sheet1!$B$4:$B$23,1),1))/(INDEX([3]Sheet1!$B$4:$B$23,MATCH(K498,[3]Sheet1!$B$4:$B$23,1)+1,1)-INDEX([3]Sheet1!$B$4:$B$23,
MATCH(K498,[3]Sheet1!$B$4:$B$23,1),1))*(INDEX([3]Sheet1!$C$4:$Q$23,MATCH(K498,[3]Sheet1!$B$4:$B$23,1)+1,MATCH(D498,[3]Sheet1!$C$3:$Q$3,1))-INDEX([3]Sheet1!$C$4:$Q$23,
MATCH(K498,[3]Sheet1!$B$4:$B$23,1),MATCH(D498,[3]Sheet1!$C$3:$Q$3,1)))
+(D498-INDEX([3]Sheet1!$C$3:$Q$3,1,MATCH(D498,[3]Sheet1!$C$3:$Q$3)))/(INDEX([3]Sheet1!$C$3:$Q$3,1,MATCH(D498,[3]Sheet1!$C$3:$Q$3)+1)-INDEX([3]Sheet1!$C$3:$Q$3,1,MATCH(
D498,[3]Sheet1!$C$3:$Q$3)))*(INDEX([3]Sheet1!$C$4:$Q$23,MATCH(K498,[3]Sheet1!$B$4:$B$23,1),MATCH(D498,[3]Sheet1!$C$3:$Q$3,1)+1)-INDEX([3]Sheet1!$C$4:$Q$23,MATCH(K498,[3]Sheet1!$B$4:$B$23,1),MATCH(D498,[3]Sheet1!$C$3:$Q$3,1))))</f>
        <v>0</v>
      </c>
      <c r="M498" cm="1">
        <f t="array" ref="M498" xml:space="preserve"> IF(E498*J498=0,0,(INDEX([2]Sheet1!$C$4:$Q$23,MATCH(K498,[2]Sheet1!$B$4:$B$23,1),MATCH(D498,[2]Sheet1!$C$3:$Q$3,1))
+ (K498 - INDEX([2]Sheet1!$B$4:$B$23,MATCH(K498,[2]Sheet1!$B$4:$B$23,1),1))/(INDEX([2]Sheet1!$B$4:$B$23,MATCH(K498,[2]Sheet1!$B$4:$B$23,1)+1,1) - INDEX([2]Sheet1!$B$4:$B$23,MATCH(K498,[2]Sheet1!$B$4:$B$23,1),1))*(INDEX([2]Sheet1!$C$4:$Q$23,MATCH(K498,[2]Sheet1!$B$4:$B$23,1)+1,MATCH(D498,[2]Sheet1!$C$3:$Q$3,1)) - INDEX([2]Sheet1!$C$4:$Q$23,MATCH(K498,[2]Sheet1!$B$4:$B$23,1),MATCH(D498,[2]Sheet1!$C$3:$Q$3,1)))
+ (D498 - INDEX([2]Sheet1!$C$3:$Q$3,1,MATCH(D498,[2]Sheet1!$C$3:$Q$3)))/(INDEX([2]Sheet1!$C$3:$Q$3,1,MATCH(D498,[2]Sheet1!$C$3:$Q$3)+1) - INDEX([2]Sheet1!$C$3:$Q$3,1,MATCH(D498,[2]Sheet1!$C$3:$Q$3)))*(
INDEX([2]Sheet1!$C$4:$Q$23,MATCH(K498,[2]Sheet1!$B$4:$B$23,1),MATCH(D498,[2]Sheet1!$C$3:$Q$3,1)+1) - INDEX([2]Sheet1!$C$4:$Q$23,MATCH(K498,[2]Sheet1!$B$4:$B$23,1),MATCH(D498,[2]Sheet1!$C$3:$Q$3,1)))))</f>
        <v>0</v>
      </c>
      <c r="N498">
        <f t="shared" si="152"/>
        <v>12</v>
      </c>
      <c r="O498">
        <v>8.5971897334745612E-2</v>
      </c>
      <c r="P498" t="e">
        <f t="shared" si="153"/>
        <v>#DIV/0!</v>
      </c>
      <c r="Q498">
        <f t="shared" si="140"/>
        <v>0</v>
      </c>
      <c r="R498">
        <f t="shared" si="154"/>
        <v>741.9099431943954</v>
      </c>
      <c r="T498" t="e">
        <f t="shared" si="143"/>
        <v>#DIV/0!</v>
      </c>
      <c r="U498" t="e">
        <f t="shared" si="144"/>
        <v>#DIV/0!</v>
      </c>
      <c r="V498">
        <f t="shared" si="145"/>
        <v>0</v>
      </c>
      <c r="W498" t="e">
        <f t="shared" si="141"/>
        <v>#DIV/0!</v>
      </c>
    </row>
    <row r="499" spans="1:23" x14ac:dyDescent="0.55000000000000004">
      <c r="A499">
        <f t="shared" si="142"/>
        <v>46.500000000000391</v>
      </c>
      <c r="B499">
        <f t="shared" si="146"/>
        <v>0.316</v>
      </c>
      <c r="C499">
        <f t="shared" si="147"/>
        <v>-25.326086956521994</v>
      </c>
      <c r="D499">
        <v>2.4307678914606612</v>
      </c>
      <c r="E499">
        <f t="shared" si="137"/>
        <v>0</v>
      </c>
      <c r="F499">
        <f t="shared" si="148"/>
        <v>4.8605058816845369E-2</v>
      </c>
      <c r="G499">
        <f t="shared" si="149"/>
        <v>39.513748498891111</v>
      </c>
      <c r="H499">
        <f t="shared" si="150"/>
        <v>0</v>
      </c>
      <c r="I499" s="1">
        <f t="shared" si="138"/>
        <v>0</v>
      </c>
      <c r="J499">
        <f t="shared" si="151"/>
        <v>0</v>
      </c>
      <c r="K499">
        <f t="shared" si="139"/>
        <v>0</v>
      </c>
      <c r="L499" cm="1">
        <f t="array" ref="L499">IF(E499*J499=0,0,$C$21*INDEX([3]Sheet1!$C$4:$Q$23,MATCH(K499,[3]Sheet1!$B$4:$B$23,1),MATCH(D499,[3]Sheet1!$C$3:$Q$3,1))
+(K499-INDEX([3]Sheet1!$B$4:$B$23,MATCH(K499,[3]Sheet1!$B$4:$B$23,1),1))/(INDEX([3]Sheet1!$B$4:$B$23,MATCH(K499,[3]Sheet1!$B$4:$B$23,1)+1,1)-INDEX([3]Sheet1!$B$4:$B$23,
MATCH(K499,[3]Sheet1!$B$4:$B$23,1),1))*(INDEX([3]Sheet1!$C$4:$Q$23,MATCH(K499,[3]Sheet1!$B$4:$B$23,1)+1,MATCH(D499,[3]Sheet1!$C$3:$Q$3,1))-INDEX([3]Sheet1!$C$4:$Q$23,
MATCH(K499,[3]Sheet1!$B$4:$B$23,1),MATCH(D499,[3]Sheet1!$C$3:$Q$3,1)))
+(D499-INDEX([3]Sheet1!$C$3:$Q$3,1,MATCH(D499,[3]Sheet1!$C$3:$Q$3)))/(INDEX([3]Sheet1!$C$3:$Q$3,1,MATCH(D499,[3]Sheet1!$C$3:$Q$3)+1)-INDEX([3]Sheet1!$C$3:$Q$3,1,MATCH(
D499,[3]Sheet1!$C$3:$Q$3)))*(INDEX([3]Sheet1!$C$4:$Q$23,MATCH(K499,[3]Sheet1!$B$4:$B$23,1),MATCH(D499,[3]Sheet1!$C$3:$Q$3,1)+1)-INDEX([3]Sheet1!$C$4:$Q$23,MATCH(K499,[3]Sheet1!$B$4:$B$23,1),MATCH(D499,[3]Sheet1!$C$3:$Q$3,1))))</f>
        <v>0</v>
      </c>
      <c r="M499" cm="1">
        <f t="array" ref="M499" xml:space="preserve"> IF(E499*J499=0,0,(INDEX([2]Sheet1!$C$4:$Q$23,MATCH(K499,[2]Sheet1!$B$4:$B$23,1),MATCH(D499,[2]Sheet1!$C$3:$Q$3,1))
+ (K499 - INDEX([2]Sheet1!$B$4:$B$23,MATCH(K499,[2]Sheet1!$B$4:$B$23,1),1))/(INDEX([2]Sheet1!$B$4:$B$23,MATCH(K499,[2]Sheet1!$B$4:$B$23,1)+1,1) - INDEX([2]Sheet1!$B$4:$B$23,MATCH(K499,[2]Sheet1!$B$4:$B$23,1),1))*(INDEX([2]Sheet1!$C$4:$Q$23,MATCH(K499,[2]Sheet1!$B$4:$B$23,1)+1,MATCH(D499,[2]Sheet1!$C$3:$Q$3,1)) - INDEX([2]Sheet1!$C$4:$Q$23,MATCH(K499,[2]Sheet1!$B$4:$B$23,1),MATCH(D499,[2]Sheet1!$C$3:$Q$3,1)))
+ (D499 - INDEX([2]Sheet1!$C$3:$Q$3,1,MATCH(D499,[2]Sheet1!$C$3:$Q$3)))/(INDEX([2]Sheet1!$C$3:$Q$3,1,MATCH(D499,[2]Sheet1!$C$3:$Q$3)+1) - INDEX([2]Sheet1!$C$3:$Q$3,1,MATCH(D499,[2]Sheet1!$C$3:$Q$3)))*(
INDEX([2]Sheet1!$C$4:$Q$23,MATCH(K499,[2]Sheet1!$B$4:$B$23,1),MATCH(D499,[2]Sheet1!$C$3:$Q$3,1)+1) - INDEX([2]Sheet1!$C$4:$Q$23,MATCH(K499,[2]Sheet1!$B$4:$B$23,1),MATCH(D499,[2]Sheet1!$C$3:$Q$3,1)))))</f>
        <v>0</v>
      </c>
      <c r="N499">
        <f t="shared" si="152"/>
        <v>12</v>
      </c>
      <c r="O499">
        <v>8.5956518039856628E-2</v>
      </c>
      <c r="P499" t="e">
        <f t="shared" si="153"/>
        <v>#DIV/0!</v>
      </c>
      <c r="Q499">
        <f t="shared" si="140"/>
        <v>0</v>
      </c>
      <c r="R499">
        <f t="shared" si="154"/>
        <v>741.9099431943954</v>
      </c>
      <c r="T499" t="e">
        <f t="shared" si="143"/>
        <v>#DIV/0!</v>
      </c>
      <c r="U499" t="e">
        <f t="shared" si="144"/>
        <v>#DIV/0!</v>
      </c>
      <c r="V499">
        <f t="shared" si="145"/>
        <v>0</v>
      </c>
      <c r="W499" t="e">
        <f t="shared" si="141"/>
        <v>#DIV/0!</v>
      </c>
    </row>
    <row r="500" spans="1:23" x14ac:dyDescent="0.55000000000000004">
      <c r="A500">
        <f t="shared" si="142"/>
        <v>46.600000000000392</v>
      </c>
      <c r="B500">
        <f t="shared" si="146"/>
        <v>0.316</v>
      </c>
      <c r="C500">
        <f t="shared" si="147"/>
        <v>-25.391304347826345</v>
      </c>
      <c r="D500">
        <v>2.4306896675026977</v>
      </c>
      <c r="E500">
        <f t="shared" si="137"/>
        <v>0</v>
      </c>
      <c r="F500">
        <f t="shared" si="148"/>
        <v>4.8605058816845369E-2</v>
      </c>
      <c r="G500">
        <f t="shared" si="149"/>
        <v>39.513748498891111</v>
      </c>
      <c r="H500">
        <f t="shared" si="150"/>
        <v>0</v>
      </c>
      <c r="I500" s="1">
        <f t="shared" si="138"/>
        <v>0</v>
      </c>
      <c r="J500">
        <f t="shared" si="151"/>
        <v>0</v>
      </c>
      <c r="K500">
        <f t="shared" si="139"/>
        <v>0</v>
      </c>
      <c r="L500" cm="1">
        <f t="array" ref="L500">IF(E500*J500=0,0,$C$21*INDEX([3]Sheet1!$C$4:$Q$23,MATCH(K500,[3]Sheet1!$B$4:$B$23,1),MATCH(D500,[3]Sheet1!$C$3:$Q$3,1))
+(K500-INDEX([3]Sheet1!$B$4:$B$23,MATCH(K500,[3]Sheet1!$B$4:$B$23,1),1))/(INDEX([3]Sheet1!$B$4:$B$23,MATCH(K500,[3]Sheet1!$B$4:$B$23,1)+1,1)-INDEX([3]Sheet1!$B$4:$B$23,
MATCH(K500,[3]Sheet1!$B$4:$B$23,1),1))*(INDEX([3]Sheet1!$C$4:$Q$23,MATCH(K500,[3]Sheet1!$B$4:$B$23,1)+1,MATCH(D500,[3]Sheet1!$C$3:$Q$3,1))-INDEX([3]Sheet1!$C$4:$Q$23,
MATCH(K500,[3]Sheet1!$B$4:$B$23,1),MATCH(D500,[3]Sheet1!$C$3:$Q$3,1)))
+(D500-INDEX([3]Sheet1!$C$3:$Q$3,1,MATCH(D500,[3]Sheet1!$C$3:$Q$3)))/(INDEX([3]Sheet1!$C$3:$Q$3,1,MATCH(D500,[3]Sheet1!$C$3:$Q$3)+1)-INDEX([3]Sheet1!$C$3:$Q$3,1,MATCH(
D500,[3]Sheet1!$C$3:$Q$3)))*(INDEX([3]Sheet1!$C$4:$Q$23,MATCH(K500,[3]Sheet1!$B$4:$B$23,1),MATCH(D500,[3]Sheet1!$C$3:$Q$3,1)+1)-INDEX([3]Sheet1!$C$4:$Q$23,MATCH(K500,[3]Sheet1!$B$4:$B$23,1),MATCH(D500,[3]Sheet1!$C$3:$Q$3,1))))</f>
        <v>0</v>
      </c>
      <c r="M500" cm="1">
        <f t="array" ref="M500" xml:space="preserve"> IF(E500*J500=0,0,(INDEX([2]Sheet1!$C$4:$Q$23,MATCH(K500,[2]Sheet1!$B$4:$B$23,1),MATCH(D500,[2]Sheet1!$C$3:$Q$3,1))
+ (K500 - INDEX([2]Sheet1!$B$4:$B$23,MATCH(K500,[2]Sheet1!$B$4:$B$23,1),1))/(INDEX([2]Sheet1!$B$4:$B$23,MATCH(K500,[2]Sheet1!$B$4:$B$23,1)+1,1) - INDEX([2]Sheet1!$B$4:$B$23,MATCH(K500,[2]Sheet1!$B$4:$B$23,1),1))*(INDEX([2]Sheet1!$C$4:$Q$23,MATCH(K500,[2]Sheet1!$B$4:$B$23,1)+1,MATCH(D500,[2]Sheet1!$C$3:$Q$3,1)) - INDEX([2]Sheet1!$C$4:$Q$23,MATCH(K500,[2]Sheet1!$B$4:$B$23,1),MATCH(D500,[2]Sheet1!$C$3:$Q$3,1)))
+ (D500 - INDEX([2]Sheet1!$C$3:$Q$3,1,MATCH(D500,[2]Sheet1!$C$3:$Q$3)))/(INDEX([2]Sheet1!$C$3:$Q$3,1,MATCH(D500,[2]Sheet1!$C$3:$Q$3)+1) - INDEX([2]Sheet1!$C$3:$Q$3,1,MATCH(D500,[2]Sheet1!$C$3:$Q$3)))*(
INDEX([2]Sheet1!$C$4:$Q$23,MATCH(K500,[2]Sheet1!$B$4:$B$23,1),MATCH(D500,[2]Sheet1!$C$3:$Q$3,1)+1) - INDEX([2]Sheet1!$C$4:$Q$23,MATCH(K500,[2]Sheet1!$B$4:$B$23,1),MATCH(D500,[2]Sheet1!$C$3:$Q$3,1)))))</f>
        <v>0</v>
      </c>
      <c r="N500">
        <f t="shared" si="152"/>
        <v>12</v>
      </c>
      <c r="O500">
        <v>8.5941163473513729E-2</v>
      </c>
      <c r="P500" t="e">
        <f t="shared" si="153"/>
        <v>#DIV/0!</v>
      </c>
      <c r="Q500">
        <f t="shared" si="140"/>
        <v>0</v>
      </c>
      <c r="R500">
        <f t="shared" si="154"/>
        <v>741.9099431943954</v>
      </c>
      <c r="T500" t="e">
        <f t="shared" si="143"/>
        <v>#DIV/0!</v>
      </c>
      <c r="U500" t="e">
        <f t="shared" si="144"/>
        <v>#DIV/0!</v>
      </c>
      <c r="V500">
        <f t="shared" si="145"/>
        <v>0</v>
      </c>
      <c r="W500" t="e">
        <f t="shared" si="141"/>
        <v>#DIV/0!</v>
      </c>
    </row>
    <row r="501" spans="1:23" x14ac:dyDescent="0.55000000000000004">
      <c r="A501">
        <f t="shared" si="142"/>
        <v>46.700000000000394</v>
      </c>
      <c r="B501">
        <f t="shared" si="146"/>
        <v>0.316</v>
      </c>
      <c r="C501">
        <f t="shared" si="147"/>
        <v>-25.456521739130697</v>
      </c>
      <c r="D501">
        <v>2.4306115551966592</v>
      </c>
      <c r="E501">
        <f t="shared" si="137"/>
        <v>0</v>
      </c>
      <c r="F501">
        <f t="shared" si="148"/>
        <v>4.8605058816845369E-2</v>
      </c>
      <c r="G501">
        <f t="shared" si="149"/>
        <v>39.513748498891111</v>
      </c>
      <c r="H501">
        <f t="shared" si="150"/>
        <v>0</v>
      </c>
      <c r="I501" s="1">
        <f t="shared" si="138"/>
        <v>0</v>
      </c>
      <c r="J501">
        <f t="shared" si="151"/>
        <v>0</v>
      </c>
      <c r="K501">
        <f t="shared" si="139"/>
        <v>0</v>
      </c>
      <c r="L501" cm="1">
        <f t="array" ref="L501">IF(E501*J501=0,0,$C$21*INDEX([3]Sheet1!$C$4:$Q$23,MATCH(K501,[3]Sheet1!$B$4:$B$23,1),MATCH(D501,[3]Sheet1!$C$3:$Q$3,1))
+(K501-INDEX([3]Sheet1!$B$4:$B$23,MATCH(K501,[3]Sheet1!$B$4:$B$23,1),1))/(INDEX([3]Sheet1!$B$4:$B$23,MATCH(K501,[3]Sheet1!$B$4:$B$23,1)+1,1)-INDEX([3]Sheet1!$B$4:$B$23,
MATCH(K501,[3]Sheet1!$B$4:$B$23,1),1))*(INDEX([3]Sheet1!$C$4:$Q$23,MATCH(K501,[3]Sheet1!$B$4:$B$23,1)+1,MATCH(D501,[3]Sheet1!$C$3:$Q$3,1))-INDEX([3]Sheet1!$C$4:$Q$23,
MATCH(K501,[3]Sheet1!$B$4:$B$23,1),MATCH(D501,[3]Sheet1!$C$3:$Q$3,1)))
+(D501-INDEX([3]Sheet1!$C$3:$Q$3,1,MATCH(D501,[3]Sheet1!$C$3:$Q$3)))/(INDEX([3]Sheet1!$C$3:$Q$3,1,MATCH(D501,[3]Sheet1!$C$3:$Q$3)+1)-INDEX([3]Sheet1!$C$3:$Q$3,1,MATCH(
D501,[3]Sheet1!$C$3:$Q$3)))*(INDEX([3]Sheet1!$C$4:$Q$23,MATCH(K501,[3]Sheet1!$B$4:$B$23,1),MATCH(D501,[3]Sheet1!$C$3:$Q$3,1)+1)-INDEX([3]Sheet1!$C$4:$Q$23,MATCH(K501,[3]Sheet1!$B$4:$B$23,1),MATCH(D501,[3]Sheet1!$C$3:$Q$3,1))))</f>
        <v>0</v>
      </c>
      <c r="M501" cm="1">
        <f t="array" ref="M501" xml:space="preserve"> IF(E501*J501=0,0,(INDEX([2]Sheet1!$C$4:$Q$23,MATCH(K501,[2]Sheet1!$B$4:$B$23,1),MATCH(D501,[2]Sheet1!$C$3:$Q$3,1))
+ (K501 - INDEX([2]Sheet1!$B$4:$B$23,MATCH(K501,[2]Sheet1!$B$4:$B$23,1),1))/(INDEX([2]Sheet1!$B$4:$B$23,MATCH(K501,[2]Sheet1!$B$4:$B$23,1)+1,1) - INDEX([2]Sheet1!$B$4:$B$23,MATCH(K501,[2]Sheet1!$B$4:$B$23,1),1))*(INDEX([2]Sheet1!$C$4:$Q$23,MATCH(K501,[2]Sheet1!$B$4:$B$23,1)+1,MATCH(D501,[2]Sheet1!$C$3:$Q$3,1)) - INDEX([2]Sheet1!$C$4:$Q$23,MATCH(K501,[2]Sheet1!$B$4:$B$23,1),MATCH(D501,[2]Sheet1!$C$3:$Q$3,1)))
+ (D501 - INDEX([2]Sheet1!$C$3:$Q$3,1,MATCH(D501,[2]Sheet1!$C$3:$Q$3)))/(INDEX([2]Sheet1!$C$3:$Q$3,1,MATCH(D501,[2]Sheet1!$C$3:$Q$3)+1) - INDEX([2]Sheet1!$C$3:$Q$3,1,MATCH(D501,[2]Sheet1!$C$3:$Q$3)))*(
INDEX([2]Sheet1!$C$4:$Q$23,MATCH(K501,[2]Sheet1!$B$4:$B$23,1),MATCH(D501,[2]Sheet1!$C$3:$Q$3,1)+1) - INDEX([2]Sheet1!$C$4:$Q$23,MATCH(K501,[2]Sheet1!$B$4:$B$23,1),MATCH(D501,[2]Sheet1!$C$3:$Q$3,1)))))</f>
        <v>0</v>
      </c>
      <c r="N501">
        <f t="shared" si="152"/>
        <v>12</v>
      </c>
      <c r="O501">
        <v>8.5925833558627568E-2</v>
      </c>
      <c r="P501" t="e">
        <f t="shared" si="153"/>
        <v>#DIV/0!</v>
      </c>
      <c r="Q501">
        <f t="shared" si="140"/>
        <v>0</v>
      </c>
      <c r="R501">
        <f t="shared" si="154"/>
        <v>741.9099431943954</v>
      </c>
      <c r="T501" t="e">
        <f t="shared" si="143"/>
        <v>#DIV/0!</v>
      </c>
      <c r="U501" t="e">
        <f t="shared" si="144"/>
        <v>#DIV/0!</v>
      </c>
      <c r="V501">
        <f t="shared" si="145"/>
        <v>0</v>
      </c>
      <c r="W501" t="e">
        <f t="shared" si="141"/>
        <v>#DIV/0!</v>
      </c>
    </row>
    <row r="502" spans="1:23" x14ac:dyDescent="0.55000000000000004">
      <c r="A502">
        <f t="shared" si="142"/>
        <v>46.800000000000395</v>
      </c>
      <c r="B502">
        <f t="shared" si="146"/>
        <v>0.316</v>
      </c>
      <c r="C502">
        <f t="shared" si="147"/>
        <v>-25.521739130435041</v>
      </c>
      <c r="D502">
        <v>2.4305335542128823</v>
      </c>
      <c r="E502">
        <f t="shared" si="137"/>
        <v>0</v>
      </c>
      <c r="F502">
        <f t="shared" si="148"/>
        <v>4.8605058816845369E-2</v>
      </c>
      <c r="G502">
        <f t="shared" si="149"/>
        <v>39.513748498891111</v>
      </c>
      <c r="H502">
        <f t="shared" si="150"/>
        <v>0</v>
      </c>
      <c r="I502" s="1">
        <f t="shared" si="138"/>
        <v>0</v>
      </c>
      <c r="J502">
        <f t="shared" si="151"/>
        <v>0</v>
      </c>
      <c r="K502">
        <f t="shared" si="139"/>
        <v>0</v>
      </c>
      <c r="L502" cm="1">
        <f t="array" ref="L502">IF(E502*J502=0,0,$C$21*INDEX([3]Sheet1!$C$4:$Q$23,MATCH(K502,[3]Sheet1!$B$4:$B$23,1),MATCH(D502,[3]Sheet1!$C$3:$Q$3,1))
+(K502-INDEX([3]Sheet1!$B$4:$B$23,MATCH(K502,[3]Sheet1!$B$4:$B$23,1),1))/(INDEX([3]Sheet1!$B$4:$B$23,MATCH(K502,[3]Sheet1!$B$4:$B$23,1)+1,1)-INDEX([3]Sheet1!$B$4:$B$23,
MATCH(K502,[3]Sheet1!$B$4:$B$23,1),1))*(INDEX([3]Sheet1!$C$4:$Q$23,MATCH(K502,[3]Sheet1!$B$4:$B$23,1)+1,MATCH(D502,[3]Sheet1!$C$3:$Q$3,1))-INDEX([3]Sheet1!$C$4:$Q$23,
MATCH(K502,[3]Sheet1!$B$4:$B$23,1),MATCH(D502,[3]Sheet1!$C$3:$Q$3,1)))
+(D502-INDEX([3]Sheet1!$C$3:$Q$3,1,MATCH(D502,[3]Sheet1!$C$3:$Q$3)))/(INDEX([3]Sheet1!$C$3:$Q$3,1,MATCH(D502,[3]Sheet1!$C$3:$Q$3)+1)-INDEX([3]Sheet1!$C$3:$Q$3,1,MATCH(
D502,[3]Sheet1!$C$3:$Q$3)))*(INDEX([3]Sheet1!$C$4:$Q$23,MATCH(K502,[3]Sheet1!$B$4:$B$23,1),MATCH(D502,[3]Sheet1!$C$3:$Q$3,1)+1)-INDEX([3]Sheet1!$C$4:$Q$23,MATCH(K502,[3]Sheet1!$B$4:$B$23,1),MATCH(D502,[3]Sheet1!$C$3:$Q$3,1))))</f>
        <v>0</v>
      </c>
      <c r="M502" cm="1">
        <f t="array" ref="M502" xml:space="preserve"> IF(E502*J502=0,0,(INDEX([2]Sheet1!$C$4:$Q$23,MATCH(K502,[2]Sheet1!$B$4:$B$23,1),MATCH(D502,[2]Sheet1!$C$3:$Q$3,1))
+ (K502 - INDEX([2]Sheet1!$B$4:$B$23,MATCH(K502,[2]Sheet1!$B$4:$B$23,1),1))/(INDEX([2]Sheet1!$B$4:$B$23,MATCH(K502,[2]Sheet1!$B$4:$B$23,1)+1,1) - INDEX([2]Sheet1!$B$4:$B$23,MATCH(K502,[2]Sheet1!$B$4:$B$23,1),1))*(INDEX([2]Sheet1!$C$4:$Q$23,MATCH(K502,[2]Sheet1!$B$4:$B$23,1)+1,MATCH(D502,[2]Sheet1!$C$3:$Q$3,1)) - INDEX([2]Sheet1!$C$4:$Q$23,MATCH(K502,[2]Sheet1!$B$4:$B$23,1),MATCH(D502,[2]Sheet1!$C$3:$Q$3,1)))
+ (D502 - INDEX([2]Sheet1!$C$3:$Q$3,1,MATCH(D502,[2]Sheet1!$C$3:$Q$3)))/(INDEX([2]Sheet1!$C$3:$Q$3,1,MATCH(D502,[2]Sheet1!$C$3:$Q$3)+1) - INDEX([2]Sheet1!$C$3:$Q$3,1,MATCH(D502,[2]Sheet1!$C$3:$Q$3)))*(
INDEX([2]Sheet1!$C$4:$Q$23,MATCH(K502,[2]Sheet1!$B$4:$B$23,1),MATCH(D502,[2]Sheet1!$C$3:$Q$3,1)+1) - INDEX([2]Sheet1!$C$4:$Q$23,MATCH(K502,[2]Sheet1!$B$4:$B$23,1),MATCH(D502,[2]Sheet1!$C$3:$Q$3,1)))))</f>
        <v>0</v>
      </c>
      <c r="N502">
        <f t="shared" si="152"/>
        <v>12</v>
      </c>
      <c r="O502">
        <v>8.5910528218466134E-2</v>
      </c>
      <c r="P502" t="e">
        <f t="shared" si="153"/>
        <v>#DIV/0!</v>
      </c>
      <c r="Q502">
        <f t="shared" si="140"/>
        <v>0</v>
      </c>
      <c r="R502">
        <f t="shared" si="154"/>
        <v>741.9099431943954</v>
      </c>
      <c r="T502" t="e">
        <f t="shared" si="143"/>
        <v>#DIV/0!</v>
      </c>
      <c r="U502" t="e">
        <f t="shared" si="144"/>
        <v>#DIV/0!</v>
      </c>
      <c r="V502" s="1">
        <f>4*L502*(E502+J502)/(PI()*N502^2)</f>
        <v>0</v>
      </c>
      <c r="W502" s="1" t="e">
        <f>(D502-V502)/V502*100</f>
        <v>#DIV/0!</v>
      </c>
    </row>
    <row r="503" spans="1:23" x14ac:dyDescent="0.55000000000000004">
      <c r="A503">
        <f t="shared" si="142"/>
        <v>46.900000000000396</v>
      </c>
      <c r="B503">
        <f t="shared" si="146"/>
        <v>0.316</v>
      </c>
      <c r="C503">
        <f t="shared" si="147"/>
        <v>-25.586956521739388</v>
      </c>
      <c r="D503">
        <v>2.4304556642231727</v>
      </c>
      <c r="E503">
        <f t="shared" si="137"/>
        <v>0</v>
      </c>
      <c r="F503">
        <f t="shared" si="148"/>
        <v>4.8605058816845369E-2</v>
      </c>
      <c r="G503">
        <f t="shared" si="149"/>
        <v>39.513748498891111</v>
      </c>
      <c r="H503">
        <f t="shared" si="150"/>
        <v>0</v>
      </c>
      <c r="I503" s="1">
        <f t="shared" si="138"/>
        <v>0</v>
      </c>
      <c r="J503">
        <f t="shared" si="151"/>
        <v>0</v>
      </c>
      <c r="K503">
        <f t="shared" si="139"/>
        <v>0</v>
      </c>
      <c r="L503" cm="1">
        <f t="array" ref="L503">IF(E503*J503=0,0,$C$21*INDEX([3]Sheet1!$C$4:$Q$23,MATCH(K503,[3]Sheet1!$B$4:$B$23,1),MATCH(D503,[3]Sheet1!$C$3:$Q$3,1))
+(K503-INDEX([3]Sheet1!$B$4:$B$23,MATCH(K503,[3]Sheet1!$B$4:$B$23,1),1))/(INDEX([3]Sheet1!$B$4:$B$23,MATCH(K503,[3]Sheet1!$B$4:$B$23,1)+1,1)-INDEX([3]Sheet1!$B$4:$B$23,
MATCH(K503,[3]Sheet1!$B$4:$B$23,1),1))*(INDEX([3]Sheet1!$C$4:$Q$23,MATCH(K503,[3]Sheet1!$B$4:$B$23,1)+1,MATCH(D503,[3]Sheet1!$C$3:$Q$3,1))-INDEX([3]Sheet1!$C$4:$Q$23,
MATCH(K503,[3]Sheet1!$B$4:$B$23,1),MATCH(D503,[3]Sheet1!$C$3:$Q$3,1)))
+(D503-INDEX([3]Sheet1!$C$3:$Q$3,1,MATCH(D503,[3]Sheet1!$C$3:$Q$3)))/(INDEX([3]Sheet1!$C$3:$Q$3,1,MATCH(D503,[3]Sheet1!$C$3:$Q$3)+1)-INDEX([3]Sheet1!$C$3:$Q$3,1,MATCH(
D503,[3]Sheet1!$C$3:$Q$3)))*(INDEX([3]Sheet1!$C$4:$Q$23,MATCH(K503,[3]Sheet1!$B$4:$B$23,1),MATCH(D503,[3]Sheet1!$C$3:$Q$3,1)+1)-INDEX([3]Sheet1!$C$4:$Q$23,MATCH(K503,[3]Sheet1!$B$4:$B$23,1),MATCH(D503,[3]Sheet1!$C$3:$Q$3,1))))</f>
        <v>0</v>
      </c>
      <c r="M503" cm="1">
        <f t="array" ref="M503" xml:space="preserve"> IF(E503*J503=0,0,(INDEX([2]Sheet1!$C$4:$Q$23,MATCH(K503,[2]Sheet1!$B$4:$B$23,1),MATCH(D503,[2]Sheet1!$C$3:$Q$3,1))
+ (K503 - INDEX([2]Sheet1!$B$4:$B$23,MATCH(K503,[2]Sheet1!$B$4:$B$23,1),1))/(INDEX([2]Sheet1!$B$4:$B$23,MATCH(K503,[2]Sheet1!$B$4:$B$23,1)+1,1) - INDEX([2]Sheet1!$B$4:$B$23,MATCH(K503,[2]Sheet1!$B$4:$B$23,1),1))*(INDEX([2]Sheet1!$C$4:$Q$23,MATCH(K503,[2]Sheet1!$B$4:$B$23,1)+1,MATCH(D503,[2]Sheet1!$C$3:$Q$3,1)) - INDEX([2]Sheet1!$C$4:$Q$23,MATCH(K503,[2]Sheet1!$B$4:$B$23,1),MATCH(D503,[2]Sheet1!$C$3:$Q$3,1)))
+ (D503 - INDEX([2]Sheet1!$C$3:$Q$3,1,MATCH(D503,[2]Sheet1!$C$3:$Q$3)))/(INDEX([2]Sheet1!$C$3:$Q$3,1,MATCH(D503,[2]Sheet1!$C$3:$Q$3)+1) - INDEX([2]Sheet1!$C$3:$Q$3,1,MATCH(D503,[2]Sheet1!$C$3:$Q$3)))*(
INDEX([2]Sheet1!$C$4:$Q$23,MATCH(K503,[2]Sheet1!$B$4:$B$23,1),MATCH(D503,[2]Sheet1!$C$3:$Q$3,1)+1) - INDEX([2]Sheet1!$C$4:$Q$23,MATCH(K503,[2]Sheet1!$B$4:$B$23,1),MATCH(D503,[2]Sheet1!$C$3:$Q$3,1)))))</f>
        <v>0</v>
      </c>
      <c r="N503">
        <f t="shared" si="152"/>
        <v>12</v>
      </c>
      <c r="O503">
        <v>8.5895247376651385E-2</v>
      </c>
      <c r="P503" t="e">
        <f t="shared" si="153"/>
        <v>#DIV/0!</v>
      </c>
      <c r="Q503">
        <f t="shared" si="140"/>
        <v>0</v>
      </c>
      <c r="R503">
        <f t="shared" si="154"/>
        <v>741.9099431943954</v>
      </c>
      <c r="T503" t="e">
        <f t="shared" si="143"/>
        <v>#DIV/0!</v>
      </c>
      <c r="U503" t="e">
        <f t="shared" si="144"/>
        <v>#DIV/0!</v>
      </c>
      <c r="V503">
        <f t="shared" si="145"/>
        <v>0</v>
      </c>
      <c r="W503" t="e">
        <f t="shared" si="141"/>
        <v>#DIV/0!</v>
      </c>
    </row>
    <row r="504" spans="1:23" x14ac:dyDescent="0.55000000000000004">
      <c r="A504">
        <f t="shared" si="142"/>
        <v>47.000000000000398</v>
      </c>
      <c r="B504">
        <f t="shared" si="146"/>
        <v>0.316</v>
      </c>
      <c r="C504">
        <f t="shared" si="147"/>
        <v>-25.65217391304374</v>
      </c>
      <c r="D504">
        <v>2.4303778849007922</v>
      </c>
      <c r="E504">
        <f t="shared" si="137"/>
        <v>0</v>
      </c>
      <c r="F504">
        <f t="shared" si="148"/>
        <v>4.8605058816845369E-2</v>
      </c>
      <c r="G504">
        <f t="shared" si="149"/>
        <v>39.513748498891111</v>
      </c>
      <c r="H504">
        <f t="shared" si="150"/>
        <v>0</v>
      </c>
      <c r="I504" s="1">
        <f t="shared" si="138"/>
        <v>0</v>
      </c>
      <c r="J504">
        <f t="shared" si="151"/>
        <v>0</v>
      </c>
      <c r="K504">
        <f t="shared" si="139"/>
        <v>0</v>
      </c>
      <c r="L504" cm="1">
        <f t="array" ref="L504">IF(E504*J504=0,0,$C$21*INDEX([3]Sheet1!$C$4:$Q$23,MATCH(K504,[3]Sheet1!$B$4:$B$23,1),MATCH(D504,[3]Sheet1!$C$3:$Q$3,1))
+(K504-INDEX([3]Sheet1!$B$4:$B$23,MATCH(K504,[3]Sheet1!$B$4:$B$23,1),1))/(INDEX([3]Sheet1!$B$4:$B$23,MATCH(K504,[3]Sheet1!$B$4:$B$23,1)+1,1)-INDEX([3]Sheet1!$B$4:$B$23,
MATCH(K504,[3]Sheet1!$B$4:$B$23,1),1))*(INDEX([3]Sheet1!$C$4:$Q$23,MATCH(K504,[3]Sheet1!$B$4:$B$23,1)+1,MATCH(D504,[3]Sheet1!$C$3:$Q$3,1))-INDEX([3]Sheet1!$C$4:$Q$23,
MATCH(K504,[3]Sheet1!$B$4:$B$23,1),MATCH(D504,[3]Sheet1!$C$3:$Q$3,1)))
+(D504-INDEX([3]Sheet1!$C$3:$Q$3,1,MATCH(D504,[3]Sheet1!$C$3:$Q$3)))/(INDEX([3]Sheet1!$C$3:$Q$3,1,MATCH(D504,[3]Sheet1!$C$3:$Q$3)+1)-INDEX([3]Sheet1!$C$3:$Q$3,1,MATCH(
D504,[3]Sheet1!$C$3:$Q$3)))*(INDEX([3]Sheet1!$C$4:$Q$23,MATCH(K504,[3]Sheet1!$B$4:$B$23,1),MATCH(D504,[3]Sheet1!$C$3:$Q$3,1)+1)-INDEX([3]Sheet1!$C$4:$Q$23,MATCH(K504,[3]Sheet1!$B$4:$B$23,1),MATCH(D504,[3]Sheet1!$C$3:$Q$3,1))))</f>
        <v>0</v>
      </c>
      <c r="M504" cm="1">
        <f t="array" ref="M504" xml:space="preserve"> IF(E504*J504=0,0,(INDEX([2]Sheet1!$C$4:$Q$23,MATCH(K504,[2]Sheet1!$B$4:$B$23,1),MATCH(D504,[2]Sheet1!$C$3:$Q$3,1))
+ (K504 - INDEX([2]Sheet1!$B$4:$B$23,MATCH(K504,[2]Sheet1!$B$4:$B$23,1),1))/(INDEX([2]Sheet1!$B$4:$B$23,MATCH(K504,[2]Sheet1!$B$4:$B$23,1)+1,1) - INDEX([2]Sheet1!$B$4:$B$23,MATCH(K504,[2]Sheet1!$B$4:$B$23,1),1))*(INDEX([2]Sheet1!$C$4:$Q$23,MATCH(K504,[2]Sheet1!$B$4:$B$23,1)+1,MATCH(D504,[2]Sheet1!$C$3:$Q$3,1)) - INDEX([2]Sheet1!$C$4:$Q$23,MATCH(K504,[2]Sheet1!$B$4:$B$23,1),MATCH(D504,[2]Sheet1!$C$3:$Q$3,1)))
+ (D504 - INDEX([2]Sheet1!$C$3:$Q$3,1,MATCH(D504,[2]Sheet1!$C$3:$Q$3)))/(INDEX([2]Sheet1!$C$3:$Q$3,1,MATCH(D504,[2]Sheet1!$C$3:$Q$3)+1) - INDEX([2]Sheet1!$C$3:$Q$3,1,MATCH(D504,[2]Sheet1!$C$3:$Q$3)))*(
INDEX([2]Sheet1!$C$4:$Q$23,MATCH(K504,[2]Sheet1!$B$4:$B$23,1),MATCH(D504,[2]Sheet1!$C$3:$Q$3,1)+1) - INDEX([2]Sheet1!$C$4:$Q$23,MATCH(K504,[2]Sheet1!$B$4:$B$23,1),MATCH(D504,[2]Sheet1!$C$3:$Q$3,1)))))</f>
        <v>0</v>
      </c>
      <c r="N504">
        <f t="shared" si="152"/>
        <v>12</v>
      </c>
      <c r="O504">
        <v>8.5879990957157426E-2</v>
      </c>
      <c r="P504" t="e">
        <f t="shared" si="153"/>
        <v>#DIV/0!</v>
      </c>
      <c r="Q504">
        <f t="shared" si="140"/>
        <v>0</v>
      </c>
      <c r="R504">
        <f t="shared" si="154"/>
        <v>741.9099431943954</v>
      </c>
      <c r="T504" t="e">
        <f t="shared" si="143"/>
        <v>#DIV/0!</v>
      </c>
      <c r="U504" t="e">
        <f t="shared" si="144"/>
        <v>#DIV/0!</v>
      </c>
      <c r="V504">
        <f t="shared" si="145"/>
        <v>0</v>
      </c>
      <c r="W504" t="e">
        <f t="shared" si="141"/>
        <v>#DIV/0!</v>
      </c>
    </row>
    <row r="505" spans="1:23" x14ac:dyDescent="0.55000000000000004">
      <c r="A505">
        <f t="shared" si="142"/>
        <v>47.100000000000399</v>
      </c>
      <c r="B505">
        <f t="shared" si="146"/>
        <v>0.316</v>
      </c>
      <c r="C505">
        <f t="shared" si="147"/>
        <v>-25.717391304348091</v>
      </c>
      <c r="D505">
        <v>2.4303002159204579</v>
      </c>
      <c r="E505">
        <f t="shared" si="137"/>
        <v>0</v>
      </c>
      <c r="F505">
        <f t="shared" si="148"/>
        <v>4.8605058816845369E-2</v>
      </c>
      <c r="G505">
        <f t="shared" si="149"/>
        <v>39.513748498891111</v>
      </c>
      <c r="H505">
        <f t="shared" si="150"/>
        <v>0</v>
      </c>
      <c r="I505" s="1">
        <f t="shared" si="138"/>
        <v>0</v>
      </c>
      <c r="J505">
        <f t="shared" si="151"/>
        <v>0</v>
      </c>
      <c r="K505">
        <f t="shared" si="139"/>
        <v>0</v>
      </c>
      <c r="L505" cm="1">
        <f t="array" ref="L505">IF(E505*J505=0,0,$C$21*INDEX([3]Sheet1!$C$4:$Q$23,MATCH(K505,[3]Sheet1!$B$4:$B$23,1),MATCH(D505,[3]Sheet1!$C$3:$Q$3,1))
+(K505-INDEX([3]Sheet1!$B$4:$B$23,MATCH(K505,[3]Sheet1!$B$4:$B$23,1),1))/(INDEX([3]Sheet1!$B$4:$B$23,MATCH(K505,[3]Sheet1!$B$4:$B$23,1)+1,1)-INDEX([3]Sheet1!$B$4:$B$23,
MATCH(K505,[3]Sheet1!$B$4:$B$23,1),1))*(INDEX([3]Sheet1!$C$4:$Q$23,MATCH(K505,[3]Sheet1!$B$4:$B$23,1)+1,MATCH(D505,[3]Sheet1!$C$3:$Q$3,1))-INDEX([3]Sheet1!$C$4:$Q$23,
MATCH(K505,[3]Sheet1!$B$4:$B$23,1),MATCH(D505,[3]Sheet1!$C$3:$Q$3,1)))
+(D505-INDEX([3]Sheet1!$C$3:$Q$3,1,MATCH(D505,[3]Sheet1!$C$3:$Q$3)))/(INDEX([3]Sheet1!$C$3:$Q$3,1,MATCH(D505,[3]Sheet1!$C$3:$Q$3)+1)-INDEX([3]Sheet1!$C$3:$Q$3,1,MATCH(
D505,[3]Sheet1!$C$3:$Q$3)))*(INDEX([3]Sheet1!$C$4:$Q$23,MATCH(K505,[3]Sheet1!$B$4:$B$23,1),MATCH(D505,[3]Sheet1!$C$3:$Q$3,1)+1)-INDEX([3]Sheet1!$C$4:$Q$23,MATCH(K505,[3]Sheet1!$B$4:$B$23,1),MATCH(D505,[3]Sheet1!$C$3:$Q$3,1))))</f>
        <v>0</v>
      </c>
      <c r="M505" cm="1">
        <f t="array" ref="M505" xml:space="preserve"> IF(E505*J505=0,0,(INDEX([2]Sheet1!$C$4:$Q$23,MATCH(K505,[2]Sheet1!$B$4:$B$23,1),MATCH(D505,[2]Sheet1!$C$3:$Q$3,1))
+ (K505 - INDEX([2]Sheet1!$B$4:$B$23,MATCH(K505,[2]Sheet1!$B$4:$B$23,1),1))/(INDEX([2]Sheet1!$B$4:$B$23,MATCH(K505,[2]Sheet1!$B$4:$B$23,1)+1,1) - INDEX([2]Sheet1!$B$4:$B$23,MATCH(K505,[2]Sheet1!$B$4:$B$23,1),1))*(INDEX([2]Sheet1!$C$4:$Q$23,MATCH(K505,[2]Sheet1!$B$4:$B$23,1)+1,MATCH(D505,[2]Sheet1!$C$3:$Q$3,1)) - INDEX([2]Sheet1!$C$4:$Q$23,MATCH(K505,[2]Sheet1!$B$4:$B$23,1),MATCH(D505,[2]Sheet1!$C$3:$Q$3,1)))
+ (D505 - INDEX([2]Sheet1!$C$3:$Q$3,1,MATCH(D505,[2]Sheet1!$C$3:$Q$3)))/(INDEX([2]Sheet1!$C$3:$Q$3,1,MATCH(D505,[2]Sheet1!$C$3:$Q$3)+1) - INDEX([2]Sheet1!$C$3:$Q$3,1,MATCH(D505,[2]Sheet1!$C$3:$Q$3)))*(
INDEX([2]Sheet1!$C$4:$Q$23,MATCH(K505,[2]Sheet1!$B$4:$B$23,1),MATCH(D505,[2]Sheet1!$C$3:$Q$3,1)+1) - INDEX([2]Sheet1!$C$4:$Q$23,MATCH(K505,[2]Sheet1!$B$4:$B$23,1),MATCH(D505,[2]Sheet1!$C$3:$Q$3,1)))))</f>
        <v>0</v>
      </c>
      <c r="N505">
        <f t="shared" si="152"/>
        <v>12</v>
      </c>
      <c r="O505">
        <v>8.5864758884309611E-2</v>
      </c>
      <c r="P505" t="e">
        <f t="shared" si="153"/>
        <v>#DIV/0!</v>
      </c>
      <c r="Q505">
        <f t="shared" si="140"/>
        <v>0</v>
      </c>
      <c r="R505">
        <f t="shared" si="154"/>
        <v>741.9099431943954</v>
      </c>
      <c r="T505" t="e">
        <f t="shared" si="143"/>
        <v>#DIV/0!</v>
      </c>
      <c r="U505" t="e">
        <f t="shared" si="144"/>
        <v>#DIV/0!</v>
      </c>
      <c r="V505">
        <f t="shared" si="145"/>
        <v>0</v>
      </c>
      <c r="W505" t="e">
        <f t="shared" si="141"/>
        <v>#DIV/0!</v>
      </c>
    </row>
    <row r="506" spans="1:23" x14ac:dyDescent="0.55000000000000004">
      <c r="A506">
        <f t="shared" si="142"/>
        <v>47.200000000000401</v>
      </c>
      <c r="B506">
        <f t="shared" si="146"/>
        <v>0.316</v>
      </c>
      <c r="C506">
        <f t="shared" si="147"/>
        <v>-25.782608695652442</v>
      </c>
      <c r="D506">
        <v>2.430222656958327</v>
      </c>
      <c r="E506">
        <f t="shared" si="137"/>
        <v>0</v>
      </c>
      <c r="F506">
        <f t="shared" si="148"/>
        <v>4.8605058816845369E-2</v>
      </c>
      <c r="G506">
        <f t="shared" si="149"/>
        <v>39.513748498891111</v>
      </c>
      <c r="H506">
        <f t="shared" si="150"/>
        <v>0</v>
      </c>
      <c r="I506" s="1">
        <f t="shared" si="138"/>
        <v>0</v>
      </c>
      <c r="J506">
        <f t="shared" si="151"/>
        <v>0</v>
      </c>
      <c r="K506">
        <f t="shared" si="139"/>
        <v>0</v>
      </c>
      <c r="L506" cm="1">
        <f t="array" ref="L506">IF(E506*J506=0,0,$C$21*INDEX([3]Sheet1!$C$4:$Q$23,MATCH(K506,[3]Sheet1!$B$4:$B$23,1),MATCH(D506,[3]Sheet1!$C$3:$Q$3,1))
+(K506-INDEX([3]Sheet1!$B$4:$B$23,MATCH(K506,[3]Sheet1!$B$4:$B$23,1),1))/(INDEX([3]Sheet1!$B$4:$B$23,MATCH(K506,[3]Sheet1!$B$4:$B$23,1)+1,1)-INDEX([3]Sheet1!$B$4:$B$23,
MATCH(K506,[3]Sheet1!$B$4:$B$23,1),1))*(INDEX([3]Sheet1!$C$4:$Q$23,MATCH(K506,[3]Sheet1!$B$4:$B$23,1)+1,MATCH(D506,[3]Sheet1!$C$3:$Q$3,1))-INDEX([3]Sheet1!$C$4:$Q$23,
MATCH(K506,[3]Sheet1!$B$4:$B$23,1),MATCH(D506,[3]Sheet1!$C$3:$Q$3,1)))
+(D506-INDEX([3]Sheet1!$C$3:$Q$3,1,MATCH(D506,[3]Sheet1!$C$3:$Q$3)))/(INDEX([3]Sheet1!$C$3:$Q$3,1,MATCH(D506,[3]Sheet1!$C$3:$Q$3)+1)-INDEX([3]Sheet1!$C$3:$Q$3,1,MATCH(
D506,[3]Sheet1!$C$3:$Q$3)))*(INDEX([3]Sheet1!$C$4:$Q$23,MATCH(K506,[3]Sheet1!$B$4:$B$23,1),MATCH(D506,[3]Sheet1!$C$3:$Q$3,1)+1)-INDEX([3]Sheet1!$C$4:$Q$23,MATCH(K506,[3]Sheet1!$B$4:$B$23,1),MATCH(D506,[3]Sheet1!$C$3:$Q$3,1))))</f>
        <v>0</v>
      </c>
      <c r="M506" cm="1">
        <f t="array" ref="M506" xml:space="preserve"> IF(E506*J506=0,0,(INDEX([2]Sheet1!$C$4:$Q$23,MATCH(K506,[2]Sheet1!$B$4:$B$23,1),MATCH(D506,[2]Sheet1!$C$3:$Q$3,1))
+ (K506 - INDEX([2]Sheet1!$B$4:$B$23,MATCH(K506,[2]Sheet1!$B$4:$B$23,1),1))/(INDEX([2]Sheet1!$B$4:$B$23,MATCH(K506,[2]Sheet1!$B$4:$B$23,1)+1,1) - INDEX([2]Sheet1!$B$4:$B$23,MATCH(K506,[2]Sheet1!$B$4:$B$23,1),1))*(INDEX([2]Sheet1!$C$4:$Q$23,MATCH(K506,[2]Sheet1!$B$4:$B$23,1)+1,MATCH(D506,[2]Sheet1!$C$3:$Q$3,1)) - INDEX([2]Sheet1!$C$4:$Q$23,MATCH(K506,[2]Sheet1!$B$4:$B$23,1),MATCH(D506,[2]Sheet1!$C$3:$Q$3,1)))
+ (D506 - INDEX([2]Sheet1!$C$3:$Q$3,1,MATCH(D506,[2]Sheet1!$C$3:$Q$3)))/(INDEX([2]Sheet1!$C$3:$Q$3,1,MATCH(D506,[2]Sheet1!$C$3:$Q$3)+1) - INDEX([2]Sheet1!$C$3:$Q$3,1,MATCH(D506,[2]Sheet1!$C$3:$Q$3)))*(
INDEX([2]Sheet1!$C$4:$Q$23,MATCH(K506,[2]Sheet1!$B$4:$B$23,1),MATCH(D506,[2]Sheet1!$C$3:$Q$3,1)+1) - INDEX([2]Sheet1!$C$4:$Q$23,MATCH(K506,[2]Sheet1!$B$4:$B$23,1),MATCH(D506,[2]Sheet1!$C$3:$Q$3,1)))))</f>
        <v>0</v>
      </c>
      <c r="N506">
        <f t="shared" si="152"/>
        <v>12</v>
      </c>
      <c r="O506">
        <v>8.5849551082779807E-2</v>
      </c>
      <c r="P506" t="e">
        <f t="shared" si="153"/>
        <v>#DIV/0!</v>
      </c>
      <c r="Q506">
        <f t="shared" si="140"/>
        <v>0</v>
      </c>
      <c r="R506">
        <f t="shared" si="154"/>
        <v>741.9099431943954</v>
      </c>
      <c r="T506" t="e">
        <f t="shared" si="143"/>
        <v>#DIV/0!</v>
      </c>
      <c r="U506" t="e">
        <f t="shared" si="144"/>
        <v>#DIV/0!</v>
      </c>
      <c r="V506">
        <f t="shared" si="145"/>
        <v>0</v>
      </c>
      <c r="W506" t="e">
        <f t="shared" si="141"/>
        <v>#DIV/0!</v>
      </c>
    </row>
    <row r="507" spans="1:23" x14ac:dyDescent="0.55000000000000004">
      <c r="A507">
        <f t="shared" si="142"/>
        <v>47.300000000000402</v>
      </c>
      <c r="B507">
        <f t="shared" si="146"/>
        <v>0.316</v>
      </c>
      <c r="C507">
        <f t="shared" si="147"/>
        <v>-25.847826086956786</v>
      </c>
      <c r="D507">
        <v>2.4301452076919925</v>
      </c>
      <c r="E507">
        <f t="shared" si="137"/>
        <v>0</v>
      </c>
      <c r="F507">
        <f t="shared" si="148"/>
        <v>4.8605058816845369E-2</v>
      </c>
      <c r="G507">
        <f t="shared" si="149"/>
        <v>39.513748498891111</v>
      </c>
      <c r="H507">
        <f t="shared" si="150"/>
        <v>0</v>
      </c>
      <c r="I507" s="1">
        <f t="shared" si="138"/>
        <v>0</v>
      </c>
      <c r="J507">
        <f t="shared" si="151"/>
        <v>0</v>
      </c>
      <c r="K507">
        <f t="shared" si="139"/>
        <v>0</v>
      </c>
      <c r="L507" cm="1">
        <f t="array" ref="L507">IF(E507*J507=0,0,$C$21*INDEX([3]Sheet1!$C$4:$Q$23,MATCH(K507,[3]Sheet1!$B$4:$B$23,1),MATCH(D507,[3]Sheet1!$C$3:$Q$3,1))
+(K507-INDEX([3]Sheet1!$B$4:$B$23,MATCH(K507,[3]Sheet1!$B$4:$B$23,1),1))/(INDEX([3]Sheet1!$B$4:$B$23,MATCH(K507,[3]Sheet1!$B$4:$B$23,1)+1,1)-INDEX([3]Sheet1!$B$4:$B$23,
MATCH(K507,[3]Sheet1!$B$4:$B$23,1),1))*(INDEX([3]Sheet1!$C$4:$Q$23,MATCH(K507,[3]Sheet1!$B$4:$B$23,1)+1,MATCH(D507,[3]Sheet1!$C$3:$Q$3,1))-INDEX([3]Sheet1!$C$4:$Q$23,
MATCH(K507,[3]Sheet1!$B$4:$B$23,1),MATCH(D507,[3]Sheet1!$C$3:$Q$3,1)))
+(D507-INDEX([3]Sheet1!$C$3:$Q$3,1,MATCH(D507,[3]Sheet1!$C$3:$Q$3)))/(INDEX([3]Sheet1!$C$3:$Q$3,1,MATCH(D507,[3]Sheet1!$C$3:$Q$3)+1)-INDEX([3]Sheet1!$C$3:$Q$3,1,MATCH(
D507,[3]Sheet1!$C$3:$Q$3)))*(INDEX([3]Sheet1!$C$4:$Q$23,MATCH(K507,[3]Sheet1!$B$4:$B$23,1),MATCH(D507,[3]Sheet1!$C$3:$Q$3,1)+1)-INDEX([3]Sheet1!$C$4:$Q$23,MATCH(K507,[3]Sheet1!$B$4:$B$23,1),MATCH(D507,[3]Sheet1!$C$3:$Q$3,1))))</f>
        <v>0</v>
      </c>
      <c r="M507" cm="1">
        <f t="array" ref="M507" xml:space="preserve"> IF(E507*J507=0,0,(INDEX([2]Sheet1!$C$4:$Q$23,MATCH(K507,[2]Sheet1!$B$4:$B$23,1),MATCH(D507,[2]Sheet1!$C$3:$Q$3,1))
+ (K507 - INDEX([2]Sheet1!$B$4:$B$23,MATCH(K507,[2]Sheet1!$B$4:$B$23,1),1))/(INDEX([2]Sheet1!$B$4:$B$23,MATCH(K507,[2]Sheet1!$B$4:$B$23,1)+1,1) - INDEX([2]Sheet1!$B$4:$B$23,MATCH(K507,[2]Sheet1!$B$4:$B$23,1),1))*(INDEX([2]Sheet1!$C$4:$Q$23,MATCH(K507,[2]Sheet1!$B$4:$B$23,1)+1,MATCH(D507,[2]Sheet1!$C$3:$Q$3,1)) - INDEX([2]Sheet1!$C$4:$Q$23,MATCH(K507,[2]Sheet1!$B$4:$B$23,1),MATCH(D507,[2]Sheet1!$C$3:$Q$3,1)))
+ (D507 - INDEX([2]Sheet1!$C$3:$Q$3,1,MATCH(D507,[2]Sheet1!$C$3:$Q$3)))/(INDEX([2]Sheet1!$C$3:$Q$3,1,MATCH(D507,[2]Sheet1!$C$3:$Q$3)+1) - INDEX([2]Sheet1!$C$3:$Q$3,1,MATCH(D507,[2]Sheet1!$C$3:$Q$3)))*(
INDEX([2]Sheet1!$C$4:$Q$23,MATCH(K507,[2]Sheet1!$B$4:$B$23,1),MATCH(D507,[2]Sheet1!$C$3:$Q$3,1)+1) - INDEX([2]Sheet1!$C$4:$Q$23,MATCH(K507,[2]Sheet1!$B$4:$B$23,1),MATCH(D507,[2]Sheet1!$C$3:$Q$3,1)))))</f>
        <v>0</v>
      </c>
      <c r="N507">
        <f t="shared" si="152"/>
        <v>12</v>
      </c>
      <c r="O507">
        <v>8.5834367477587437E-2</v>
      </c>
      <c r="P507" t="e">
        <f t="shared" si="153"/>
        <v>#DIV/0!</v>
      </c>
      <c r="Q507">
        <f t="shared" si="140"/>
        <v>0</v>
      </c>
      <c r="R507">
        <f t="shared" si="154"/>
        <v>741.9099431943954</v>
      </c>
      <c r="T507" t="e">
        <f t="shared" si="143"/>
        <v>#DIV/0!</v>
      </c>
      <c r="U507" t="e">
        <f t="shared" si="144"/>
        <v>#DIV/0!</v>
      </c>
      <c r="V507">
        <f t="shared" si="145"/>
        <v>0</v>
      </c>
      <c r="W507" t="e">
        <f t="shared" si="141"/>
        <v>#DIV/0!</v>
      </c>
    </row>
    <row r="508" spans="1:23" x14ac:dyDescent="0.55000000000000004">
      <c r="A508">
        <f t="shared" si="142"/>
        <v>47.400000000000404</v>
      </c>
      <c r="B508">
        <f t="shared" si="146"/>
        <v>0.316</v>
      </c>
      <c r="C508">
        <f t="shared" si="147"/>
        <v>-25.913043478261134</v>
      </c>
      <c r="D508">
        <v>2.4300678678004708</v>
      </c>
      <c r="E508">
        <f t="shared" si="137"/>
        <v>0</v>
      </c>
      <c r="F508">
        <f t="shared" si="148"/>
        <v>4.8605058816845369E-2</v>
      </c>
      <c r="G508">
        <f t="shared" si="149"/>
        <v>39.513748498891111</v>
      </c>
      <c r="H508">
        <f t="shared" si="150"/>
        <v>0</v>
      </c>
      <c r="I508" s="1">
        <f t="shared" si="138"/>
        <v>0</v>
      </c>
      <c r="J508">
        <f t="shared" si="151"/>
        <v>0</v>
      </c>
      <c r="K508">
        <f t="shared" si="139"/>
        <v>0</v>
      </c>
      <c r="L508" cm="1">
        <f t="array" ref="L508">IF(E508*J508=0,0,$C$21*INDEX([3]Sheet1!$C$4:$Q$23,MATCH(K508,[3]Sheet1!$B$4:$B$23,1),MATCH(D508,[3]Sheet1!$C$3:$Q$3,1))
+(K508-INDEX([3]Sheet1!$B$4:$B$23,MATCH(K508,[3]Sheet1!$B$4:$B$23,1),1))/(INDEX([3]Sheet1!$B$4:$B$23,MATCH(K508,[3]Sheet1!$B$4:$B$23,1)+1,1)-INDEX([3]Sheet1!$B$4:$B$23,
MATCH(K508,[3]Sheet1!$B$4:$B$23,1),1))*(INDEX([3]Sheet1!$C$4:$Q$23,MATCH(K508,[3]Sheet1!$B$4:$B$23,1)+1,MATCH(D508,[3]Sheet1!$C$3:$Q$3,1))-INDEX([3]Sheet1!$C$4:$Q$23,
MATCH(K508,[3]Sheet1!$B$4:$B$23,1),MATCH(D508,[3]Sheet1!$C$3:$Q$3,1)))
+(D508-INDEX([3]Sheet1!$C$3:$Q$3,1,MATCH(D508,[3]Sheet1!$C$3:$Q$3)))/(INDEX([3]Sheet1!$C$3:$Q$3,1,MATCH(D508,[3]Sheet1!$C$3:$Q$3)+1)-INDEX([3]Sheet1!$C$3:$Q$3,1,MATCH(
D508,[3]Sheet1!$C$3:$Q$3)))*(INDEX([3]Sheet1!$C$4:$Q$23,MATCH(K508,[3]Sheet1!$B$4:$B$23,1),MATCH(D508,[3]Sheet1!$C$3:$Q$3,1)+1)-INDEX([3]Sheet1!$C$4:$Q$23,MATCH(K508,[3]Sheet1!$B$4:$B$23,1),MATCH(D508,[3]Sheet1!$C$3:$Q$3,1))))</f>
        <v>0</v>
      </c>
      <c r="M508" cm="1">
        <f t="array" ref="M508" xml:space="preserve"> IF(E508*J508=0,0,(INDEX([2]Sheet1!$C$4:$Q$23,MATCH(K508,[2]Sheet1!$B$4:$B$23,1),MATCH(D508,[2]Sheet1!$C$3:$Q$3,1))
+ (K508 - INDEX([2]Sheet1!$B$4:$B$23,MATCH(K508,[2]Sheet1!$B$4:$B$23,1),1))/(INDEX([2]Sheet1!$B$4:$B$23,MATCH(K508,[2]Sheet1!$B$4:$B$23,1)+1,1) - INDEX([2]Sheet1!$B$4:$B$23,MATCH(K508,[2]Sheet1!$B$4:$B$23,1),1))*(INDEX([2]Sheet1!$C$4:$Q$23,MATCH(K508,[2]Sheet1!$B$4:$B$23,1)+1,MATCH(D508,[2]Sheet1!$C$3:$Q$3,1)) - INDEX([2]Sheet1!$C$4:$Q$23,MATCH(K508,[2]Sheet1!$B$4:$B$23,1),MATCH(D508,[2]Sheet1!$C$3:$Q$3,1)))
+ (D508 - INDEX([2]Sheet1!$C$3:$Q$3,1,MATCH(D508,[2]Sheet1!$C$3:$Q$3)))/(INDEX([2]Sheet1!$C$3:$Q$3,1,MATCH(D508,[2]Sheet1!$C$3:$Q$3)+1) - INDEX([2]Sheet1!$C$3:$Q$3,1,MATCH(D508,[2]Sheet1!$C$3:$Q$3)))*(
INDEX([2]Sheet1!$C$4:$Q$23,MATCH(K508,[2]Sheet1!$B$4:$B$23,1),MATCH(D508,[2]Sheet1!$C$3:$Q$3,1)+1) - INDEX([2]Sheet1!$C$4:$Q$23,MATCH(K508,[2]Sheet1!$B$4:$B$23,1),MATCH(D508,[2]Sheet1!$C$3:$Q$3,1)))))</f>
        <v>0</v>
      </c>
      <c r="N508">
        <f t="shared" si="152"/>
        <v>12</v>
      </c>
      <c r="O508">
        <v>8.581920799409487E-2</v>
      </c>
      <c r="P508" t="e">
        <f t="shared" si="153"/>
        <v>#DIV/0!</v>
      </c>
      <c r="Q508">
        <f t="shared" si="140"/>
        <v>0</v>
      </c>
      <c r="R508">
        <f t="shared" si="154"/>
        <v>741.9099431943954</v>
      </c>
      <c r="T508" t="e">
        <f t="shared" si="143"/>
        <v>#DIV/0!</v>
      </c>
      <c r="U508" t="e">
        <f t="shared" si="144"/>
        <v>#DIV/0!</v>
      </c>
      <c r="V508">
        <f t="shared" si="145"/>
        <v>0</v>
      </c>
      <c r="W508" t="e">
        <f t="shared" si="141"/>
        <v>#DIV/0!</v>
      </c>
    </row>
    <row r="509" spans="1:23" x14ac:dyDescent="0.55000000000000004">
      <c r="A509">
        <f t="shared" si="142"/>
        <v>47.500000000000405</v>
      </c>
      <c r="B509">
        <f t="shared" si="146"/>
        <v>0.316</v>
      </c>
      <c r="C509">
        <f t="shared" si="147"/>
        <v>-25.978260869565485</v>
      </c>
      <c r="D509">
        <v>2.429990636964197</v>
      </c>
      <c r="E509">
        <f t="shared" si="137"/>
        <v>0</v>
      </c>
      <c r="F509">
        <f t="shared" si="148"/>
        <v>4.8605058816845369E-2</v>
      </c>
      <c r="G509">
        <f t="shared" si="149"/>
        <v>39.513748498891111</v>
      </c>
      <c r="H509">
        <f t="shared" si="150"/>
        <v>0</v>
      </c>
      <c r="I509" s="1">
        <f t="shared" si="138"/>
        <v>0</v>
      </c>
      <c r="J509">
        <f t="shared" si="151"/>
        <v>0</v>
      </c>
      <c r="K509">
        <f t="shared" si="139"/>
        <v>0</v>
      </c>
      <c r="L509" cm="1">
        <f t="array" ref="L509">IF(E509*J509=0,0,$C$21*INDEX([3]Sheet1!$C$4:$Q$23,MATCH(K509,[3]Sheet1!$B$4:$B$23,1),MATCH(D509,[3]Sheet1!$C$3:$Q$3,1))
+(K509-INDEX([3]Sheet1!$B$4:$B$23,MATCH(K509,[3]Sheet1!$B$4:$B$23,1),1))/(INDEX([3]Sheet1!$B$4:$B$23,MATCH(K509,[3]Sheet1!$B$4:$B$23,1)+1,1)-INDEX([3]Sheet1!$B$4:$B$23,
MATCH(K509,[3]Sheet1!$B$4:$B$23,1),1))*(INDEX([3]Sheet1!$C$4:$Q$23,MATCH(K509,[3]Sheet1!$B$4:$B$23,1)+1,MATCH(D509,[3]Sheet1!$C$3:$Q$3,1))-INDEX([3]Sheet1!$C$4:$Q$23,
MATCH(K509,[3]Sheet1!$B$4:$B$23,1),MATCH(D509,[3]Sheet1!$C$3:$Q$3,1)))
+(D509-INDEX([3]Sheet1!$C$3:$Q$3,1,MATCH(D509,[3]Sheet1!$C$3:$Q$3)))/(INDEX([3]Sheet1!$C$3:$Q$3,1,MATCH(D509,[3]Sheet1!$C$3:$Q$3)+1)-INDEX([3]Sheet1!$C$3:$Q$3,1,MATCH(
D509,[3]Sheet1!$C$3:$Q$3)))*(INDEX([3]Sheet1!$C$4:$Q$23,MATCH(K509,[3]Sheet1!$B$4:$B$23,1),MATCH(D509,[3]Sheet1!$C$3:$Q$3,1)+1)-INDEX([3]Sheet1!$C$4:$Q$23,MATCH(K509,[3]Sheet1!$B$4:$B$23,1),MATCH(D509,[3]Sheet1!$C$3:$Q$3,1))))</f>
        <v>0</v>
      </c>
      <c r="M509" cm="1">
        <f t="array" ref="M509" xml:space="preserve"> IF(E509*J509=0,0,(INDEX([2]Sheet1!$C$4:$Q$23,MATCH(K509,[2]Sheet1!$B$4:$B$23,1),MATCH(D509,[2]Sheet1!$C$3:$Q$3,1))
+ (K509 - INDEX([2]Sheet1!$B$4:$B$23,MATCH(K509,[2]Sheet1!$B$4:$B$23,1),1))/(INDEX([2]Sheet1!$B$4:$B$23,MATCH(K509,[2]Sheet1!$B$4:$B$23,1)+1,1) - INDEX([2]Sheet1!$B$4:$B$23,MATCH(K509,[2]Sheet1!$B$4:$B$23,1),1))*(INDEX([2]Sheet1!$C$4:$Q$23,MATCH(K509,[2]Sheet1!$B$4:$B$23,1)+1,MATCH(D509,[2]Sheet1!$C$3:$Q$3,1)) - INDEX([2]Sheet1!$C$4:$Q$23,MATCH(K509,[2]Sheet1!$B$4:$B$23,1),MATCH(D509,[2]Sheet1!$C$3:$Q$3,1)))
+ (D509 - INDEX([2]Sheet1!$C$3:$Q$3,1,MATCH(D509,[2]Sheet1!$C$3:$Q$3)))/(INDEX([2]Sheet1!$C$3:$Q$3,1,MATCH(D509,[2]Sheet1!$C$3:$Q$3)+1) - INDEX([2]Sheet1!$C$3:$Q$3,1,MATCH(D509,[2]Sheet1!$C$3:$Q$3)))*(
INDEX([2]Sheet1!$C$4:$Q$23,MATCH(K509,[2]Sheet1!$B$4:$B$23,1),MATCH(D509,[2]Sheet1!$C$3:$Q$3,1)+1) - INDEX([2]Sheet1!$C$4:$Q$23,MATCH(K509,[2]Sheet1!$B$4:$B$23,1),MATCH(D509,[2]Sheet1!$C$3:$Q$3,1)))))</f>
        <v>0</v>
      </c>
      <c r="N509">
        <f t="shared" si="152"/>
        <v>12</v>
      </c>
      <c r="O509">
        <v>8.5804072558006039E-2</v>
      </c>
      <c r="P509" t="e">
        <f t="shared" si="153"/>
        <v>#DIV/0!</v>
      </c>
      <c r="Q509">
        <f t="shared" si="140"/>
        <v>0</v>
      </c>
      <c r="R509">
        <f t="shared" si="154"/>
        <v>741.9099431943954</v>
      </c>
      <c r="T509" t="e">
        <f t="shared" si="143"/>
        <v>#DIV/0!</v>
      </c>
      <c r="U509" t="e">
        <f t="shared" si="144"/>
        <v>#DIV/0!</v>
      </c>
      <c r="V509">
        <f t="shared" si="145"/>
        <v>0</v>
      </c>
      <c r="W509" t="e">
        <f t="shared" si="141"/>
        <v>#DIV/0!</v>
      </c>
    </row>
    <row r="510" spans="1:23" x14ac:dyDescent="0.55000000000000004">
      <c r="A510">
        <f t="shared" si="142"/>
        <v>47.600000000000406</v>
      </c>
      <c r="B510">
        <f t="shared" si="146"/>
        <v>0.316</v>
      </c>
      <c r="C510">
        <f t="shared" si="147"/>
        <v>-26.043478260869829</v>
      </c>
      <c r="D510">
        <v>2.4299135148650133</v>
      </c>
      <c r="E510">
        <f t="shared" si="137"/>
        <v>0</v>
      </c>
      <c r="F510">
        <f t="shared" si="148"/>
        <v>4.8605058816845369E-2</v>
      </c>
      <c r="G510">
        <f t="shared" si="149"/>
        <v>39.513748498891111</v>
      </c>
      <c r="H510">
        <f t="shared" si="150"/>
        <v>0</v>
      </c>
      <c r="I510" s="1">
        <f t="shared" si="138"/>
        <v>0</v>
      </c>
      <c r="J510">
        <f t="shared" si="151"/>
        <v>0</v>
      </c>
      <c r="K510">
        <f t="shared" si="139"/>
        <v>0</v>
      </c>
      <c r="L510" cm="1">
        <f t="array" ref="L510">IF(E510*J510=0,0,$C$21*INDEX([3]Sheet1!$C$4:$Q$23,MATCH(K510,[3]Sheet1!$B$4:$B$23,1),MATCH(D510,[3]Sheet1!$C$3:$Q$3,1))
+(K510-INDEX([3]Sheet1!$B$4:$B$23,MATCH(K510,[3]Sheet1!$B$4:$B$23,1),1))/(INDEX([3]Sheet1!$B$4:$B$23,MATCH(K510,[3]Sheet1!$B$4:$B$23,1)+1,1)-INDEX([3]Sheet1!$B$4:$B$23,
MATCH(K510,[3]Sheet1!$B$4:$B$23,1),1))*(INDEX([3]Sheet1!$C$4:$Q$23,MATCH(K510,[3]Sheet1!$B$4:$B$23,1)+1,MATCH(D510,[3]Sheet1!$C$3:$Q$3,1))-INDEX([3]Sheet1!$C$4:$Q$23,
MATCH(K510,[3]Sheet1!$B$4:$B$23,1),MATCH(D510,[3]Sheet1!$C$3:$Q$3,1)))
+(D510-INDEX([3]Sheet1!$C$3:$Q$3,1,MATCH(D510,[3]Sheet1!$C$3:$Q$3)))/(INDEX([3]Sheet1!$C$3:$Q$3,1,MATCH(D510,[3]Sheet1!$C$3:$Q$3)+1)-INDEX([3]Sheet1!$C$3:$Q$3,1,MATCH(
D510,[3]Sheet1!$C$3:$Q$3)))*(INDEX([3]Sheet1!$C$4:$Q$23,MATCH(K510,[3]Sheet1!$B$4:$B$23,1),MATCH(D510,[3]Sheet1!$C$3:$Q$3,1)+1)-INDEX([3]Sheet1!$C$4:$Q$23,MATCH(K510,[3]Sheet1!$B$4:$B$23,1),MATCH(D510,[3]Sheet1!$C$3:$Q$3,1))))</f>
        <v>0</v>
      </c>
      <c r="M510" cm="1">
        <f t="array" ref="M510" xml:space="preserve"> IF(E510*J510=0,0,(INDEX([2]Sheet1!$C$4:$Q$23,MATCH(K510,[2]Sheet1!$B$4:$B$23,1),MATCH(D510,[2]Sheet1!$C$3:$Q$3,1))
+ (K510 - INDEX([2]Sheet1!$B$4:$B$23,MATCH(K510,[2]Sheet1!$B$4:$B$23,1),1))/(INDEX([2]Sheet1!$B$4:$B$23,MATCH(K510,[2]Sheet1!$B$4:$B$23,1)+1,1) - INDEX([2]Sheet1!$B$4:$B$23,MATCH(K510,[2]Sheet1!$B$4:$B$23,1),1))*(INDEX([2]Sheet1!$C$4:$Q$23,MATCH(K510,[2]Sheet1!$B$4:$B$23,1)+1,MATCH(D510,[2]Sheet1!$C$3:$Q$3,1)) - INDEX([2]Sheet1!$C$4:$Q$23,MATCH(K510,[2]Sheet1!$B$4:$B$23,1),MATCH(D510,[2]Sheet1!$C$3:$Q$3,1)))
+ (D510 - INDEX([2]Sheet1!$C$3:$Q$3,1,MATCH(D510,[2]Sheet1!$C$3:$Q$3)))/(INDEX([2]Sheet1!$C$3:$Q$3,1,MATCH(D510,[2]Sheet1!$C$3:$Q$3)+1) - INDEX([2]Sheet1!$C$3:$Q$3,1,MATCH(D510,[2]Sheet1!$C$3:$Q$3)))*(
INDEX([2]Sheet1!$C$4:$Q$23,MATCH(K510,[2]Sheet1!$B$4:$B$23,1),MATCH(D510,[2]Sheet1!$C$3:$Q$3,1)+1) - INDEX([2]Sheet1!$C$4:$Q$23,MATCH(K510,[2]Sheet1!$B$4:$B$23,1),MATCH(D510,[2]Sheet1!$C$3:$Q$3,1)))))</f>
        <v>0</v>
      </c>
      <c r="N510">
        <f t="shared" si="152"/>
        <v>12</v>
      </c>
      <c r="O510">
        <v>8.5788961095365338E-2</v>
      </c>
      <c r="P510" t="e">
        <f t="shared" si="153"/>
        <v>#DIV/0!</v>
      </c>
      <c r="Q510">
        <f t="shared" si="140"/>
        <v>0</v>
      </c>
      <c r="R510">
        <f t="shared" si="154"/>
        <v>741.9099431943954</v>
      </c>
      <c r="T510" t="e">
        <f t="shared" si="143"/>
        <v>#DIV/0!</v>
      </c>
      <c r="U510" t="e">
        <f t="shared" si="144"/>
        <v>#DIV/0!</v>
      </c>
      <c r="V510">
        <f t="shared" si="145"/>
        <v>0</v>
      </c>
      <c r="W510" t="e">
        <f t="shared" si="141"/>
        <v>#DIV/0!</v>
      </c>
    </row>
    <row r="511" spans="1:23" x14ac:dyDescent="0.55000000000000004">
      <c r="A511">
        <f t="shared" si="142"/>
        <v>47.700000000000408</v>
      </c>
      <c r="B511">
        <f t="shared" si="146"/>
        <v>0.316</v>
      </c>
      <c r="C511">
        <f t="shared" si="147"/>
        <v>-26.10869565217418</v>
      </c>
      <c r="D511">
        <v>2.4298365011861645</v>
      </c>
      <c r="E511">
        <f t="shared" si="137"/>
        <v>0</v>
      </c>
      <c r="F511">
        <f t="shared" si="148"/>
        <v>4.8605058816845369E-2</v>
      </c>
      <c r="G511">
        <f t="shared" si="149"/>
        <v>39.513748498891111</v>
      </c>
      <c r="H511">
        <f t="shared" si="150"/>
        <v>0</v>
      </c>
      <c r="I511" s="1">
        <f t="shared" si="138"/>
        <v>0</v>
      </c>
      <c r="J511">
        <f t="shared" si="151"/>
        <v>0</v>
      </c>
      <c r="K511">
        <f t="shared" si="139"/>
        <v>0</v>
      </c>
      <c r="L511" cm="1">
        <f t="array" ref="L511">IF(E511*J511=0,0,$C$21*INDEX([3]Sheet1!$C$4:$Q$23,MATCH(K511,[3]Sheet1!$B$4:$B$23,1),MATCH(D511,[3]Sheet1!$C$3:$Q$3,1))
+(K511-INDEX([3]Sheet1!$B$4:$B$23,MATCH(K511,[3]Sheet1!$B$4:$B$23,1),1))/(INDEX([3]Sheet1!$B$4:$B$23,MATCH(K511,[3]Sheet1!$B$4:$B$23,1)+1,1)-INDEX([3]Sheet1!$B$4:$B$23,
MATCH(K511,[3]Sheet1!$B$4:$B$23,1),1))*(INDEX([3]Sheet1!$C$4:$Q$23,MATCH(K511,[3]Sheet1!$B$4:$B$23,1)+1,MATCH(D511,[3]Sheet1!$C$3:$Q$3,1))-INDEX([3]Sheet1!$C$4:$Q$23,
MATCH(K511,[3]Sheet1!$B$4:$B$23,1),MATCH(D511,[3]Sheet1!$C$3:$Q$3,1)))
+(D511-INDEX([3]Sheet1!$C$3:$Q$3,1,MATCH(D511,[3]Sheet1!$C$3:$Q$3)))/(INDEX([3]Sheet1!$C$3:$Q$3,1,MATCH(D511,[3]Sheet1!$C$3:$Q$3)+1)-INDEX([3]Sheet1!$C$3:$Q$3,1,MATCH(
D511,[3]Sheet1!$C$3:$Q$3)))*(INDEX([3]Sheet1!$C$4:$Q$23,MATCH(K511,[3]Sheet1!$B$4:$B$23,1),MATCH(D511,[3]Sheet1!$C$3:$Q$3,1)+1)-INDEX([3]Sheet1!$C$4:$Q$23,MATCH(K511,[3]Sheet1!$B$4:$B$23,1),MATCH(D511,[3]Sheet1!$C$3:$Q$3,1))))</f>
        <v>0</v>
      </c>
      <c r="M511" cm="1">
        <f t="array" ref="M511" xml:space="preserve"> IF(E511*J511=0,0,(INDEX([2]Sheet1!$C$4:$Q$23,MATCH(K511,[2]Sheet1!$B$4:$B$23,1),MATCH(D511,[2]Sheet1!$C$3:$Q$3,1))
+ (K511 - INDEX([2]Sheet1!$B$4:$B$23,MATCH(K511,[2]Sheet1!$B$4:$B$23,1),1))/(INDEX([2]Sheet1!$B$4:$B$23,MATCH(K511,[2]Sheet1!$B$4:$B$23,1)+1,1) - INDEX([2]Sheet1!$B$4:$B$23,MATCH(K511,[2]Sheet1!$B$4:$B$23,1),1))*(INDEX([2]Sheet1!$C$4:$Q$23,MATCH(K511,[2]Sheet1!$B$4:$B$23,1)+1,MATCH(D511,[2]Sheet1!$C$3:$Q$3,1)) - INDEX([2]Sheet1!$C$4:$Q$23,MATCH(K511,[2]Sheet1!$B$4:$B$23,1),MATCH(D511,[2]Sheet1!$C$3:$Q$3,1)))
+ (D511 - INDEX([2]Sheet1!$C$3:$Q$3,1,MATCH(D511,[2]Sheet1!$C$3:$Q$3)))/(INDEX([2]Sheet1!$C$3:$Q$3,1,MATCH(D511,[2]Sheet1!$C$3:$Q$3)+1) - INDEX([2]Sheet1!$C$3:$Q$3,1,MATCH(D511,[2]Sheet1!$C$3:$Q$3)))*(
INDEX([2]Sheet1!$C$4:$Q$23,MATCH(K511,[2]Sheet1!$B$4:$B$23,1),MATCH(D511,[2]Sheet1!$C$3:$Q$3,1)+1) - INDEX([2]Sheet1!$C$4:$Q$23,MATCH(K511,[2]Sheet1!$B$4:$B$23,1),MATCH(D511,[2]Sheet1!$C$3:$Q$3,1)))))</f>
        <v>0</v>
      </c>
      <c r="N511">
        <f t="shared" si="152"/>
        <v>12</v>
      </c>
      <c r="O511">
        <v>8.5773873532554071E-2</v>
      </c>
      <c r="P511" t="e">
        <f t="shared" si="153"/>
        <v>#DIV/0!</v>
      </c>
      <c r="Q511">
        <f t="shared" si="140"/>
        <v>0</v>
      </c>
      <c r="R511">
        <f t="shared" si="154"/>
        <v>741.9099431943954</v>
      </c>
      <c r="T511" t="e">
        <f t="shared" si="143"/>
        <v>#DIV/0!</v>
      </c>
      <c r="U511" t="e">
        <f t="shared" si="144"/>
        <v>#DIV/0!</v>
      </c>
      <c r="V511">
        <f t="shared" si="145"/>
        <v>0</v>
      </c>
      <c r="W511" t="e">
        <f t="shared" si="141"/>
        <v>#DIV/0!</v>
      </c>
    </row>
    <row r="512" spans="1:23" x14ac:dyDescent="0.55000000000000004">
      <c r="A512">
        <f t="shared" si="142"/>
        <v>47.800000000000409</v>
      </c>
      <c r="B512">
        <f t="shared" si="146"/>
        <v>0.316</v>
      </c>
      <c r="C512">
        <f t="shared" si="147"/>
        <v>-26.173913043478532</v>
      </c>
      <c r="D512">
        <v>2.4297595956122864</v>
      </c>
      <c r="E512">
        <f t="shared" si="137"/>
        <v>0</v>
      </c>
      <c r="F512">
        <f t="shared" si="148"/>
        <v>4.8605058816845369E-2</v>
      </c>
      <c r="G512">
        <f t="shared" si="149"/>
        <v>39.513748498891111</v>
      </c>
      <c r="H512">
        <f t="shared" si="150"/>
        <v>0</v>
      </c>
      <c r="I512" s="1">
        <f t="shared" si="138"/>
        <v>0</v>
      </c>
      <c r="J512">
        <f t="shared" si="151"/>
        <v>0</v>
      </c>
      <c r="K512">
        <f t="shared" si="139"/>
        <v>0</v>
      </c>
      <c r="L512" cm="1">
        <f t="array" ref="L512">IF(E512*J512=0,0,$C$21*INDEX([3]Sheet1!$C$4:$Q$23,MATCH(K512,[3]Sheet1!$B$4:$B$23,1),MATCH(D512,[3]Sheet1!$C$3:$Q$3,1))
+(K512-INDEX([3]Sheet1!$B$4:$B$23,MATCH(K512,[3]Sheet1!$B$4:$B$23,1),1))/(INDEX([3]Sheet1!$B$4:$B$23,MATCH(K512,[3]Sheet1!$B$4:$B$23,1)+1,1)-INDEX([3]Sheet1!$B$4:$B$23,
MATCH(K512,[3]Sheet1!$B$4:$B$23,1),1))*(INDEX([3]Sheet1!$C$4:$Q$23,MATCH(K512,[3]Sheet1!$B$4:$B$23,1)+1,MATCH(D512,[3]Sheet1!$C$3:$Q$3,1))-INDEX([3]Sheet1!$C$4:$Q$23,
MATCH(K512,[3]Sheet1!$B$4:$B$23,1),MATCH(D512,[3]Sheet1!$C$3:$Q$3,1)))
+(D512-INDEX([3]Sheet1!$C$3:$Q$3,1,MATCH(D512,[3]Sheet1!$C$3:$Q$3)))/(INDEX([3]Sheet1!$C$3:$Q$3,1,MATCH(D512,[3]Sheet1!$C$3:$Q$3)+1)-INDEX([3]Sheet1!$C$3:$Q$3,1,MATCH(
D512,[3]Sheet1!$C$3:$Q$3)))*(INDEX([3]Sheet1!$C$4:$Q$23,MATCH(K512,[3]Sheet1!$B$4:$B$23,1),MATCH(D512,[3]Sheet1!$C$3:$Q$3,1)+1)-INDEX([3]Sheet1!$C$4:$Q$23,MATCH(K512,[3]Sheet1!$B$4:$B$23,1),MATCH(D512,[3]Sheet1!$C$3:$Q$3,1))))</f>
        <v>0</v>
      </c>
      <c r="M512" cm="1">
        <f t="array" ref="M512" xml:space="preserve"> IF(E512*J512=0,0,(INDEX([2]Sheet1!$C$4:$Q$23,MATCH(K512,[2]Sheet1!$B$4:$B$23,1),MATCH(D512,[2]Sheet1!$C$3:$Q$3,1))
+ (K512 - INDEX([2]Sheet1!$B$4:$B$23,MATCH(K512,[2]Sheet1!$B$4:$B$23,1),1))/(INDEX([2]Sheet1!$B$4:$B$23,MATCH(K512,[2]Sheet1!$B$4:$B$23,1)+1,1) - INDEX([2]Sheet1!$B$4:$B$23,MATCH(K512,[2]Sheet1!$B$4:$B$23,1),1))*(INDEX([2]Sheet1!$C$4:$Q$23,MATCH(K512,[2]Sheet1!$B$4:$B$23,1)+1,MATCH(D512,[2]Sheet1!$C$3:$Q$3,1)) - INDEX([2]Sheet1!$C$4:$Q$23,MATCH(K512,[2]Sheet1!$B$4:$B$23,1),MATCH(D512,[2]Sheet1!$C$3:$Q$3,1)))
+ (D512 - INDEX([2]Sheet1!$C$3:$Q$3,1,MATCH(D512,[2]Sheet1!$C$3:$Q$3)))/(INDEX([2]Sheet1!$C$3:$Q$3,1,MATCH(D512,[2]Sheet1!$C$3:$Q$3)+1) - INDEX([2]Sheet1!$C$3:$Q$3,1,MATCH(D512,[2]Sheet1!$C$3:$Q$3)))*(
INDEX([2]Sheet1!$C$4:$Q$23,MATCH(K512,[2]Sheet1!$B$4:$B$23,1),MATCH(D512,[2]Sheet1!$C$3:$Q$3,1)+1) - INDEX([2]Sheet1!$C$4:$Q$23,MATCH(K512,[2]Sheet1!$B$4:$B$23,1),MATCH(D512,[2]Sheet1!$C$3:$Q$3,1)))))</f>
        <v>0</v>
      </c>
      <c r="N512">
        <f t="shared" si="152"/>
        <v>12</v>
      </c>
      <c r="O512">
        <v>8.5758809796289928E-2</v>
      </c>
      <c r="P512" t="e">
        <f t="shared" si="153"/>
        <v>#DIV/0!</v>
      </c>
      <c r="Q512">
        <f t="shared" si="140"/>
        <v>0</v>
      </c>
      <c r="R512">
        <f t="shared" si="154"/>
        <v>741.9099431943954</v>
      </c>
      <c r="T512" t="e">
        <f t="shared" si="143"/>
        <v>#DIV/0!</v>
      </c>
      <c r="U512" t="e">
        <f t="shared" si="144"/>
        <v>#DIV/0!</v>
      </c>
      <c r="V512">
        <f t="shared" si="145"/>
        <v>0</v>
      </c>
      <c r="W512" t="e">
        <f t="shared" si="141"/>
        <v>#DIV/0!</v>
      </c>
    </row>
    <row r="513" spans="1:23" x14ac:dyDescent="0.55000000000000004">
      <c r="A513">
        <f t="shared" si="142"/>
        <v>47.900000000000411</v>
      </c>
      <c r="B513">
        <f t="shared" si="146"/>
        <v>0.316</v>
      </c>
      <c r="C513">
        <f t="shared" si="147"/>
        <v>-26.239130434782879</v>
      </c>
      <c r="D513">
        <v>2.4296827978293982</v>
      </c>
      <c r="E513">
        <f t="shared" si="137"/>
        <v>0</v>
      </c>
      <c r="F513">
        <f t="shared" si="148"/>
        <v>4.8605058816845369E-2</v>
      </c>
      <c r="G513">
        <f t="shared" si="149"/>
        <v>39.513748498891111</v>
      </c>
      <c r="H513">
        <f t="shared" si="150"/>
        <v>0</v>
      </c>
      <c r="I513" s="1">
        <f t="shared" si="138"/>
        <v>0</v>
      </c>
      <c r="J513">
        <f t="shared" si="151"/>
        <v>0</v>
      </c>
      <c r="K513">
        <f t="shared" si="139"/>
        <v>0</v>
      </c>
      <c r="L513" cm="1">
        <f t="array" ref="L513">IF(E513*J513=0,0,$C$21*INDEX([3]Sheet1!$C$4:$Q$23,MATCH(K513,[3]Sheet1!$B$4:$B$23,1),MATCH(D513,[3]Sheet1!$C$3:$Q$3,1))
+(K513-INDEX([3]Sheet1!$B$4:$B$23,MATCH(K513,[3]Sheet1!$B$4:$B$23,1),1))/(INDEX([3]Sheet1!$B$4:$B$23,MATCH(K513,[3]Sheet1!$B$4:$B$23,1)+1,1)-INDEX([3]Sheet1!$B$4:$B$23,
MATCH(K513,[3]Sheet1!$B$4:$B$23,1),1))*(INDEX([3]Sheet1!$C$4:$Q$23,MATCH(K513,[3]Sheet1!$B$4:$B$23,1)+1,MATCH(D513,[3]Sheet1!$C$3:$Q$3,1))-INDEX([3]Sheet1!$C$4:$Q$23,
MATCH(K513,[3]Sheet1!$B$4:$B$23,1),MATCH(D513,[3]Sheet1!$C$3:$Q$3,1)))
+(D513-INDEX([3]Sheet1!$C$3:$Q$3,1,MATCH(D513,[3]Sheet1!$C$3:$Q$3)))/(INDEX([3]Sheet1!$C$3:$Q$3,1,MATCH(D513,[3]Sheet1!$C$3:$Q$3)+1)-INDEX([3]Sheet1!$C$3:$Q$3,1,MATCH(
D513,[3]Sheet1!$C$3:$Q$3)))*(INDEX([3]Sheet1!$C$4:$Q$23,MATCH(K513,[3]Sheet1!$B$4:$B$23,1),MATCH(D513,[3]Sheet1!$C$3:$Q$3,1)+1)-INDEX([3]Sheet1!$C$4:$Q$23,MATCH(K513,[3]Sheet1!$B$4:$B$23,1),MATCH(D513,[3]Sheet1!$C$3:$Q$3,1))))</f>
        <v>0</v>
      </c>
      <c r="M513" cm="1">
        <f t="array" ref="M513" xml:space="preserve"> IF(E513*J513=0,0,(INDEX([2]Sheet1!$C$4:$Q$23,MATCH(K513,[2]Sheet1!$B$4:$B$23,1),MATCH(D513,[2]Sheet1!$C$3:$Q$3,1))
+ (K513 - INDEX([2]Sheet1!$B$4:$B$23,MATCH(K513,[2]Sheet1!$B$4:$B$23,1),1))/(INDEX([2]Sheet1!$B$4:$B$23,MATCH(K513,[2]Sheet1!$B$4:$B$23,1)+1,1) - INDEX([2]Sheet1!$B$4:$B$23,MATCH(K513,[2]Sheet1!$B$4:$B$23,1),1))*(INDEX([2]Sheet1!$C$4:$Q$23,MATCH(K513,[2]Sheet1!$B$4:$B$23,1)+1,MATCH(D513,[2]Sheet1!$C$3:$Q$3,1)) - INDEX([2]Sheet1!$C$4:$Q$23,MATCH(K513,[2]Sheet1!$B$4:$B$23,1),MATCH(D513,[2]Sheet1!$C$3:$Q$3,1)))
+ (D513 - INDEX([2]Sheet1!$C$3:$Q$3,1,MATCH(D513,[2]Sheet1!$C$3:$Q$3)))/(INDEX([2]Sheet1!$C$3:$Q$3,1,MATCH(D513,[2]Sheet1!$C$3:$Q$3)+1) - INDEX([2]Sheet1!$C$3:$Q$3,1,MATCH(D513,[2]Sheet1!$C$3:$Q$3)))*(
INDEX([2]Sheet1!$C$4:$Q$23,MATCH(K513,[2]Sheet1!$B$4:$B$23,1),MATCH(D513,[2]Sheet1!$C$3:$Q$3,1)+1) - INDEX([2]Sheet1!$C$4:$Q$23,MATCH(K513,[2]Sheet1!$B$4:$B$23,1),MATCH(D513,[2]Sheet1!$C$3:$Q$3,1)))))</f>
        <v>0</v>
      </c>
      <c r="N513">
        <f t="shared" si="152"/>
        <v>12</v>
      </c>
      <c r="O513">
        <v>8.5743769813623416E-2</v>
      </c>
      <c r="P513" t="e">
        <f t="shared" si="153"/>
        <v>#DIV/0!</v>
      </c>
      <c r="Q513">
        <f t="shared" si="140"/>
        <v>0</v>
      </c>
      <c r="R513">
        <f t="shared" si="154"/>
        <v>741.9099431943954</v>
      </c>
      <c r="T513" t="e">
        <f t="shared" si="143"/>
        <v>#DIV/0!</v>
      </c>
      <c r="U513" t="e">
        <f t="shared" si="144"/>
        <v>#DIV/0!</v>
      </c>
      <c r="V513">
        <f t="shared" si="145"/>
        <v>0</v>
      </c>
      <c r="W513" t="e">
        <f t="shared" si="141"/>
        <v>#DIV/0!</v>
      </c>
    </row>
    <row r="514" spans="1:23" x14ac:dyDescent="0.55000000000000004">
      <c r="A514">
        <f t="shared" si="142"/>
        <v>48.000000000000412</v>
      </c>
      <c r="B514">
        <f t="shared" si="146"/>
        <v>0.316</v>
      </c>
      <c r="C514">
        <f t="shared" si="147"/>
        <v>-26.304347826087231</v>
      </c>
      <c r="D514">
        <v>2.4296061075248967</v>
      </c>
      <c r="E514">
        <f t="shared" si="137"/>
        <v>0</v>
      </c>
      <c r="F514">
        <f t="shared" si="148"/>
        <v>4.8605058816845369E-2</v>
      </c>
      <c r="G514">
        <f t="shared" si="149"/>
        <v>39.513748498891111</v>
      </c>
      <c r="H514">
        <f t="shared" si="150"/>
        <v>0</v>
      </c>
      <c r="I514" s="1">
        <f t="shared" si="138"/>
        <v>0</v>
      </c>
      <c r="J514">
        <f t="shared" si="151"/>
        <v>0</v>
      </c>
      <c r="K514">
        <f t="shared" si="139"/>
        <v>0</v>
      </c>
      <c r="L514" cm="1">
        <f t="array" ref="L514">IF(E514*J514=0,0,$C$21*INDEX([3]Sheet1!$C$4:$Q$23,MATCH(K514,[3]Sheet1!$B$4:$B$23,1),MATCH(D514,[3]Sheet1!$C$3:$Q$3,1))
+(K514-INDEX([3]Sheet1!$B$4:$B$23,MATCH(K514,[3]Sheet1!$B$4:$B$23,1),1))/(INDEX([3]Sheet1!$B$4:$B$23,MATCH(K514,[3]Sheet1!$B$4:$B$23,1)+1,1)-INDEX([3]Sheet1!$B$4:$B$23,
MATCH(K514,[3]Sheet1!$B$4:$B$23,1),1))*(INDEX([3]Sheet1!$C$4:$Q$23,MATCH(K514,[3]Sheet1!$B$4:$B$23,1)+1,MATCH(D514,[3]Sheet1!$C$3:$Q$3,1))-INDEX([3]Sheet1!$C$4:$Q$23,
MATCH(K514,[3]Sheet1!$B$4:$B$23,1),MATCH(D514,[3]Sheet1!$C$3:$Q$3,1)))
+(D514-INDEX([3]Sheet1!$C$3:$Q$3,1,MATCH(D514,[3]Sheet1!$C$3:$Q$3)))/(INDEX([3]Sheet1!$C$3:$Q$3,1,MATCH(D514,[3]Sheet1!$C$3:$Q$3)+1)-INDEX([3]Sheet1!$C$3:$Q$3,1,MATCH(
D514,[3]Sheet1!$C$3:$Q$3)))*(INDEX([3]Sheet1!$C$4:$Q$23,MATCH(K514,[3]Sheet1!$B$4:$B$23,1),MATCH(D514,[3]Sheet1!$C$3:$Q$3,1)+1)-INDEX([3]Sheet1!$C$4:$Q$23,MATCH(K514,[3]Sheet1!$B$4:$B$23,1),MATCH(D514,[3]Sheet1!$C$3:$Q$3,1))))</f>
        <v>0</v>
      </c>
      <c r="M514" cm="1">
        <f t="array" ref="M514" xml:space="preserve"> IF(E514*J514=0,0,(INDEX([2]Sheet1!$C$4:$Q$23,MATCH(K514,[2]Sheet1!$B$4:$B$23,1),MATCH(D514,[2]Sheet1!$C$3:$Q$3,1))
+ (K514 - INDEX([2]Sheet1!$B$4:$B$23,MATCH(K514,[2]Sheet1!$B$4:$B$23,1),1))/(INDEX([2]Sheet1!$B$4:$B$23,MATCH(K514,[2]Sheet1!$B$4:$B$23,1)+1,1) - INDEX([2]Sheet1!$B$4:$B$23,MATCH(K514,[2]Sheet1!$B$4:$B$23,1),1))*(INDEX([2]Sheet1!$C$4:$Q$23,MATCH(K514,[2]Sheet1!$B$4:$B$23,1)+1,MATCH(D514,[2]Sheet1!$C$3:$Q$3,1)) - INDEX([2]Sheet1!$C$4:$Q$23,MATCH(K514,[2]Sheet1!$B$4:$B$23,1),MATCH(D514,[2]Sheet1!$C$3:$Q$3,1)))
+ (D514 - INDEX([2]Sheet1!$C$3:$Q$3,1,MATCH(D514,[2]Sheet1!$C$3:$Q$3)))/(INDEX([2]Sheet1!$C$3:$Q$3,1,MATCH(D514,[2]Sheet1!$C$3:$Q$3)+1) - INDEX([2]Sheet1!$C$3:$Q$3,1,MATCH(D514,[2]Sheet1!$C$3:$Q$3)))*(
INDEX([2]Sheet1!$C$4:$Q$23,MATCH(K514,[2]Sheet1!$B$4:$B$23,1),MATCH(D514,[2]Sheet1!$C$3:$Q$3,1)+1) - INDEX([2]Sheet1!$C$4:$Q$23,MATCH(K514,[2]Sheet1!$B$4:$B$23,1),MATCH(D514,[2]Sheet1!$C$3:$Q$3,1)))))</f>
        <v>0</v>
      </c>
      <c r="N514">
        <f t="shared" si="152"/>
        <v>12</v>
      </c>
      <c r="O514">
        <v>8.5728753511936984E-2</v>
      </c>
      <c r="P514" t="e">
        <f t="shared" si="153"/>
        <v>#DIV/0!</v>
      </c>
      <c r="Q514">
        <f t="shared" si="140"/>
        <v>0</v>
      </c>
      <c r="R514">
        <f t="shared" si="154"/>
        <v>741.9099431943954</v>
      </c>
      <c r="T514" t="e">
        <f t="shared" si="143"/>
        <v>#DIV/0!</v>
      </c>
      <c r="U514" t="e">
        <f t="shared" si="144"/>
        <v>#DIV/0!</v>
      </c>
      <c r="V514">
        <f t="shared" si="145"/>
        <v>0</v>
      </c>
      <c r="W514" t="e">
        <f t="shared" si="141"/>
        <v>#DIV/0!</v>
      </c>
    </row>
    <row r="515" spans="1:23" x14ac:dyDescent="0.55000000000000004">
      <c r="A515">
        <f t="shared" si="142"/>
        <v>48.100000000000414</v>
      </c>
      <c r="B515">
        <f t="shared" si="146"/>
        <v>0.316</v>
      </c>
      <c r="C515">
        <f t="shared" si="147"/>
        <v>-26.369565217391575</v>
      </c>
      <c r="D515">
        <v>2.4295295243875459</v>
      </c>
      <c r="E515">
        <f t="shared" si="137"/>
        <v>0</v>
      </c>
      <c r="F515">
        <f t="shared" si="148"/>
        <v>4.8605058816845369E-2</v>
      </c>
      <c r="G515">
        <f t="shared" si="149"/>
        <v>39.513748498891111</v>
      </c>
      <c r="H515">
        <f t="shared" si="150"/>
        <v>0</v>
      </c>
      <c r="I515" s="1">
        <f t="shared" si="138"/>
        <v>0</v>
      </c>
      <c r="J515">
        <f t="shared" si="151"/>
        <v>0</v>
      </c>
      <c r="K515">
        <f t="shared" si="139"/>
        <v>0</v>
      </c>
      <c r="L515" cm="1">
        <f t="array" ref="L515">IF(E515*J515=0,0,$C$21*INDEX([3]Sheet1!$C$4:$Q$23,MATCH(K515,[3]Sheet1!$B$4:$B$23,1),MATCH(D515,[3]Sheet1!$C$3:$Q$3,1))
+(K515-INDEX([3]Sheet1!$B$4:$B$23,MATCH(K515,[3]Sheet1!$B$4:$B$23,1),1))/(INDEX([3]Sheet1!$B$4:$B$23,MATCH(K515,[3]Sheet1!$B$4:$B$23,1)+1,1)-INDEX([3]Sheet1!$B$4:$B$23,
MATCH(K515,[3]Sheet1!$B$4:$B$23,1),1))*(INDEX([3]Sheet1!$C$4:$Q$23,MATCH(K515,[3]Sheet1!$B$4:$B$23,1)+1,MATCH(D515,[3]Sheet1!$C$3:$Q$3,1))-INDEX([3]Sheet1!$C$4:$Q$23,
MATCH(K515,[3]Sheet1!$B$4:$B$23,1),MATCH(D515,[3]Sheet1!$C$3:$Q$3,1)))
+(D515-INDEX([3]Sheet1!$C$3:$Q$3,1,MATCH(D515,[3]Sheet1!$C$3:$Q$3)))/(INDEX([3]Sheet1!$C$3:$Q$3,1,MATCH(D515,[3]Sheet1!$C$3:$Q$3)+1)-INDEX([3]Sheet1!$C$3:$Q$3,1,MATCH(
D515,[3]Sheet1!$C$3:$Q$3)))*(INDEX([3]Sheet1!$C$4:$Q$23,MATCH(K515,[3]Sheet1!$B$4:$B$23,1),MATCH(D515,[3]Sheet1!$C$3:$Q$3,1)+1)-INDEX([3]Sheet1!$C$4:$Q$23,MATCH(K515,[3]Sheet1!$B$4:$B$23,1),MATCH(D515,[3]Sheet1!$C$3:$Q$3,1))))</f>
        <v>0</v>
      </c>
      <c r="M515" cm="1">
        <f t="array" ref="M515" xml:space="preserve"> IF(E515*J515=0,0,(INDEX([2]Sheet1!$C$4:$Q$23,MATCH(K515,[2]Sheet1!$B$4:$B$23,1),MATCH(D515,[2]Sheet1!$C$3:$Q$3,1))
+ (K515 - INDEX([2]Sheet1!$B$4:$B$23,MATCH(K515,[2]Sheet1!$B$4:$B$23,1),1))/(INDEX([2]Sheet1!$B$4:$B$23,MATCH(K515,[2]Sheet1!$B$4:$B$23,1)+1,1) - INDEX([2]Sheet1!$B$4:$B$23,MATCH(K515,[2]Sheet1!$B$4:$B$23,1),1))*(INDEX([2]Sheet1!$C$4:$Q$23,MATCH(K515,[2]Sheet1!$B$4:$B$23,1)+1,MATCH(D515,[2]Sheet1!$C$3:$Q$3,1)) - INDEX([2]Sheet1!$C$4:$Q$23,MATCH(K515,[2]Sheet1!$B$4:$B$23,1),MATCH(D515,[2]Sheet1!$C$3:$Q$3,1)))
+ (D515 - INDEX([2]Sheet1!$C$3:$Q$3,1,MATCH(D515,[2]Sheet1!$C$3:$Q$3)))/(INDEX([2]Sheet1!$C$3:$Q$3,1,MATCH(D515,[2]Sheet1!$C$3:$Q$3)+1) - INDEX([2]Sheet1!$C$3:$Q$3,1,MATCH(D515,[2]Sheet1!$C$3:$Q$3)))*(
INDEX([2]Sheet1!$C$4:$Q$23,MATCH(K515,[2]Sheet1!$B$4:$B$23,1),MATCH(D515,[2]Sheet1!$C$3:$Q$3,1)+1) - INDEX([2]Sheet1!$C$4:$Q$23,MATCH(K515,[2]Sheet1!$B$4:$B$23,1),MATCH(D515,[2]Sheet1!$C$3:$Q$3,1)))))</f>
        <v>0</v>
      </c>
      <c r="N515">
        <f t="shared" si="152"/>
        <v>12</v>
      </c>
      <c r="O515">
        <v>8.5713760818942525E-2</v>
      </c>
      <c r="P515" t="e">
        <f t="shared" si="153"/>
        <v>#DIV/0!</v>
      </c>
      <c r="Q515">
        <f t="shared" si="140"/>
        <v>0</v>
      </c>
      <c r="R515">
        <f t="shared" si="154"/>
        <v>741.9099431943954</v>
      </c>
      <c r="T515" t="e">
        <f t="shared" si="143"/>
        <v>#DIV/0!</v>
      </c>
      <c r="U515" t="e">
        <f t="shared" si="144"/>
        <v>#DIV/0!</v>
      </c>
      <c r="V515">
        <f t="shared" si="145"/>
        <v>0</v>
      </c>
      <c r="W515" t="e">
        <f t="shared" si="141"/>
        <v>#DIV/0!</v>
      </c>
    </row>
    <row r="516" spans="1:23" x14ac:dyDescent="0.55000000000000004">
      <c r="A516">
        <f t="shared" si="142"/>
        <v>48.200000000000415</v>
      </c>
      <c r="B516">
        <f t="shared" si="146"/>
        <v>0.316</v>
      </c>
      <c r="C516">
        <f t="shared" si="147"/>
        <v>-26.434782608695926</v>
      </c>
      <c r="D516">
        <v>2.4294530481074679</v>
      </c>
      <c r="E516">
        <f t="shared" si="137"/>
        <v>0</v>
      </c>
      <c r="F516">
        <f t="shared" si="148"/>
        <v>4.8605058816845369E-2</v>
      </c>
      <c r="G516">
        <f t="shared" si="149"/>
        <v>39.513748498891111</v>
      </c>
      <c r="H516">
        <f t="shared" si="150"/>
        <v>0</v>
      </c>
      <c r="I516" s="1">
        <f t="shared" si="138"/>
        <v>0</v>
      </c>
      <c r="J516">
        <f t="shared" si="151"/>
        <v>0</v>
      </c>
      <c r="K516">
        <f t="shared" si="139"/>
        <v>0</v>
      </c>
      <c r="L516" cm="1">
        <f t="array" ref="L516">IF(E516*J516=0,0,$C$21*INDEX([3]Sheet1!$C$4:$Q$23,MATCH(K516,[3]Sheet1!$B$4:$B$23,1),MATCH(D516,[3]Sheet1!$C$3:$Q$3,1))
+(K516-INDEX([3]Sheet1!$B$4:$B$23,MATCH(K516,[3]Sheet1!$B$4:$B$23,1),1))/(INDEX([3]Sheet1!$B$4:$B$23,MATCH(K516,[3]Sheet1!$B$4:$B$23,1)+1,1)-INDEX([3]Sheet1!$B$4:$B$23,
MATCH(K516,[3]Sheet1!$B$4:$B$23,1),1))*(INDEX([3]Sheet1!$C$4:$Q$23,MATCH(K516,[3]Sheet1!$B$4:$B$23,1)+1,MATCH(D516,[3]Sheet1!$C$3:$Q$3,1))-INDEX([3]Sheet1!$C$4:$Q$23,
MATCH(K516,[3]Sheet1!$B$4:$B$23,1),MATCH(D516,[3]Sheet1!$C$3:$Q$3,1)))
+(D516-INDEX([3]Sheet1!$C$3:$Q$3,1,MATCH(D516,[3]Sheet1!$C$3:$Q$3)))/(INDEX([3]Sheet1!$C$3:$Q$3,1,MATCH(D516,[3]Sheet1!$C$3:$Q$3)+1)-INDEX([3]Sheet1!$C$3:$Q$3,1,MATCH(
D516,[3]Sheet1!$C$3:$Q$3)))*(INDEX([3]Sheet1!$C$4:$Q$23,MATCH(K516,[3]Sheet1!$B$4:$B$23,1),MATCH(D516,[3]Sheet1!$C$3:$Q$3,1)+1)-INDEX([3]Sheet1!$C$4:$Q$23,MATCH(K516,[3]Sheet1!$B$4:$B$23,1),MATCH(D516,[3]Sheet1!$C$3:$Q$3,1))))</f>
        <v>0</v>
      </c>
      <c r="M516" cm="1">
        <f t="array" ref="M516" xml:space="preserve"> IF(E516*J516=0,0,(INDEX([2]Sheet1!$C$4:$Q$23,MATCH(K516,[2]Sheet1!$B$4:$B$23,1),MATCH(D516,[2]Sheet1!$C$3:$Q$3,1))
+ (K516 - INDEX([2]Sheet1!$B$4:$B$23,MATCH(K516,[2]Sheet1!$B$4:$B$23,1),1))/(INDEX([2]Sheet1!$B$4:$B$23,MATCH(K516,[2]Sheet1!$B$4:$B$23,1)+1,1) - INDEX([2]Sheet1!$B$4:$B$23,MATCH(K516,[2]Sheet1!$B$4:$B$23,1),1))*(INDEX([2]Sheet1!$C$4:$Q$23,MATCH(K516,[2]Sheet1!$B$4:$B$23,1)+1,MATCH(D516,[2]Sheet1!$C$3:$Q$3,1)) - INDEX([2]Sheet1!$C$4:$Q$23,MATCH(K516,[2]Sheet1!$B$4:$B$23,1),MATCH(D516,[2]Sheet1!$C$3:$Q$3,1)))
+ (D516 - INDEX([2]Sheet1!$C$3:$Q$3,1,MATCH(D516,[2]Sheet1!$C$3:$Q$3)))/(INDEX([2]Sheet1!$C$3:$Q$3,1,MATCH(D516,[2]Sheet1!$C$3:$Q$3)+1) - INDEX([2]Sheet1!$C$3:$Q$3,1,MATCH(D516,[2]Sheet1!$C$3:$Q$3)))*(
INDEX([2]Sheet1!$C$4:$Q$23,MATCH(K516,[2]Sheet1!$B$4:$B$23,1),MATCH(D516,[2]Sheet1!$C$3:$Q$3,1)+1) - INDEX([2]Sheet1!$C$4:$Q$23,MATCH(K516,[2]Sheet1!$B$4:$B$23,1),MATCH(D516,[2]Sheet1!$C$3:$Q$3,1)))))</f>
        <v>0</v>
      </c>
      <c r="N516">
        <f t="shared" si="152"/>
        <v>12</v>
      </c>
      <c r="O516">
        <v>8.5698791662679782E-2</v>
      </c>
      <c r="P516" t="e">
        <f t="shared" si="153"/>
        <v>#DIV/0!</v>
      </c>
      <c r="Q516">
        <f t="shared" si="140"/>
        <v>0</v>
      </c>
      <c r="R516">
        <f t="shared" si="154"/>
        <v>741.9099431943954</v>
      </c>
      <c r="T516" t="e">
        <f t="shared" si="143"/>
        <v>#DIV/0!</v>
      </c>
      <c r="U516" t="e">
        <f t="shared" si="144"/>
        <v>#DIV/0!</v>
      </c>
      <c r="V516">
        <f t="shared" si="145"/>
        <v>0</v>
      </c>
      <c r="W516" t="e">
        <f t="shared" si="141"/>
        <v>#DIV/0!</v>
      </c>
    </row>
    <row r="517" spans="1:23" x14ac:dyDescent="0.55000000000000004">
      <c r="A517">
        <f t="shared" si="142"/>
        <v>48.300000000000416</v>
      </c>
      <c r="B517">
        <f t="shared" si="146"/>
        <v>0.316</v>
      </c>
      <c r="C517">
        <f t="shared" si="147"/>
        <v>-26.500000000000277</v>
      </c>
      <c r="D517">
        <v>2.4293766783761401</v>
      </c>
      <c r="E517">
        <f t="shared" si="137"/>
        <v>0</v>
      </c>
      <c r="F517">
        <f t="shared" si="148"/>
        <v>4.8605058816845369E-2</v>
      </c>
      <c r="G517">
        <f t="shared" si="149"/>
        <v>39.513748498891111</v>
      </c>
      <c r="H517">
        <f t="shared" si="150"/>
        <v>0</v>
      </c>
      <c r="I517" s="1">
        <f t="shared" si="138"/>
        <v>0</v>
      </c>
      <c r="J517">
        <f t="shared" si="151"/>
        <v>0</v>
      </c>
      <c r="K517">
        <f t="shared" si="139"/>
        <v>0</v>
      </c>
      <c r="L517" cm="1">
        <f t="array" ref="L517">IF(E517*J517=0,0,$C$21*INDEX([3]Sheet1!$C$4:$Q$23,MATCH(K517,[3]Sheet1!$B$4:$B$23,1),MATCH(D517,[3]Sheet1!$C$3:$Q$3,1))
+(K517-INDEX([3]Sheet1!$B$4:$B$23,MATCH(K517,[3]Sheet1!$B$4:$B$23,1),1))/(INDEX([3]Sheet1!$B$4:$B$23,MATCH(K517,[3]Sheet1!$B$4:$B$23,1)+1,1)-INDEX([3]Sheet1!$B$4:$B$23,
MATCH(K517,[3]Sheet1!$B$4:$B$23,1),1))*(INDEX([3]Sheet1!$C$4:$Q$23,MATCH(K517,[3]Sheet1!$B$4:$B$23,1)+1,MATCH(D517,[3]Sheet1!$C$3:$Q$3,1))-INDEX([3]Sheet1!$C$4:$Q$23,
MATCH(K517,[3]Sheet1!$B$4:$B$23,1),MATCH(D517,[3]Sheet1!$C$3:$Q$3,1)))
+(D517-INDEX([3]Sheet1!$C$3:$Q$3,1,MATCH(D517,[3]Sheet1!$C$3:$Q$3)))/(INDEX([3]Sheet1!$C$3:$Q$3,1,MATCH(D517,[3]Sheet1!$C$3:$Q$3)+1)-INDEX([3]Sheet1!$C$3:$Q$3,1,MATCH(
D517,[3]Sheet1!$C$3:$Q$3)))*(INDEX([3]Sheet1!$C$4:$Q$23,MATCH(K517,[3]Sheet1!$B$4:$B$23,1),MATCH(D517,[3]Sheet1!$C$3:$Q$3,1)+1)-INDEX([3]Sheet1!$C$4:$Q$23,MATCH(K517,[3]Sheet1!$B$4:$B$23,1),MATCH(D517,[3]Sheet1!$C$3:$Q$3,1))))</f>
        <v>0</v>
      </c>
      <c r="M517" cm="1">
        <f t="array" ref="M517" xml:space="preserve"> IF(E517*J517=0,0,(INDEX([2]Sheet1!$C$4:$Q$23,MATCH(K517,[2]Sheet1!$B$4:$B$23,1),MATCH(D517,[2]Sheet1!$C$3:$Q$3,1))
+ (K517 - INDEX([2]Sheet1!$B$4:$B$23,MATCH(K517,[2]Sheet1!$B$4:$B$23,1),1))/(INDEX([2]Sheet1!$B$4:$B$23,MATCH(K517,[2]Sheet1!$B$4:$B$23,1)+1,1) - INDEX([2]Sheet1!$B$4:$B$23,MATCH(K517,[2]Sheet1!$B$4:$B$23,1),1))*(INDEX([2]Sheet1!$C$4:$Q$23,MATCH(K517,[2]Sheet1!$B$4:$B$23,1)+1,MATCH(D517,[2]Sheet1!$C$3:$Q$3,1)) - INDEX([2]Sheet1!$C$4:$Q$23,MATCH(K517,[2]Sheet1!$B$4:$B$23,1),MATCH(D517,[2]Sheet1!$C$3:$Q$3,1)))
+ (D517 - INDEX([2]Sheet1!$C$3:$Q$3,1,MATCH(D517,[2]Sheet1!$C$3:$Q$3)))/(INDEX([2]Sheet1!$C$3:$Q$3,1,MATCH(D517,[2]Sheet1!$C$3:$Q$3)+1) - INDEX([2]Sheet1!$C$3:$Q$3,1,MATCH(D517,[2]Sheet1!$C$3:$Q$3)))*(
INDEX([2]Sheet1!$C$4:$Q$23,MATCH(K517,[2]Sheet1!$B$4:$B$23,1),MATCH(D517,[2]Sheet1!$C$3:$Q$3,1)+1) - INDEX([2]Sheet1!$C$4:$Q$23,MATCH(K517,[2]Sheet1!$B$4:$B$23,1),MATCH(D517,[2]Sheet1!$C$3:$Q$3,1)))))</f>
        <v>0</v>
      </c>
      <c r="N517">
        <f t="shared" si="152"/>
        <v>12</v>
      </c>
      <c r="O517">
        <v>8.5683845971513614E-2</v>
      </c>
      <c r="P517" t="e">
        <f t="shared" si="153"/>
        <v>#DIV/0!</v>
      </c>
      <c r="Q517">
        <f t="shared" si="140"/>
        <v>0</v>
      </c>
      <c r="R517">
        <f t="shared" si="154"/>
        <v>741.9099431943954</v>
      </c>
      <c r="T517" t="e">
        <f t="shared" si="143"/>
        <v>#DIV/0!</v>
      </c>
      <c r="U517" t="e">
        <f t="shared" si="144"/>
        <v>#DIV/0!</v>
      </c>
      <c r="V517">
        <f t="shared" si="145"/>
        <v>0</v>
      </c>
      <c r="W517" t="e">
        <f t="shared" si="141"/>
        <v>#DIV/0!</v>
      </c>
    </row>
    <row r="518" spans="1:23" x14ac:dyDescent="0.55000000000000004">
      <c r="A518">
        <f t="shared" si="142"/>
        <v>48.400000000000418</v>
      </c>
      <c r="B518">
        <f t="shared" si="146"/>
        <v>0.316</v>
      </c>
      <c r="C518">
        <f t="shared" si="147"/>
        <v>-26.565217391304621</v>
      </c>
      <c r="D518">
        <v>2.4293004148863808</v>
      </c>
      <c r="E518">
        <f t="shared" si="137"/>
        <v>0</v>
      </c>
      <c r="F518">
        <f t="shared" si="148"/>
        <v>4.8605058816845369E-2</v>
      </c>
      <c r="G518">
        <f t="shared" si="149"/>
        <v>39.513748498891111</v>
      </c>
      <c r="H518">
        <f t="shared" si="150"/>
        <v>0</v>
      </c>
      <c r="I518" s="1">
        <f t="shared" si="138"/>
        <v>0</v>
      </c>
      <c r="J518">
        <f t="shared" si="151"/>
        <v>0</v>
      </c>
      <c r="K518">
        <f t="shared" si="139"/>
        <v>0</v>
      </c>
      <c r="L518" cm="1">
        <f t="array" ref="L518">IF(E518*J518=0,0,$C$21*INDEX([3]Sheet1!$C$4:$Q$23,MATCH(K518,[3]Sheet1!$B$4:$B$23,1),MATCH(D518,[3]Sheet1!$C$3:$Q$3,1))
+(K518-INDEX([3]Sheet1!$B$4:$B$23,MATCH(K518,[3]Sheet1!$B$4:$B$23,1),1))/(INDEX([3]Sheet1!$B$4:$B$23,MATCH(K518,[3]Sheet1!$B$4:$B$23,1)+1,1)-INDEX([3]Sheet1!$B$4:$B$23,
MATCH(K518,[3]Sheet1!$B$4:$B$23,1),1))*(INDEX([3]Sheet1!$C$4:$Q$23,MATCH(K518,[3]Sheet1!$B$4:$B$23,1)+1,MATCH(D518,[3]Sheet1!$C$3:$Q$3,1))-INDEX([3]Sheet1!$C$4:$Q$23,
MATCH(K518,[3]Sheet1!$B$4:$B$23,1),MATCH(D518,[3]Sheet1!$C$3:$Q$3,1)))
+(D518-INDEX([3]Sheet1!$C$3:$Q$3,1,MATCH(D518,[3]Sheet1!$C$3:$Q$3)))/(INDEX([3]Sheet1!$C$3:$Q$3,1,MATCH(D518,[3]Sheet1!$C$3:$Q$3)+1)-INDEX([3]Sheet1!$C$3:$Q$3,1,MATCH(
D518,[3]Sheet1!$C$3:$Q$3)))*(INDEX([3]Sheet1!$C$4:$Q$23,MATCH(K518,[3]Sheet1!$B$4:$B$23,1),MATCH(D518,[3]Sheet1!$C$3:$Q$3,1)+1)-INDEX([3]Sheet1!$C$4:$Q$23,MATCH(K518,[3]Sheet1!$B$4:$B$23,1),MATCH(D518,[3]Sheet1!$C$3:$Q$3,1))))</f>
        <v>0</v>
      </c>
      <c r="M518" cm="1">
        <f t="array" ref="M518" xml:space="preserve"> IF(E518*J518=0,0,(INDEX([2]Sheet1!$C$4:$Q$23,MATCH(K518,[2]Sheet1!$B$4:$B$23,1),MATCH(D518,[2]Sheet1!$C$3:$Q$3,1))
+ (K518 - INDEX([2]Sheet1!$B$4:$B$23,MATCH(K518,[2]Sheet1!$B$4:$B$23,1),1))/(INDEX([2]Sheet1!$B$4:$B$23,MATCH(K518,[2]Sheet1!$B$4:$B$23,1)+1,1) - INDEX([2]Sheet1!$B$4:$B$23,MATCH(K518,[2]Sheet1!$B$4:$B$23,1),1))*(INDEX([2]Sheet1!$C$4:$Q$23,MATCH(K518,[2]Sheet1!$B$4:$B$23,1)+1,MATCH(D518,[2]Sheet1!$C$3:$Q$3,1)) - INDEX([2]Sheet1!$C$4:$Q$23,MATCH(K518,[2]Sheet1!$B$4:$B$23,1),MATCH(D518,[2]Sheet1!$C$3:$Q$3,1)))
+ (D518 - INDEX([2]Sheet1!$C$3:$Q$3,1,MATCH(D518,[2]Sheet1!$C$3:$Q$3)))/(INDEX([2]Sheet1!$C$3:$Q$3,1,MATCH(D518,[2]Sheet1!$C$3:$Q$3)+1) - INDEX([2]Sheet1!$C$3:$Q$3,1,MATCH(D518,[2]Sheet1!$C$3:$Q$3)))*(
INDEX([2]Sheet1!$C$4:$Q$23,MATCH(K518,[2]Sheet1!$B$4:$B$23,1),MATCH(D518,[2]Sheet1!$C$3:$Q$3,1)+1) - INDEX([2]Sheet1!$C$4:$Q$23,MATCH(K518,[2]Sheet1!$B$4:$B$23,1),MATCH(D518,[2]Sheet1!$C$3:$Q$3,1)))))</f>
        <v>0</v>
      </c>
      <c r="N518">
        <f t="shared" si="152"/>
        <v>12</v>
      </c>
      <c r="O518">
        <v>8.5668923674133035E-2</v>
      </c>
      <c r="P518" t="e">
        <f t="shared" si="153"/>
        <v>#DIV/0!</v>
      </c>
      <c r="Q518">
        <f t="shared" si="140"/>
        <v>0</v>
      </c>
      <c r="R518">
        <f t="shared" si="154"/>
        <v>741.9099431943954</v>
      </c>
      <c r="T518" t="e">
        <f t="shared" si="143"/>
        <v>#DIV/0!</v>
      </c>
      <c r="U518" t="e">
        <f t="shared" si="144"/>
        <v>#DIV/0!</v>
      </c>
      <c r="V518">
        <f t="shared" si="145"/>
        <v>0</v>
      </c>
      <c r="W518" t="e">
        <f t="shared" si="141"/>
        <v>#DIV/0!</v>
      </c>
    </row>
    <row r="519" spans="1:23" x14ac:dyDescent="0.55000000000000004">
      <c r="A519">
        <f t="shared" si="142"/>
        <v>48.500000000000419</v>
      </c>
      <c r="B519">
        <f t="shared" si="146"/>
        <v>0.316</v>
      </c>
      <c r="C519">
        <f t="shared" si="147"/>
        <v>-26.630434782608969</v>
      </c>
      <c r="D519">
        <v>2.4292242573323466</v>
      </c>
      <c r="E519">
        <f t="shared" si="137"/>
        <v>0</v>
      </c>
      <c r="F519">
        <f t="shared" si="148"/>
        <v>4.8605058816845369E-2</v>
      </c>
      <c r="G519">
        <f t="shared" si="149"/>
        <v>39.513748498891111</v>
      </c>
      <c r="H519">
        <f t="shared" si="150"/>
        <v>0</v>
      </c>
      <c r="I519" s="1">
        <f t="shared" si="138"/>
        <v>0</v>
      </c>
      <c r="J519">
        <f t="shared" si="151"/>
        <v>0</v>
      </c>
      <c r="K519">
        <f t="shared" si="139"/>
        <v>0</v>
      </c>
      <c r="L519" cm="1">
        <f t="array" ref="L519">IF(E519*J519=0,0,$C$21*INDEX([3]Sheet1!$C$4:$Q$23,MATCH(K519,[3]Sheet1!$B$4:$B$23,1),MATCH(D519,[3]Sheet1!$C$3:$Q$3,1))
+(K519-INDEX([3]Sheet1!$B$4:$B$23,MATCH(K519,[3]Sheet1!$B$4:$B$23,1),1))/(INDEX([3]Sheet1!$B$4:$B$23,MATCH(K519,[3]Sheet1!$B$4:$B$23,1)+1,1)-INDEX([3]Sheet1!$B$4:$B$23,
MATCH(K519,[3]Sheet1!$B$4:$B$23,1),1))*(INDEX([3]Sheet1!$C$4:$Q$23,MATCH(K519,[3]Sheet1!$B$4:$B$23,1)+1,MATCH(D519,[3]Sheet1!$C$3:$Q$3,1))-INDEX([3]Sheet1!$C$4:$Q$23,
MATCH(K519,[3]Sheet1!$B$4:$B$23,1),MATCH(D519,[3]Sheet1!$C$3:$Q$3,1)))
+(D519-INDEX([3]Sheet1!$C$3:$Q$3,1,MATCH(D519,[3]Sheet1!$C$3:$Q$3)))/(INDEX([3]Sheet1!$C$3:$Q$3,1,MATCH(D519,[3]Sheet1!$C$3:$Q$3)+1)-INDEX([3]Sheet1!$C$3:$Q$3,1,MATCH(
D519,[3]Sheet1!$C$3:$Q$3)))*(INDEX([3]Sheet1!$C$4:$Q$23,MATCH(K519,[3]Sheet1!$B$4:$B$23,1),MATCH(D519,[3]Sheet1!$C$3:$Q$3,1)+1)-INDEX([3]Sheet1!$C$4:$Q$23,MATCH(K519,[3]Sheet1!$B$4:$B$23,1),MATCH(D519,[3]Sheet1!$C$3:$Q$3,1))))</f>
        <v>0</v>
      </c>
      <c r="M519" cm="1">
        <f t="array" ref="M519" xml:space="preserve"> IF(E519*J519=0,0,(INDEX([2]Sheet1!$C$4:$Q$23,MATCH(K519,[2]Sheet1!$B$4:$B$23,1),MATCH(D519,[2]Sheet1!$C$3:$Q$3,1))
+ (K519 - INDEX([2]Sheet1!$B$4:$B$23,MATCH(K519,[2]Sheet1!$B$4:$B$23,1),1))/(INDEX([2]Sheet1!$B$4:$B$23,MATCH(K519,[2]Sheet1!$B$4:$B$23,1)+1,1) - INDEX([2]Sheet1!$B$4:$B$23,MATCH(K519,[2]Sheet1!$B$4:$B$23,1),1))*(INDEX([2]Sheet1!$C$4:$Q$23,MATCH(K519,[2]Sheet1!$B$4:$B$23,1)+1,MATCH(D519,[2]Sheet1!$C$3:$Q$3,1)) - INDEX([2]Sheet1!$C$4:$Q$23,MATCH(K519,[2]Sheet1!$B$4:$B$23,1),MATCH(D519,[2]Sheet1!$C$3:$Q$3,1)))
+ (D519 - INDEX([2]Sheet1!$C$3:$Q$3,1,MATCH(D519,[2]Sheet1!$C$3:$Q$3)))/(INDEX([2]Sheet1!$C$3:$Q$3,1,MATCH(D519,[2]Sheet1!$C$3:$Q$3)+1) - INDEX([2]Sheet1!$C$3:$Q$3,1,MATCH(D519,[2]Sheet1!$C$3:$Q$3)))*(
INDEX([2]Sheet1!$C$4:$Q$23,MATCH(K519,[2]Sheet1!$B$4:$B$23,1),MATCH(D519,[2]Sheet1!$C$3:$Q$3,1)+1) - INDEX([2]Sheet1!$C$4:$Q$23,MATCH(K519,[2]Sheet1!$B$4:$B$23,1),MATCH(D519,[2]Sheet1!$C$3:$Q$3,1)))))</f>
        <v>0</v>
      </c>
      <c r="N519">
        <f t="shared" si="152"/>
        <v>12</v>
      </c>
      <c r="O519">
        <v>8.5654024699548609E-2</v>
      </c>
      <c r="P519" t="e">
        <f t="shared" si="153"/>
        <v>#DIV/0!</v>
      </c>
      <c r="Q519">
        <f t="shared" si="140"/>
        <v>0</v>
      </c>
      <c r="R519">
        <f t="shared" si="154"/>
        <v>741.9099431943954</v>
      </c>
      <c r="T519" t="e">
        <f t="shared" si="143"/>
        <v>#DIV/0!</v>
      </c>
      <c r="U519" t="e">
        <f t="shared" si="144"/>
        <v>#DIV/0!</v>
      </c>
      <c r="V519">
        <f t="shared" si="145"/>
        <v>0</v>
      </c>
      <c r="W519" t="e">
        <f t="shared" si="141"/>
        <v>#DIV/0!</v>
      </c>
    </row>
    <row r="520" spans="1:23" x14ac:dyDescent="0.55000000000000004">
      <c r="A520">
        <f t="shared" si="142"/>
        <v>48.600000000000421</v>
      </c>
      <c r="B520">
        <f t="shared" si="146"/>
        <v>0.316</v>
      </c>
      <c r="C520">
        <f t="shared" si="147"/>
        <v>-26.69565217391332</v>
      </c>
      <c r="D520">
        <v>2.4291482054095224</v>
      </c>
      <c r="E520">
        <f t="shared" si="137"/>
        <v>0</v>
      </c>
      <c r="F520">
        <f t="shared" si="148"/>
        <v>4.8605058816845369E-2</v>
      </c>
      <c r="G520">
        <f t="shared" si="149"/>
        <v>39.513748498891111</v>
      </c>
      <c r="H520">
        <f t="shared" si="150"/>
        <v>0</v>
      </c>
      <c r="I520" s="1">
        <f t="shared" si="138"/>
        <v>0</v>
      </c>
      <c r="J520">
        <f t="shared" si="151"/>
        <v>0</v>
      </c>
      <c r="K520">
        <f t="shared" si="139"/>
        <v>0</v>
      </c>
      <c r="L520" cm="1">
        <f t="array" ref="L520">IF(E520*J520=0,0,$C$21*INDEX([3]Sheet1!$C$4:$Q$23,MATCH(K520,[3]Sheet1!$B$4:$B$23,1),MATCH(D520,[3]Sheet1!$C$3:$Q$3,1))
+(K520-INDEX([3]Sheet1!$B$4:$B$23,MATCH(K520,[3]Sheet1!$B$4:$B$23,1),1))/(INDEX([3]Sheet1!$B$4:$B$23,MATCH(K520,[3]Sheet1!$B$4:$B$23,1)+1,1)-INDEX([3]Sheet1!$B$4:$B$23,
MATCH(K520,[3]Sheet1!$B$4:$B$23,1),1))*(INDEX([3]Sheet1!$C$4:$Q$23,MATCH(K520,[3]Sheet1!$B$4:$B$23,1)+1,MATCH(D520,[3]Sheet1!$C$3:$Q$3,1))-INDEX([3]Sheet1!$C$4:$Q$23,
MATCH(K520,[3]Sheet1!$B$4:$B$23,1),MATCH(D520,[3]Sheet1!$C$3:$Q$3,1)))
+(D520-INDEX([3]Sheet1!$C$3:$Q$3,1,MATCH(D520,[3]Sheet1!$C$3:$Q$3)))/(INDEX([3]Sheet1!$C$3:$Q$3,1,MATCH(D520,[3]Sheet1!$C$3:$Q$3)+1)-INDEX([3]Sheet1!$C$3:$Q$3,1,MATCH(
D520,[3]Sheet1!$C$3:$Q$3)))*(INDEX([3]Sheet1!$C$4:$Q$23,MATCH(K520,[3]Sheet1!$B$4:$B$23,1),MATCH(D520,[3]Sheet1!$C$3:$Q$3,1)+1)-INDEX([3]Sheet1!$C$4:$Q$23,MATCH(K520,[3]Sheet1!$B$4:$B$23,1),MATCH(D520,[3]Sheet1!$C$3:$Q$3,1))))</f>
        <v>0</v>
      </c>
      <c r="M520" cm="1">
        <f t="array" ref="M520" xml:space="preserve"> IF(E520*J520=0,0,(INDEX([2]Sheet1!$C$4:$Q$23,MATCH(K520,[2]Sheet1!$B$4:$B$23,1),MATCH(D520,[2]Sheet1!$C$3:$Q$3,1))
+ (K520 - INDEX([2]Sheet1!$B$4:$B$23,MATCH(K520,[2]Sheet1!$B$4:$B$23,1),1))/(INDEX([2]Sheet1!$B$4:$B$23,MATCH(K520,[2]Sheet1!$B$4:$B$23,1)+1,1) - INDEX([2]Sheet1!$B$4:$B$23,MATCH(K520,[2]Sheet1!$B$4:$B$23,1),1))*(INDEX([2]Sheet1!$C$4:$Q$23,MATCH(K520,[2]Sheet1!$B$4:$B$23,1)+1,MATCH(D520,[2]Sheet1!$C$3:$Q$3,1)) - INDEX([2]Sheet1!$C$4:$Q$23,MATCH(K520,[2]Sheet1!$B$4:$B$23,1),MATCH(D520,[2]Sheet1!$C$3:$Q$3,1)))
+ (D520 - INDEX([2]Sheet1!$C$3:$Q$3,1,MATCH(D520,[2]Sheet1!$C$3:$Q$3)))/(INDEX([2]Sheet1!$C$3:$Q$3,1,MATCH(D520,[2]Sheet1!$C$3:$Q$3)+1) - INDEX([2]Sheet1!$C$3:$Q$3,1,MATCH(D520,[2]Sheet1!$C$3:$Q$3)))*(
INDEX([2]Sheet1!$C$4:$Q$23,MATCH(K520,[2]Sheet1!$B$4:$B$23,1),MATCH(D520,[2]Sheet1!$C$3:$Q$3,1)+1) - INDEX([2]Sheet1!$C$4:$Q$23,MATCH(K520,[2]Sheet1!$B$4:$B$23,1),MATCH(D520,[2]Sheet1!$C$3:$Q$3,1)))))</f>
        <v>0</v>
      </c>
      <c r="N520">
        <f t="shared" si="152"/>
        <v>12</v>
      </c>
      <c r="O520">
        <v>8.5639148977090879E-2</v>
      </c>
      <c r="P520" t="e">
        <f t="shared" si="153"/>
        <v>#DIV/0!</v>
      </c>
      <c r="Q520">
        <f t="shared" si="140"/>
        <v>0</v>
      </c>
      <c r="R520">
        <f t="shared" si="154"/>
        <v>741.9099431943954</v>
      </c>
      <c r="T520" t="e">
        <f t="shared" si="143"/>
        <v>#DIV/0!</v>
      </c>
      <c r="U520" t="e">
        <f t="shared" si="144"/>
        <v>#DIV/0!</v>
      </c>
      <c r="V520">
        <f t="shared" si="145"/>
        <v>0</v>
      </c>
      <c r="W520" t="e">
        <f t="shared" si="141"/>
        <v>#DIV/0!</v>
      </c>
    </row>
    <row r="521" spans="1:23" x14ac:dyDescent="0.55000000000000004">
      <c r="A521">
        <f t="shared" si="142"/>
        <v>48.700000000000422</v>
      </c>
      <c r="B521">
        <f t="shared" si="146"/>
        <v>0.316</v>
      </c>
      <c r="C521">
        <f t="shared" si="147"/>
        <v>-26.760869565217671</v>
      </c>
      <c r="D521">
        <v>2.4290722588147133</v>
      </c>
      <c r="E521">
        <f t="shared" si="137"/>
        <v>0</v>
      </c>
      <c r="F521">
        <f t="shared" si="148"/>
        <v>4.8605058816845369E-2</v>
      </c>
      <c r="G521">
        <f t="shared" si="149"/>
        <v>39.513748498891111</v>
      </c>
      <c r="H521">
        <f t="shared" si="150"/>
        <v>0</v>
      </c>
      <c r="I521" s="1">
        <f t="shared" si="138"/>
        <v>0</v>
      </c>
      <c r="J521">
        <f t="shared" si="151"/>
        <v>0</v>
      </c>
      <c r="K521">
        <f t="shared" si="139"/>
        <v>0</v>
      </c>
      <c r="L521" cm="1">
        <f t="array" ref="L521">IF(E521*J521=0,0,$C$21*INDEX([3]Sheet1!$C$4:$Q$23,MATCH(K521,[3]Sheet1!$B$4:$B$23,1),MATCH(D521,[3]Sheet1!$C$3:$Q$3,1))
+(K521-INDEX([3]Sheet1!$B$4:$B$23,MATCH(K521,[3]Sheet1!$B$4:$B$23,1),1))/(INDEX([3]Sheet1!$B$4:$B$23,MATCH(K521,[3]Sheet1!$B$4:$B$23,1)+1,1)-INDEX([3]Sheet1!$B$4:$B$23,
MATCH(K521,[3]Sheet1!$B$4:$B$23,1),1))*(INDEX([3]Sheet1!$C$4:$Q$23,MATCH(K521,[3]Sheet1!$B$4:$B$23,1)+1,MATCH(D521,[3]Sheet1!$C$3:$Q$3,1))-INDEX([3]Sheet1!$C$4:$Q$23,
MATCH(K521,[3]Sheet1!$B$4:$B$23,1),MATCH(D521,[3]Sheet1!$C$3:$Q$3,1)))
+(D521-INDEX([3]Sheet1!$C$3:$Q$3,1,MATCH(D521,[3]Sheet1!$C$3:$Q$3)))/(INDEX([3]Sheet1!$C$3:$Q$3,1,MATCH(D521,[3]Sheet1!$C$3:$Q$3)+1)-INDEX([3]Sheet1!$C$3:$Q$3,1,MATCH(
D521,[3]Sheet1!$C$3:$Q$3)))*(INDEX([3]Sheet1!$C$4:$Q$23,MATCH(K521,[3]Sheet1!$B$4:$B$23,1),MATCH(D521,[3]Sheet1!$C$3:$Q$3,1)+1)-INDEX([3]Sheet1!$C$4:$Q$23,MATCH(K521,[3]Sheet1!$B$4:$B$23,1),MATCH(D521,[3]Sheet1!$C$3:$Q$3,1))))</f>
        <v>0</v>
      </c>
      <c r="M521" cm="1">
        <f t="array" ref="M521" xml:space="preserve"> IF(E521*J521=0,0,(INDEX([2]Sheet1!$C$4:$Q$23,MATCH(K521,[2]Sheet1!$B$4:$B$23,1),MATCH(D521,[2]Sheet1!$C$3:$Q$3,1))
+ (K521 - INDEX([2]Sheet1!$B$4:$B$23,MATCH(K521,[2]Sheet1!$B$4:$B$23,1),1))/(INDEX([2]Sheet1!$B$4:$B$23,MATCH(K521,[2]Sheet1!$B$4:$B$23,1)+1,1) - INDEX([2]Sheet1!$B$4:$B$23,MATCH(K521,[2]Sheet1!$B$4:$B$23,1),1))*(INDEX([2]Sheet1!$C$4:$Q$23,MATCH(K521,[2]Sheet1!$B$4:$B$23,1)+1,MATCH(D521,[2]Sheet1!$C$3:$Q$3,1)) - INDEX([2]Sheet1!$C$4:$Q$23,MATCH(K521,[2]Sheet1!$B$4:$B$23,1),MATCH(D521,[2]Sheet1!$C$3:$Q$3,1)))
+ (D521 - INDEX([2]Sheet1!$C$3:$Q$3,1,MATCH(D521,[2]Sheet1!$C$3:$Q$3)))/(INDEX([2]Sheet1!$C$3:$Q$3,1,MATCH(D521,[2]Sheet1!$C$3:$Q$3)+1) - INDEX([2]Sheet1!$C$3:$Q$3,1,MATCH(D521,[2]Sheet1!$C$3:$Q$3)))*(
INDEX([2]Sheet1!$C$4:$Q$23,MATCH(K521,[2]Sheet1!$B$4:$B$23,1),MATCH(D521,[2]Sheet1!$C$3:$Q$3,1)+1) - INDEX([2]Sheet1!$C$4:$Q$23,MATCH(K521,[2]Sheet1!$B$4:$B$23,1),MATCH(D521,[2]Sheet1!$C$3:$Q$3,1)))))</f>
        <v>0</v>
      </c>
      <c r="N521">
        <f t="shared" si="152"/>
        <v>12</v>
      </c>
      <c r="O521">
        <v>8.5624296436408356E-2</v>
      </c>
      <c r="P521" t="e">
        <f t="shared" si="153"/>
        <v>#DIV/0!</v>
      </c>
      <c r="Q521">
        <f t="shared" si="140"/>
        <v>0</v>
      </c>
      <c r="R521">
        <f t="shared" si="154"/>
        <v>741.9099431943954</v>
      </c>
      <c r="T521" t="e">
        <f t="shared" si="143"/>
        <v>#DIV/0!</v>
      </c>
      <c r="U521" t="e">
        <f t="shared" si="144"/>
        <v>#DIV/0!</v>
      </c>
      <c r="V521">
        <f t="shared" si="145"/>
        <v>0</v>
      </c>
      <c r="W521" t="e">
        <f t="shared" si="141"/>
        <v>#DIV/0!</v>
      </c>
    </row>
    <row r="522" spans="1:23" x14ac:dyDescent="0.55000000000000004">
      <c r="A522">
        <f t="shared" si="142"/>
        <v>48.800000000000423</v>
      </c>
      <c r="B522">
        <f t="shared" si="146"/>
        <v>0.316</v>
      </c>
      <c r="C522">
        <f t="shared" si="147"/>
        <v>-26.826086956522023</v>
      </c>
      <c r="D522">
        <v>2.4289964172460379</v>
      </c>
      <c r="E522">
        <f t="shared" si="137"/>
        <v>0</v>
      </c>
      <c r="F522">
        <f t="shared" si="148"/>
        <v>4.8605058816845369E-2</v>
      </c>
      <c r="G522">
        <f t="shared" si="149"/>
        <v>39.513748498891111</v>
      </c>
      <c r="H522">
        <f t="shared" si="150"/>
        <v>0</v>
      </c>
      <c r="I522" s="1">
        <f t="shared" si="138"/>
        <v>0</v>
      </c>
      <c r="J522">
        <f t="shared" si="151"/>
        <v>0</v>
      </c>
      <c r="K522">
        <f t="shared" si="139"/>
        <v>0</v>
      </c>
      <c r="L522" cm="1">
        <f t="array" ref="L522">IF(E522*J522=0,0,$C$21*INDEX([3]Sheet1!$C$4:$Q$23,MATCH(K522,[3]Sheet1!$B$4:$B$23,1),MATCH(D522,[3]Sheet1!$C$3:$Q$3,1))
+(K522-INDEX([3]Sheet1!$B$4:$B$23,MATCH(K522,[3]Sheet1!$B$4:$B$23,1),1))/(INDEX([3]Sheet1!$B$4:$B$23,MATCH(K522,[3]Sheet1!$B$4:$B$23,1)+1,1)-INDEX([3]Sheet1!$B$4:$B$23,
MATCH(K522,[3]Sheet1!$B$4:$B$23,1),1))*(INDEX([3]Sheet1!$C$4:$Q$23,MATCH(K522,[3]Sheet1!$B$4:$B$23,1)+1,MATCH(D522,[3]Sheet1!$C$3:$Q$3,1))-INDEX([3]Sheet1!$C$4:$Q$23,
MATCH(K522,[3]Sheet1!$B$4:$B$23,1),MATCH(D522,[3]Sheet1!$C$3:$Q$3,1)))
+(D522-INDEX([3]Sheet1!$C$3:$Q$3,1,MATCH(D522,[3]Sheet1!$C$3:$Q$3)))/(INDEX([3]Sheet1!$C$3:$Q$3,1,MATCH(D522,[3]Sheet1!$C$3:$Q$3)+1)-INDEX([3]Sheet1!$C$3:$Q$3,1,MATCH(
D522,[3]Sheet1!$C$3:$Q$3)))*(INDEX([3]Sheet1!$C$4:$Q$23,MATCH(K522,[3]Sheet1!$B$4:$B$23,1),MATCH(D522,[3]Sheet1!$C$3:$Q$3,1)+1)-INDEX([3]Sheet1!$C$4:$Q$23,MATCH(K522,[3]Sheet1!$B$4:$B$23,1),MATCH(D522,[3]Sheet1!$C$3:$Q$3,1))))</f>
        <v>0</v>
      </c>
      <c r="M522" cm="1">
        <f t="array" ref="M522" xml:space="preserve"> IF(E522*J522=0,0,(INDEX([2]Sheet1!$C$4:$Q$23,MATCH(K522,[2]Sheet1!$B$4:$B$23,1),MATCH(D522,[2]Sheet1!$C$3:$Q$3,1))
+ (K522 - INDEX([2]Sheet1!$B$4:$B$23,MATCH(K522,[2]Sheet1!$B$4:$B$23,1),1))/(INDEX([2]Sheet1!$B$4:$B$23,MATCH(K522,[2]Sheet1!$B$4:$B$23,1)+1,1) - INDEX([2]Sheet1!$B$4:$B$23,MATCH(K522,[2]Sheet1!$B$4:$B$23,1),1))*(INDEX([2]Sheet1!$C$4:$Q$23,MATCH(K522,[2]Sheet1!$B$4:$B$23,1)+1,MATCH(D522,[2]Sheet1!$C$3:$Q$3,1)) - INDEX([2]Sheet1!$C$4:$Q$23,MATCH(K522,[2]Sheet1!$B$4:$B$23,1),MATCH(D522,[2]Sheet1!$C$3:$Q$3,1)))
+ (D522 - INDEX([2]Sheet1!$C$3:$Q$3,1,MATCH(D522,[2]Sheet1!$C$3:$Q$3)))/(INDEX([2]Sheet1!$C$3:$Q$3,1,MATCH(D522,[2]Sheet1!$C$3:$Q$3)+1) - INDEX([2]Sheet1!$C$3:$Q$3,1,MATCH(D522,[2]Sheet1!$C$3:$Q$3)))*(
INDEX([2]Sheet1!$C$4:$Q$23,MATCH(K522,[2]Sheet1!$B$4:$B$23,1),MATCH(D522,[2]Sheet1!$C$3:$Q$3,1)+1) - INDEX([2]Sheet1!$C$4:$Q$23,MATCH(K522,[2]Sheet1!$B$4:$B$23,1),MATCH(D522,[2]Sheet1!$C$3:$Q$3,1)))))</f>
        <v>0</v>
      </c>
      <c r="N522">
        <f t="shared" si="152"/>
        <v>12</v>
      </c>
      <c r="O522">
        <v>8.5609467007465107E-2</v>
      </c>
      <c r="P522" t="e">
        <f t="shared" si="153"/>
        <v>#DIV/0!</v>
      </c>
      <c r="Q522">
        <f t="shared" si="140"/>
        <v>0</v>
      </c>
      <c r="R522">
        <f t="shared" si="154"/>
        <v>741.9099431943954</v>
      </c>
      <c r="T522" t="e">
        <f t="shared" si="143"/>
        <v>#DIV/0!</v>
      </c>
      <c r="U522" t="e">
        <f t="shared" si="144"/>
        <v>#DIV/0!</v>
      </c>
      <c r="V522">
        <f t="shared" si="145"/>
        <v>0</v>
      </c>
      <c r="W522" t="e">
        <f t="shared" si="141"/>
        <v>#DIV/0!</v>
      </c>
    </row>
    <row r="523" spans="1:23" x14ac:dyDescent="0.55000000000000004">
      <c r="A523">
        <f t="shared" si="142"/>
        <v>48.900000000000425</v>
      </c>
      <c r="B523">
        <f t="shared" si="146"/>
        <v>0.316</v>
      </c>
      <c r="C523">
        <f t="shared" si="147"/>
        <v>-26.891304347826367</v>
      </c>
      <c r="D523">
        <v>2.42892068040292</v>
      </c>
      <c r="E523">
        <f t="shared" si="137"/>
        <v>0</v>
      </c>
      <c r="F523">
        <f t="shared" si="148"/>
        <v>4.8605058816845369E-2</v>
      </c>
      <c r="G523">
        <f t="shared" si="149"/>
        <v>39.513748498891111</v>
      </c>
      <c r="H523">
        <f t="shared" si="150"/>
        <v>0</v>
      </c>
      <c r="I523" s="1">
        <f t="shared" si="138"/>
        <v>0</v>
      </c>
      <c r="J523">
        <f t="shared" si="151"/>
        <v>0</v>
      </c>
      <c r="K523">
        <f t="shared" si="139"/>
        <v>0</v>
      </c>
      <c r="L523" cm="1">
        <f t="array" ref="L523">IF(E523*J523=0,0,$C$21*INDEX([3]Sheet1!$C$4:$Q$23,MATCH(K523,[3]Sheet1!$B$4:$B$23,1),MATCH(D523,[3]Sheet1!$C$3:$Q$3,1))
+(K523-INDEX([3]Sheet1!$B$4:$B$23,MATCH(K523,[3]Sheet1!$B$4:$B$23,1),1))/(INDEX([3]Sheet1!$B$4:$B$23,MATCH(K523,[3]Sheet1!$B$4:$B$23,1)+1,1)-INDEX([3]Sheet1!$B$4:$B$23,
MATCH(K523,[3]Sheet1!$B$4:$B$23,1),1))*(INDEX([3]Sheet1!$C$4:$Q$23,MATCH(K523,[3]Sheet1!$B$4:$B$23,1)+1,MATCH(D523,[3]Sheet1!$C$3:$Q$3,1))-INDEX([3]Sheet1!$C$4:$Q$23,
MATCH(K523,[3]Sheet1!$B$4:$B$23,1),MATCH(D523,[3]Sheet1!$C$3:$Q$3,1)))
+(D523-INDEX([3]Sheet1!$C$3:$Q$3,1,MATCH(D523,[3]Sheet1!$C$3:$Q$3)))/(INDEX([3]Sheet1!$C$3:$Q$3,1,MATCH(D523,[3]Sheet1!$C$3:$Q$3)+1)-INDEX([3]Sheet1!$C$3:$Q$3,1,MATCH(
D523,[3]Sheet1!$C$3:$Q$3)))*(INDEX([3]Sheet1!$C$4:$Q$23,MATCH(K523,[3]Sheet1!$B$4:$B$23,1),MATCH(D523,[3]Sheet1!$C$3:$Q$3,1)+1)-INDEX([3]Sheet1!$C$4:$Q$23,MATCH(K523,[3]Sheet1!$B$4:$B$23,1),MATCH(D523,[3]Sheet1!$C$3:$Q$3,1))))</f>
        <v>0</v>
      </c>
      <c r="M523" cm="1">
        <f t="array" ref="M523" xml:space="preserve"> IF(E523*J523=0,0,(INDEX([2]Sheet1!$C$4:$Q$23,MATCH(K523,[2]Sheet1!$B$4:$B$23,1),MATCH(D523,[2]Sheet1!$C$3:$Q$3,1))
+ (K523 - INDEX([2]Sheet1!$B$4:$B$23,MATCH(K523,[2]Sheet1!$B$4:$B$23,1),1))/(INDEX([2]Sheet1!$B$4:$B$23,MATCH(K523,[2]Sheet1!$B$4:$B$23,1)+1,1) - INDEX([2]Sheet1!$B$4:$B$23,MATCH(K523,[2]Sheet1!$B$4:$B$23,1),1))*(INDEX([2]Sheet1!$C$4:$Q$23,MATCH(K523,[2]Sheet1!$B$4:$B$23,1)+1,MATCH(D523,[2]Sheet1!$C$3:$Q$3,1)) - INDEX([2]Sheet1!$C$4:$Q$23,MATCH(K523,[2]Sheet1!$B$4:$B$23,1),MATCH(D523,[2]Sheet1!$C$3:$Q$3,1)))
+ (D523 - INDEX([2]Sheet1!$C$3:$Q$3,1,MATCH(D523,[2]Sheet1!$C$3:$Q$3)))/(INDEX([2]Sheet1!$C$3:$Q$3,1,MATCH(D523,[2]Sheet1!$C$3:$Q$3)+1) - INDEX([2]Sheet1!$C$3:$Q$3,1,MATCH(D523,[2]Sheet1!$C$3:$Q$3)))*(
INDEX([2]Sheet1!$C$4:$Q$23,MATCH(K523,[2]Sheet1!$B$4:$B$23,1),MATCH(D523,[2]Sheet1!$C$3:$Q$3,1)+1) - INDEX([2]Sheet1!$C$4:$Q$23,MATCH(K523,[2]Sheet1!$B$4:$B$23,1),MATCH(D523,[2]Sheet1!$C$3:$Q$3,1)))))</f>
        <v>0</v>
      </c>
      <c r="N523">
        <f t="shared" si="152"/>
        <v>12</v>
      </c>
      <c r="O523">
        <v>8.5594660620539706E-2</v>
      </c>
      <c r="P523" t="e">
        <f t="shared" si="153"/>
        <v>#DIV/0!</v>
      </c>
      <c r="Q523">
        <f t="shared" si="140"/>
        <v>0</v>
      </c>
      <c r="R523">
        <f t="shared" si="154"/>
        <v>741.9099431943954</v>
      </c>
      <c r="T523" t="e">
        <f t="shared" si="143"/>
        <v>#DIV/0!</v>
      </c>
      <c r="U523" t="e">
        <f t="shared" si="144"/>
        <v>#DIV/0!</v>
      </c>
      <c r="V523">
        <f t="shared" si="145"/>
        <v>0</v>
      </c>
      <c r="W523" t="e">
        <f t="shared" si="141"/>
        <v>#DIV/0!</v>
      </c>
    </row>
    <row r="524" spans="1:23" x14ac:dyDescent="0.55000000000000004">
      <c r="A524">
        <f t="shared" si="142"/>
        <v>49.000000000000426</v>
      </c>
      <c r="B524">
        <f t="shared" si="146"/>
        <v>0.316</v>
      </c>
      <c r="C524">
        <f t="shared" si="147"/>
        <v>-26.956521739130714</v>
      </c>
      <c r="D524">
        <v>2.4288450479860826</v>
      </c>
      <c r="E524">
        <f t="shared" si="137"/>
        <v>0</v>
      </c>
      <c r="F524">
        <f t="shared" si="148"/>
        <v>4.8605058816845369E-2</v>
      </c>
      <c r="G524">
        <f t="shared" si="149"/>
        <v>39.513748498891111</v>
      </c>
      <c r="H524">
        <f t="shared" si="150"/>
        <v>0</v>
      </c>
      <c r="I524" s="1">
        <f t="shared" si="138"/>
        <v>0</v>
      </c>
      <c r="J524">
        <f t="shared" si="151"/>
        <v>0</v>
      </c>
      <c r="K524">
        <f t="shared" si="139"/>
        <v>0</v>
      </c>
      <c r="L524" cm="1">
        <f t="array" ref="L524">IF(E524*J524=0,0,$C$21*INDEX([3]Sheet1!$C$4:$Q$23,MATCH(K524,[3]Sheet1!$B$4:$B$23,1),MATCH(D524,[3]Sheet1!$C$3:$Q$3,1))
+(K524-INDEX([3]Sheet1!$B$4:$B$23,MATCH(K524,[3]Sheet1!$B$4:$B$23,1),1))/(INDEX([3]Sheet1!$B$4:$B$23,MATCH(K524,[3]Sheet1!$B$4:$B$23,1)+1,1)-INDEX([3]Sheet1!$B$4:$B$23,
MATCH(K524,[3]Sheet1!$B$4:$B$23,1),1))*(INDEX([3]Sheet1!$C$4:$Q$23,MATCH(K524,[3]Sheet1!$B$4:$B$23,1)+1,MATCH(D524,[3]Sheet1!$C$3:$Q$3,1))-INDEX([3]Sheet1!$C$4:$Q$23,
MATCH(K524,[3]Sheet1!$B$4:$B$23,1),MATCH(D524,[3]Sheet1!$C$3:$Q$3,1)))
+(D524-INDEX([3]Sheet1!$C$3:$Q$3,1,MATCH(D524,[3]Sheet1!$C$3:$Q$3)))/(INDEX([3]Sheet1!$C$3:$Q$3,1,MATCH(D524,[3]Sheet1!$C$3:$Q$3)+1)-INDEX([3]Sheet1!$C$3:$Q$3,1,MATCH(
D524,[3]Sheet1!$C$3:$Q$3)))*(INDEX([3]Sheet1!$C$4:$Q$23,MATCH(K524,[3]Sheet1!$B$4:$B$23,1),MATCH(D524,[3]Sheet1!$C$3:$Q$3,1)+1)-INDEX([3]Sheet1!$C$4:$Q$23,MATCH(K524,[3]Sheet1!$B$4:$B$23,1),MATCH(D524,[3]Sheet1!$C$3:$Q$3,1))))</f>
        <v>0</v>
      </c>
      <c r="M524" cm="1">
        <f t="array" ref="M524" xml:space="preserve"> IF(E524*J524=0,0,(INDEX([2]Sheet1!$C$4:$Q$23,MATCH(K524,[2]Sheet1!$B$4:$B$23,1),MATCH(D524,[2]Sheet1!$C$3:$Q$3,1))
+ (K524 - INDEX([2]Sheet1!$B$4:$B$23,MATCH(K524,[2]Sheet1!$B$4:$B$23,1),1))/(INDEX([2]Sheet1!$B$4:$B$23,MATCH(K524,[2]Sheet1!$B$4:$B$23,1)+1,1) - INDEX([2]Sheet1!$B$4:$B$23,MATCH(K524,[2]Sheet1!$B$4:$B$23,1),1))*(INDEX([2]Sheet1!$C$4:$Q$23,MATCH(K524,[2]Sheet1!$B$4:$B$23,1)+1,MATCH(D524,[2]Sheet1!$C$3:$Q$3,1)) - INDEX([2]Sheet1!$C$4:$Q$23,MATCH(K524,[2]Sheet1!$B$4:$B$23,1),MATCH(D524,[2]Sheet1!$C$3:$Q$3,1)))
+ (D524 - INDEX([2]Sheet1!$C$3:$Q$3,1,MATCH(D524,[2]Sheet1!$C$3:$Q$3)))/(INDEX([2]Sheet1!$C$3:$Q$3,1,MATCH(D524,[2]Sheet1!$C$3:$Q$3)+1) - INDEX([2]Sheet1!$C$3:$Q$3,1,MATCH(D524,[2]Sheet1!$C$3:$Q$3)))*(
INDEX([2]Sheet1!$C$4:$Q$23,MATCH(K524,[2]Sheet1!$B$4:$B$23,1),MATCH(D524,[2]Sheet1!$C$3:$Q$3,1)+1) - INDEX([2]Sheet1!$C$4:$Q$23,MATCH(K524,[2]Sheet1!$B$4:$B$23,1),MATCH(D524,[2]Sheet1!$C$3:$Q$3,1)))))</f>
        <v>0</v>
      </c>
      <c r="N524">
        <f t="shared" si="152"/>
        <v>12</v>
      </c>
      <c r="O524">
        <v>8.5579877206223384E-2</v>
      </c>
      <c r="P524" t="e">
        <f t="shared" si="153"/>
        <v>#DIV/0!</v>
      </c>
      <c r="Q524">
        <f t="shared" si="140"/>
        <v>0</v>
      </c>
      <c r="R524">
        <f t="shared" si="154"/>
        <v>741.9099431943954</v>
      </c>
      <c r="T524" t="e">
        <f t="shared" si="143"/>
        <v>#DIV/0!</v>
      </c>
      <c r="U524" t="e">
        <f t="shared" si="144"/>
        <v>#DIV/0!</v>
      </c>
      <c r="V524">
        <f t="shared" si="145"/>
        <v>0</v>
      </c>
      <c r="W524" t="e">
        <f t="shared" si="141"/>
        <v>#DIV/0!</v>
      </c>
    </row>
    <row r="525" spans="1:23" x14ac:dyDescent="0.55000000000000004">
      <c r="A525">
        <f t="shared" si="142"/>
        <v>49.100000000000428</v>
      </c>
      <c r="B525">
        <f t="shared" si="146"/>
        <v>0.316</v>
      </c>
      <c r="C525">
        <f t="shared" si="147"/>
        <v>-27.021739130435066</v>
      </c>
      <c r="D525">
        <v>2.4287695196975374</v>
      </c>
      <c r="E525">
        <f t="shared" si="137"/>
        <v>0</v>
      </c>
      <c r="F525">
        <f t="shared" si="148"/>
        <v>4.8605058816845369E-2</v>
      </c>
      <c r="G525">
        <f t="shared" si="149"/>
        <v>39.513748498891111</v>
      </c>
      <c r="H525">
        <f t="shared" si="150"/>
        <v>0</v>
      </c>
      <c r="I525" s="1">
        <f t="shared" si="138"/>
        <v>0</v>
      </c>
      <c r="J525">
        <f t="shared" si="151"/>
        <v>0</v>
      </c>
      <c r="K525">
        <f t="shared" si="139"/>
        <v>0</v>
      </c>
      <c r="L525" cm="1">
        <f t="array" ref="L525">IF(E525*J525=0,0,$C$21*INDEX([3]Sheet1!$C$4:$Q$23,MATCH(K525,[3]Sheet1!$B$4:$B$23,1),MATCH(D525,[3]Sheet1!$C$3:$Q$3,1))
+(K525-INDEX([3]Sheet1!$B$4:$B$23,MATCH(K525,[3]Sheet1!$B$4:$B$23,1),1))/(INDEX([3]Sheet1!$B$4:$B$23,MATCH(K525,[3]Sheet1!$B$4:$B$23,1)+1,1)-INDEX([3]Sheet1!$B$4:$B$23,
MATCH(K525,[3]Sheet1!$B$4:$B$23,1),1))*(INDEX([3]Sheet1!$C$4:$Q$23,MATCH(K525,[3]Sheet1!$B$4:$B$23,1)+1,MATCH(D525,[3]Sheet1!$C$3:$Q$3,1))-INDEX([3]Sheet1!$C$4:$Q$23,
MATCH(K525,[3]Sheet1!$B$4:$B$23,1),MATCH(D525,[3]Sheet1!$C$3:$Q$3,1)))
+(D525-INDEX([3]Sheet1!$C$3:$Q$3,1,MATCH(D525,[3]Sheet1!$C$3:$Q$3)))/(INDEX([3]Sheet1!$C$3:$Q$3,1,MATCH(D525,[3]Sheet1!$C$3:$Q$3)+1)-INDEX([3]Sheet1!$C$3:$Q$3,1,MATCH(
D525,[3]Sheet1!$C$3:$Q$3)))*(INDEX([3]Sheet1!$C$4:$Q$23,MATCH(K525,[3]Sheet1!$B$4:$B$23,1),MATCH(D525,[3]Sheet1!$C$3:$Q$3,1)+1)-INDEX([3]Sheet1!$C$4:$Q$23,MATCH(K525,[3]Sheet1!$B$4:$B$23,1),MATCH(D525,[3]Sheet1!$C$3:$Q$3,1))))</f>
        <v>0</v>
      </c>
      <c r="M525" cm="1">
        <f t="array" ref="M525" xml:space="preserve"> IF(E525*J525=0,0,(INDEX([2]Sheet1!$C$4:$Q$23,MATCH(K525,[2]Sheet1!$B$4:$B$23,1),MATCH(D525,[2]Sheet1!$C$3:$Q$3,1))
+ (K525 - INDEX([2]Sheet1!$B$4:$B$23,MATCH(K525,[2]Sheet1!$B$4:$B$23,1),1))/(INDEX([2]Sheet1!$B$4:$B$23,MATCH(K525,[2]Sheet1!$B$4:$B$23,1)+1,1) - INDEX([2]Sheet1!$B$4:$B$23,MATCH(K525,[2]Sheet1!$B$4:$B$23,1),1))*(INDEX([2]Sheet1!$C$4:$Q$23,MATCH(K525,[2]Sheet1!$B$4:$B$23,1)+1,MATCH(D525,[2]Sheet1!$C$3:$Q$3,1)) - INDEX([2]Sheet1!$C$4:$Q$23,MATCH(K525,[2]Sheet1!$B$4:$B$23,1),MATCH(D525,[2]Sheet1!$C$3:$Q$3,1)))
+ (D525 - INDEX([2]Sheet1!$C$3:$Q$3,1,MATCH(D525,[2]Sheet1!$C$3:$Q$3)))/(INDEX([2]Sheet1!$C$3:$Q$3,1,MATCH(D525,[2]Sheet1!$C$3:$Q$3)+1) - INDEX([2]Sheet1!$C$3:$Q$3,1,MATCH(D525,[2]Sheet1!$C$3:$Q$3)))*(
INDEX([2]Sheet1!$C$4:$Q$23,MATCH(K525,[2]Sheet1!$B$4:$B$23,1),MATCH(D525,[2]Sheet1!$C$3:$Q$3,1)+1) - INDEX([2]Sheet1!$C$4:$Q$23,MATCH(K525,[2]Sheet1!$B$4:$B$23,1),MATCH(D525,[2]Sheet1!$C$3:$Q$3,1)))))</f>
        <v>0</v>
      </c>
      <c r="N525">
        <f t="shared" si="152"/>
        <v>12</v>
      </c>
      <c r="O525">
        <v>8.5565116695416985E-2</v>
      </c>
      <c r="P525" t="e">
        <f t="shared" si="153"/>
        <v>#DIV/0!</v>
      </c>
      <c r="Q525">
        <f t="shared" si="140"/>
        <v>0</v>
      </c>
      <c r="R525">
        <f t="shared" si="154"/>
        <v>741.9099431943954</v>
      </c>
      <c r="T525" t="e">
        <f t="shared" si="143"/>
        <v>#DIV/0!</v>
      </c>
      <c r="U525" t="e">
        <f t="shared" si="144"/>
        <v>#DIV/0!</v>
      </c>
      <c r="V525">
        <f t="shared" si="145"/>
        <v>0</v>
      </c>
      <c r="W525" t="e">
        <f t="shared" si="141"/>
        <v>#DIV/0!</v>
      </c>
    </row>
    <row r="526" spans="1:23" x14ac:dyDescent="0.55000000000000004">
      <c r="A526">
        <f t="shared" si="142"/>
        <v>49.200000000000429</v>
      </c>
      <c r="B526">
        <f t="shared" si="146"/>
        <v>0.316</v>
      </c>
      <c r="C526">
        <f t="shared" si="147"/>
        <v>-27.08695652173941</v>
      </c>
      <c r="D526">
        <v>2.4286940952405796</v>
      </c>
      <c r="E526">
        <f t="shared" si="137"/>
        <v>0</v>
      </c>
      <c r="F526">
        <f t="shared" si="148"/>
        <v>4.8605058816845369E-2</v>
      </c>
      <c r="G526">
        <f t="shared" si="149"/>
        <v>39.513748498891111</v>
      </c>
      <c r="H526">
        <f t="shared" si="150"/>
        <v>0</v>
      </c>
      <c r="I526" s="1">
        <f t="shared" si="138"/>
        <v>0</v>
      </c>
      <c r="J526">
        <f t="shared" si="151"/>
        <v>0</v>
      </c>
      <c r="K526">
        <f t="shared" si="139"/>
        <v>0</v>
      </c>
      <c r="L526" cm="1">
        <f t="array" ref="L526">IF(E526*J526=0,0,$C$21*INDEX([3]Sheet1!$C$4:$Q$23,MATCH(K526,[3]Sheet1!$B$4:$B$23,1),MATCH(D526,[3]Sheet1!$C$3:$Q$3,1))
+(K526-INDEX([3]Sheet1!$B$4:$B$23,MATCH(K526,[3]Sheet1!$B$4:$B$23,1),1))/(INDEX([3]Sheet1!$B$4:$B$23,MATCH(K526,[3]Sheet1!$B$4:$B$23,1)+1,1)-INDEX([3]Sheet1!$B$4:$B$23,
MATCH(K526,[3]Sheet1!$B$4:$B$23,1),1))*(INDEX([3]Sheet1!$C$4:$Q$23,MATCH(K526,[3]Sheet1!$B$4:$B$23,1)+1,MATCH(D526,[3]Sheet1!$C$3:$Q$3,1))-INDEX([3]Sheet1!$C$4:$Q$23,
MATCH(K526,[3]Sheet1!$B$4:$B$23,1),MATCH(D526,[3]Sheet1!$C$3:$Q$3,1)))
+(D526-INDEX([3]Sheet1!$C$3:$Q$3,1,MATCH(D526,[3]Sheet1!$C$3:$Q$3)))/(INDEX([3]Sheet1!$C$3:$Q$3,1,MATCH(D526,[3]Sheet1!$C$3:$Q$3)+1)-INDEX([3]Sheet1!$C$3:$Q$3,1,MATCH(
D526,[3]Sheet1!$C$3:$Q$3)))*(INDEX([3]Sheet1!$C$4:$Q$23,MATCH(K526,[3]Sheet1!$B$4:$B$23,1),MATCH(D526,[3]Sheet1!$C$3:$Q$3,1)+1)-INDEX([3]Sheet1!$C$4:$Q$23,MATCH(K526,[3]Sheet1!$B$4:$B$23,1),MATCH(D526,[3]Sheet1!$C$3:$Q$3,1))))</f>
        <v>0</v>
      </c>
      <c r="M526" cm="1">
        <f t="array" ref="M526" xml:space="preserve"> IF(E526*J526=0,0,(INDEX([2]Sheet1!$C$4:$Q$23,MATCH(K526,[2]Sheet1!$B$4:$B$23,1),MATCH(D526,[2]Sheet1!$C$3:$Q$3,1))
+ (K526 - INDEX([2]Sheet1!$B$4:$B$23,MATCH(K526,[2]Sheet1!$B$4:$B$23,1),1))/(INDEX([2]Sheet1!$B$4:$B$23,MATCH(K526,[2]Sheet1!$B$4:$B$23,1)+1,1) - INDEX([2]Sheet1!$B$4:$B$23,MATCH(K526,[2]Sheet1!$B$4:$B$23,1),1))*(INDEX([2]Sheet1!$C$4:$Q$23,MATCH(K526,[2]Sheet1!$B$4:$B$23,1)+1,MATCH(D526,[2]Sheet1!$C$3:$Q$3,1)) - INDEX([2]Sheet1!$C$4:$Q$23,MATCH(K526,[2]Sheet1!$B$4:$B$23,1),MATCH(D526,[2]Sheet1!$C$3:$Q$3,1)))
+ (D526 - INDEX([2]Sheet1!$C$3:$Q$3,1,MATCH(D526,[2]Sheet1!$C$3:$Q$3)))/(INDEX([2]Sheet1!$C$3:$Q$3,1,MATCH(D526,[2]Sheet1!$C$3:$Q$3)+1) - INDEX([2]Sheet1!$C$3:$Q$3,1,MATCH(D526,[2]Sheet1!$C$3:$Q$3)))*(
INDEX([2]Sheet1!$C$4:$Q$23,MATCH(K526,[2]Sheet1!$B$4:$B$23,1),MATCH(D526,[2]Sheet1!$C$3:$Q$3,1)+1) - INDEX([2]Sheet1!$C$4:$Q$23,MATCH(K526,[2]Sheet1!$B$4:$B$23,1),MATCH(D526,[2]Sheet1!$C$3:$Q$3,1)))))</f>
        <v>0</v>
      </c>
      <c r="N526">
        <f t="shared" si="152"/>
        <v>12</v>
      </c>
      <c r="O526">
        <v>8.5550379019330436E-2</v>
      </c>
      <c r="P526" t="e">
        <f t="shared" si="153"/>
        <v>#DIV/0!</v>
      </c>
      <c r="Q526">
        <f t="shared" si="140"/>
        <v>0</v>
      </c>
      <c r="R526">
        <f t="shared" si="154"/>
        <v>741.9099431943954</v>
      </c>
      <c r="T526" t="e">
        <f t="shared" si="143"/>
        <v>#DIV/0!</v>
      </c>
      <c r="U526" t="e">
        <f t="shared" si="144"/>
        <v>#DIV/0!</v>
      </c>
      <c r="V526">
        <f t="shared" si="145"/>
        <v>0</v>
      </c>
      <c r="W526" t="e">
        <f t="shared" si="141"/>
        <v>#DIV/0!</v>
      </c>
    </row>
    <row r="527" spans="1:23" x14ac:dyDescent="0.55000000000000004">
      <c r="A527">
        <f t="shared" si="142"/>
        <v>49.300000000000431</v>
      </c>
      <c r="B527">
        <f t="shared" si="146"/>
        <v>0.316</v>
      </c>
      <c r="C527">
        <f t="shared" si="147"/>
        <v>-27.152173913043761</v>
      </c>
      <c r="D527">
        <v>2.4286187743197831</v>
      </c>
      <c r="E527">
        <f t="shared" si="137"/>
        <v>0</v>
      </c>
      <c r="F527">
        <f t="shared" si="148"/>
        <v>4.8605058816845369E-2</v>
      </c>
      <c r="G527">
        <f t="shared" si="149"/>
        <v>39.513748498891111</v>
      </c>
      <c r="H527">
        <f t="shared" si="150"/>
        <v>0</v>
      </c>
      <c r="I527" s="1">
        <f t="shared" si="138"/>
        <v>0</v>
      </c>
      <c r="J527">
        <f t="shared" si="151"/>
        <v>0</v>
      </c>
      <c r="K527">
        <f t="shared" si="139"/>
        <v>0</v>
      </c>
      <c r="L527" cm="1">
        <f t="array" ref="L527">IF(E527*J527=0,0,$C$21*INDEX([3]Sheet1!$C$4:$Q$23,MATCH(K527,[3]Sheet1!$B$4:$B$23,1),MATCH(D527,[3]Sheet1!$C$3:$Q$3,1))
+(K527-INDEX([3]Sheet1!$B$4:$B$23,MATCH(K527,[3]Sheet1!$B$4:$B$23,1),1))/(INDEX([3]Sheet1!$B$4:$B$23,MATCH(K527,[3]Sheet1!$B$4:$B$23,1)+1,1)-INDEX([3]Sheet1!$B$4:$B$23,
MATCH(K527,[3]Sheet1!$B$4:$B$23,1),1))*(INDEX([3]Sheet1!$C$4:$Q$23,MATCH(K527,[3]Sheet1!$B$4:$B$23,1)+1,MATCH(D527,[3]Sheet1!$C$3:$Q$3,1))-INDEX([3]Sheet1!$C$4:$Q$23,
MATCH(K527,[3]Sheet1!$B$4:$B$23,1),MATCH(D527,[3]Sheet1!$C$3:$Q$3,1)))
+(D527-INDEX([3]Sheet1!$C$3:$Q$3,1,MATCH(D527,[3]Sheet1!$C$3:$Q$3)))/(INDEX([3]Sheet1!$C$3:$Q$3,1,MATCH(D527,[3]Sheet1!$C$3:$Q$3)+1)-INDEX([3]Sheet1!$C$3:$Q$3,1,MATCH(
D527,[3]Sheet1!$C$3:$Q$3)))*(INDEX([3]Sheet1!$C$4:$Q$23,MATCH(K527,[3]Sheet1!$B$4:$B$23,1),MATCH(D527,[3]Sheet1!$C$3:$Q$3,1)+1)-INDEX([3]Sheet1!$C$4:$Q$23,MATCH(K527,[3]Sheet1!$B$4:$B$23,1),MATCH(D527,[3]Sheet1!$C$3:$Q$3,1))))</f>
        <v>0</v>
      </c>
      <c r="M527" cm="1">
        <f t="array" ref="M527" xml:space="preserve"> IF(E527*J527=0,0,(INDEX([2]Sheet1!$C$4:$Q$23,MATCH(K527,[2]Sheet1!$B$4:$B$23,1),MATCH(D527,[2]Sheet1!$C$3:$Q$3,1))
+ (K527 - INDEX([2]Sheet1!$B$4:$B$23,MATCH(K527,[2]Sheet1!$B$4:$B$23,1),1))/(INDEX([2]Sheet1!$B$4:$B$23,MATCH(K527,[2]Sheet1!$B$4:$B$23,1)+1,1) - INDEX([2]Sheet1!$B$4:$B$23,MATCH(K527,[2]Sheet1!$B$4:$B$23,1),1))*(INDEX([2]Sheet1!$C$4:$Q$23,MATCH(K527,[2]Sheet1!$B$4:$B$23,1)+1,MATCH(D527,[2]Sheet1!$C$3:$Q$3,1)) - INDEX([2]Sheet1!$C$4:$Q$23,MATCH(K527,[2]Sheet1!$B$4:$B$23,1),MATCH(D527,[2]Sheet1!$C$3:$Q$3,1)))
+ (D527 - INDEX([2]Sheet1!$C$3:$Q$3,1,MATCH(D527,[2]Sheet1!$C$3:$Q$3)))/(INDEX([2]Sheet1!$C$3:$Q$3,1,MATCH(D527,[2]Sheet1!$C$3:$Q$3)+1) - INDEX([2]Sheet1!$C$3:$Q$3,1,MATCH(D527,[2]Sheet1!$C$3:$Q$3)))*(
INDEX([2]Sheet1!$C$4:$Q$23,MATCH(K527,[2]Sheet1!$B$4:$B$23,1),MATCH(D527,[2]Sheet1!$C$3:$Q$3,1)+1) - INDEX([2]Sheet1!$C$4:$Q$23,MATCH(K527,[2]Sheet1!$B$4:$B$23,1),MATCH(D527,[2]Sheet1!$C$3:$Q$3,1)))))</f>
        <v>0</v>
      </c>
      <c r="N527">
        <f t="shared" si="152"/>
        <v>12</v>
      </c>
      <c r="O527">
        <v>8.5535664109480603E-2</v>
      </c>
      <c r="P527" t="e">
        <f t="shared" si="153"/>
        <v>#DIV/0!</v>
      </c>
      <c r="Q527">
        <f t="shared" si="140"/>
        <v>0</v>
      </c>
      <c r="R527">
        <f t="shared" si="154"/>
        <v>741.9099431943954</v>
      </c>
      <c r="T527" t="e">
        <f t="shared" si="143"/>
        <v>#DIV/0!</v>
      </c>
      <c r="U527" t="e">
        <f t="shared" si="144"/>
        <v>#DIV/0!</v>
      </c>
      <c r="V527">
        <f t="shared" si="145"/>
        <v>0</v>
      </c>
      <c r="W527" t="e">
        <f t="shared" si="141"/>
        <v>#DIV/0!</v>
      </c>
    </row>
    <row r="528" spans="1:23" x14ac:dyDescent="0.55000000000000004">
      <c r="A528">
        <f t="shared" si="142"/>
        <v>49.400000000000432</v>
      </c>
      <c r="B528">
        <f t="shared" si="146"/>
        <v>0.316</v>
      </c>
      <c r="C528">
        <f t="shared" si="147"/>
        <v>-27.217391304348112</v>
      </c>
      <c r="D528">
        <v>2.4285435566409861</v>
      </c>
      <c r="E528">
        <f t="shared" si="137"/>
        <v>0</v>
      </c>
      <c r="F528">
        <f t="shared" si="148"/>
        <v>4.8605058816845369E-2</v>
      </c>
      <c r="G528">
        <f t="shared" si="149"/>
        <v>39.513748498891111</v>
      </c>
      <c r="H528">
        <f t="shared" si="150"/>
        <v>0</v>
      </c>
      <c r="I528" s="1">
        <f t="shared" si="138"/>
        <v>0</v>
      </c>
      <c r="J528">
        <f t="shared" si="151"/>
        <v>0</v>
      </c>
      <c r="K528">
        <f t="shared" si="139"/>
        <v>0</v>
      </c>
      <c r="L528" cm="1">
        <f t="array" ref="L528">IF(E528*J528=0,0,$C$21*INDEX([3]Sheet1!$C$4:$Q$23,MATCH(K528,[3]Sheet1!$B$4:$B$23,1),MATCH(D528,[3]Sheet1!$C$3:$Q$3,1))
+(K528-INDEX([3]Sheet1!$B$4:$B$23,MATCH(K528,[3]Sheet1!$B$4:$B$23,1),1))/(INDEX([3]Sheet1!$B$4:$B$23,MATCH(K528,[3]Sheet1!$B$4:$B$23,1)+1,1)-INDEX([3]Sheet1!$B$4:$B$23,
MATCH(K528,[3]Sheet1!$B$4:$B$23,1),1))*(INDEX([3]Sheet1!$C$4:$Q$23,MATCH(K528,[3]Sheet1!$B$4:$B$23,1)+1,MATCH(D528,[3]Sheet1!$C$3:$Q$3,1))-INDEX([3]Sheet1!$C$4:$Q$23,
MATCH(K528,[3]Sheet1!$B$4:$B$23,1),MATCH(D528,[3]Sheet1!$C$3:$Q$3,1)))
+(D528-INDEX([3]Sheet1!$C$3:$Q$3,1,MATCH(D528,[3]Sheet1!$C$3:$Q$3)))/(INDEX([3]Sheet1!$C$3:$Q$3,1,MATCH(D528,[3]Sheet1!$C$3:$Q$3)+1)-INDEX([3]Sheet1!$C$3:$Q$3,1,MATCH(
D528,[3]Sheet1!$C$3:$Q$3)))*(INDEX([3]Sheet1!$C$4:$Q$23,MATCH(K528,[3]Sheet1!$B$4:$B$23,1),MATCH(D528,[3]Sheet1!$C$3:$Q$3,1)+1)-INDEX([3]Sheet1!$C$4:$Q$23,MATCH(K528,[3]Sheet1!$B$4:$B$23,1),MATCH(D528,[3]Sheet1!$C$3:$Q$3,1))))</f>
        <v>0</v>
      </c>
      <c r="M528" cm="1">
        <f t="array" ref="M528" xml:space="preserve"> IF(E528*J528=0,0,(INDEX([2]Sheet1!$C$4:$Q$23,MATCH(K528,[2]Sheet1!$B$4:$B$23,1),MATCH(D528,[2]Sheet1!$C$3:$Q$3,1))
+ (K528 - INDEX([2]Sheet1!$B$4:$B$23,MATCH(K528,[2]Sheet1!$B$4:$B$23,1),1))/(INDEX([2]Sheet1!$B$4:$B$23,MATCH(K528,[2]Sheet1!$B$4:$B$23,1)+1,1) - INDEX([2]Sheet1!$B$4:$B$23,MATCH(K528,[2]Sheet1!$B$4:$B$23,1),1))*(INDEX([2]Sheet1!$C$4:$Q$23,MATCH(K528,[2]Sheet1!$B$4:$B$23,1)+1,MATCH(D528,[2]Sheet1!$C$3:$Q$3,1)) - INDEX([2]Sheet1!$C$4:$Q$23,MATCH(K528,[2]Sheet1!$B$4:$B$23,1),MATCH(D528,[2]Sheet1!$C$3:$Q$3,1)))
+ (D528 - INDEX([2]Sheet1!$C$3:$Q$3,1,MATCH(D528,[2]Sheet1!$C$3:$Q$3)))/(INDEX([2]Sheet1!$C$3:$Q$3,1,MATCH(D528,[2]Sheet1!$C$3:$Q$3)+1) - INDEX([2]Sheet1!$C$3:$Q$3,1,MATCH(D528,[2]Sheet1!$C$3:$Q$3)))*(
INDEX([2]Sheet1!$C$4:$Q$23,MATCH(K528,[2]Sheet1!$B$4:$B$23,1),MATCH(D528,[2]Sheet1!$C$3:$Q$3,1)+1) - INDEX([2]Sheet1!$C$4:$Q$23,MATCH(K528,[2]Sheet1!$B$4:$B$23,1),MATCH(D528,[2]Sheet1!$C$3:$Q$3,1)))))</f>
        <v>0</v>
      </c>
      <c r="N528">
        <f t="shared" si="152"/>
        <v>12</v>
      </c>
      <c r="O528">
        <v>8.5520971897689146E-2</v>
      </c>
      <c r="P528" t="e">
        <f t="shared" si="153"/>
        <v>#DIV/0!</v>
      </c>
      <c r="Q528">
        <f t="shared" si="140"/>
        <v>0</v>
      </c>
      <c r="R528">
        <f t="shared" si="154"/>
        <v>741.9099431943954</v>
      </c>
      <c r="T528" t="e">
        <f t="shared" si="143"/>
        <v>#DIV/0!</v>
      </c>
      <c r="U528" t="e">
        <f t="shared" si="144"/>
        <v>#DIV/0!</v>
      </c>
      <c r="V528">
        <f t="shared" si="145"/>
        <v>0</v>
      </c>
      <c r="W528" t="e">
        <f t="shared" si="141"/>
        <v>#DIV/0!</v>
      </c>
    </row>
    <row r="529" spans="1:23" x14ac:dyDescent="0.55000000000000004">
      <c r="A529">
        <f t="shared" si="142"/>
        <v>49.500000000000433</v>
      </c>
      <c r="B529">
        <f t="shared" si="146"/>
        <v>0.316</v>
      </c>
      <c r="C529">
        <f t="shared" si="147"/>
        <v>-27.282608695652463</v>
      </c>
      <c r="D529">
        <v>2.4284684419112899</v>
      </c>
      <c r="E529">
        <f t="shared" si="137"/>
        <v>0</v>
      </c>
      <c r="F529">
        <f t="shared" si="148"/>
        <v>4.8605058816845369E-2</v>
      </c>
      <c r="G529">
        <f t="shared" si="149"/>
        <v>39.513748498891111</v>
      </c>
      <c r="H529">
        <f t="shared" si="150"/>
        <v>0</v>
      </c>
      <c r="I529" s="1">
        <f t="shared" si="138"/>
        <v>0</v>
      </c>
      <c r="J529">
        <f t="shared" si="151"/>
        <v>0</v>
      </c>
      <c r="K529">
        <f t="shared" si="139"/>
        <v>0</v>
      </c>
      <c r="L529" cm="1">
        <f t="array" ref="L529">IF(E529*J529=0,0,$C$21*INDEX([3]Sheet1!$C$4:$Q$23,MATCH(K529,[3]Sheet1!$B$4:$B$23,1),MATCH(D529,[3]Sheet1!$C$3:$Q$3,1))
+(K529-INDEX([3]Sheet1!$B$4:$B$23,MATCH(K529,[3]Sheet1!$B$4:$B$23,1),1))/(INDEX([3]Sheet1!$B$4:$B$23,MATCH(K529,[3]Sheet1!$B$4:$B$23,1)+1,1)-INDEX([3]Sheet1!$B$4:$B$23,
MATCH(K529,[3]Sheet1!$B$4:$B$23,1),1))*(INDEX([3]Sheet1!$C$4:$Q$23,MATCH(K529,[3]Sheet1!$B$4:$B$23,1)+1,MATCH(D529,[3]Sheet1!$C$3:$Q$3,1))-INDEX([3]Sheet1!$C$4:$Q$23,
MATCH(K529,[3]Sheet1!$B$4:$B$23,1),MATCH(D529,[3]Sheet1!$C$3:$Q$3,1)))
+(D529-INDEX([3]Sheet1!$C$3:$Q$3,1,MATCH(D529,[3]Sheet1!$C$3:$Q$3)))/(INDEX([3]Sheet1!$C$3:$Q$3,1,MATCH(D529,[3]Sheet1!$C$3:$Q$3)+1)-INDEX([3]Sheet1!$C$3:$Q$3,1,MATCH(
D529,[3]Sheet1!$C$3:$Q$3)))*(INDEX([3]Sheet1!$C$4:$Q$23,MATCH(K529,[3]Sheet1!$B$4:$B$23,1),MATCH(D529,[3]Sheet1!$C$3:$Q$3,1)+1)-INDEX([3]Sheet1!$C$4:$Q$23,MATCH(K529,[3]Sheet1!$B$4:$B$23,1),MATCH(D529,[3]Sheet1!$C$3:$Q$3,1))))</f>
        <v>0</v>
      </c>
      <c r="M529" cm="1">
        <f t="array" ref="M529" xml:space="preserve"> IF(E529*J529=0,0,(INDEX([2]Sheet1!$C$4:$Q$23,MATCH(K529,[2]Sheet1!$B$4:$B$23,1),MATCH(D529,[2]Sheet1!$C$3:$Q$3,1))
+ (K529 - INDEX([2]Sheet1!$B$4:$B$23,MATCH(K529,[2]Sheet1!$B$4:$B$23,1),1))/(INDEX([2]Sheet1!$B$4:$B$23,MATCH(K529,[2]Sheet1!$B$4:$B$23,1)+1,1) - INDEX([2]Sheet1!$B$4:$B$23,MATCH(K529,[2]Sheet1!$B$4:$B$23,1),1))*(INDEX([2]Sheet1!$C$4:$Q$23,MATCH(K529,[2]Sheet1!$B$4:$B$23,1)+1,MATCH(D529,[2]Sheet1!$C$3:$Q$3,1)) - INDEX([2]Sheet1!$C$4:$Q$23,MATCH(K529,[2]Sheet1!$B$4:$B$23,1),MATCH(D529,[2]Sheet1!$C$3:$Q$3,1)))
+ (D529 - INDEX([2]Sheet1!$C$3:$Q$3,1,MATCH(D529,[2]Sheet1!$C$3:$Q$3)))/(INDEX([2]Sheet1!$C$3:$Q$3,1,MATCH(D529,[2]Sheet1!$C$3:$Q$3)+1) - INDEX([2]Sheet1!$C$3:$Q$3,1,MATCH(D529,[2]Sheet1!$C$3:$Q$3)))*(
INDEX([2]Sheet1!$C$4:$Q$23,MATCH(K529,[2]Sheet1!$B$4:$B$23,1),MATCH(D529,[2]Sheet1!$C$3:$Q$3,1)+1) - INDEX([2]Sheet1!$C$4:$Q$23,MATCH(K529,[2]Sheet1!$B$4:$B$23,1),MATCH(D529,[2]Sheet1!$C$3:$Q$3,1)))))</f>
        <v>0</v>
      </c>
      <c r="N529">
        <f t="shared" si="152"/>
        <v>12</v>
      </c>
      <c r="O529">
        <v>8.5506302316080224E-2</v>
      </c>
      <c r="P529" t="e">
        <f t="shared" si="153"/>
        <v>#DIV/0!</v>
      </c>
      <c r="Q529">
        <f t="shared" si="140"/>
        <v>0</v>
      </c>
      <c r="R529">
        <f t="shared" si="154"/>
        <v>741.9099431943954</v>
      </c>
      <c r="T529" t="e">
        <f t="shared" si="143"/>
        <v>#DIV/0!</v>
      </c>
      <c r="U529" t="e">
        <f t="shared" si="144"/>
        <v>#DIV/0!</v>
      </c>
      <c r="V529">
        <f t="shared" si="145"/>
        <v>0</v>
      </c>
      <c r="W529" t="e">
        <f t="shared" si="141"/>
        <v>#DIV/0!</v>
      </c>
    </row>
    <row r="530" spans="1:23" x14ac:dyDescent="0.55000000000000004">
      <c r="A530">
        <f t="shared" si="142"/>
        <v>49.600000000000435</v>
      </c>
      <c r="B530">
        <f t="shared" si="146"/>
        <v>0.316</v>
      </c>
      <c r="C530">
        <f t="shared" si="147"/>
        <v>-27.347826086956808</v>
      </c>
      <c r="D530">
        <v>2.4283934298390499</v>
      </c>
      <c r="E530">
        <f t="shared" si="137"/>
        <v>0</v>
      </c>
      <c r="F530">
        <f t="shared" si="148"/>
        <v>4.8605058816845369E-2</v>
      </c>
      <c r="G530">
        <f t="shared" si="149"/>
        <v>39.513748498891111</v>
      </c>
      <c r="H530">
        <f t="shared" si="150"/>
        <v>0</v>
      </c>
      <c r="I530" s="1">
        <f t="shared" si="138"/>
        <v>0</v>
      </c>
      <c r="J530">
        <f t="shared" si="151"/>
        <v>0</v>
      </c>
      <c r="K530">
        <f t="shared" si="139"/>
        <v>0</v>
      </c>
      <c r="L530" cm="1">
        <f t="array" ref="L530">IF(E530*J530=0,0,$C$21*INDEX([3]Sheet1!$C$4:$Q$23,MATCH(K530,[3]Sheet1!$B$4:$B$23,1),MATCH(D530,[3]Sheet1!$C$3:$Q$3,1))
+(K530-INDEX([3]Sheet1!$B$4:$B$23,MATCH(K530,[3]Sheet1!$B$4:$B$23,1),1))/(INDEX([3]Sheet1!$B$4:$B$23,MATCH(K530,[3]Sheet1!$B$4:$B$23,1)+1,1)-INDEX([3]Sheet1!$B$4:$B$23,
MATCH(K530,[3]Sheet1!$B$4:$B$23,1),1))*(INDEX([3]Sheet1!$C$4:$Q$23,MATCH(K530,[3]Sheet1!$B$4:$B$23,1)+1,MATCH(D530,[3]Sheet1!$C$3:$Q$3,1))-INDEX([3]Sheet1!$C$4:$Q$23,
MATCH(K530,[3]Sheet1!$B$4:$B$23,1),MATCH(D530,[3]Sheet1!$C$3:$Q$3,1)))
+(D530-INDEX([3]Sheet1!$C$3:$Q$3,1,MATCH(D530,[3]Sheet1!$C$3:$Q$3)))/(INDEX([3]Sheet1!$C$3:$Q$3,1,MATCH(D530,[3]Sheet1!$C$3:$Q$3)+1)-INDEX([3]Sheet1!$C$3:$Q$3,1,MATCH(
D530,[3]Sheet1!$C$3:$Q$3)))*(INDEX([3]Sheet1!$C$4:$Q$23,MATCH(K530,[3]Sheet1!$B$4:$B$23,1),MATCH(D530,[3]Sheet1!$C$3:$Q$3,1)+1)-INDEX([3]Sheet1!$C$4:$Q$23,MATCH(K530,[3]Sheet1!$B$4:$B$23,1),MATCH(D530,[3]Sheet1!$C$3:$Q$3,1))))</f>
        <v>0</v>
      </c>
      <c r="M530" cm="1">
        <f t="array" ref="M530" xml:space="preserve"> IF(E530*J530=0,0,(INDEX([2]Sheet1!$C$4:$Q$23,MATCH(K530,[2]Sheet1!$B$4:$B$23,1),MATCH(D530,[2]Sheet1!$C$3:$Q$3,1))
+ (K530 - INDEX([2]Sheet1!$B$4:$B$23,MATCH(K530,[2]Sheet1!$B$4:$B$23,1),1))/(INDEX([2]Sheet1!$B$4:$B$23,MATCH(K530,[2]Sheet1!$B$4:$B$23,1)+1,1) - INDEX([2]Sheet1!$B$4:$B$23,MATCH(K530,[2]Sheet1!$B$4:$B$23,1),1))*(INDEX([2]Sheet1!$C$4:$Q$23,MATCH(K530,[2]Sheet1!$B$4:$B$23,1)+1,MATCH(D530,[2]Sheet1!$C$3:$Q$3,1)) - INDEX([2]Sheet1!$C$4:$Q$23,MATCH(K530,[2]Sheet1!$B$4:$B$23,1),MATCH(D530,[2]Sheet1!$C$3:$Q$3,1)))
+ (D530 - INDEX([2]Sheet1!$C$3:$Q$3,1,MATCH(D530,[2]Sheet1!$C$3:$Q$3)))/(INDEX([2]Sheet1!$C$3:$Q$3,1,MATCH(D530,[2]Sheet1!$C$3:$Q$3)+1) - INDEX([2]Sheet1!$C$3:$Q$3,1,MATCH(D530,[2]Sheet1!$C$3:$Q$3)))*(
INDEX([2]Sheet1!$C$4:$Q$23,MATCH(K530,[2]Sheet1!$B$4:$B$23,1),MATCH(D530,[2]Sheet1!$C$3:$Q$3,1)+1) - INDEX([2]Sheet1!$C$4:$Q$23,MATCH(K530,[2]Sheet1!$B$4:$B$23,1),MATCH(D530,[2]Sheet1!$C$3:$Q$3,1)))))</f>
        <v>0</v>
      </c>
      <c r="N530">
        <f t="shared" si="152"/>
        <v>12</v>
      </c>
      <c r="O530">
        <v>8.5491655297080762E-2</v>
      </c>
      <c r="P530" t="e">
        <f t="shared" si="153"/>
        <v>#DIV/0!</v>
      </c>
      <c r="Q530">
        <f t="shared" si="140"/>
        <v>0</v>
      </c>
      <c r="R530">
        <f t="shared" si="154"/>
        <v>741.9099431943954</v>
      </c>
      <c r="T530" t="e">
        <f t="shared" si="143"/>
        <v>#DIV/0!</v>
      </c>
      <c r="U530" t="e">
        <f t="shared" si="144"/>
        <v>#DIV/0!</v>
      </c>
      <c r="V530">
        <f t="shared" si="145"/>
        <v>0</v>
      </c>
      <c r="W530" t="e">
        <f t="shared" si="141"/>
        <v>#DIV/0!</v>
      </c>
    </row>
    <row r="531" spans="1:23" x14ac:dyDescent="0.55000000000000004">
      <c r="A531">
        <f t="shared" si="142"/>
        <v>49.700000000000436</v>
      </c>
      <c r="B531">
        <f t="shared" si="146"/>
        <v>0.316</v>
      </c>
      <c r="C531">
        <f t="shared" si="147"/>
        <v>-27.413043478261152</v>
      </c>
      <c r="D531">
        <v>2.4283185201338675</v>
      </c>
      <c r="E531">
        <f t="shared" si="137"/>
        <v>0</v>
      </c>
      <c r="F531">
        <f t="shared" si="148"/>
        <v>4.8605058816845369E-2</v>
      </c>
      <c r="G531">
        <f t="shared" si="149"/>
        <v>39.513748498891111</v>
      </c>
      <c r="H531">
        <f t="shared" si="150"/>
        <v>0</v>
      </c>
      <c r="I531" s="1">
        <f t="shared" si="138"/>
        <v>0</v>
      </c>
      <c r="J531">
        <f t="shared" si="151"/>
        <v>0</v>
      </c>
      <c r="K531">
        <f t="shared" si="139"/>
        <v>0</v>
      </c>
      <c r="L531" cm="1">
        <f t="array" ref="L531">IF(E531*J531=0,0,$C$21*INDEX([3]Sheet1!$C$4:$Q$23,MATCH(K531,[3]Sheet1!$B$4:$B$23,1),MATCH(D531,[3]Sheet1!$C$3:$Q$3,1))
+(K531-INDEX([3]Sheet1!$B$4:$B$23,MATCH(K531,[3]Sheet1!$B$4:$B$23,1),1))/(INDEX([3]Sheet1!$B$4:$B$23,MATCH(K531,[3]Sheet1!$B$4:$B$23,1)+1,1)-INDEX([3]Sheet1!$B$4:$B$23,
MATCH(K531,[3]Sheet1!$B$4:$B$23,1),1))*(INDEX([3]Sheet1!$C$4:$Q$23,MATCH(K531,[3]Sheet1!$B$4:$B$23,1)+1,MATCH(D531,[3]Sheet1!$C$3:$Q$3,1))-INDEX([3]Sheet1!$C$4:$Q$23,
MATCH(K531,[3]Sheet1!$B$4:$B$23,1),MATCH(D531,[3]Sheet1!$C$3:$Q$3,1)))
+(D531-INDEX([3]Sheet1!$C$3:$Q$3,1,MATCH(D531,[3]Sheet1!$C$3:$Q$3)))/(INDEX([3]Sheet1!$C$3:$Q$3,1,MATCH(D531,[3]Sheet1!$C$3:$Q$3)+1)-INDEX([3]Sheet1!$C$3:$Q$3,1,MATCH(
D531,[3]Sheet1!$C$3:$Q$3)))*(INDEX([3]Sheet1!$C$4:$Q$23,MATCH(K531,[3]Sheet1!$B$4:$B$23,1),MATCH(D531,[3]Sheet1!$C$3:$Q$3,1)+1)-INDEX([3]Sheet1!$C$4:$Q$23,MATCH(K531,[3]Sheet1!$B$4:$B$23,1),MATCH(D531,[3]Sheet1!$C$3:$Q$3,1))))</f>
        <v>0</v>
      </c>
      <c r="M531" cm="1">
        <f t="array" ref="M531" xml:space="preserve"> IF(E531*J531=0,0,(INDEX([2]Sheet1!$C$4:$Q$23,MATCH(K531,[2]Sheet1!$B$4:$B$23,1),MATCH(D531,[2]Sheet1!$C$3:$Q$3,1))
+ (K531 - INDEX([2]Sheet1!$B$4:$B$23,MATCH(K531,[2]Sheet1!$B$4:$B$23,1),1))/(INDEX([2]Sheet1!$B$4:$B$23,MATCH(K531,[2]Sheet1!$B$4:$B$23,1)+1,1) - INDEX([2]Sheet1!$B$4:$B$23,MATCH(K531,[2]Sheet1!$B$4:$B$23,1),1))*(INDEX([2]Sheet1!$C$4:$Q$23,MATCH(K531,[2]Sheet1!$B$4:$B$23,1)+1,MATCH(D531,[2]Sheet1!$C$3:$Q$3,1)) - INDEX([2]Sheet1!$C$4:$Q$23,MATCH(K531,[2]Sheet1!$B$4:$B$23,1),MATCH(D531,[2]Sheet1!$C$3:$Q$3,1)))
+ (D531 - INDEX([2]Sheet1!$C$3:$Q$3,1,MATCH(D531,[2]Sheet1!$C$3:$Q$3)))/(INDEX([2]Sheet1!$C$3:$Q$3,1,MATCH(D531,[2]Sheet1!$C$3:$Q$3)+1) - INDEX([2]Sheet1!$C$3:$Q$3,1,MATCH(D531,[2]Sheet1!$C$3:$Q$3)))*(
INDEX([2]Sheet1!$C$4:$Q$23,MATCH(K531,[2]Sheet1!$B$4:$B$23,1),MATCH(D531,[2]Sheet1!$C$3:$Q$3,1)+1) - INDEX([2]Sheet1!$C$4:$Q$23,MATCH(K531,[2]Sheet1!$B$4:$B$23,1),MATCH(D531,[2]Sheet1!$C$3:$Q$3,1)))))</f>
        <v>0</v>
      </c>
      <c r="N531">
        <f t="shared" si="152"/>
        <v>12</v>
      </c>
      <c r="O531">
        <v>8.5477030773416271E-2</v>
      </c>
      <c r="P531" t="e">
        <f t="shared" si="153"/>
        <v>#DIV/0!</v>
      </c>
      <c r="Q531">
        <f t="shared" si="140"/>
        <v>0</v>
      </c>
      <c r="R531">
        <f t="shared" si="154"/>
        <v>741.9099431943954</v>
      </c>
      <c r="T531" t="e">
        <f t="shared" si="143"/>
        <v>#DIV/0!</v>
      </c>
      <c r="U531" t="e">
        <f t="shared" si="144"/>
        <v>#DIV/0!</v>
      </c>
      <c r="V531">
        <f t="shared" si="145"/>
        <v>0</v>
      </c>
      <c r="W531" t="e">
        <f t="shared" si="141"/>
        <v>#DIV/0!</v>
      </c>
    </row>
    <row r="532" spans="1:23" x14ac:dyDescent="0.55000000000000004">
      <c r="A532">
        <f t="shared" si="142"/>
        <v>49.800000000000438</v>
      </c>
      <c r="B532">
        <f t="shared" si="146"/>
        <v>0.316</v>
      </c>
      <c r="C532">
        <f t="shared" si="147"/>
        <v>-27.478260869565503</v>
      </c>
      <c r="D532">
        <v>2.4282437125065846</v>
      </c>
      <c r="E532">
        <f t="shared" si="137"/>
        <v>0</v>
      </c>
      <c r="F532">
        <f t="shared" si="148"/>
        <v>4.8605058816845369E-2</v>
      </c>
      <c r="G532">
        <f t="shared" si="149"/>
        <v>39.513748498891111</v>
      </c>
      <c r="H532">
        <f t="shared" si="150"/>
        <v>0</v>
      </c>
      <c r="I532" s="1">
        <f t="shared" si="138"/>
        <v>0</v>
      </c>
      <c r="J532">
        <f t="shared" si="151"/>
        <v>0</v>
      </c>
      <c r="K532">
        <f t="shared" si="139"/>
        <v>0</v>
      </c>
      <c r="L532" cm="1">
        <f t="array" ref="L532">IF(E532*J532=0,0,$C$21*INDEX([3]Sheet1!$C$4:$Q$23,MATCH(K532,[3]Sheet1!$B$4:$B$23,1),MATCH(D532,[3]Sheet1!$C$3:$Q$3,1))
+(K532-INDEX([3]Sheet1!$B$4:$B$23,MATCH(K532,[3]Sheet1!$B$4:$B$23,1),1))/(INDEX([3]Sheet1!$B$4:$B$23,MATCH(K532,[3]Sheet1!$B$4:$B$23,1)+1,1)-INDEX([3]Sheet1!$B$4:$B$23,
MATCH(K532,[3]Sheet1!$B$4:$B$23,1),1))*(INDEX([3]Sheet1!$C$4:$Q$23,MATCH(K532,[3]Sheet1!$B$4:$B$23,1)+1,MATCH(D532,[3]Sheet1!$C$3:$Q$3,1))-INDEX([3]Sheet1!$C$4:$Q$23,
MATCH(K532,[3]Sheet1!$B$4:$B$23,1),MATCH(D532,[3]Sheet1!$C$3:$Q$3,1)))
+(D532-INDEX([3]Sheet1!$C$3:$Q$3,1,MATCH(D532,[3]Sheet1!$C$3:$Q$3)))/(INDEX([3]Sheet1!$C$3:$Q$3,1,MATCH(D532,[3]Sheet1!$C$3:$Q$3)+1)-INDEX([3]Sheet1!$C$3:$Q$3,1,MATCH(
D532,[3]Sheet1!$C$3:$Q$3)))*(INDEX([3]Sheet1!$C$4:$Q$23,MATCH(K532,[3]Sheet1!$B$4:$B$23,1),MATCH(D532,[3]Sheet1!$C$3:$Q$3,1)+1)-INDEX([3]Sheet1!$C$4:$Q$23,MATCH(K532,[3]Sheet1!$B$4:$B$23,1),MATCH(D532,[3]Sheet1!$C$3:$Q$3,1))))</f>
        <v>0</v>
      </c>
      <c r="M532" cm="1">
        <f t="array" ref="M532" xml:space="preserve"> IF(E532*J532=0,0,(INDEX([2]Sheet1!$C$4:$Q$23,MATCH(K532,[2]Sheet1!$B$4:$B$23,1),MATCH(D532,[2]Sheet1!$C$3:$Q$3,1))
+ (K532 - INDEX([2]Sheet1!$B$4:$B$23,MATCH(K532,[2]Sheet1!$B$4:$B$23,1),1))/(INDEX([2]Sheet1!$B$4:$B$23,MATCH(K532,[2]Sheet1!$B$4:$B$23,1)+1,1) - INDEX([2]Sheet1!$B$4:$B$23,MATCH(K532,[2]Sheet1!$B$4:$B$23,1),1))*(INDEX([2]Sheet1!$C$4:$Q$23,MATCH(K532,[2]Sheet1!$B$4:$B$23,1)+1,MATCH(D532,[2]Sheet1!$C$3:$Q$3,1)) - INDEX([2]Sheet1!$C$4:$Q$23,MATCH(K532,[2]Sheet1!$B$4:$B$23,1),MATCH(D532,[2]Sheet1!$C$3:$Q$3,1)))
+ (D532 - INDEX([2]Sheet1!$C$3:$Q$3,1,MATCH(D532,[2]Sheet1!$C$3:$Q$3)))/(INDEX([2]Sheet1!$C$3:$Q$3,1,MATCH(D532,[2]Sheet1!$C$3:$Q$3)+1) - INDEX([2]Sheet1!$C$3:$Q$3,1,MATCH(D532,[2]Sheet1!$C$3:$Q$3)))*(
INDEX([2]Sheet1!$C$4:$Q$23,MATCH(K532,[2]Sheet1!$B$4:$B$23,1),MATCH(D532,[2]Sheet1!$C$3:$Q$3,1)+1) - INDEX([2]Sheet1!$C$4:$Q$23,MATCH(K532,[2]Sheet1!$B$4:$B$23,1),MATCH(D532,[2]Sheet1!$C$3:$Q$3,1)))))</f>
        <v>0</v>
      </c>
      <c r="N532">
        <f t="shared" si="152"/>
        <v>12</v>
      </c>
      <c r="O532">
        <v>8.5462428678110047E-2</v>
      </c>
      <c r="P532" t="e">
        <f t="shared" si="153"/>
        <v>#DIV/0!</v>
      </c>
      <c r="Q532">
        <f t="shared" si="140"/>
        <v>0</v>
      </c>
      <c r="R532">
        <f t="shared" si="154"/>
        <v>741.9099431943954</v>
      </c>
      <c r="T532" t="e">
        <f t="shared" si="143"/>
        <v>#DIV/0!</v>
      </c>
      <c r="U532" t="e">
        <f t="shared" si="144"/>
        <v>#DIV/0!</v>
      </c>
      <c r="V532">
        <f t="shared" si="145"/>
        <v>0</v>
      </c>
      <c r="W532" t="e">
        <f t="shared" si="141"/>
        <v>#DIV/0!</v>
      </c>
    </row>
    <row r="533" spans="1:23" x14ac:dyDescent="0.55000000000000004">
      <c r="A533">
        <f t="shared" si="142"/>
        <v>49.900000000000439</v>
      </c>
      <c r="B533">
        <f t="shared" si="146"/>
        <v>0.316</v>
      </c>
      <c r="C533">
        <f t="shared" si="147"/>
        <v>-27.543478260869854</v>
      </c>
      <c r="D533">
        <v>2.4281690066692754</v>
      </c>
      <c r="E533">
        <f t="shared" si="137"/>
        <v>0</v>
      </c>
      <c r="F533">
        <f t="shared" si="148"/>
        <v>4.8605058816845369E-2</v>
      </c>
      <c r="G533">
        <f t="shared" si="149"/>
        <v>39.513748498891111</v>
      </c>
      <c r="H533">
        <f t="shared" si="150"/>
        <v>0</v>
      </c>
      <c r="I533" s="1">
        <f t="shared" si="138"/>
        <v>0</v>
      </c>
      <c r="J533">
        <f t="shared" si="151"/>
        <v>0</v>
      </c>
      <c r="K533">
        <f t="shared" si="139"/>
        <v>0</v>
      </c>
      <c r="L533" cm="1">
        <f t="array" ref="L533">IF(E533*J533=0,0,$C$21*INDEX([3]Sheet1!$C$4:$Q$23,MATCH(K533,[3]Sheet1!$B$4:$B$23,1),MATCH(D533,[3]Sheet1!$C$3:$Q$3,1))
+(K533-INDEX([3]Sheet1!$B$4:$B$23,MATCH(K533,[3]Sheet1!$B$4:$B$23,1),1))/(INDEX([3]Sheet1!$B$4:$B$23,MATCH(K533,[3]Sheet1!$B$4:$B$23,1)+1,1)-INDEX([3]Sheet1!$B$4:$B$23,
MATCH(K533,[3]Sheet1!$B$4:$B$23,1),1))*(INDEX([3]Sheet1!$C$4:$Q$23,MATCH(K533,[3]Sheet1!$B$4:$B$23,1)+1,MATCH(D533,[3]Sheet1!$C$3:$Q$3,1))-INDEX([3]Sheet1!$C$4:$Q$23,
MATCH(K533,[3]Sheet1!$B$4:$B$23,1),MATCH(D533,[3]Sheet1!$C$3:$Q$3,1)))
+(D533-INDEX([3]Sheet1!$C$3:$Q$3,1,MATCH(D533,[3]Sheet1!$C$3:$Q$3)))/(INDEX([3]Sheet1!$C$3:$Q$3,1,MATCH(D533,[3]Sheet1!$C$3:$Q$3)+1)-INDEX([3]Sheet1!$C$3:$Q$3,1,MATCH(
D533,[3]Sheet1!$C$3:$Q$3)))*(INDEX([3]Sheet1!$C$4:$Q$23,MATCH(K533,[3]Sheet1!$B$4:$B$23,1),MATCH(D533,[3]Sheet1!$C$3:$Q$3,1)+1)-INDEX([3]Sheet1!$C$4:$Q$23,MATCH(K533,[3]Sheet1!$B$4:$B$23,1),MATCH(D533,[3]Sheet1!$C$3:$Q$3,1))))</f>
        <v>0</v>
      </c>
      <c r="M533" cm="1">
        <f t="array" ref="M533" xml:space="preserve"> IF(E533*J533=0,0,(INDEX([2]Sheet1!$C$4:$Q$23,MATCH(K533,[2]Sheet1!$B$4:$B$23,1),MATCH(D533,[2]Sheet1!$C$3:$Q$3,1))
+ (K533 - INDEX([2]Sheet1!$B$4:$B$23,MATCH(K533,[2]Sheet1!$B$4:$B$23,1),1))/(INDEX([2]Sheet1!$B$4:$B$23,MATCH(K533,[2]Sheet1!$B$4:$B$23,1)+1,1) - INDEX([2]Sheet1!$B$4:$B$23,MATCH(K533,[2]Sheet1!$B$4:$B$23,1),1))*(INDEX([2]Sheet1!$C$4:$Q$23,MATCH(K533,[2]Sheet1!$B$4:$B$23,1)+1,MATCH(D533,[2]Sheet1!$C$3:$Q$3,1)) - INDEX([2]Sheet1!$C$4:$Q$23,MATCH(K533,[2]Sheet1!$B$4:$B$23,1),MATCH(D533,[2]Sheet1!$C$3:$Q$3,1)))
+ (D533 - INDEX([2]Sheet1!$C$3:$Q$3,1,MATCH(D533,[2]Sheet1!$C$3:$Q$3)))/(INDEX([2]Sheet1!$C$3:$Q$3,1,MATCH(D533,[2]Sheet1!$C$3:$Q$3)+1) - INDEX([2]Sheet1!$C$3:$Q$3,1,MATCH(D533,[2]Sheet1!$C$3:$Q$3)))*(
INDEX([2]Sheet1!$C$4:$Q$23,MATCH(K533,[2]Sheet1!$B$4:$B$23,1),MATCH(D533,[2]Sheet1!$C$3:$Q$3,1)+1) - INDEX([2]Sheet1!$C$4:$Q$23,MATCH(K533,[2]Sheet1!$B$4:$B$23,1),MATCH(D533,[2]Sheet1!$C$3:$Q$3,1)))))</f>
        <v>0</v>
      </c>
      <c r="N533">
        <f t="shared" si="152"/>
        <v>12</v>
      </c>
      <c r="O533">
        <v>8.5447848944482596E-2</v>
      </c>
      <c r="P533" t="e">
        <f t="shared" si="153"/>
        <v>#DIV/0!</v>
      </c>
      <c r="Q533">
        <f t="shared" si="140"/>
        <v>0</v>
      </c>
      <c r="R533">
        <f t="shared" si="154"/>
        <v>741.9099431943954</v>
      </c>
      <c r="T533" t="e">
        <f t="shared" si="143"/>
        <v>#DIV/0!</v>
      </c>
      <c r="U533" t="e">
        <f t="shared" si="144"/>
        <v>#DIV/0!</v>
      </c>
      <c r="V533">
        <f t="shared" si="145"/>
        <v>0</v>
      </c>
      <c r="W533" t="e">
        <f t="shared" si="141"/>
        <v>#DIV/0!</v>
      </c>
    </row>
    <row r="534" spans="1:23" x14ac:dyDescent="0.55000000000000004">
      <c r="A534">
        <f t="shared" si="142"/>
        <v>50.000000000000441</v>
      </c>
      <c r="B534">
        <f t="shared" si="146"/>
        <v>0.316</v>
      </c>
      <c r="C534">
        <f t="shared" si="147"/>
        <v>-27.608695652174198</v>
      </c>
      <c r="D534">
        <v>2.4280944023352391</v>
      </c>
      <c r="E534">
        <f t="shared" si="137"/>
        <v>0</v>
      </c>
      <c r="F534">
        <f t="shared" si="148"/>
        <v>4.8605058816845369E-2</v>
      </c>
      <c r="G534">
        <f t="shared" si="149"/>
        <v>39.513748498891111</v>
      </c>
      <c r="H534">
        <f t="shared" si="150"/>
        <v>0</v>
      </c>
      <c r="I534" s="1">
        <f t="shared" si="138"/>
        <v>0</v>
      </c>
      <c r="J534">
        <f t="shared" si="151"/>
        <v>0</v>
      </c>
      <c r="K534">
        <f t="shared" si="139"/>
        <v>0</v>
      </c>
      <c r="L534" cm="1">
        <f t="array" ref="L534">IF(E534*J534=0,0,$C$21*INDEX([3]Sheet1!$C$4:$Q$23,MATCH(K534,[3]Sheet1!$B$4:$B$23,1),MATCH(D534,[3]Sheet1!$C$3:$Q$3,1))
+(K534-INDEX([3]Sheet1!$B$4:$B$23,MATCH(K534,[3]Sheet1!$B$4:$B$23,1),1))/(INDEX([3]Sheet1!$B$4:$B$23,MATCH(K534,[3]Sheet1!$B$4:$B$23,1)+1,1)-INDEX([3]Sheet1!$B$4:$B$23,
MATCH(K534,[3]Sheet1!$B$4:$B$23,1),1))*(INDEX([3]Sheet1!$C$4:$Q$23,MATCH(K534,[3]Sheet1!$B$4:$B$23,1)+1,MATCH(D534,[3]Sheet1!$C$3:$Q$3,1))-INDEX([3]Sheet1!$C$4:$Q$23,
MATCH(K534,[3]Sheet1!$B$4:$B$23,1),MATCH(D534,[3]Sheet1!$C$3:$Q$3,1)))
+(D534-INDEX([3]Sheet1!$C$3:$Q$3,1,MATCH(D534,[3]Sheet1!$C$3:$Q$3)))/(INDEX([3]Sheet1!$C$3:$Q$3,1,MATCH(D534,[3]Sheet1!$C$3:$Q$3)+1)-INDEX([3]Sheet1!$C$3:$Q$3,1,MATCH(
D534,[3]Sheet1!$C$3:$Q$3)))*(INDEX([3]Sheet1!$C$4:$Q$23,MATCH(K534,[3]Sheet1!$B$4:$B$23,1),MATCH(D534,[3]Sheet1!$C$3:$Q$3,1)+1)-INDEX([3]Sheet1!$C$4:$Q$23,MATCH(K534,[3]Sheet1!$B$4:$B$23,1),MATCH(D534,[3]Sheet1!$C$3:$Q$3,1))))</f>
        <v>0</v>
      </c>
      <c r="M534" cm="1">
        <f t="array" ref="M534" xml:space="preserve"> IF(E534*J534=0,0,(INDEX([2]Sheet1!$C$4:$Q$23,MATCH(K534,[2]Sheet1!$B$4:$B$23,1),MATCH(D534,[2]Sheet1!$C$3:$Q$3,1))
+ (K534 - INDEX([2]Sheet1!$B$4:$B$23,MATCH(K534,[2]Sheet1!$B$4:$B$23,1),1))/(INDEX([2]Sheet1!$B$4:$B$23,MATCH(K534,[2]Sheet1!$B$4:$B$23,1)+1,1) - INDEX([2]Sheet1!$B$4:$B$23,MATCH(K534,[2]Sheet1!$B$4:$B$23,1),1))*(INDEX([2]Sheet1!$C$4:$Q$23,MATCH(K534,[2]Sheet1!$B$4:$B$23,1)+1,MATCH(D534,[2]Sheet1!$C$3:$Q$3,1)) - INDEX([2]Sheet1!$C$4:$Q$23,MATCH(K534,[2]Sheet1!$B$4:$B$23,1),MATCH(D534,[2]Sheet1!$C$3:$Q$3,1)))
+ (D534 - INDEX([2]Sheet1!$C$3:$Q$3,1,MATCH(D534,[2]Sheet1!$C$3:$Q$3)))/(INDEX([2]Sheet1!$C$3:$Q$3,1,MATCH(D534,[2]Sheet1!$C$3:$Q$3)+1) - INDEX([2]Sheet1!$C$3:$Q$3,1,MATCH(D534,[2]Sheet1!$C$3:$Q$3)))*(
INDEX([2]Sheet1!$C$4:$Q$23,MATCH(K534,[2]Sheet1!$B$4:$B$23,1),MATCH(D534,[2]Sheet1!$C$3:$Q$3,1)+1) - INDEX([2]Sheet1!$C$4:$Q$23,MATCH(K534,[2]Sheet1!$B$4:$B$23,1),MATCH(D534,[2]Sheet1!$C$3:$Q$3,1)))))</f>
        <v>0</v>
      </c>
      <c r="N534">
        <f t="shared" si="152"/>
        <v>12</v>
      </c>
      <c r="O534">
        <v>8.5433291506147369E-2</v>
      </c>
      <c r="P534" t="e">
        <f t="shared" si="153"/>
        <v>#DIV/0!</v>
      </c>
      <c r="Q534">
        <f t="shared" si="140"/>
        <v>0</v>
      </c>
      <c r="R534">
        <f t="shared" si="154"/>
        <v>741.9099431943954</v>
      </c>
      <c r="T534" t="e">
        <f t="shared" si="143"/>
        <v>#DIV/0!</v>
      </c>
      <c r="U534" t="e">
        <f t="shared" si="144"/>
        <v>#DIV/0!</v>
      </c>
      <c r="V534">
        <f t="shared" si="145"/>
        <v>0</v>
      </c>
      <c r="W534" t="e">
        <f t="shared" si="141"/>
        <v>#DIV/0!</v>
      </c>
    </row>
    <row r="535" spans="1:23" x14ac:dyDescent="0.55000000000000004">
      <c r="A535">
        <f t="shared" si="142"/>
        <v>50.100000000000442</v>
      </c>
      <c r="B535">
        <f t="shared" si="146"/>
        <v>0.316</v>
      </c>
      <c r="C535">
        <f t="shared" si="147"/>
        <v>-27.673913043478549</v>
      </c>
      <c r="D535">
        <v>2.4280198992189943</v>
      </c>
      <c r="E535">
        <f t="shared" si="137"/>
        <v>0</v>
      </c>
      <c r="F535">
        <f t="shared" si="148"/>
        <v>4.8605058816845369E-2</v>
      </c>
      <c r="G535">
        <f t="shared" si="149"/>
        <v>39.513748498891111</v>
      </c>
      <c r="H535">
        <f t="shared" si="150"/>
        <v>0</v>
      </c>
      <c r="I535" s="1">
        <f t="shared" si="138"/>
        <v>0</v>
      </c>
      <c r="J535">
        <f t="shared" si="151"/>
        <v>0</v>
      </c>
      <c r="K535">
        <f t="shared" si="139"/>
        <v>0</v>
      </c>
      <c r="L535" cm="1">
        <f t="array" ref="L535">IF(E535*J535=0,0,$C$21*INDEX([3]Sheet1!$C$4:$Q$23,MATCH(K535,[3]Sheet1!$B$4:$B$23,1),MATCH(D535,[3]Sheet1!$C$3:$Q$3,1))
+(K535-INDEX([3]Sheet1!$B$4:$B$23,MATCH(K535,[3]Sheet1!$B$4:$B$23,1),1))/(INDEX([3]Sheet1!$B$4:$B$23,MATCH(K535,[3]Sheet1!$B$4:$B$23,1)+1,1)-INDEX([3]Sheet1!$B$4:$B$23,
MATCH(K535,[3]Sheet1!$B$4:$B$23,1),1))*(INDEX([3]Sheet1!$C$4:$Q$23,MATCH(K535,[3]Sheet1!$B$4:$B$23,1)+1,MATCH(D535,[3]Sheet1!$C$3:$Q$3,1))-INDEX([3]Sheet1!$C$4:$Q$23,
MATCH(K535,[3]Sheet1!$B$4:$B$23,1),MATCH(D535,[3]Sheet1!$C$3:$Q$3,1)))
+(D535-INDEX([3]Sheet1!$C$3:$Q$3,1,MATCH(D535,[3]Sheet1!$C$3:$Q$3)))/(INDEX([3]Sheet1!$C$3:$Q$3,1,MATCH(D535,[3]Sheet1!$C$3:$Q$3)+1)-INDEX([3]Sheet1!$C$3:$Q$3,1,MATCH(
D535,[3]Sheet1!$C$3:$Q$3)))*(INDEX([3]Sheet1!$C$4:$Q$23,MATCH(K535,[3]Sheet1!$B$4:$B$23,1),MATCH(D535,[3]Sheet1!$C$3:$Q$3,1)+1)-INDEX([3]Sheet1!$C$4:$Q$23,MATCH(K535,[3]Sheet1!$B$4:$B$23,1),MATCH(D535,[3]Sheet1!$C$3:$Q$3,1))))</f>
        <v>0</v>
      </c>
      <c r="M535" cm="1">
        <f t="array" ref="M535" xml:space="preserve"> IF(E535*J535=0,0,(INDEX([2]Sheet1!$C$4:$Q$23,MATCH(K535,[2]Sheet1!$B$4:$B$23,1),MATCH(D535,[2]Sheet1!$C$3:$Q$3,1))
+ (K535 - INDEX([2]Sheet1!$B$4:$B$23,MATCH(K535,[2]Sheet1!$B$4:$B$23,1),1))/(INDEX([2]Sheet1!$B$4:$B$23,MATCH(K535,[2]Sheet1!$B$4:$B$23,1)+1,1) - INDEX([2]Sheet1!$B$4:$B$23,MATCH(K535,[2]Sheet1!$B$4:$B$23,1),1))*(INDEX([2]Sheet1!$C$4:$Q$23,MATCH(K535,[2]Sheet1!$B$4:$B$23,1)+1,MATCH(D535,[2]Sheet1!$C$3:$Q$3,1)) - INDEX([2]Sheet1!$C$4:$Q$23,MATCH(K535,[2]Sheet1!$B$4:$B$23,1),MATCH(D535,[2]Sheet1!$C$3:$Q$3,1)))
+ (D535 - INDEX([2]Sheet1!$C$3:$Q$3,1,MATCH(D535,[2]Sheet1!$C$3:$Q$3)))/(INDEX([2]Sheet1!$C$3:$Q$3,1,MATCH(D535,[2]Sheet1!$C$3:$Q$3)+1) - INDEX([2]Sheet1!$C$3:$Q$3,1,MATCH(D535,[2]Sheet1!$C$3:$Q$3)))*(
INDEX([2]Sheet1!$C$4:$Q$23,MATCH(K535,[2]Sheet1!$B$4:$B$23,1),MATCH(D535,[2]Sheet1!$C$3:$Q$3,1)+1) - INDEX([2]Sheet1!$C$4:$Q$23,MATCH(K535,[2]Sheet1!$B$4:$B$23,1),MATCH(D535,[2]Sheet1!$C$3:$Q$3,1)))))</f>
        <v>0</v>
      </c>
      <c r="N535">
        <f t="shared" si="152"/>
        <v>12</v>
      </c>
      <c r="O535">
        <v>8.5418756297011345E-2</v>
      </c>
      <c r="P535" t="e">
        <f t="shared" si="153"/>
        <v>#DIV/0!</v>
      </c>
      <c r="Q535">
        <f t="shared" si="140"/>
        <v>0</v>
      </c>
      <c r="R535">
        <f t="shared" si="154"/>
        <v>741.9099431943954</v>
      </c>
      <c r="T535" t="e">
        <f t="shared" si="143"/>
        <v>#DIV/0!</v>
      </c>
      <c r="U535" t="e">
        <f t="shared" si="144"/>
        <v>#DIV/0!</v>
      </c>
      <c r="V535">
        <f t="shared" si="145"/>
        <v>0</v>
      </c>
      <c r="W535" t="e">
        <f t="shared" si="141"/>
        <v>#DIV/0!</v>
      </c>
    </row>
    <row r="536" spans="1:23" x14ac:dyDescent="0.55000000000000004">
      <c r="A536">
        <f t="shared" si="142"/>
        <v>50.200000000000443</v>
      </c>
      <c r="B536">
        <f t="shared" si="146"/>
        <v>0.316</v>
      </c>
      <c r="C536">
        <f t="shared" si="147"/>
        <v>-27.739130434782901</v>
      </c>
      <c r="D536">
        <v>2.427945497036271</v>
      </c>
      <c r="E536">
        <f t="shared" si="137"/>
        <v>0</v>
      </c>
      <c r="F536">
        <f t="shared" si="148"/>
        <v>4.8605058816845369E-2</v>
      </c>
      <c r="G536">
        <f t="shared" si="149"/>
        <v>39.513748498891111</v>
      </c>
      <c r="H536">
        <f t="shared" si="150"/>
        <v>0</v>
      </c>
      <c r="I536" s="1">
        <f t="shared" si="138"/>
        <v>0</v>
      </c>
      <c r="J536">
        <f t="shared" si="151"/>
        <v>0</v>
      </c>
      <c r="K536">
        <f t="shared" si="139"/>
        <v>0</v>
      </c>
      <c r="L536" cm="1">
        <f t="array" ref="L536">IF(E536*J536=0,0,$C$21*INDEX([3]Sheet1!$C$4:$Q$23,MATCH(K536,[3]Sheet1!$B$4:$B$23,1),MATCH(D536,[3]Sheet1!$C$3:$Q$3,1))
+(K536-INDEX([3]Sheet1!$B$4:$B$23,MATCH(K536,[3]Sheet1!$B$4:$B$23,1),1))/(INDEX([3]Sheet1!$B$4:$B$23,MATCH(K536,[3]Sheet1!$B$4:$B$23,1)+1,1)-INDEX([3]Sheet1!$B$4:$B$23,
MATCH(K536,[3]Sheet1!$B$4:$B$23,1),1))*(INDEX([3]Sheet1!$C$4:$Q$23,MATCH(K536,[3]Sheet1!$B$4:$B$23,1)+1,MATCH(D536,[3]Sheet1!$C$3:$Q$3,1))-INDEX([3]Sheet1!$C$4:$Q$23,
MATCH(K536,[3]Sheet1!$B$4:$B$23,1),MATCH(D536,[3]Sheet1!$C$3:$Q$3,1)))
+(D536-INDEX([3]Sheet1!$C$3:$Q$3,1,MATCH(D536,[3]Sheet1!$C$3:$Q$3)))/(INDEX([3]Sheet1!$C$3:$Q$3,1,MATCH(D536,[3]Sheet1!$C$3:$Q$3)+1)-INDEX([3]Sheet1!$C$3:$Q$3,1,MATCH(
D536,[3]Sheet1!$C$3:$Q$3)))*(INDEX([3]Sheet1!$C$4:$Q$23,MATCH(K536,[3]Sheet1!$B$4:$B$23,1),MATCH(D536,[3]Sheet1!$C$3:$Q$3,1)+1)-INDEX([3]Sheet1!$C$4:$Q$23,MATCH(K536,[3]Sheet1!$B$4:$B$23,1),MATCH(D536,[3]Sheet1!$C$3:$Q$3,1))))</f>
        <v>0</v>
      </c>
      <c r="M536" cm="1">
        <f t="array" ref="M536" xml:space="preserve"> IF(E536*J536=0,0,(INDEX([2]Sheet1!$C$4:$Q$23,MATCH(K536,[2]Sheet1!$B$4:$B$23,1),MATCH(D536,[2]Sheet1!$C$3:$Q$3,1))
+ (K536 - INDEX([2]Sheet1!$B$4:$B$23,MATCH(K536,[2]Sheet1!$B$4:$B$23,1),1))/(INDEX([2]Sheet1!$B$4:$B$23,MATCH(K536,[2]Sheet1!$B$4:$B$23,1)+1,1) - INDEX([2]Sheet1!$B$4:$B$23,MATCH(K536,[2]Sheet1!$B$4:$B$23,1),1))*(INDEX([2]Sheet1!$C$4:$Q$23,MATCH(K536,[2]Sheet1!$B$4:$B$23,1)+1,MATCH(D536,[2]Sheet1!$C$3:$Q$3,1)) - INDEX([2]Sheet1!$C$4:$Q$23,MATCH(K536,[2]Sheet1!$B$4:$B$23,1),MATCH(D536,[2]Sheet1!$C$3:$Q$3,1)))
+ (D536 - INDEX([2]Sheet1!$C$3:$Q$3,1,MATCH(D536,[2]Sheet1!$C$3:$Q$3)))/(INDEX([2]Sheet1!$C$3:$Q$3,1,MATCH(D536,[2]Sheet1!$C$3:$Q$3)+1) - INDEX([2]Sheet1!$C$3:$Q$3,1,MATCH(D536,[2]Sheet1!$C$3:$Q$3)))*(
INDEX([2]Sheet1!$C$4:$Q$23,MATCH(K536,[2]Sheet1!$B$4:$B$23,1),MATCH(D536,[2]Sheet1!$C$3:$Q$3,1)+1) - INDEX([2]Sheet1!$C$4:$Q$23,MATCH(K536,[2]Sheet1!$B$4:$B$23,1),MATCH(D536,[2]Sheet1!$C$3:$Q$3,1)))))</f>
        <v>0</v>
      </c>
      <c r="N536">
        <f t="shared" si="152"/>
        <v>12</v>
      </c>
      <c r="O536">
        <v>8.5404243251272591E-2</v>
      </c>
      <c r="P536" t="e">
        <f t="shared" si="153"/>
        <v>#DIV/0!</v>
      </c>
      <c r="Q536">
        <f t="shared" si="140"/>
        <v>0</v>
      </c>
      <c r="R536">
        <f t="shared" si="154"/>
        <v>741.9099431943954</v>
      </c>
      <c r="T536" t="e">
        <f t="shared" si="143"/>
        <v>#DIV/0!</v>
      </c>
      <c r="U536" t="e">
        <f t="shared" si="144"/>
        <v>#DIV/0!</v>
      </c>
      <c r="V536">
        <f t="shared" si="145"/>
        <v>0</v>
      </c>
      <c r="W536" t="e">
        <f t="shared" si="141"/>
        <v>#DIV/0!</v>
      </c>
    </row>
    <row r="537" spans="1:23" x14ac:dyDescent="0.55000000000000004">
      <c r="A537">
        <f t="shared" si="142"/>
        <v>50.300000000000445</v>
      </c>
      <c r="B537">
        <f t="shared" si="146"/>
        <v>0.316</v>
      </c>
      <c r="C537">
        <f t="shared" si="147"/>
        <v>-27.804347826087252</v>
      </c>
      <c r="D537">
        <v>2.4278711955040033</v>
      </c>
      <c r="E537">
        <f t="shared" si="137"/>
        <v>0</v>
      </c>
      <c r="F537">
        <f t="shared" si="148"/>
        <v>4.8605058816845369E-2</v>
      </c>
      <c r="G537">
        <f t="shared" si="149"/>
        <v>39.513748498891111</v>
      </c>
      <c r="H537">
        <f t="shared" si="150"/>
        <v>0</v>
      </c>
      <c r="I537" s="1">
        <f t="shared" si="138"/>
        <v>0</v>
      </c>
      <c r="J537">
        <f t="shared" si="151"/>
        <v>0</v>
      </c>
      <c r="K537">
        <f t="shared" si="139"/>
        <v>0</v>
      </c>
      <c r="L537" cm="1">
        <f t="array" ref="L537">IF(E537*J537=0,0,$C$21*INDEX([3]Sheet1!$C$4:$Q$23,MATCH(K537,[3]Sheet1!$B$4:$B$23,1),MATCH(D537,[3]Sheet1!$C$3:$Q$3,1))
+(K537-INDEX([3]Sheet1!$B$4:$B$23,MATCH(K537,[3]Sheet1!$B$4:$B$23,1),1))/(INDEX([3]Sheet1!$B$4:$B$23,MATCH(K537,[3]Sheet1!$B$4:$B$23,1)+1,1)-INDEX([3]Sheet1!$B$4:$B$23,
MATCH(K537,[3]Sheet1!$B$4:$B$23,1),1))*(INDEX([3]Sheet1!$C$4:$Q$23,MATCH(K537,[3]Sheet1!$B$4:$B$23,1)+1,MATCH(D537,[3]Sheet1!$C$3:$Q$3,1))-INDEX([3]Sheet1!$C$4:$Q$23,
MATCH(K537,[3]Sheet1!$B$4:$B$23,1),MATCH(D537,[3]Sheet1!$C$3:$Q$3,1)))
+(D537-INDEX([3]Sheet1!$C$3:$Q$3,1,MATCH(D537,[3]Sheet1!$C$3:$Q$3)))/(INDEX([3]Sheet1!$C$3:$Q$3,1,MATCH(D537,[3]Sheet1!$C$3:$Q$3)+1)-INDEX([3]Sheet1!$C$3:$Q$3,1,MATCH(
D537,[3]Sheet1!$C$3:$Q$3)))*(INDEX([3]Sheet1!$C$4:$Q$23,MATCH(K537,[3]Sheet1!$B$4:$B$23,1),MATCH(D537,[3]Sheet1!$C$3:$Q$3,1)+1)-INDEX([3]Sheet1!$C$4:$Q$23,MATCH(K537,[3]Sheet1!$B$4:$B$23,1),MATCH(D537,[3]Sheet1!$C$3:$Q$3,1))))</f>
        <v>0</v>
      </c>
      <c r="M537" cm="1">
        <f t="array" ref="M537" xml:space="preserve"> IF(E537*J537=0,0,(INDEX([2]Sheet1!$C$4:$Q$23,MATCH(K537,[2]Sheet1!$B$4:$B$23,1),MATCH(D537,[2]Sheet1!$C$3:$Q$3,1))
+ (K537 - INDEX([2]Sheet1!$B$4:$B$23,MATCH(K537,[2]Sheet1!$B$4:$B$23,1),1))/(INDEX([2]Sheet1!$B$4:$B$23,MATCH(K537,[2]Sheet1!$B$4:$B$23,1)+1,1) - INDEX([2]Sheet1!$B$4:$B$23,MATCH(K537,[2]Sheet1!$B$4:$B$23,1),1))*(INDEX([2]Sheet1!$C$4:$Q$23,MATCH(K537,[2]Sheet1!$B$4:$B$23,1)+1,MATCH(D537,[2]Sheet1!$C$3:$Q$3,1)) - INDEX([2]Sheet1!$C$4:$Q$23,MATCH(K537,[2]Sheet1!$B$4:$B$23,1),MATCH(D537,[2]Sheet1!$C$3:$Q$3,1)))
+ (D537 - INDEX([2]Sheet1!$C$3:$Q$3,1,MATCH(D537,[2]Sheet1!$C$3:$Q$3)))/(INDEX([2]Sheet1!$C$3:$Q$3,1,MATCH(D537,[2]Sheet1!$C$3:$Q$3)+1) - INDEX([2]Sheet1!$C$3:$Q$3,1,MATCH(D537,[2]Sheet1!$C$3:$Q$3)))*(
INDEX([2]Sheet1!$C$4:$Q$23,MATCH(K537,[2]Sheet1!$B$4:$B$23,1),MATCH(D537,[2]Sheet1!$C$3:$Q$3,1)+1) - INDEX([2]Sheet1!$C$4:$Q$23,MATCH(K537,[2]Sheet1!$B$4:$B$23,1),MATCH(D537,[2]Sheet1!$C$3:$Q$3,1)))))</f>
        <v>0</v>
      </c>
      <c r="N537">
        <f t="shared" si="152"/>
        <v>12</v>
      </c>
      <c r="O537">
        <v>8.538975230341761E-2</v>
      </c>
      <c r="P537" t="e">
        <f t="shared" si="153"/>
        <v>#DIV/0!</v>
      </c>
      <c r="Q537">
        <f t="shared" si="140"/>
        <v>0</v>
      </c>
      <c r="R537">
        <f t="shared" si="154"/>
        <v>741.9099431943954</v>
      </c>
      <c r="T537" t="e">
        <f t="shared" si="143"/>
        <v>#DIV/0!</v>
      </c>
      <c r="U537" t="e">
        <f t="shared" si="144"/>
        <v>#DIV/0!</v>
      </c>
      <c r="V537">
        <f t="shared" si="145"/>
        <v>0</v>
      </c>
      <c r="W537" t="e">
        <f t="shared" si="141"/>
        <v>#DIV/0!</v>
      </c>
    </row>
    <row r="538" spans="1:23" x14ac:dyDescent="0.55000000000000004">
      <c r="A538">
        <f t="shared" si="142"/>
        <v>50.400000000000446</v>
      </c>
      <c r="B538">
        <f t="shared" si="146"/>
        <v>0.316</v>
      </c>
      <c r="C538">
        <f t="shared" si="147"/>
        <v>-27.869565217391603</v>
      </c>
      <c r="D538">
        <v>2.4277969943403246</v>
      </c>
      <c r="E538">
        <f t="shared" si="137"/>
        <v>0</v>
      </c>
      <c r="F538">
        <f t="shared" si="148"/>
        <v>4.8605058816845369E-2</v>
      </c>
      <c r="G538">
        <f t="shared" si="149"/>
        <v>39.513748498891111</v>
      </c>
      <c r="H538">
        <f t="shared" si="150"/>
        <v>0</v>
      </c>
      <c r="I538" s="1">
        <f t="shared" si="138"/>
        <v>0</v>
      </c>
      <c r="J538">
        <f t="shared" si="151"/>
        <v>0</v>
      </c>
      <c r="K538">
        <f t="shared" si="139"/>
        <v>0</v>
      </c>
      <c r="L538" cm="1">
        <f t="array" ref="L538">IF(E538*J538=0,0,$C$21*INDEX([3]Sheet1!$C$4:$Q$23,MATCH(K538,[3]Sheet1!$B$4:$B$23,1),MATCH(D538,[3]Sheet1!$C$3:$Q$3,1))
+(K538-INDEX([3]Sheet1!$B$4:$B$23,MATCH(K538,[3]Sheet1!$B$4:$B$23,1),1))/(INDEX([3]Sheet1!$B$4:$B$23,MATCH(K538,[3]Sheet1!$B$4:$B$23,1)+1,1)-INDEX([3]Sheet1!$B$4:$B$23,
MATCH(K538,[3]Sheet1!$B$4:$B$23,1),1))*(INDEX([3]Sheet1!$C$4:$Q$23,MATCH(K538,[3]Sheet1!$B$4:$B$23,1)+1,MATCH(D538,[3]Sheet1!$C$3:$Q$3,1))-INDEX([3]Sheet1!$C$4:$Q$23,
MATCH(K538,[3]Sheet1!$B$4:$B$23,1),MATCH(D538,[3]Sheet1!$C$3:$Q$3,1)))
+(D538-INDEX([3]Sheet1!$C$3:$Q$3,1,MATCH(D538,[3]Sheet1!$C$3:$Q$3)))/(INDEX([3]Sheet1!$C$3:$Q$3,1,MATCH(D538,[3]Sheet1!$C$3:$Q$3)+1)-INDEX([3]Sheet1!$C$3:$Q$3,1,MATCH(
D538,[3]Sheet1!$C$3:$Q$3)))*(INDEX([3]Sheet1!$C$4:$Q$23,MATCH(K538,[3]Sheet1!$B$4:$B$23,1),MATCH(D538,[3]Sheet1!$C$3:$Q$3,1)+1)-INDEX([3]Sheet1!$C$4:$Q$23,MATCH(K538,[3]Sheet1!$B$4:$B$23,1),MATCH(D538,[3]Sheet1!$C$3:$Q$3,1))))</f>
        <v>0</v>
      </c>
      <c r="M538" cm="1">
        <f t="array" ref="M538" xml:space="preserve"> IF(E538*J538=0,0,(INDEX([2]Sheet1!$C$4:$Q$23,MATCH(K538,[2]Sheet1!$B$4:$B$23,1),MATCH(D538,[2]Sheet1!$C$3:$Q$3,1))
+ (K538 - INDEX([2]Sheet1!$B$4:$B$23,MATCH(K538,[2]Sheet1!$B$4:$B$23,1),1))/(INDEX([2]Sheet1!$B$4:$B$23,MATCH(K538,[2]Sheet1!$B$4:$B$23,1)+1,1) - INDEX([2]Sheet1!$B$4:$B$23,MATCH(K538,[2]Sheet1!$B$4:$B$23,1),1))*(INDEX([2]Sheet1!$C$4:$Q$23,MATCH(K538,[2]Sheet1!$B$4:$B$23,1)+1,MATCH(D538,[2]Sheet1!$C$3:$Q$3,1)) - INDEX([2]Sheet1!$C$4:$Q$23,MATCH(K538,[2]Sheet1!$B$4:$B$23,1),MATCH(D538,[2]Sheet1!$C$3:$Q$3,1)))
+ (D538 - INDEX([2]Sheet1!$C$3:$Q$3,1,MATCH(D538,[2]Sheet1!$C$3:$Q$3)))/(INDEX([2]Sheet1!$C$3:$Q$3,1,MATCH(D538,[2]Sheet1!$C$3:$Q$3)+1) - INDEX([2]Sheet1!$C$3:$Q$3,1,MATCH(D538,[2]Sheet1!$C$3:$Q$3)))*(
INDEX([2]Sheet1!$C$4:$Q$23,MATCH(K538,[2]Sheet1!$B$4:$B$23,1),MATCH(D538,[2]Sheet1!$C$3:$Q$3,1)+1) - INDEX([2]Sheet1!$C$4:$Q$23,MATCH(K538,[2]Sheet1!$B$4:$B$23,1),MATCH(D538,[2]Sheet1!$C$3:$Q$3,1)))))</f>
        <v>0</v>
      </c>
      <c r="N538">
        <f t="shared" si="152"/>
        <v>12</v>
      </c>
      <c r="O538">
        <v>8.5375283388221659E-2</v>
      </c>
      <c r="P538" t="e">
        <f t="shared" si="153"/>
        <v>#DIV/0!</v>
      </c>
      <c r="Q538">
        <f t="shared" si="140"/>
        <v>0</v>
      </c>
      <c r="R538">
        <f t="shared" si="154"/>
        <v>741.9099431943954</v>
      </c>
      <c r="T538" t="e">
        <f t="shared" si="143"/>
        <v>#DIV/0!</v>
      </c>
      <c r="U538" t="e">
        <f t="shared" si="144"/>
        <v>#DIV/0!</v>
      </c>
      <c r="V538">
        <f t="shared" si="145"/>
        <v>0</v>
      </c>
      <c r="W538" t="e">
        <f t="shared" si="141"/>
        <v>#DIV/0!</v>
      </c>
    </row>
    <row r="539" spans="1:23" x14ac:dyDescent="0.55000000000000004">
      <c r="A539">
        <f t="shared" si="142"/>
        <v>50.500000000000448</v>
      </c>
      <c r="B539">
        <f t="shared" si="146"/>
        <v>0.316</v>
      </c>
      <c r="C539">
        <f t="shared" si="147"/>
        <v>-27.934782608695947</v>
      </c>
      <c r="D539">
        <v>2.4277228932645594</v>
      </c>
      <c r="E539">
        <f t="shared" si="137"/>
        <v>0</v>
      </c>
      <c r="F539">
        <f t="shared" si="148"/>
        <v>4.8605058816845369E-2</v>
      </c>
      <c r="G539">
        <f t="shared" si="149"/>
        <v>39.513748498891111</v>
      </c>
      <c r="H539">
        <f t="shared" si="150"/>
        <v>0</v>
      </c>
      <c r="I539" s="1">
        <f t="shared" si="138"/>
        <v>0</v>
      </c>
      <c r="J539">
        <f t="shared" si="151"/>
        <v>0</v>
      </c>
      <c r="K539">
        <f t="shared" si="139"/>
        <v>0</v>
      </c>
      <c r="L539" cm="1">
        <f t="array" ref="L539">IF(E539*J539=0,0,$C$21*INDEX([3]Sheet1!$C$4:$Q$23,MATCH(K539,[3]Sheet1!$B$4:$B$23,1),MATCH(D539,[3]Sheet1!$C$3:$Q$3,1))
+(K539-INDEX([3]Sheet1!$B$4:$B$23,MATCH(K539,[3]Sheet1!$B$4:$B$23,1),1))/(INDEX([3]Sheet1!$B$4:$B$23,MATCH(K539,[3]Sheet1!$B$4:$B$23,1)+1,1)-INDEX([3]Sheet1!$B$4:$B$23,
MATCH(K539,[3]Sheet1!$B$4:$B$23,1),1))*(INDEX([3]Sheet1!$C$4:$Q$23,MATCH(K539,[3]Sheet1!$B$4:$B$23,1)+1,MATCH(D539,[3]Sheet1!$C$3:$Q$3,1))-INDEX([3]Sheet1!$C$4:$Q$23,
MATCH(K539,[3]Sheet1!$B$4:$B$23,1),MATCH(D539,[3]Sheet1!$C$3:$Q$3,1)))
+(D539-INDEX([3]Sheet1!$C$3:$Q$3,1,MATCH(D539,[3]Sheet1!$C$3:$Q$3)))/(INDEX([3]Sheet1!$C$3:$Q$3,1,MATCH(D539,[3]Sheet1!$C$3:$Q$3)+1)-INDEX([3]Sheet1!$C$3:$Q$3,1,MATCH(
D539,[3]Sheet1!$C$3:$Q$3)))*(INDEX([3]Sheet1!$C$4:$Q$23,MATCH(K539,[3]Sheet1!$B$4:$B$23,1),MATCH(D539,[3]Sheet1!$C$3:$Q$3,1)+1)-INDEX([3]Sheet1!$C$4:$Q$23,MATCH(K539,[3]Sheet1!$B$4:$B$23,1),MATCH(D539,[3]Sheet1!$C$3:$Q$3,1))))</f>
        <v>0</v>
      </c>
      <c r="M539" cm="1">
        <f t="array" ref="M539" xml:space="preserve"> IF(E539*J539=0,0,(INDEX([2]Sheet1!$C$4:$Q$23,MATCH(K539,[2]Sheet1!$B$4:$B$23,1),MATCH(D539,[2]Sheet1!$C$3:$Q$3,1))
+ (K539 - INDEX([2]Sheet1!$B$4:$B$23,MATCH(K539,[2]Sheet1!$B$4:$B$23,1),1))/(INDEX([2]Sheet1!$B$4:$B$23,MATCH(K539,[2]Sheet1!$B$4:$B$23,1)+1,1) - INDEX([2]Sheet1!$B$4:$B$23,MATCH(K539,[2]Sheet1!$B$4:$B$23,1),1))*(INDEX([2]Sheet1!$C$4:$Q$23,MATCH(K539,[2]Sheet1!$B$4:$B$23,1)+1,MATCH(D539,[2]Sheet1!$C$3:$Q$3,1)) - INDEX([2]Sheet1!$C$4:$Q$23,MATCH(K539,[2]Sheet1!$B$4:$B$23,1),MATCH(D539,[2]Sheet1!$C$3:$Q$3,1)))
+ (D539 - INDEX([2]Sheet1!$C$3:$Q$3,1,MATCH(D539,[2]Sheet1!$C$3:$Q$3)))/(INDEX([2]Sheet1!$C$3:$Q$3,1,MATCH(D539,[2]Sheet1!$C$3:$Q$3)+1) - INDEX([2]Sheet1!$C$3:$Q$3,1,MATCH(D539,[2]Sheet1!$C$3:$Q$3)))*(
INDEX([2]Sheet1!$C$4:$Q$23,MATCH(K539,[2]Sheet1!$B$4:$B$23,1),MATCH(D539,[2]Sheet1!$C$3:$Q$3,1)+1) - INDEX([2]Sheet1!$C$4:$Q$23,MATCH(K539,[2]Sheet1!$B$4:$B$23,1),MATCH(D539,[2]Sheet1!$C$3:$Q$3,1)))))</f>
        <v>0</v>
      </c>
      <c r="N539">
        <f t="shared" si="152"/>
        <v>12</v>
      </c>
      <c r="O539">
        <v>8.53608364407447E-2</v>
      </c>
      <c r="P539" t="e">
        <f t="shared" si="153"/>
        <v>#DIV/0!</v>
      </c>
      <c r="Q539">
        <f t="shared" si="140"/>
        <v>0</v>
      </c>
      <c r="R539">
        <f t="shared" si="154"/>
        <v>741.9099431943954</v>
      </c>
      <c r="T539" t="e">
        <f t="shared" si="143"/>
        <v>#DIV/0!</v>
      </c>
      <c r="U539" t="e">
        <f t="shared" si="144"/>
        <v>#DIV/0!</v>
      </c>
      <c r="V539">
        <f t="shared" si="145"/>
        <v>0</v>
      </c>
      <c r="W539" t="e">
        <f t="shared" si="141"/>
        <v>#DIV/0!</v>
      </c>
    </row>
    <row r="540" spans="1:23" x14ac:dyDescent="0.55000000000000004">
      <c r="A540">
        <f t="shared" si="142"/>
        <v>50.600000000000449</v>
      </c>
      <c r="B540">
        <f t="shared" si="146"/>
        <v>0.316</v>
      </c>
      <c r="C540">
        <f t="shared" si="147"/>
        <v>-28.000000000000298</v>
      </c>
      <c r="D540">
        <v>2.4276488919972148</v>
      </c>
      <c r="E540">
        <f t="shared" si="137"/>
        <v>0</v>
      </c>
      <c r="F540">
        <f t="shared" si="148"/>
        <v>4.8605058816845369E-2</v>
      </c>
      <c r="G540">
        <f t="shared" si="149"/>
        <v>39.513748498891111</v>
      </c>
      <c r="H540">
        <f t="shared" si="150"/>
        <v>0</v>
      </c>
      <c r="I540" s="1">
        <f t="shared" si="138"/>
        <v>0</v>
      </c>
      <c r="J540">
        <f t="shared" si="151"/>
        <v>0</v>
      </c>
      <c r="K540">
        <f t="shared" si="139"/>
        <v>0</v>
      </c>
      <c r="L540" cm="1">
        <f t="array" ref="L540">IF(E540*J540=0,0,$C$21*INDEX([3]Sheet1!$C$4:$Q$23,MATCH(K540,[3]Sheet1!$B$4:$B$23,1),MATCH(D540,[3]Sheet1!$C$3:$Q$3,1))
+(K540-INDEX([3]Sheet1!$B$4:$B$23,MATCH(K540,[3]Sheet1!$B$4:$B$23,1),1))/(INDEX([3]Sheet1!$B$4:$B$23,MATCH(K540,[3]Sheet1!$B$4:$B$23,1)+1,1)-INDEX([3]Sheet1!$B$4:$B$23,
MATCH(K540,[3]Sheet1!$B$4:$B$23,1),1))*(INDEX([3]Sheet1!$C$4:$Q$23,MATCH(K540,[3]Sheet1!$B$4:$B$23,1)+1,MATCH(D540,[3]Sheet1!$C$3:$Q$3,1))-INDEX([3]Sheet1!$C$4:$Q$23,
MATCH(K540,[3]Sheet1!$B$4:$B$23,1),MATCH(D540,[3]Sheet1!$C$3:$Q$3,1)))
+(D540-INDEX([3]Sheet1!$C$3:$Q$3,1,MATCH(D540,[3]Sheet1!$C$3:$Q$3)))/(INDEX([3]Sheet1!$C$3:$Q$3,1,MATCH(D540,[3]Sheet1!$C$3:$Q$3)+1)-INDEX([3]Sheet1!$C$3:$Q$3,1,MATCH(
D540,[3]Sheet1!$C$3:$Q$3)))*(INDEX([3]Sheet1!$C$4:$Q$23,MATCH(K540,[3]Sheet1!$B$4:$B$23,1),MATCH(D540,[3]Sheet1!$C$3:$Q$3,1)+1)-INDEX([3]Sheet1!$C$4:$Q$23,MATCH(K540,[3]Sheet1!$B$4:$B$23,1),MATCH(D540,[3]Sheet1!$C$3:$Q$3,1))))</f>
        <v>0</v>
      </c>
      <c r="M540" cm="1">
        <f t="array" ref="M540" xml:space="preserve"> IF(E540*J540=0,0,(INDEX([2]Sheet1!$C$4:$Q$23,MATCH(K540,[2]Sheet1!$B$4:$B$23,1),MATCH(D540,[2]Sheet1!$C$3:$Q$3,1))
+ (K540 - INDEX([2]Sheet1!$B$4:$B$23,MATCH(K540,[2]Sheet1!$B$4:$B$23,1),1))/(INDEX([2]Sheet1!$B$4:$B$23,MATCH(K540,[2]Sheet1!$B$4:$B$23,1)+1,1) - INDEX([2]Sheet1!$B$4:$B$23,MATCH(K540,[2]Sheet1!$B$4:$B$23,1),1))*(INDEX([2]Sheet1!$C$4:$Q$23,MATCH(K540,[2]Sheet1!$B$4:$B$23,1)+1,MATCH(D540,[2]Sheet1!$C$3:$Q$3,1)) - INDEX([2]Sheet1!$C$4:$Q$23,MATCH(K540,[2]Sheet1!$B$4:$B$23,1),MATCH(D540,[2]Sheet1!$C$3:$Q$3,1)))
+ (D540 - INDEX([2]Sheet1!$C$3:$Q$3,1,MATCH(D540,[2]Sheet1!$C$3:$Q$3)))/(INDEX([2]Sheet1!$C$3:$Q$3,1,MATCH(D540,[2]Sheet1!$C$3:$Q$3)+1) - INDEX([2]Sheet1!$C$3:$Q$3,1,MATCH(D540,[2]Sheet1!$C$3:$Q$3)))*(
INDEX([2]Sheet1!$C$4:$Q$23,MATCH(K540,[2]Sheet1!$B$4:$B$23,1),MATCH(D540,[2]Sheet1!$C$3:$Q$3,1)+1) - INDEX([2]Sheet1!$C$4:$Q$23,MATCH(K540,[2]Sheet1!$B$4:$B$23,1),MATCH(D540,[2]Sheet1!$C$3:$Q$3,1)))))</f>
        <v>0</v>
      </c>
      <c r="N540">
        <f t="shared" si="152"/>
        <v>12</v>
      </c>
      <c r="O540">
        <v>8.5346411396331603E-2</v>
      </c>
      <c r="P540" t="e">
        <f t="shared" si="153"/>
        <v>#DIV/0!</v>
      </c>
      <c r="Q540">
        <f t="shared" si="140"/>
        <v>0</v>
      </c>
      <c r="R540">
        <f t="shared" si="154"/>
        <v>741.9099431943954</v>
      </c>
      <c r="T540" t="e">
        <f t="shared" si="143"/>
        <v>#DIV/0!</v>
      </c>
      <c r="U540" t="e">
        <f t="shared" si="144"/>
        <v>#DIV/0!</v>
      </c>
      <c r="V540">
        <f t="shared" si="145"/>
        <v>0</v>
      </c>
      <c r="W540" t="e">
        <f t="shared" si="141"/>
        <v>#DIV/0!</v>
      </c>
    </row>
    <row r="541" spans="1:23" x14ac:dyDescent="0.55000000000000004">
      <c r="A541">
        <f t="shared" si="142"/>
        <v>50.70000000000045</v>
      </c>
      <c r="B541">
        <f t="shared" si="146"/>
        <v>0.316</v>
      </c>
      <c r="C541">
        <f t="shared" si="147"/>
        <v>-28.065217391304643</v>
      </c>
      <c r="D541">
        <v>2.4275749902599779</v>
      </c>
      <c r="E541">
        <f t="shared" si="137"/>
        <v>0</v>
      </c>
      <c r="F541">
        <f t="shared" si="148"/>
        <v>4.8605058816845369E-2</v>
      </c>
      <c r="G541">
        <f t="shared" si="149"/>
        <v>39.513748498891111</v>
      </c>
      <c r="H541">
        <f t="shared" si="150"/>
        <v>0</v>
      </c>
      <c r="I541" s="1">
        <f t="shared" si="138"/>
        <v>0</v>
      </c>
      <c r="J541">
        <f t="shared" si="151"/>
        <v>0</v>
      </c>
      <c r="K541">
        <f t="shared" si="139"/>
        <v>0</v>
      </c>
      <c r="L541" cm="1">
        <f t="array" ref="L541">IF(E541*J541=0,0,$C$21*INDEX([3]Sheet1!$C$4:$Q$23,MATCH(K541,[3]Sheet1!$B$4:$B$23,1),MATCH(D541,[3]Sheet1!$C$3:$Q$3,1))
+(K541-INDEX([3]Sheet1!$B$4:$B$23,MATCH(K541,[3]Sheet1!$B$4:$B$23,1),1))/(INDEX([3]Sheet1!$B$4:$B$23,MATCH(K541,[3]Sheet1!$B$4:$B$23,1)+1,1)-INDEX([3]Sheet1!$B$4:$B$23,
MATCH(K541,[3]Sheet1!$B$4:$B$23,1),1))*(INDEX([3]Sheet1!$C$4:$Q$23,MATCH(K541,[3]Sheet1!$B$4:$B$23,1)+1,MATCH(D541,[3]Sheet1!$C$3:$Q$3,1))-INDEX([3]Sheet1!$C$4:$Q$23,
MATCH(K541,[3]Sheet1!$B$4:$B$23,1),MATCH(D541,[3]Sheet1!$C$3:$Q$3,1)))
+(D541-INDEX([3]Sheet1!$C$3:$Q$3,1,MATCH(D541,[3]Sheet1!$C$3:$Q$3)))/(INDEX([3]Sheet1!$C$3:$Q$3,1,MATCH(D541,[3]Sheet1!$C$3:$Q$3)+1)-INDEX([3]Sheet1!$C$3:$Q$3,1,MATCH(
D541,[3]Sheet1!$C$3:$Q$3)))*(INDEX([3]Sheet1!$C$4:$Q$23,MATCH(K541,[3]Sheet1!$B$4:$B$23,1),MATCH(D541,[3]Sheet1!$C$3:$Q$3,1)+1)-INDEX([3]Sheet1!$C$4:$Q$23,MATCH(K541,[3]Sheet1!$B$4:$B$23,1),MATCH(D541,[3]Sheet1!$C$3:$Q$3,1))))</f>
        <v>0</v>
      </c>
      <c r="M541" cm="1">
        <f t="array" ref="M541" xml:space="preserve"> IF(E541*J541=0,0,(INDEX([2]Sheet1!$C$4:$Q$23,MATCH(K541,[2]Sheet1!$B$4:$B$23,1),MATCH(D541,[2]Sheet1!$C$3:$Q$3,1))
+ (K541 - INDEX([2]Sheet1!$B$4:$B$23,MATCH(K541,[2]Sheet1!$B$4:$B$23,1),1))/(INDEX([2]Sheet1!$B$4:$B$23,MATCH(K541,[2]Sheet1!$B$4:$B$23,1)+1,1) - INDEX([2]Sheet1!$B$4:$B$23,MATCH(K541,[2]Sheet1!$B$4:$B$23,1),1))*(INDEX([2]Sheet1!$C$4:$Q$23,MATCH(K541,[2]Sheet1!$B$4:$B$23,1)+1,MATCH(D541,[2]Sheet1!$C$3:$Q$3,1)) - INDEX([2]Sheet1!$C$4:$Q$23,MATCH(K541,[2]Sheet1!$B$4:$B$23,1),MATCH(D541,[2]Sheet1!$C$3:$Q$3,1)))
+ (D541 - INDEX([2]Sheet1!$C$3:$Q$3,1,MATCH(D541,[2]Sheet1!$C$3:$Q$3)))/(INDEX([2]Sheet1!$C$3:$Q$3,1,MATCH(D541,[2]Sheet1!$C$3:$Q$3)+1) - INDEX([2]Sheet1!$C$3:$Q$3,1,MATCH(D541,[2]Sheet1!$C$3:$Q$3)))*(
INDEX([2]Sheet1!$C$4:$Q$23,MATCH(K541,[2]Sheet1!$B$4:$B$23,1),MATCH(D541,[2]Sheet1!$C$3:$Q$3,1)+1) - INDEX([2]Sheet1!$C$4:$Q$23,MATCH(K541,[2]Sheet1!$B$4:$B$23,1),MATCH(D541,[2]Sheet1!$C$3:$Q$3,1)))))</f>
        <v>0</v>
      </c>
      <c r="N541">
        <f t="shared" si="152"/>
        <v>12</v>
      </c>
      <c r="O541">
        <v>8.5332008190609709E-2</v>
      </c>
      <c r="P541" t="e">
        <f t="shared" si="153"/>
        <v>#DIV/0!</v>
      </c>
      <c r="Q541">
        <f t="shared" si="140"/>
        <v>0</v>
      </c>
      <c r="R541">
        <f t="shared" si="154"/>
        <v>741.9099431943954</v>
      </c>
      <c r="T541" t="e">
        <f t="shared" si="143"/>
        <v>#DIV/0!</v>
      </c>
      <c r="U541" t="e">
        <f t="shared" si="144"/>
        <v>#DIV/0!</v>
      </c>
      <c r="V541">
        <f t="shared" si="145"/>
        <v>0</v>
      </c>
      <c r="W541" t="e">
        <f t="shared" si="141"/>
        <v>#DIV/0!</v>
      </c>
    </row>
    <row r="542" spans="1:23" x14ac:dyDescent="0.55000000000000004">
      <c r="A542">
        <f t="shared" si="142"/>
        <v>50.800000000000452</v>
      </c>
      <c r="B542">
        <f t="shared" si="146"/>
        <v>0.316</v>
      </c>
      <c r="C542">
        <f t="shared" si="147"/>
        <v>-28.130434782608987</v>
      </c>
      <c r="D542">
        <v>2.4275011877757073</v>
      </c>
      <c r="E542">
        <f t="shared" si="137"/>
        <v>0</v>
      </c>
      <c r="F542">
        <f t="shared" si="148"/>
        <v>4.8605058816845369E-2</v>
      </c>
      <c r="G542">
        <f t="shared" si="149"/>
        <v>39.513748498891111</v>
      </c>
      <c r="H542">
        <f t="shared" si="150"/>
        <v>0</v>
      </c>
      <c r="I542" s="1">
        <f t="shared" si="138"/>
        <v>0</v>
      </c>
      <c r="J542">
        <f t="shared" si="151"/>
        <v>0</v>
      </c>
      <c r="K542">
        <f t="shared" si="139"/>
        <v>0</v>
      </c>
      <c r="L542" cm="1">
        <f t="array" ref="L542">IF(E542*J542=0,0,$C$21*INDEX([3]Sheet1!$C$4:$Q$23,MATCH(K542,[3]Sheet1!$B$4:$B$23,1),MATCH(D542,[3]Sheet1!$C$3:$Q$3,1))
+(K542-INDEX([3]Sheet1!$B$4:$B$23,MATCH(K542,[3]Sheet1!$B$4:$B$23,1),1))/(INDEX([3]Sheet1!$B$4:$B$23,MATCH(K542,[3]Sheet1!$B$4:$B$23,1)+1,1)-INDEX([3]Sheet1!$B$4:$B$23,
MATCH(K542,[3]Sheet1!$B$4:$B$23,1),1))*(INDEX([3]Sheet1!$C$4:$Q$23,MATCH(K542,[3]Sheet1!$B$4:$B$23,1)+1,MATCH(D542,[3]Sheet1!$C$3:$Q$3,1))-INDEX([3]Sheet1!$C$4:$Q$23,
MATCH(K542,[3]Sheet1!$B$4:$B$23,1),MATCH(D542,[3]Sheet1!$C$3:$Q$3,1)))
+(D542-INDEX([3]Sheet1!$C$3:$Q$3,1,MATCH(D542,[3]Sheet1!$C$3:$Q$3)))/(INDEX([3]Sheet1!$C$3:$Q$3,1,MATCH(D542,[3]Sheet1!$C$3:$Q$3)+1)-INDEX([3]Sheet1!$C$3:$Q$3,1,MATCH(
D542,[3]Sheet1!$C$3:$Q$3)))*(INDEX([3]Sheet1!$C$4:$Q$23,MATCH(K542,[3]Sheet1!$B$4:$B$23,1),MATCH(D542,[3]Sheet1!$C$3:$Q$3,1)+1)-INDEX([3]Sheet1!$C$4:$Q$23,MATCH(K542,[3]Sheet1!$B$4:$B$23,1),MATCH(D542,[3]Sheet1!$C$3:$Q$3,1))))</f>
        <v>0</v>
      </c>
      <c r="M542" cm="1">
        <f t="array" ref="M542" xml:space="preserve"> IF(E542*J542=0,0,(INDEX([2]Sheet1!$C$4:$Q$23,MATCH(K542,[2]Sheet1!$B$4:$B$23,1),MATCH(D542,[2]Sheet1!$C$3:$Q$3,1))
+ (K542 - INDEX([2]Sheet1!$B$4:$B$23,MATCH(K542,[2]Sheet1!$B$4:$B$23,1),1))/(INDEX([2]Sheet1!$B$4:$B$23,MATCH(K542,[2]Sheet1!$B$4:$B$23,1)+1,1) - INDEX([2]Sheet1!$B$4:$B$23,MATCH(K542,[2]Sheet1!$B$4:$B$23,1),1))*(INDEX([2]Sheet1!$C$4:$Q$23,MATCH(K542,[2]Sheet1!$B$4:$B$23,1)+1,MATCH(D542,[2]Sheet1!$C$3:$Q$3,1)) - INDEX([2]Sheet1!$C$4:$Q$23,MATCH(K542,[2]Sheet1!$B$4:$B$23,1),MATCH(D542,[2]Sheet1!$C$3:$Q$3,1)))
+ (D542 - INDEX([2]Sheet1!$C$3:$Q$3,1,MATCH(D542,[2]Sheet1!$C$3:$Q$3)))/(INDEX([2]Sheet1!$C$3:$Q$3,1,MATCH(D542,[2]Sheet1!$C$3:$Q$3)+1) - INDEX([2]Sheet1!$C$3:$Q$3,1,MATCH(D542,[2]Sheet1!$C$3:$Q$3)))*(
INDEX([2]Sheet1!$C$4:$Q$23,MATCH(K542,[2]Sheet1!$B$4:$B$23,1),MATCH(D542,[2]Sheet1!$C$3:$Q$3,1)+1) - INDEX([2]Sheet1!$C$4:$Q$23,MATCH(K542,[2]Sheet1!$B$4:$B$23,1),MATCH(D542,[2]Sheet1!$C$3:$Q$3,1)))))</f>
        <v>0</v>
      </c>
      <c r="N542">
        <f t="shared" si="152"/>
        <v>12</v>
      </c>
      <c r="O542">
        <v>8.5317626759487758E-2</v>
      </c>
      <c r="P542" t="e">
        <f t="shared" si="153"/>
        <v>#DIV/0!</v>
      </c>
      <c r="Q542">
        <f t="shared" si="140"/>
        <v>0</v>
      </c>
      <c r="R542">
        <f t="shared" si="154"/>
        <v>741.9099431943954</v>
      </c>
      <c r="T542" t="e">
        <f t="shared" si="143"/>
        <v>#DIV/0!</v>
      </c>
      <c r="U542" t="e">
        <f t="shared" si="144"/>
        <v>#DIV/0!</v>
      </c>
      <c r="V542">
        <f t="shared" si="145"/>
        <v>0</v>
      </c>
      <c r="W542" t="e">
        <f t="shared" si="141"/>
        <v>#DIV/0!</v>
      </c>
    </row>
    <row r="543" spans="1:23" x14ac:dyDescent="0.55000000000000004">
      <c r="A543">
        <f t="shared" si="142"/>
        <v>50.900000000000453</v>
      </c>
      <c r="B543">
        <f t="shared" si="146"/>
        <v>0.316</v>
      </c>
      <c r="C543">
        <f t="shared" si="147"/>
        <v>-28.195652173913338</v>
      </c>
      <c r="D543">
        <v>2.4274274842684243</v>
      </c>
      <c r="E543">
        <f t="shared" si="137"/>
        <v>0</v>
      </c>
      <c r="F543">
        <f t="shared" si="148"/>
        <v>4.8605058816845369E-2</v>
      </c>
      <c r="G543">
        <f t="shared" si="149"/>
        <v>39.513748498891111</v>
      </c>
      <c r="H543">
        <f t="shared" si="150"/>
        <v>0</v>
      </c>
      <c r="I543" s="1">
        <f t="shared" si="138"/>
        <v>0</v>
      </c>
      <c r="J543">
        <f t="shared" si="151"/>
        <v>0</v>
      </c>
      <c r="K543">
        <f t="shared" si="139"/>
        <v>0</v>
      </c>
      <c r="L543" cm="1">
        <f t="array" ref="L543">IF(E543*J543=0,0,$C$21*INDEX([3]Sheet1!$C$4:$Q$23,MATCH(K543,[3]Sheet1!$B$4:$B$23,1),MATCH(D543,[3]Sheet1!$C$3:$Q$3,1))
+(K543-INDEX([3]Sheet1!$B$4:$B$23,MATCH(K543,[3]Sheet1!$B$4:$B$23,1),1))/(INDEX([3]Sheet1!$B$4:$B$23,MATCH(K543,[3]Sheet1!$B$4:$B$23,1)+1,1)-INDEX([3]Sheet1!$B$4:$B$23,
MATCH(K543,[3]Sheet1!$B$4:$B$23,1),1))*(INDEX([3]Sheet1!$C$4:$Q$23,MATCH(K543,[3]Sheet1!$B$4:$B$23,1)+1,MATCH(D543,[3]Sheet1!$C$3:$Q$3,1))-INDEX([3]Sheet1!$C$4:$Q$23,
MATCH(K543,[3]Sheet1!$B$4:$B$23,1),MATCH(D543,[3]Sheet1!$C$3:$Q$3,1)))
+(D543-INDEX([3]Sheet1!$C$3:$Q$3,1,MATCH(D543,[3]Sheet1!$C$3:$Q$3)))/(INDEX([3]Sheet1!$C$3:$Q$3,1,MATCH(D543,[3]Sheet1!$C$3:$Q$3)+1)-INDEX([3]Sheet1!$C$3:$Q$3,1,MATCH(
D543,[3]Sheet1!$C$3:$Q$3)))*(INDEX([3]Sheet1!$C$4:$Q$23,MATCH(K543,[3]Sheet1!$B$4:$B$23,1),MATCH(D543,[3]Sheet1!$C$3:$Q$3,1)+1)-INDEX([3]Sheet1!$C$4:$Q$23,MATCH(K543,[3]Sheet1!$B$4:$B$23,1),MATCH(D543,[3]Sheet1!$C$3:$Q$3,1))))</f>
        <v>0</v>
      </c>
      <c r="M543" cm="1">
        <f t="array" ref="M543" xml:space="preserve"> IF(E543*J543=0,0,(INDEX([2]Sheet1!$C$4:$Q$23,MATCH(K543,[2]Sheet1!$B$4:$B$23,1),MATCH(D543,[2]Sheet1!$C$3:$Q$3,1))
+ (K543 - INDEX([2]Sheet1!$B$4:$B$23,MATCH(K543,[2]Sheet1!$B$4:$B$23,1),1))/(INDEX([2]Sheet1!$B$4:$B$23,MATCH(K543,[2]Sheet1!$B$4:$B$23,1)+1,1) - INDEX([2]Sheet1!$B$4:$B$23,MATCH(K543,[2]Sheet1!$B$4:$B$23,1),1))*(INDEX([2]Sheet1!$C$4:$Q$23,MATCH(K543,[2]Sheet1!$B$4:$B$23,1)+1,MATCH(D543,[2]Sheet1!$C$3:$Q$3,1)) - INDEX([2]Sheet1!$C$4:$Q$23,MATCH(K543,[2]Sheet1!$B$4:$B$23,1),MATCH(D543,[2]Sheet1!$C$3:$Q$3,1)))
+ (D543 - INDEX([2]Sheet1!$C$3:$Q$3,1,MATCH(D543,[2]Sheet1!$C$3:$Q$3)))/(INDEX([2]Sheet1!$C$3:$Q$3,1,MATCH(D543,[2]Sheet1!$C$3:$Q$3)+1) - INDEX([2]Sheet1!$C$3:$Q$3,1,MATCH(D543,[2]Sheet1!$C$3:$Q$3)))*(
INDEX([2]Sheet1!$C$4:$Q$23,MATCH(K543,[2]Sheet1!$B$4:$B$23,1),MATCH(D543,[2]Sheet1!$C$3:$Q$3,1)+1) - INDEX([2]Sheet1!$C$4:$Q$23,MATCH(K543,[2]Sheet1!$B$4:$B$23,1),MATCH(D543,[2]Sheet1!$C$3:$Q$3,1)))))</f>
        <v>0</v>
      </c>
      <c r="N543">
        <f t="shared" si="152"/>
        <v>12</v>
      </c>
      <c r="O543">
        <v>8.5303267039152642E-2</v>
      </c>
      <c r="P543" t="e">
        <f t="shared" si="153"/>
        <v>#DIV/0!</v>
      </c>
      <c r="Q543">
        <f t="shared" si="140"/>
        <v>0</v>
      </c>
      <c r="R543">
        <f t="shared" si="154"/>
        <v>741.9099431943954</v>
      </c>
      <c r="T543" t="e">
        <f t="shared" si="143"/>
        <v>#DIV/0!</v>
      </c>
      <c r="U543" t="e">
        <f t="shared" si="144"/>
        <v>#DIV/0!</v>
      </c>
      <c r="V543">
        <f t="shared" si="145"/>
        <v>0</v>
      </c>
      <c r="W543" t="e">
        <f t="shared" si="141"/>
        <v>#DIV/0!</v>
      </c>
    </row>
    <row r="544" spans="1:23" x14ac:dyDescent="0.55000000000000004">
      <c r="A544">
        <f t="shared" si="142"/>
        <v>51.000000000000455</v>
      </c>
      <c r="B544">
        <f t="shared" si="146"/>
        <v>0.316</v>
      </c>
      <c r="C544">
        <f t="shared" si="147"/>
        <v>-28.260869565217689</v>
      </c>
      <c r="D544">
        <v>2.4273538794633081</v>
      </c>
      <c r="E544">
        <f t="shared" si="137"/>
        <v>0</v>
      </c>
      <c r="F544">
        <f t="shared" si="148"/>
        <v>4.8605058816845369E-2</v>
      </c>
      <c r="G544">
        <f t="shared" si="149"/>
        <v>39.513748498891111</v>
      </c>
      <c r="H544">
        <f t="shared" si="150"/>
        <v>0</v>
      </c>
      <c r="I544" s="1">
        <f t="shared" si="138"/>
        <v>0</v>
      </c>
      <c r="J544">
        <f t="shared" si="151"/>
        <v>0</v>
      </c>
      <c r="K544">
        <f t="shared" si="139"/>
        <v>0</v>
      </c>
      <c r="L544" cm="1">
        <f t="array" ref="L544">IF(E544*J544=0,0,$C$21*INDEX([3]Sheet1!$C$4:$Q$23,MATCH(K544,[3]Sheet1!$B$4:$B$23,1),MATCH(D544,[3]Sheet1!$C$3:$Q$3,1))
+(K544-INDEX([3]Sheet1!$B$4:$B$23,MATCH(K544,[3]Sheet1!$B$4:$B$23,1),1))/(INDEX([3]Sheet1!$B$4:$B$23,MATCH(K544,[3]Sheet1!$B$4:$B$23,1)+1,1)-INDEX([3]Sheet1!$B$4:$B$23,
MATCH(K544,[3]Sheet1!$B$4:$B$23,1),1))*(INDEX([3]Sheet1!$C$4:$Q$23,MATCH(K544,[3]Sheet1!$B$4:$B$23,1)+1,MATCH(D544,[3]Sheet1!$C$3:$Q$3,1))-INDEX([3]Sheet1!$C$4:$Q$23,
MATCH(K544,[3]Sheet1!$B$4:$B$23,1),MATCH(D544,[3]Sheet1!$C$3:$Q$3,1)))
+(D544-INDEX([3]Sheet1!$C$3:$Q$3,1,MATCH(D544,[3]Sheet1!$C$3:$Q$3)))/(INDEX([3]Sheet1!$C$3:$Q$3,1,MATCH(D544,[3]Sheet1!$C$3:$Q$3)+1)-INDEX([3]Sheet1!$C$3:$Q$3,1,MATCH(
D544,[3]Sheet1!$C$3:$Q$3)))*(INDEX([3]Sheet1!$C$4:$Q$23,MATCH(K544,[3]Sheet1!$B$4:$B$23,1),MATCH(D544,[3]Sheet1!$C$3:$Q$3,1)+1)-INDEX([3]Sheet1!$C$4:$Q$23,MATCH(K544,[3]Sheet1!$B$4:$B$23,1),MATCH(D544,[3]Sheet1!$C$3:$Q$3,1))))</f>
        <v>0</v>
      </c>
      <c r="M544" cm="1">
        <f t="array" ref="M544" xml:space="preserve"> IF(E544*J544=0,0,(INDEX([2]Sheet1!$C$4:$Q$23,MATCH(K544,[2]Sheet1!$B$4:$B$23,1),MATCH(D544,[2]Sheet1!$C$3:$Q$3,1))
+ (K544 - INDEX([2]Sheet1!$B$4:$B$23,MATCH(K544,[2]Sheet1!$B$4:$B$23,1),1))/(INDEX([2]Sheet1!$B$4:$B$23,MATCH(K544,[2]Sheet1!$B$4:$B$23,1)+1,1) - INDEX([2]Sheet1!$B$4:$B$23,MATCH(K544,[2]Sheet1!$B$4:$B$23,1),1))*(INDEX([2]Sheet1!$C$4:$Q$23,MATCH(K544,[2]Sheet1!$B$4:$B$23,1)+1,MATCH(D544,[2]Sheet1!$C$3:$Q$3,1)) - INDEX([2]Sheet1!$C$4:$Q$23,MATCH(K544,[2]Sheet1!$B$4:$B$23,1),MATCH(D544,[2]Sheet1!$C$3:$Q$3,1)))
+ (D544 - INDEX([2]Sheet1!$C$3:$Q$3,1,MATCH(D544,[2]Sheet1!$C$3:$Q$3)))/(INDEX([2]Sheet1!$C$3:$Q$3,1,MATCH(D544,[2]Sheet1!$C$3:$Q$3)+1) - INDEX([2]Sheet1!$C$3:$Q$3,1,MATCH(D544,[2]Sheet1!$C$3:$Q$3)))*(
INDEX([2]Sheet1!$C$4:$Q$23,MATCH(K544,[2]Sheet1!$B$4:$B$23,1),MATCH(D544,[2]Sheet1!$C$3:$Q$3,1)+1) - INDEX([2]Sheet1!$C$4:$Q$23,MATCH(K544,[2]Sheet1!$B$4:$B$23,1),MATCH(D544,[2]Sheet1!$C$3:$Q$3,1)))))</f>
        <v>0</v>
      </c>
      <c r="N544">
        <f t="shared" si="152"/>
        <v>12</v>
      </c>
      <c r="O544">
        <v>8.5288928966070598E-2</v>
      </c>
      <c r="P544" t="e">
        <f t="shared" si="153"/>
        <v>#DIV/0!</v>
      </c>
      <c r="Q544">
        <f t="shared" si="140"/>
        <v>0</v>
      </c>
      <c r="R544">
        <f t="shared" si="154"/>
        <v>741.9099431943954</v>
      </c>
      <c r="T544" t="e">
        <f t="shared" si="143"/>
        <v>#DIV/0!</v>
      </c>
      <c r="U544" t="e">
        <f t="shared" si="144"/>
        <v>#DIV/0!</v>
      </c>
      <c r="V544">
        <f t="shared" si="145"/>
        <v>0</v>
      </c>
      <c r="W544" t="e">
        <f t="shared" si="141"/>
        <v>#DIV/0!</v>
      </c>
    </row>
    <row r="545" spans="1:23" x14ac:dyDescent="0.55000000000000004">
      <c r="A545">
        <f t="shared" si="142"/>
        <v>51.100000000000456</v>
      </c>
      <c r="B545">
        <f t="shared" si="146"/>
        <v>0.316</v>
      </c>
      <c r="C545">
        <f t="shared" si="147"/>
        <v>-28.32608695652204</v>
      </c>
      <c r="D545">
        <v>2.4272803730866936</v>
      </c>
      <c r="E545">
        <f t="shared" si="137"/>
        <v>0</v>
      </c>
      <c r="F545">
        <f t="shared" si="148"/>
        <v>4.8605058816845369E-2</v>
      </c>
      <c r="G545">
        <f t="shared" si="149"/>
        <v>39.513748498891111</v>
      </c>
      <c r="H545">
        <f t="shared" si="150"/>
        <v>0</v>
      </c>
      <c r="I545" s="1">
        <f t="shared" si="138"/>
        <v>0</v>
      </c>
      <c r="J545">
        <f t="shared" si="151"/>
        <v>0</v>
      </c>
      <c r="K545">
        <f t="shared" si="139"/>
        <v>0</v>
      </c>
      <c r="L545" cm="1">
        <f t="array" ref="L545">IF(E545*J545=0,0,$C$21*INDEX([3]Sheet1!$C$4:$Q$23,MATCH(K545,[3]Sheet1!$B$4:$B$23,1),MATCH(D545,[3]Sheet1!$C$3:$Q$3,1))
+(K545-INDEX([3]Sheet1!$B$4:$B$23,MATCH(K545,[3]Sheet1!$B$4:$B$23,1),1))/(INDEX([3]Sheet1!$B$4:$B$23,MATCH(K545,[3]Sheet1!$B$4:$B$23,1)+1,1)-INDEX([3]Sheet1!$B$4:$B$23,
MATCH(K545,[3]Sheet1!$B$4:$B$23,1),1))*(INDEX([3]Sheet1!$C$4:$Q$23,MATCH(K545,[3]Sheet1!$B$4:$B$23,1)+1,MATCH(D545,[3]Sheet1!$C$3:$Q$3,1))-INDEX([3]Sheet1!$C$4:$Q$23,
MATCH(K545,[3]Sheet1!$B$4:$B$23,1),MATCH(D545,[3]Sheet1!$C$3:$Q$3,1)))
+(D545-INDEX([3]Sheet1!$C$3:$Q$3,1,MATCH(D545,[3]Sheet1!$C$3:$Q$3)))/(INDEX([3]Sheet1!$C$3:$Q$3,1,MATCH(D545,[3]Sheet1!$C$3:$Q$3)+1)-INDEX([3]Sheet1!$C$3:$Q$3,1,MATCH(
D545,[3]Sheet1!$C$3:$Q$3)))*(INDEX([3]Sheet1!$C$4:$Q$23,MATCH(K545,[3]Sheet1!$B$4:$B$23,1),MATCH(D545,[3]Sheet1!$C$3:$Q$3,1)+1)-INDEX([3]Sheet1!$C$4:$Q$23,MATCH(K545,[3]Sheet1!$B$4:$B$23,1),MATCH(D545,[3]Sheet1!$C$3:$Q$3,1))))</f>
        <v>0</v>
      </c>
      <c r="M545" cm="1">
        <f t="array" ref="M545" xml:space="preserve"> IF(E545*J545=0,0,(INDEX([2]Sheet1!$C$4:$Q$23,MATCH(K545,[2]Sheet1!$B$4:$B$23,1),MATCH(D545,[2]Sheet1!$C$3:$Q$3,1))
+ (K545 - INDEX([2]Sheet1!$B$4:$B$23,MATCH(K545,[2]Sheet1!$B$4:$B$23,1),1))/(INDEX([2]Sheet1!$B$4:$B$23,MATCH(K545,[2]Sheet1!$B$4:$B$23,1)+1,1) - INDEX([2]Sheet1!$B$4:$B$23,MATCH(K545,[2]Sheet1!$B$4:$B$23,1),1))*(INDEX([2]Sheet1!$C$4:$Q$23,MATCH(K545,[2]Sheet1!$B$4:$B$23,1)+1,MATCH(D545,[2]Sheet1!$C$3:$Q$3,1)) - INDEX([2]Sheet1!$C$4:$Q$23,MATCH(K545,[2]Sheet1!$B$4:$B$23,1),MATCH(D545,[2]Sheet1!$C$3:$Q$3,1)))
+ (D545 - INDEX([2]Sheet1!$C$3:$Q$3,1,MATCH(D545,[2]Sheet1!$C$3:$Q$3)))/(INDEX([2]Sheet1!$C$3:$Q$3,1,MATCH(D545,[2]Sheet1!$C$3:$Q$3)+1) - INDEX([2]Sheet1!$C$3:$Q$3,1,MATCH(D545,[2]Sheet1!$C$3:$Q$3)))*(
INDEX([2]Sheet1!$C$4:$Q$23,MATCH(K545,[2]Sheet1!$B$4:$B$23,1),MATCH(D545,[2]Sheet1!$C$3:$Q$3,1)+1) - INDEX([2]Sheet1!$C$4:$Q$23,MATCH(K545,[2]Sheet1!$B$4:$B$23,1),MATCH(D545,[2]Sheet1!$C$3:$Q$3,1)))))</f>
        <v>0</v>
      </c>
      <c r="N545">
        <f t="shared" si="152"/>
        <v>12</v>
      </c>
      <c r="O545">
        <v>8.5274612476982994E-2</v>
      </c>
      <c r="P545" t="e">
        <f t="shared" si="153"/>
        <v>#DIV/0!</v>
      </c>
      <c r="Q545">
        <f t="shared" si="140"/>
        <v>0</v>
      </c>
      <c r="R545">
        <f t="shared" si="154"/>
        <v>741.9099431943954</v>
      </c>
      <c r="T545" t="e">
        <f t="shared" si="143"/>
        <v>#DIV/0!</v>
      </c>
      <c r="U545" t="e">
        <f t="shared" si="144"/>
        <v>#DIV/0!</v>
      </c>
      <c r="V545">
        <f t="shared" si="145"/>
        <v>0</v>
      </c>
      <c r="W545" t="e">
        <f t="shared" si="141"/>
        <v>#DIV/0!</v>
      </c>
    </row>
    <row r="546" spans="1:23" x14ac:dyDescent="0.55000000000000004">
      <c r="A546">
        <f t="shared" si="142"/>
        <v>51.200000000000458</v>
      </c>
      <c r="B546">
        <f t="shared" si="146"/>
        <v>0.316</v>
      </c>
      <c r="C546">
        <f t="shared" si="147"/>
        <v>-28.391304347826392</v>
      </c>
      <c r="D546">
        <v>2.427206964866055</v>
      </c>
      <c r="E546">
        <f t="shared" si="137"/>
        <v>0</v>
      </c>
      <c r="F546">
        <f t="shared" si="148"/>
        <v>4.8605058816845369E-2</v>
      </c>
      <c r="G546">
        <f t="shared" si="149"/>
        <v>39.513748498891111</v>
      </c>
      <c r="H546">
        <f t="shared" si="150"/>
        <v>0</v>
      </c>
      <c r="I546" s="1">
        <f t="shared" si="138"/>
        <v>0</v>
      </c>
      <c r="J546">
        <f t="shared" si="151"/>
        <v>0</v>
      </c>
      <c r="K546">
        <f t="shared" si="139"/>
        <v>0</v>
      </c>
      <c r="L546" cm="1">
        <f t="array" ref="L546">IF(E546*J546=0,0,$C$21*INDEX([3]Sheet1!$C$4:$Q$23,MATCH(K546,[3]Sheet1!$B$4:$B$23,1),MATCH(D546,[3]Sheet1!$C$3:$Q$3,1))
+(K546-INDEX([3]Sheet1!$B$4:$B$23,MATCH(K546,[3]Sheet1!$B$4:$B$23,1),1))/(INDEX([3]Sheet1!$B$4:$B$23,MATCH(K546,[3]Sheet1!$B$4:$B$23,1)+1,1)-INDEX([3]Sheet1!$B$4:$B$23,
MATCH(K546,[3]Sheet1!$B$4:$B$23,1),1))*(INDEX([3]Sheet1!$C$4:$Q$23,MATCH(K546,[3]Sheet1!$B$4:$B$23,1)+1,MATCH(D546,[3]Sheet1!$C$3:$Q$3,1))-INDEX([3]Sheet1!$C$4:$Q$23,
MATCH(K546,[3]Sheet1!$B$4:$B$23,1),MATCH(D546,[3]Sheet1!$C$3:$Q$3,1)))
+(D546-INDEX([3]Sheet1!$C$3:$Q$3,1,MATCH(D546,[3]Sheet1!$C$3:$Q$3)))/(INDEX([3]Sheet1!$C$3:$Q$3,1,MATCH(D546,[3]Sheet1!$C$3:$Q$3)+1)-INDEX([3]Sheet1!$C$3:$Q$3,1,MATCH(
D546,[3]Sheet1!$C$3:$Q$3)))*(INDEX([3]Sheet1!$C$4:$Q$23,MATCH(K546,[3]Sheet1!$B$4:$B$23,1),MATCH(D546,[3]Sheet1!$C$3:$Q$3,1)+1)-INDEX([3]Sheet1!$C$4:$Q$23,MATCH(K546,[3]Sheet1!$B$4:$B$23,1),MATCH(D546,[3]Sheet1!$C$3:$Q$3,1))))</f>
        <v>0</v>
      </c>
      <c r="M546" cm="1">
        <f t="array" ref="M546" xml:space="preserve"> IF(E546*J546=0,0,(INDEX([2]Sheet1!$C$4:$Q$23,MATCH(K546,[2]Sheet1!$B$4:$B$23,1),MATCH(D546,[2]Sheet1!$C$3:$Q$3,1))
+ (K546 - INDEX([2]Sheet1!$B$4:$B$23,MATCH(K546,[2]Sheet1!$B$4:$B$23,1),1))/(INDEX([2]Sheet1!$B$4:$B$23,MATCH(K546,[2]Sheet1!$B$4:$B$23,1)+1,1) - INDEX([2]Sheet1!$B$4:$B$23,MATCH(K546,[2]Sheet1!$B$4:$B$23,1),1))*(INDEX([2]Sheet1!$C$4:$Q$23,MATCH(K546,[2]Sheet1!$B$4:$B$23,1)+1,MATCH(D546,[2]Sheet1!$C$3:$Q$3,1)) - INDEX([2]Sheet1!$C$4:$Q$23,MATCH(K546,[2]Sheet1!$B$4:$B$23,1),MATCH(D546,[2]Sheet1!$C$3:$Q$3,1)))
+ (D546 - INDEX([2]Sheet1!$C$3:$Q$3,1,MATCH(D546,[2]Sheet1!$C$3:$Q$3)))/(INDEX([2]Sheet1!$C$3:$Q$3,1,MATCH(D546,[2]Sheet1!$C$3:$Q$3)+1) - INDEX([2]Sheet1!$C$3:$Q$3,1,MATCH(D546,[2]Sheet1!$C$3:$Q$3)))*(
INDEX([2]Sheet1!$C$4:$Q$23,MATCH(K546,[2]Sheet1!$B$4:$B$23,1),MATCH(D546,[2]Sheet1!$C$3:$Q$3,1)+1) - INDEX([2]Sheet1!$C$4:$Q$23,MATCH(K546,[2]Sheet1!$B$4:$B$23,1),MATCH(D546,[2]Sheet1!$C$3:$Q$3,1)))))</f>
        <v>0</v>
      </c>
      <c r="N546">
        <f t="shared" si="152"/>
        <v>12</v>
      </c>
      <c r="O546">
        <v>8.5260317508905281E-2</v>
      </c>
      <c r="P546" t="e">
        <f t="shared" si="153"/>
        <v>#DIV/0!</v>
      </c>
      <c r="Q546">
        <f t="shared" si="140"/>
        <v>0</v>
      </c>
      <c r="R546">
        <f t="shared" si="154"/>
        <v>741.9099431943954</v>
      </c>
      <c r="T546" t="e">
        <f t="shared" si="143"/>
        <v>#DIV/0!</v>
      </c>
      <c r="U546" t="e">
        <f t="shared" si="144"/>
        <v>#DIV/0!</v>
      </c>
      <c r="V546">
        <f t="shared" si="145"/>
        <v>0</v>
      </c>
      <c r="W546" t="e">
        <f t="shared" si="141"/>
        <v>#DIV/0!</v>
      </c>
    </row>
    <row r="547" spans="1:23" x14ac:dyDescent="0.55000000000000004">
      <c r="A547">
        <f t="shared" si="142"/>
        <v>51.300000000000459</v>
      </c>
      <c r="B547">
        <f t="shared" si="146"/>
        <v>0.316</v>
      </c>
      <c r="C547">
        <f t="shared" si="147"/>
        <v>-28.456521739130736</v>
      </c>
      <c r="D547">
        <v>2.4271336545300097</v>
      </c>
      <c r="E547">
        <f t="shared" ref="E547:E610" si="155">IF(B547&lt;($C$5*$C$6*10^-6),$C$9*(PI()/4*($C$8*0.001)^2)*SQRT(2*$C$6*IF(C547&gt;D547,(C547-D547),0)*10^6),0)</f>
        <v>0</v>
      </c>
      <c r="F547">
        <f t="shared" si="148"/>
        <v>4.8605058816845369E-2</v>
      </c>
      <c r="G547">
        <f t="shared" si="149"/>
        <v>39.513748498891111</v>
      </c>
      <c r="H547">
        <f t="shared" si="150"/>
        <v>0</v>
      </c>
      <c r="I547" s="1">
        <f t="shared" ref="I547:I610" si="156">IF(G547=$C$14,0,$C$16*(H547)^$C$17)</f>
        <v>0</v>
      </c>
      <c r="J547">
        <f t="shared" si="151"/>
        <v>0</v>
      </c>
      <c r="K547">
        <f t="shared" ref="K547:K610" si="157">IF(E547*J547=0,0,E547/J547)</f>
        <v>0</v>
      </c>
      <c r="L547" cm="1">
        <f t="array" ref="L547">IF(E547*J547=0,0,$C$21*INDEX([3]Sheet1!$C$4:$Q$23,MATCH(K547,[3]Sheet1!$B$4:$B$23,1),MATCH(D547,[3]Sheet1!$C$3:$Q$3,1))
+(K547-INDEX([3]Sheet1!$B$4:$B$23,MATCH(K547,[3]Sheet1!$B$4:$B$23,1),1))/(INDEX([3]Sheet1!$B$4:$B$23,MATCH(K547,[3]Sheet1!$B$4:$B$23,1)+1,1)-INDEX([3]Sheet1!$B$4:$B$23,
MATCH(K547,[3]Sheet1!$B$4:$B$23,1),1))*(INDEX([3]Sheet1!$C$4:$Q$23,MATCH(K547,[3]Sheet1!$B$4:$B$23,1)+1,MATCH(D547,[3]Sheet1!$C$3:$Q$3,1))-INDEX([3]Sheet1!$C$4:$Q$23,
MATCH(K547,[3]Sheet1!$B$4:$B$23,1),MATCH(D547,[3]Sheet1!$C$3:$Q$3,1)))
+(D547-INDEX([3]Sheet1!$C$3:$Q$3,1,MATCH(D547,[3]Sheet1!$C$3:$Q$3)))/(INDEX([3]Sheet1!$C$3:$Q$3,1,MATCH(D547,[3]Sheet1!$C$3:$Q$3)+1)-INDEX([3]Sheet1!$C$3:$Q$3,1,MATCH(
D547,[3]Sheet1!$C$3:$Q$3)))*(INDEX([3]Sheet1!$C$4:$Q$23,MATCH(K547,[3]Sheet1!$B$4:$B$23,1),MATCH(D547,[3]Sheet1!$C$3:$Q$3,1)+1)-INDEX([3]Sheet1!$C$4:$Q$23,MATCH(K547,[3]Sheet1!$B$4:$B$23,1),MATCH(D547,[3]Sheet1!$C$3:$Q$3,1))))</f>
        <v>0</v>
      </c>
      <c r="M547" cm="1">
        <f t="array" ref="M547" xml:space="preserve"> IF(E547*J547=0,0,(INDEX([2]Sheet1!$C$4:$Q$23,MATCH(K547,[2]Sheet1!$B$4:$B$23,1),MATCH(D547,[2]Sheet1!$C$3:$Q$3,1))
+ (K547 - INDEX([2]Sheet1!$B$4:$B$23,MATCH(K547,[2]Sheet1!$B$4:$B$23,1),1))/(INDEX([2]Sheet1!$B$4:$B$23,MATCH(K547,[2]Sheet1!$B$4:$B$23,1)+1,1) - INDEX([2]Sheet1!$B$4:$B$23,MATCH(K547,[2]Sheet1!$B$4:$B$23,1),1))*(INDEX([2]Sheet1!$C$4:$Q$23,MATCH(K547,[2]Sheet1!$B$4:$B$23,1)+1,MATCH(D547,[2]Sheet1!$C$3:$Q$3,1)) - INDEX([2]Sheet1!$C$4:$Q$23,MATCH(K547,[2]Sheet1!$B$4:$B$23,1),MATCH(D547,[2]Sheet1!$C$3:$Q$3,1)))
+ (D547 - INDEX([2]Sheet1!$C$3:$Q$3,1,MATCH(D547,[2]Sheet1!$C$3:$Q$3)))/(INDEX([2]Sheet1!$C$3:$Q$3,1,MATCH(D547,[2]Sheet1!$C$3:$Q$3)+1) - INDEX([2]Sheet1!$C$3:$Q$3,1,MATCH(D547,[2]Sheet1!$C$3:$Q$3)))*(
INDEX([2]Sheet1!$C$4:$Q$23,MATCH(K547,[2]Sheet1!$B$4:$B$23,1),MATCH(D547,[2]Sheet1!$C$3:$Q$3,1)+1) - INDEX([2]Sheet1!$C$4:$Q$23,MATCH(K547,[2]Sheet1!$B$4:$B$23,1),MATCH(D547,[2]Sheet1!$C$3:$Q$3,1)))))</f>
        <v>0</v>
      </c>
      <c r="N547">
        <f t="shared" si="152"/>
        <v>12</v>
      </c>
      <c r="O547">
        <v>8.5246043999127372E-2</v>
      </c>
      <c r="P547" t="e">
        <f t="shared" si="153"/>
        <v>#DIV/0!</v>
      </c>
      <c r="Q547">
        <f t="shared" ref="Q547:Q610" si="158">IF(E547*J547=0,0,((1+COS(RADIANS($C$25)))/2)*P547*D547*(PI()*($C$23^2)/4))</f>
        <v>0</v>
      </c>
      <c r="R547">
        <f t="shared" si="154"/>
        <v>741.9099431943954</v>
      </c>
      <c r="T547" t="e">
        <f t="shared" si="143"/>
        <v>#DIV/0!</v>
      </c>
      <c r="U547" t="e">
        <f t="shared" si="144"/>
        <v>#DIV/0!</v>
      </c>
      <c r="V547">
        <f t="shared" si="145"/>
        <v>0</v>
      </c>
      <c r="W547" t="e">
        <f t="shared" ref="W547:W610" si="159">(D547-V547)/V547*100</f>
        <v>#DIV/0!</v>
      </c>
    </row>
    <row r="548" spans="1:23" x14ac:dyDescent="0.55000000000000004">
      <c r="A548">
        <f t="shared" ref="A548:A611" si="160">A547+$C$29</f>
        <v>51.40000000000046</v>
      </c>
      <c r="B548">
        <f t="shared" si="146"/>
        <v>0.316</v>
      </c>
      <c r="C548">
        <f t="shared" si="147"/>
        <v>-28.521739130435087</v>
      </c>
      <c r="D548">
        <v>2.4270604418083064</v>
      </c>
      <c r="E548">
        <f t="shared" si="155"/>
        <v>0</v>
      </c>
      <c r="F548">
        <f t="shared" si="148"/>
        <v>4.8605058816845369E-2</v>
      </c>
      <c r="G548">
        <f t="shared" si="149"/>
        <v>39.513748498891111</v>
      </c>
      <c r="H548">
        <f t="shared" si="150"/>
        <v>0</v>
      </c>
      <c r="I548" s="1">
        <f t="shared" si="156"/>
        <v>0</v>
      </c>
      <c r="J548">
        <f t="shared" si="151"/>
        <v>0</v>
      </c>
      <c r="K548">
        <f t="shared" si="157"/>
        <v>0</v>
      </c>
      <c r="L548" cm="1">
        <f t="array" ref="L548">IF(E548*J548=0,0,$C$21*INDEX([3]Sheet1!$C$4:$Q$23,MATCH(K548,[3]Sheet1!$B$4:$B$23,1),MATCH(D548,[3]Sheet1!$C$3:$Q$3,1))
+(K548-INDEX([3]Sheet1!$B$4:$B$23,MATCH(K548,[3]Sheet1!$B$4:$B$23,1),1))/(INDEX([3]Sheet1!$B$4:$B$23,MATCH(K548,[3]Sheet1!$B$4:$B$23,1)+1,1)-INDEX([3]Sheet1!$B$4:$B$23,
MATCH(K548,[3]Sheet1!$B$4:$B$23,1),1))*(INDEX([3]Sheet1!$C$4:$Q$23,MATCH(K548,[3]Sheet1!$B$4:$B$23,1)+1,MATCH(D548,[3]Sheet1!$C$3:$Q$3,1))-INDEX([3]Sheet1!$C$4:$Q$23,
MATCH(K548,[3]Sheet1!$B$4:$B$23,1),MATCH(D548,[3]Sheet1!$C$3:$Q$3,1)))
+(D548-INDEX([3]Sheet1!$C$3:$Q$3,1,MATCH(D548,[3]Sheet1!$C$3:$Q$3)))/(INDEX([3]Sheet1!$C$3:$Q$3,1,MATCH(D548,[3]Sheet1!$C$3:$Q$3)+1)-INDEX([3]Sheet1!$C$3:$Q$3,1,MATCH(
D548,[3]Sheet1!$C$3:$Q$3)))*(INDEX([3]Sheet1!$C$4:$Q$23,MATCH(K548,[3]Sheet1!$B$4:$B$23,1),MATCH(D548,[3]Sheet1!$C$3:$Q$3,1)+1)-INDEX([3]Sheet1!$C$4:$Q$23,MATCH(K548,[3]Sheet1!$B$4:$B$23,1),MATCH(D548,[3]Sheet1!$C$3:$Q$3,1))))</f>
        <v>0</v>
      </c>
      <c r="M548" cm="1">
        <f t="array" ref="M548" xml:space="preserve"> IF(E548*J548=0,0,(INDEX([2]Sheet1!$C$4:$Q$23,MATCH(K548,[2]Sheet1!$B$4:$B$23,1),MATCH(D548,[2]Sheet1!$C$3:$Q$3,1))
+ (K548 - INDEX([2]Sheet1!$B$4:$B$23,MATCH(K548,[2]Sheet1!$B$4:$B$23,1),1))/(INDEX([2]Sheet1!$B$4:$B$23,MATCH(K548,[2]Sheet1!$B$4:$B$23,1)+1,1) - INDEX([2]Sheet1!$B$4:$B$23,MATCH(K548,[2]Sheet1!$B$4:$B$23,1),1))*(INDEX([2]Sheet1!$C$4:$Q$23,MATCH(K548,[2]Sheet1!$B$4:$B$23,1)+1,MATCH(D548,[2]Sheet1!$C$3:$Q$3,1)) - INDEX([2]Sheet1!$C$4:$Q$23,MATCH(K548,[2]Sheet1!$B$4:$B$23,1),MATCH(D548,[2]Sheet1!$C$3:$Q$3,1)))
+ (D548 - INDEX([2]Sheet1!$C$3:$Q$3,1,MATCH(D548,[2]Sheet1!$C$3:$Q$3)))/(INDEX([2]Sheet1!$C$3:$Q$3,1,MATCH(D548,[2]Sheet1!$C$3:$Q$3)+1) - INDEX([2]Sheet1!$C$3:$Q$3,1,MATCH(D548,[2]Sheet1!$C$3:$Q$3)))*(
INDEX([2]Sheet1!$C$4:$Q$23,MATCH(K548,[2]Sheet1!$B$4:$B$23,1),MATCH(D548,[2]Sheet1!$C$3:$Q$3,1)+1) - INDEX([2]Sheet1!$C$4:$Q$23,MATCH(K548,[2]Sheet1!$B$4:$B$23,1),MATCH(D548,[2]Sheet1!$C$3:$Q$3,1)))))</f>
        <v>0</v>
      </c>
      <c r="N548">
        <f t="shared" si="152"/>
        <v>12</v>
      </c>
      <c r="O548">
        <v>8.5231791885209171E-2</v>
      </c>
      <c r="P548" t="e">
        <f t="shared" si="153"/>
        <v>#DIV/0!</v>
      </c>
      <c r="Q548">
        <f t="shared" si="158"/>
        <v>0</v>
      </c>
      <c r="R548">
        <f t="shared" si="154"/>
        <v>741.9099431943954</v>
      </c>
      <c r="T548" t="e">
        <f t="shared" si="143"/>
        <v>#DIV/0!</v>
      </c>
      <c r="U548" t="e">
        <f t="shared" si="144"/>
        <v>#DIV/0!</v>
      </c>
      <c r="V548">
        <f t="shared" si="145"/>
        <v>0</v>
      </c>
      <c r="W548" t="e">
        <f t="shared" si="159"/>
        <v>#DIV/0!</v>
      </c>
    </row>
    <row r="549" spans="1:23" x14ac:dyDescent="0.55000000000000004">
      <c r="A549">
        <f t="shared" si="160"/>
        <v>51.500000000000462</v>
      </c>
      <c r="B549">
        <f t="shared" si="146"/>
        <v>0.316</v>
      </c>
      <c r="C549">
        <f t="shared" si="147"/>
        <v>-28.586956521739438</v>
      </c>
      <c r="D549">
        <v>2.426987326431818</v>
      </c>
      <c r="E549">
        <f t="shared" si="155"/>
        <v>0</v>
      </c>
      <c r="F549">
        <f t="shared" si="148"/>
        <v>4.8605058816845369E-2</v>
      </c>
      <c r="G549">
        <f t="shared" si="149"/>
        <v>39.513748498891111</v>
      </c>
      <c r="H549">
        <f t="shared" si="150"/>
        <v>0</v>
      </c>
      <c r="I549" s="1">
        <f t="shared" si="156"/>
        <v>0</v>
      </c>
      <c r="J549">
        <f t="shared" si="151"/>
        <v>0</v>
      </c>
      <c r="K549">
        <f t="shared" si="157"/>
        <v>0</v>
      </c>
      <c r="L549" cm="1">
        <f t="array" ref="L549">IF(E549*J549=0,0,$C$21*INDEX([3]Sheet1!$C$4:$Q$23,MATCH(K549,[3]Sheet1!$B$4:$B$23,1),MATCH(D549,[3]Sheet1!$C$3:$Q$3,1))
+(K549-INDEX([3]Sheet1!$B$4:$B$23,MATCH(K549,[3]Sheet1!$B$4:$B$23,1),1))/(INDEX([3]Sheet1!$B$4:$B$23,MATCH(K549,[3]Sheet1!$B$4:$B$23,1)+1,1)-INDEX([3]Sheet1!$B$4:$B$23,
MATCH(K549,[3]Sheet1!$B$4:$B$23,1),1))*(INDEX([3]Sheet1!$C$4:$Q$23,MATCH(K549,[3]Sheet1!$B$4:$B$23,1)+1,MATCH(D549,[3]Sheet1!$C$3:$Q$3,1))-INDEX([3]Sheet1!$C$4:$Q$23,
MATCH(K549,[3]Sheet1!$B$4:$B$23,1),MATCH(D549,[3]Sheet1!$C$3:$Q$3,1)))
+(D549-INDEX([3]Sheet1!$C$3:$Q$3,1,MATCH(D549,[3]Sheet1!$C$3:$Q$3)))/(INDEX([3]Sheet1!$C$3:$Q$3,1,MATCH(D549,[3]Sheet1!$C$3:$Q$3)+1)-INDEX([3]Sheet1!$C$3:$Q$3,1,MATCH(
D549,[3]Sheet1!$C$3:$Q$3)))*(INDEX([3]Sheet1!$C$4:$Q$23,MATCH(K549,[3]Sheet1!$B$4:$B$23,1),MATCH(D549,[3]Sheet1!$C$3:$Q$3,1)+1)-INDEX([3]Sheet1!$C$4:$Q$23,MATCH(K549,[3]Sheet1!$B$4:$B$23,1),MATCH(D549,[3]Sheet1!$C$3:$Q$3,1))))</f>
        <v>0</v>
      </c>
      <c r="M549" cm="1">
        <f t="array" ref="M549" xml:space="preserve"> IF(E549*J549=0,0,(INDEX([2]Sheet1!$C$4:$Q$23,MATCH(K549,[2]Sheet1!$B$4:$B$23,1),MATCH(D549,[2]Sheet1!$C$3:$Q$3,1))
+ (K549 - INDEX([2]Sheet1!$B$4:$B$23,MATCH(K549,[2]Sheet1!$B$4:$B$23,1),1))/(INDEX([2]Sheet1!$B$4:$B$23,MATCH(K549,[2]Sheet1!$B$4:$B$23,1)+1,1) - INDEX([2]Sheet1!$B$4:$B$23,MATCH(K549,[2]Sheet1!$B$4:$B$23,1),1))*(INDEX([2]Sheet1!$C$4:$Q$23,MATCH(K549,[2]Sheet1!$B$4:$B$23,1)+1,MATCH(D549,[2]Sheet1!$C$3:$Q$3,1)) - INDEX([2]Sheet1!$C$4:$Q$23,MATCH(K549,[2]Sheet1!$B$4:$B$23,1),MATCH(D549,[2]Sheet1!$C$3:$Q$3,1)))
+ (D549 - INDEX([2]Sheet1!$C$3:$Q$3,1,MATCH(D549,[2]Sheet1!$C$3:$Q$3)))/(INDEX([2]Sheet1!$C$3:$Q$3,1,MATCH(D549,[2]Sheet1!$C$3:$Q$3)+1) - INDEX([2]Sheet1!$C$3:$Q$3,1,MATCH(D549,[2]Sheet1!$C$3:$Q$3)))*(
INDEX([2]Sheet1!$C$4:$Q$23,MATCH(K549,[2]Sheet1!$B$4:$B$23,1),MATCH(D549,[2]Sheet1!$C$3:$Q$3,1)+1) - INDEX([2]Sheet1!$C$4:$Q$23,MATCH(K549,[2]Sheet1!$B$4:$B$23,1),MATCH(D549,[2]Sheet1!$C$3:$Q$3,1)))))</f>
        <v>0</v>
      </c>
      <c r="N549">
        <f t="shared" si="152"/>
        <v>12</v>
      </c>
      <c r="O549">
        <v>8.5217561104981424E-2</v>
      </c>
      <c r="P549" t="e">
        <f t="shared" si="153"/>
        <v>#DIV/0!</v>
      </c>
      <c r="Q549">
        <f t="shared" si="158"/>
        <v>0</v>
      </c>
      <c r="R549">
        <f t="shared" si="154"/>
        <v>741.9099431943954</v>
      </c>
      <c r="T549" t="e">
        <f t="shared" ref="T549:T612" si="161">((2/(M549+1))^(1/(M549-1)))*((D549/O549)^(1/M549))/SQRT(((M549+1)/(M549-1))*(1-(O549/D549)^((M549-1)/M549)))</f>
        <v>#DIV/0!</v>
      </c>
      <c r="U549" t="e">
        <f t="shared" ref="U549:U612" si="162">(T549-(($C$24^2)/(N549^2)))/(($C$24^2)/(N549^2))*100</f>
        <v>#DIV/0!</v>
      </c>
      <c r="V549">
        <f t="shared" ref="V549:V612" si="163">4*L549*(E549+J549)/(PI()*N549^2)</f>
        <v>0</v>
      </c>
      <c r="W549" t="e">
        <f t="shared" si="159"/>
        <v>#DIV/0!</v>
      </c>
    </row>
    <row r="550" spans="1:23" x14ac:dyDescent="0.55000000000000004">
      <c r="A550">
        <f t="shared" si="160"/>
        <v>51.600000000000463</v>
      </c>
      <c r="B550">
        <f t="shared" ref="B550:B613" si="164">IF(B549+(E549+E548)*(A549-A548)/2&lt;$C$5*$C$6*10^-6,B549+(E549+E548)*(A549-A548)/2,$C$5*$C$6*10^-6)</f>
        <v>0.316</v>
      </c>
      <c r="C550">
        <f t="shared" ref="C550:C613" si="165">($C$3-$C$2)*A550/$C$4+$C$2</f>
        <v>-28.652173913043782</v>
      </c>
      <c r="D550">
        <v>2.4269143081325408</v>
      </c>
      <c r="E550">
        <f t="shared" si="155"/>
        <v>0</v>
      </c>
      <c r="F550">
        <f t="shared" ref="F550:F613" si="166">F549+(J549+J548)*(A550-A549)/2</f>
        <v>4.8605058816845369E-2</v>
      </c>
      <c r="G550">
        <f t="shared" ref="G550:G613" si="167">IF(SQRT(4*F550/($C$15*PI()*$C$11*$C$12*0.001)+($C$13*0.001)^2)*1000&lt;$C$14,SQRT(4*F550/($C$15*PI()*$C$11*$C$12*0.001)+($C$13*0.001)^2)*1000,$C$14)</f>
        <v>39.513748498891111</v>
      </c>
      <c r="H550">
        <f t="shared" ref="H550:H613" si="168">4*E550/($C$15*PI()*(G550*0.001)^2)</f>
        <v>0</v>
      </c>
      <c r="I550" s="1">
        <f t="shared" si="156"/>
        <v>0</v>
      </c>
      <c r="J550">
        <f t="shared" ref="J550:J613" si="169">($C$12*10^-3)*PI()*(G550*10^-3)*$C$11*(I550*10^-3)*$C$15</f>
        <v>0</v>
      </c>
      <c r="K550">
        <f t="shared" si="157"/>
        <v>0</v>
      </c>
      <c r="L550" cm="1">
        <f t="array" ref="L550">IF(E550*J550=0,0,$C$21*INDEX([3]Sheet1!$C$4:$Q$23,MATCH(K550,[3]Sheet1!$B$4:$B$23,1),MATCH(D550,[3]Sheet1!$C$3:$Q$3,1))
+(K550-INDEX([3]Sheet1!$B$4:$B$23,MATCH(K550,[3]Sheet1!$B$4:$B$23,1),1))/(INDEX([3]Sheet1!$B$4:$B$23,MATCH(K550,[3]Sheet1!$B$4:$B$23,1)+1,1)-INDEX([3]Sheet1!$B$4:$B$23,
MATCH(K550,[3]Sheet1!$B$4:$B$23,1),1))*(INDEX([3]Sheet1!$C$4:$Q$23,MATCH(K550,[3]Sheet1!$B$4:$B$23,1)+1,MATCH(D550,[3]Sheet1!$C$3:$Q$3,1))-INDEX([3]Sheet1!$C$4:$Q$23,
MATCH(K550,[3]Sheet1!$B$4:$B$23,1),MATCH(D550,[3]Sheet1!$C$3:$Q$3,1)))
+(D550-INDEX([3]Sheet1!$C$3:$Q$3,1,MATCH(D550,[3]Sheet1!$C$3:$Q$3)))/(INDEX([3]Sheet1!$C$3:$Q$3,1,MATCH(D550,[3]Sheet1!$C$3:$Q$3)+1)-INDEX([3]Sheet1!$C$3:$Q$3,1,MATCH(
D550,[3]Sheet1!$C$3:$Q$3)))*(INDEX([3]Sheet1!$C$4:$Q$23,MATCH(K550,[3]Sheet1!$B$4:$B$23,1),MATCH(D550,[3]Sheet1!$C$3:$Q$3,1)+1)-INDEX([3]Sheet1!$C$4:$Q$23,MATCH(K550,[3]Sheet1!$B$4:$B$23,1),MATCH(D550,[3]Sheet1!$C$3:$Q$3,1))))</f>
        <v>0</v>
      </c>
      <c r="M550" cm="1">
        <f t="array" ref="M550" xml:space="preserve"> IF(E550*J550=0,0,(INDEX([2]Sheet1!$C$4:$Q$23,MATCH(K550,[2]Sheet1!$B$4:$B$23,1),MATCH(D550,[2]Sheet1!$C$3:$Q$3,1))
+ (K550 - INDEX([2]Sheet1!$B$4:$B$23,MATCH(K550,[2]Sheet1!$B$4:$B$23,1),1))/(INDEX([2]Sheet1!$B$4:$B$23,MATCH(K550,[2]Sheet1!$B$4:$B$23,1)+1,1) - INDEX([2]Sheet1!$B$4:$B$23,MATCH(K550,[2]Sheet1!$B$4:$B$23,1),1))*(INDEX([2]Sheet1!$C$4:$Q$23,MATCH(K550,[2]Sheet1!$B$4:$B$23,1)+1,MATCH(D550,[2]Sheet1!$C$3:$Q$3,1)) - INDEX([2]Sheet1!$C$4:$Q$23,MATCH(K550,[2]Sheet1!$B$4:$B$23,1),MATCH(D550,[2]Sheet1!$C$3:$Q$3,1)))
+ (D550 - INDEX([2]Sheet1!$C$3:$Q$3,1,MATCH(D550,[2]Sheet1!$C$3:$Q$3)))/(INDEX([2]Sheet1!$C$3:$Q$3,1,MATCH(D550,[2]Sheet1!$C$3:$Q$3)+1) - INDEX([2]Sheet1!$C$3:$Q$3,1,MATCH(D550,[2]Sheet1!$C$3:$Q$3)))*(
INDEX([2]Sheet1!$C$4:$Q$23,MATCH(K550,[2]Sheet1!$B$4:$B$23,1),MATCH(D550,[2]Sheet1!$C$3:$Q$3,1)+1) - INDEX([2]Sheet1!$C$4:$Q$23,MATCH(K550,[2]Sheet1!$B$4:$B$23,1),MATCH(D550,[2]Sheet1!$C$3:$Q$3,1)))))</f>
        <v>0</v>
      </c>
      <c r="N550">
        <f t="shared" ref="N550:N613" si="170">C$23+$C$26*(A551-A550)</f>
        <v>12</v>
      </c>
      <c r="O550">
        <v>8.520335159654259E-2</v>
      </c>
      <c r="P550" t="e">
        <f t="shared" ref="P550:P613" si="171">SQRT(2*(M550^2)/(M550-1)*((2/(M550+1))^((M550+1)/(M550-1)))*(1-(O550/D550)^((M550-1)/M550)))+((O550-$C$22)/D550)*(($C$24^2)/($C$23^2))</f>
        <v>#DIV/0!</v>
      </c>
      <c r="Q550">
        <f t="shared" si="158"/>
        <v>0</v>
      </c>
      <c r="R550">
        <f t="shared" ref="R550:R613" si="172">R549+(Q550+Q549)*(A550-A549)/2</f>
        <v>741.9099431943954</v>
      </c>
      <c r="T550" t="e">
        <f t="shared" si="161"/>
        <v>#DIV/0!</v>
      </c>
      <c r="U550" t="e">
        <f t="shared" si="162"/>
        <v>#DIV/0!</v>
      </c>
      <c r="V550">
        <f t="shared" si="163"/>
        <v>0</v>
      </c>
      <c r="W550" t="e">
        <f t="shared" si="159"/>
        <v>#DIV/0!</v>
      </c>
    </row>
    <row r="551" spans="1:23" x14ac:dyDescent="0.55000000000000004">
      <c r="A551">
        <f t="shared" si="160"/>
        <v>51.700000000000465</v>
      </c>
      <c r="B551">
        <f t="shared" si="164"/>
        <v>0.316</v>
      </c>
      <c r="C551">
        <f t="shared" si="165"/>
        <v>-28.717391304348133</v>
      </c>
      <c r="D551">
        <v>2.4268413866435812</v>
      </c>
      <c r="E551">
        <f t="shared" si="155"/>
        <v>0</v>
      </c>
      <c r="F551">
        <f t="shared" si="166"/>
        <v>4.8605058816845369E-2</v>
      </c>
      <c r="G551">
        <f t="shared" si="167"/>
        <v>39.513748498891111</v>
      </c>
      <c r="H551">
        <f t="shared" si="168"/>
        <v>0</v>
      </c>
      <c r="I551" s="1">
        <f t="shared" si="156"/>
        <v>0</v>
      </c>
      <c r="J551">
        <f t="shared" si="169"/>
        <v>0</v>
      </c>
      <c r="K551">
        <f t="shared" si="157"/>
        <v>0</v>
      </c>
      <c r="L551" cm="1">
        <f t="array" ref="L551">IF(E551*J551=0,0,$C$21*INDEX([3]Sheet1!$C$4:$Q$23,MATCH(K551,[3]Sheet1!$B$4:$B$23,1),MATCH(D551,[3]Sheet1!$C$3:$Q$3,1))
+(K551-INDEX([3]Sheet1!$B$4:$B$23,MATCH(K551,[3]Sheet1!$B$4:$B$23,1),1))/(INDEX([3]Sheet1!$B$4:$B$23,MATCH(K551,[3]Sheet1!$B$4:$B$23,1)+1,1)-INDEX([3]Sheet1!$B$4:$B$23,
MATCH(K551,[3]Sheet1!$B$4:$B$23,1),1))*(INDEX([3]Sheet1!$C$4:$Q$23,MATCH(K551,[3]Sheet1!$B$4:$B$23,1)+1,MATCH(D551,[3]Sheet1!$C$3:$Q$3,1))-INDEX([3]Sheet1!$C$4:$Q$23,
MATCH(K551,[3]Sheet1!$B$4:$B$23,1),MATCH(D551,[3]Sheet1!$C$3:$Q$3,1)))
+(D551-INDEX([3]Sheet1!$C$3:$Q$3,1,MATCH(D551,[3]Sheet1!$C$3:$Q$3)))/(INDEX([3]Sheet1!$C$3:$Q$3,1,MATCH(D551,[3]Sheet1!$C$3:$Q$3)+1)-INDEX([3]Sheet1!$C$3:$Q$3,1,MATCH(
D551,[3]Sheet1!$C$3:$Q$3)))*(INDEX([3]Sheet1!$C$4:$Q$23,MATCH(K551,[3]Sheet1!$B$4:$B$23,1),MATCH(D551,[3]Sheet1!$C$3:$Q$3,1)+1)-INDEX([3]Sheet1!$C$4:$Q$23,MATCH(K551,[3]Sheet1!$B$4:$B$23,1),MATCH(D551,[3]Sheet1!$C$3:$Q$3,1))))</f>
        <v>0</v>
      </c>
      <c r="M551" cm="1">
        <f t="array" ref="M551" xml:space="preserve"> IF(E551*J551=0,0,(INDEX([2]Sheet1!$C$4:$Q$23,MATCH(K551,[2]Sheet1!$B$4:$B$23,1),MATCH(D551,[2]Sheet1!$C$3:$Q$3,1))
+ (K551 - INDEX([2]Sheet1!$B$4:$B$23,MATCH(K551,[2]Sheet1!$B$4:$B$23,1),1))/(INDEX([2]Sheet1!$B$4:$B$23,MATCH(K551,[2]Sheet1!$B$4:$B$23,1)+1,1) - INDEX([2]Sheet1!$B$4:$B$23,MATCH(K551,[2]Sheet1!$B$4:$B$23,1),1))*(INDEX([2]Sheet1!$C$4:$Q$23,MATCH(K551,[2]Sheet1!$B$4:$B$23,1)+1,MATCH(D551,[2]Sheet1!$C$3:$Q$3,1)) - INDEX([2]Sheet1!$C$4:$Q$23,MATCH(K551,[2]Sheet1!$B$4:$B$23,1),MATCH(D551,[2]Sheet1!$C$3:$Q$3,1)))
+ (D551 - INDEX([2]Sheet1!$C$3:$Q$3,1,MATCH(D551,[2]Sheet1!$C$3:$Q$3)))/(INDEX([2]Sheet1!$C$3:$Q$3,1,MATCH(D551,[2]Sheet1!$C$3:$Q$3)+1) - INDEX([2]Sheet1!$C$3:$Q$3,1,MATCH(D551,[2]Sheet1!$C$3:$Q$3)))*(
INDEX([2]Sheet1!$C$4:$Q$23,MATCH(K551,[2]Sheet1!$B$4:$B$23,1),MATCH(D551,[2]Sheet1!$C$3:$Q$3,1)+1) - INDEX([2]Sheet1!$C$4:$Q$23,MATCH(K551,[2]Sheet1!$B$4:$B$23,1),MATCH(D551,[2]Sheet1!$C$3:$Q$3,1)))))</f>
        <v>0</v>
      </c>
      <c r="N551">
        <f t="shared" si="170"/>
        <v>12</v>
      </c>
      <c r="O551">
        <v>8.5189163298258375E-2</v>
      </c>
      <c r="P551" t="e">
        <f t="shared" si="171"/>
        <v>#DIV/0!</v>
      </c>
      <c r="Q551">
        <f t="shared" si="158"/>
        <v>0</v>
      </c>
      <c r="R551">
        <f t="shared" si="172"/>
        <v>741.9099431943954</v>
      </c>
      <c r="T551" t="e">
        <f t="shared" si="161"/>
        <v>#DIV/0!</v>
      </c>
      <c r="U551" t="e">
        <f t="shared" si="162"/>
        <v>#DIV/0!</v>
      </c>
      <c r="V551">
        <f t="shared" si="163"/>
        <v>0</v>
      </c>
      <c r="W551" t="e">
        <f t="shared" si="159"/>
        <v>#DIV/0!</v>
      </c>
    </row>
    <row r="552" spans="1:23" x14ac:dyDescent="0.55000000000000004">
      <c r="A552">
        <f t="shared" si="160"/>
        <v>51.800000000000466</v>
      </c>
      <c r="B552">
        <f t="shared" si="164"/>
        <v>0.316</v>
      </c>
      <c r="C552">
        <f t="shared" si="165"/>
        <v>-28.782608695652478</v>
      </c>
      <c r="D552">
        <v>2.4267685616991548</v>
      </c>
      <c r="E552">
        <f t="shared" si="155"/>
        <v>0</v>
      </c>
      <c r="F552">
        <f t="shared" si="166"/>
        <v>4.8605058816845369E-2</v>
      </c>
      <c r="G552">
        <f t="shared" si="167"/>
        <v>39.513748498891111</v>
      </c>
      <c r="H552">
        <f t="shared" si="168"/>
        <v>0</v>
      </c>
      <c r="I552" s="1">
        <f t="shared" si="156"/>
        <v>0</v>
      </c>
      <c r="J552">
        <f t="shared" si="169"/>
        <v>0</v>
      </c>
      <c r="K552">
        <f t="shared" si="157"/>
        <v>0</v>
      </c>
      <c r="L552" cm="1">
        <f t="array" ref="L552">IF(E552*J552=0,0,$C$21*INDEX([3]Sheet1!$C$4:$Q$23,MATCH(K552,[3]Sheet1!$B$4:$B$23,1),MATCH(D552,[3]Sheet1!$C$3:$Q$3,1))
+(K552-INDEX([3]Sheet1!$B$4:$B$23,MATCH(K552,[3]Sheet1!$B$4:$B$23,1),1))/(INDEX([3]Sheet1!$B$4:$B$23,MATCH(K552,[3]Sheet1!$B$4:$B$23,1)+1,1)-INDEX([3]Sheet1!$B$4:$B$23,
MATCH(K552,[3]Sheet1!$B$4:$B$23,1),1))*(INDEX([3]Sheet1!$C$4:$Q$23,MATCH(K552,[3]Sheet1!$B$4:$B$23,1)+1,MATCH(D552,[3]Sheet1!$C$3:$Q$3,1))-INDEX([3]Sheet1!$C$4:$Q$23,
MATCH(K552,[3]Sheet1!$B$4:$B$23,1),MATCH(D552,[3]Sheet1!$C$3:$Q$3,1)))
+(D552-INDEX([3]Sheet1!$C$3:$Q$3,1,MATCH(D552,[3]Sheet1!$C$3:$Q$3)))/(INDEX([3]Sheet1!$C$3:$Q$3,1,MATCH(D552,[3]Sheet1!$C$3:$Q$3)+1)-INDEX([3]Sheet1!$C$3:$Q$3,1,MATCH(
D552,[3]Sheet1!$C$3:$Q$3)))*(INDEX([3]Sheet1!$C$4:$Q$23,MATCH(K552,[3]Sheet1!$B$4:$B$23,1),MATCH(D552,[3]Sheet1!$C$3:$Q$3,1)+1)-INDEX([3]Sheet1!$C$4:$Q$23,MATCH(K552,[3]Sheet1!$B$4:$B$23,1),MATCH(D552,[3]Sheet1!$C$3:$Q$3,1))))</f>
        <v>0</v>
      </c>
      <c r="M552" cm="1">
        <f t="array" ref="M552" xml:space="preserve"> IF(E552*J552=0,0,(INDEX([2]Sheet1!$C$4:$Q$23,MATCH(K552,[2]Sheet1!$B$4:$B$23,1),MATCH(D552,[2]Sheet1!$C$3:$Q$3,1))
+ (K552 - INDEX([2]Sheet1!$B$4:$B$23,MATCH(K552,[2]Sheet1!$B$4:$B$23,1),1))/(INDEX([2]Sheet1!$B$4:$B$23,MATCH(K552,[2]Sheet1!$B$4:$B$23,1)+1,1) - INDEX([2]Sheet1!$B$4:$B$23,MATCH(K552,[2]Sheet1!$B$4:$B$23,1),1))*(INDEX([2]Sheet1!$C$4:$Q$23,MATCH(K552,[2]Sheet1!$B$4:$B$23,1)+1,MATCH(D552,[2]Sheet1!$C$3:$Q$3,1)) - INDEX([2]Sheet1!$C$4:$Q$23,MATCH(K552,[2]Sheet1!$B$4:$B$23,1),MATCH(D552,[2]Sheet1!$C$3:$Q$3,1)))
+ (D552 - INDEX([2]Sheet1!$C$3:$Q$3,1,MATCH(D552,[2]Sheet1!$C$3:$Q$3)))/(INDEX([2]Sheet1!$C$3:$Q$3,1,MATCH(D552,[2]Sheet1!$C$3:$Q$3)+1) - INDEX([2]Sheet1!$C$3:$Q$3,1,MATCH(D552,[2]Sheet1!$C$3:$Q$3)))*(
INDEX([2]Sheet1!$C$4:$Q$23,MATCH(K552,[2]Sheet1!$B$4:$B$23,1),MATCH(D552,[2]Sheet1!$C$3:$Q$3,1)+1) - INDEX([2]Sheet1!$C$4:$Q$23,MATCH(K552,[2]Sheet1!$B$4:$B$23,1),MATCH(D552,[2]Sheet1!$C$3:$Q$3,1)))))</f>
        <v>0</v>
      </c>
      <c r="N552">
        <f t="shared" si="170"/>
        <v>12</v>
      </c>
      <c r="O552">
        <v>8.5174996148758828E-2</v>
      </c>
      <c r="P552" t="e">
        <f t="shared" si="171"/>
        <v>#DIV/0!</v>
      </c>
      <c r="Q552">
        <f t="shared" si="158"/>
        <v>0</v>
      </c>
      <c r="R552">
        <f t="shared" si="172"/>
        <v>741.9099431943954</v>
      </c>
      <c r="T552" t="e">
        <f t="shared" si="161"/>
        <v>#DIV/0!</v>
      </c>
      <c r="U552" t="e">
        <f t="shared" si="162"/>
        <v>#DIV/0!</v>
      </c>
      <c r="V552">
        <f t="shared" si="163"/>
        <v>0</v>
      </c>
      <c r="W552" t="e">
        <f t="shared" si="159"/>
        <v>#DIV/0!</v>
      </c>
    </row>
    <row r="553" spans="1:23" x14ac:dyDescent="0.55000000000000004">
      <c r="A553">
        <f t="shared" si="160"/>
        <v>51.900000000000468</v>
      </c>
      <c r="B553">
        <f t="shared" si="164"/>
        <v>0.316</v>
      </c>
      <c r="C553">
        <f t="shared" si="165"/>
        <v>-28.847826086956829</v>
      </c>
      <c r="D553">
        <v>2.4266958330345783</v>
      </c>
      <c r="E553">
        <f t="shared" si="155"/>
        <v>0</v>
      </c>
      <c r="F553">
        <f t="shared" si="166"/>
        <v>4.8605058816845369E-2</v>
      </c>
      <c r="G553">
        <f t="shared" si="167"/>
        <v>39.513748498891111</v>
      </c>
      <c r="H553">
        <f t="shared" si="168"/>
        <v>0</v>
      </c>
      <c r="I553" s="1">
        <f t="shared" si="156"/>
        <v>0</v>
      </c>
      <c r="J553">
        <f t="shared" si="169"/>
        <v>0</v>
      </c>
      <c r="K553">
        <f t="shared" si="157"/>
        <v>0</v>
      </c>
      <c r="L553" cm="1">
        <f t="array" ref="L553">IF(E553*J553=0,0,$C$21*INDEX([3]Sheet1!$C$4:$Q$23,MATCH(K553,[3]Sheet1!$B$4:$B$23,1),MATCH(D553,[3]Sheet1!$C$3:$Q$3,1))
+(K553-INDEX([3]Sheet1!$B$4:$B$23,MATCH(K553,[3]Sheet1!$B$4:$B$23,1),1))/(INDEX([3]Sheet1!$B$4:$B$23,MATCH(K553,[3]Sheet1!$B$4:$B$23,1)+1,1)-INDEX([3]Sheet1!$B$4:$B$23,
MATCH(K553,[3]Sheet1!$B$4:$B$23,1),1))*(INDEX([3]Sheet1!$C$4:$Q$23,MATCH(K553,[3]Sheet1!$B$4:$B$23,1)+1,MATCH(D553,[3]Sheet1!$C$3:$Q$3,1))-INDEX([3]Sheet1!$C$4:$Q$23,
MATCH(K553,[3]Sheet1!$B$4:$B$23,1),MATCH(D553,[3]Sheet1!$C$3:$Q$3,1)))
+(D553-INDEX([3]Sheet1!$C$3:$Q$3,1,MATCH(D553,[3]Sheet1!$C$3:$Q$3)))/(INDEX([3]Sheet1!$C$3:$Q$3,1,MATCH(D553,[3]Sheet1!$C$3:$Q$3)+1)-INDEX([3]Sheet1!$C$3:$Q$3,1,MATCH(
D553,[3]Sheet1!$C$3:$Q$3)))*(INDEX([3]Sheet1!$C$4:$Q$23,MATCH(K553,[3]Sheet1!$B$4:$B$23,1),MATCH(D553,[3]Sheet1!$C$3:$Q$3,1)+1)-INDEX([3]Sheet1!$C$4:$Q$23,MATCH(K553,[3]Sheet1!$B$4:$B$23,1),MATCH(D553,[3]Sheet1!$C$3:$Q$3,1))))</f>
        <v>0</v>
      </c>
      <c r="M553" cm="1">
        <f t="array" ref="M553" xml:space="preserve"> IF(E553*J553=0,0,(INDEX([2]Sheet1!$C$4:$Q$23,MATCH(K553,[2]Sheet1!$B$4:$B$23,1),MATCH(D553,[2]Sheet1!$C$3:$Q$3,1))
+ (K553 - INDEX([2]Sheet1!$B$4:$B$23,MATCH(K553,[2]Sheet1!$B$4:$B$23,1),1))/(INDEX([2]Sheet1!$B$4:$B$23,MATCH(K553,[2]Sheet1!$B$4:$B$23,1)+1,1) - INDEX([2]Sheet1!$B$4:$B$23,MATCH(K553,[2]Sheet1!$B$4:$B$23,1),1))*(INDEX([2]Sheet1!$C$4:$Q$23,MATCH(K553,[2]Sheet1!$B$4:$B$23,1)+1,MATCH(D553,[2]Sheet1!$C$3:$Q$3,1)) - INDEX([2]Sheet1!$C$4:$Q$23,MATCH(K553,[2]Sheet1!$B$4:$B$23,1),MATCH(D553,[2]Sheet1!$C$3:$Q$3,1)))
+ (D553 - INDEX([2]Sheet1!$C$3:$Q$3,1,MATCH(D553,[2]Sheet1!$C$3:$Q$3)))/(INDEX([2]Sheet1!$C$3:$Q$3,1,MATCH(D553,[2]Sheet1!$C$3:$Q$3)+1) - INDEX([2]Sheet1!$C$3:$Q$3,1,MATCH(D553,[2]Sheet1!$C$3:$Q$3)))*(
INDEX([2]Sheet1!$C$4:$Q$23,MATCH(K553,[2]Sheet1!$B$4:$B$23,1),MATCH(D553,[2]Sheet1!$C$3:$Q$3,1)+1) - INDEX([2]Sheet1!$C$4:$Q$23,MATCH(K553,[2]Sheet1!$B$4:$B$23,1),MATCH(D553,[2]Sheet1!$C$3:$Q$3,1)))))</f>
        <v>0</v>
      </c>
      <c r="N553">
        <f t="shared" si="170"/>
        <v>12</v>
      </c>
      <c r="O553">
        <v>8.51608500869388E-2</v>
      </c>
      <c r="P553" t="e">
        <f t="shared" si="171"/>
        <v>#DIV/0!</v>
      </c>
      <c r="Q553">
        <f t="shared" si="158"/>
        <v>0</v>
      </c>
      <c r="R553">
        <f t="shared" si="172"/>
        <v>741.9099431943954</v>
      </c>
      <c r="T553" t="e">
        <f t="shared" si="161"/>
        <v>#DIV/0!</v>
      </c>
      <c r="U553" t="e">
        <f t="shared" si="162"/>
        <v>#DIV/0!</v>
      </c>
      <c r="V553">
        <f t="shared" si="163"/>
        <v>0</v>
      </c>
      <c r="W553" t="e">
        <f t="shared" si="159"/>
        <v>#DIV/0!</v>
      </c>
    </row>
    <row r="554" spans="1:23" x14ac:dyDescent="0.55000000000000004">
      <c r="A554">
        <f t="shared" si="160"/>
        <v>52.000000000000469</v>
      </c>
      <c r="B554">
        <f t="shared" si="164"/>
        <v>0.316</v>
      </c>
      <c r="C554">
        <f t="shared" si="165"/>
        <v>-28.91304347826118</v>
      </c>
      <c r="D554">
        <v>2.4266232003862642</v>
      </c>
      <c r="E554">
        <f t="shared" si="155"/>
        <v>0</v>
      </c>
      <c r="F554">
        <f t="shared" si="166"/>
        <v>4.8605058816845369E-2</v>
      </c>
      <c r="G554">
        <f t="shared" si="167"/>
        <v>39.513748498891111</v>
      </c>
      <c r="H554">
        <f t="shared" si="168"/>
        <v>0</v>
      </c>
      <c r="I554" s="1">
        <f t="shared" si="156"/>
        <v>0</v>
      </c>
      <c r="J554">
        <f t="shared" si="169"/>
        <v>0</v>
      </c>
      <c r="K554">
        <f t="shared" si="157"/>
        <v>0</v>
      </c>
      <c r="L554" cm="1">
        <f t="array" ref="L554">IF(E554*J554=0,0,$C$21*INDEX([3]Sheet1!$C$4:$Q$23,MATCH(K554,[3]Sheet1!$B$4:$B$23,1),MATCH(D554,[3]Sheet1!$C$3:$Q$3,1))
+(K554-INDEX([3]Sheet1!$B$4:$B$23,MATCH(K554,[3]Sheet1!$B$4:$B$23,1),1))/(INDEX([3]Sheet1!$B$4:$B$23,MATCH(K554,[3]Sheet1!$B$4:$B$23,1)+1,1)-INDEX([3]Sheet1!$B$4:$B$23,
MATCH(K554,[3]Sheet1!$B$4:$B$23,1),1))*(INDEX([3]Sheet1!$C$4:$Q$23,MATCH(K554,[3]Sheet1!$B$4:$B$23,1)+1,MATCH(D554,[3]Sheet1!$C$3:$Q$3,1))-INDEX([3]Sheet1!$C$4:$Q$23,
MATCH(K554,[3]Sheet1!$B$4:$B$23,1),MATCH(D554,[3]Sheet1!$C$3:$Q$3,1)))
+(D554-INDEX([3]Sheet1!$C$3:$Q$3,1,MATCH(D554,[3]Sheet1!$C$3:$Q$3)))/(INDEX([3]Sheet1!$C$3:$Q$3,1,MATCH(D554,[3]Sheet1!$C$3:$Q$3)+1)-INDEX([3]Sheet1!$C$3:$Q$3,1,MATCH(
D554,[3]Sheet1!$C$3:$Q$3)))*(INDEX([3]Sheet1!$C$4:$Q$23,MATCH(K554,[3]Sheet1!$B$4:$B$23,1),MATCH(D554,[3]Sheet1!$C$3:$Q$3,1)+1)-INDEX([3]Sheet1!$C$4:$Q$23,MATCH(K554,[3]Sheet1!$B$4:$B$23,1),MATCH(D554,[3]Sheet1!$C$3:$Q$3,1))))</f>
        <v>0</v>
      </c>
      <c r="M554" cm="1">
        <f t="array" ref="M554" xml:space="preserve"> IF(E554*J554=0,0,(INDEX([2]Sheet1!$C$4:$Q$23,MATCH(K554,[2]Sheet1!$B$4:$B$23,1),MATCH(D554,[2]Sheet1!$C$3:$Q$3,1))
+ (K554 - INDEX([2]Sheet1!$B$4:$B$23,MATCH(K554,[2]Sheet1!$B$4:$B$23,1),1))/(INDEX([2]Sheet1!$B$4:$B$23,MATCH(K554,[2]Sheet1!$B$4:$B$23,1)+1,1) - INDEX([2]Sheet1!$B$4:$B$23,MATCH(K554,[2]Sheet1!$B$4:$B$23,1),1))*(INDEX([2]Sheet1!$C$4:$Q$23,MATCH(K554,[2]Sheet1!$B$4:$B$23,1)+1,MATCH(D554,[2]Sheet1!$C$3:$Q$3,1)) - INDEX([2]Sheet1!$C$4:$Q$23,MATCH(K554,[2]Sheet1!$B$4:$B$23,1),MATCH(D554,[2]Sheet1!$C$3:$Q$3,1)))
+ (D554 - INDEX([2]Sheet1!$C$3:$Q$3,1,MATCH(D554,[2]Sheet1!$C$3:$Q$3)))/(INDEX([2]Sheet1!$C$3:$Q$3,1,MATCH(D554,[2]Sheet1!$C$3:$Q$3)+1) - INDEX([2]Sheet1!$C$3:$Q$3,1,MATCH(D554,[2]Sheet1!$C$3:$Q$3)))*(
INDEX([2]Sheet1!$C$4:$Q$23,MATCH(K554,[2]Sheet1!$B$4:$B$23,1),MATCH(D554,[2]Sheet1!$C$3:$Q$3,1)+1) - INDEX([2]Sheet1!$C$4:$Q$23,MATCH(K554,[2]Sheet1!$B$4:$B$23,1),MATCH(D554,[2]Sheet1!$C$3:$Q$3,1)))))</f>
        <v>0</v>
      </c>
      <c r="N554">
        <f t="shared" si="170"/>
        <v>12</v>
      </c>
      <c r="O554">
        <v>8.5146725051954891E-2</v>
      </c>
      <c r="P554" t="e">
        <f t="shared" si="171"/>
        <v>#DIV/0!</v>
      </c>
      <c r="Q554">
        <f t="shared" si="158"/>
        <v>0</v>
      </c>
      <c r="R554">
        <f t="shared" si="172"/>
        <v>741.9099431943954</v>
      </c>
      <c r="T554" t="e">
        <f t="shared" si="161"/>
        <v>#DIV/0!</v>
      </c>
      <c r="U554" t="e">
        <f t="shared" si="162"/>
        <v>#DIV/0!</v>
      </c>
      <c r="V554">
        <f t="shared" si="163"/>
        <v>0</v>
      </c>
      <c r="W554" t="e">
        <f t="shared" si="159"/>
        <v>#DIV/0!</v>
      </c>
    </row>
    <row r="555" spans="1:23" x14ac:dyDescent="0.55000000000000004">
      <c r="A555">
        <f t="shared" si="160"/>
        <v>52.10000000000047</v>
      </c>
      <c r="B555">
        <f t="shared" si="164"/>
        <v>0.316</v>
      </c>
      <c r="C555">
        <f t="shared" si="165"/>
        <v>-28.978260869565524</v>
      </c>
      <c r="D555">
        <v>2.4265506634917129</v>
      </c>
      <c r="E555">
        <f t="shared" si="155"/>
        <v>0</v>
      </c>
      <c r="F555">
        <f t="shared" si="166"/>
        <v>4.8605058816845369E-2</v>
      </c>
      <c r="G555">
        <f t="shared" si="167"/>
        <v>39.513748498891111</v>
      </c>
      <c r="H555">
        <f t="shared" si="168"/>
        <v>0</v>
      </c>
      <c r="I555" s="1">
        <f t="shared" si="156"/>
        <v>0</v>
      </c>
      <c r="J555">
        <f t="shared" si="169"/>
        <v>0</v>
      </c>
      <c r="K555">
        <f t="shared" si="157"/>
        <v>0</v>
      </c>
      <c r="L555" cm="1">
        <f t="array" ref="L555">IF(E555*J555=0,0,$C$21*INDEX([3]Sheet1!$C$4:$Q$23,MATCH(K555,[3]Sheet1!$B$4:$B$23,1),MATCH(D555,[3]Sheet1!$C$3:$Q$3,1))
+(K555-INDEX([3]Sheet1!$B$4:$B$23,MATCH(K555,[3]Sheet1!$B$4:$B$23,1),1))/(INDEX([3]Sheet1!$B$4:$B$23,MATCH(K555,[3]Sheet1!$B$4:$B$23,1)+1,1)-INDEX([3]Sheet1!$B$4:$B$23,
MATCH(K555,[3]Sheet1!$B$4:$B$23,1),1))*(INDEX([3]Sheet1!$C$4:$Q$23,MATCH(K555,[3]Sheet1!$B$4:$B$23,1)+1,MATCH(D555,[3]Sheet1!$C$3:$Q$3,1))-INDEX([3]Sheet1!$C$4:$Q$23,
MATCH(K555,[3]Sheet1!$B$4:$B$23,1),MATCH(D555,[3]Sheet1!$C$3:$Q$3,1)))
+(D555-INDEX([3]Sheet1!$C$3:$Q$3,1,MATCH(D555,[3]Sheet1!$C$3:$Q$3)))/(INDEX([3]Sheet1!$C$3:$Q$3,1,MATCH(D555,[3]Sheet1!$C$3:$Q$3)+1)-INDEX([3]Sheet1!$C$3:$Q$3,1,MATCH(
D555,[3]Sheet1!$C$3:$Q$3)))*(INDEX([3]Sheet1!$C$4:$Q$23,MATCH(K555,[3]Sheet1!$B$4:$B$23,1),MATCH(D555,[3]Sheet1!$C$3:$Q$3,1)+1)-INDEX([3]Sheet1!$C$4:$Q$23,MATCH(K555,[3]Sheet1!$B$4:$B$23,1),MATCH(D555,[3]Sheet1!$C$3:$Q$3,1))))</f>
        <v>0</v>
      </c>
      <c r="M555" cm="1">
        <f t="array" ref="M555" xml:space="preserve"> IF(E555*J555=0,0,(INDEX([2]Sheet1!$C$4:$Q$23,MATCH(K555,[2]Sheet1!$B$4:$B$23,1),MATCH(D555,[2]Sheet1!$C$3:$Q$3,1))
+ (K555 - INDEX([2]Sheet1!$B$4:$B$23,MATCH(K555,[2]Sheet1!$B$4:$B$23,1),1))/(INDEX([2]Sheet1!$B$4:$B$23,MATCH(K555,[2]Sheet1!$B$4:$B$23,1)+1,1) - INDEX([2]Sheet1!$B$4:$B$23,MATCH(K555,[2]Sheet1!$B$4:$B$23,1),1))*(INDEX([2]Sheet1!$C$4:$Q$23,MATCH(K555,[2]Sheet1!$B$4:$B$23,1)+1,MATCH(D555,[2]Sheet1!$C$3:$Q$3,1)) - INDEX([2]Sheet1!$C$4:$Q$23,MATCH(K555,[2]Sheet1!$B$4:$B$23,1),MATCH(D555,[2]Sheet1!$C$3:$Q$3,1)))
+ (D555 - INDEX([2]Sheet1!$C$3:$Q$3,1,MATCH(D555,[2]Sheet1!$C$3:$Q$3)))/(INDEX([2]Sheet1!$C$3:$Q$3,1,MATCH(D555,[2]Sheet1!$C$3:$Q$3)+1) - INDEX([2]Sheet1!$C$3:$Q$3,1,MATCH(D555,[2]Sheet1!$C$3:$Q$3)))*(
INDEX([2]Sheet1!$C$4:$Q$23,MATCH(K555,[2]Sheet1!$B$4:$B$23,1),MATCH(D555,[2]Sheet1!$C$3:$Q$3,1)+1) - INDEX([2]Sheet1!$C$4:$Q$23,MATCH(K555,[2]Sheet1!$B$4:$B$23,1),MATCH(D555,[2]Sheet1!$C$3:$Q$3,1)))))</f>
        <v>0</v>
      </c>
      <c r="N555">
        <f t="shared" si="170"/>
        <v>12</v>
      </c>
      <c r="O555">
        <v>8.5132620983224563E-2</v>
      </c>
      <c r="P555" t="e">
        <f t="shared" si="171"/>
        <v>#DIV/0!</v>
      </c>
      <c r="Q555">
        <f t="shared" si="158"/>
        <v>0</v>
      </c>
      <c r="R555">
        <f t="shared" si="172"/>
        <v>741.9099431943954</v>
      </c>
      <c r="T555" t="e">
        <f t="shared" si="161"/>
        <v>#DIV/0!</v>
      </c>
      <c r="U555" t="e">
        <f t="shared" si="162"/>
        <v>#DIV/0!</v>
      </c>
      <c r="V555">
        <f t="shared" si="163"/>
        <v>0</v>
      </c>
      <c r="W555" t="e">
        <f t="shared" si="159"/>
        <v>#DIV/0!</v>
      </c>
    </row>
    <row r="556" spans="1:23" x14ac:dyDescent="0.55000000000000004">
      <c r="A556">
        <f t="shared" si="160"/>
        <v>52.200000000000472</v>
      </c>
      <c r="B556">
        <f t="shared" si="164"/>
        <v>0.316</v>
      </c>
      <c r="C556">
        <f t="shared" si="165"/>
        <v>-29.043478260869875</v>
      </c>
      <c r="D556">
        <v>2.4264782220895094</v>
      </c>
      <c r="E556">
        <f t="shared" si="155"/>
        <v>0</v>
      </c>
      <c r="F556">
        <f t="shared" si="166"/>
        <v>4.8605058816845369E-2</v>
      </c>
      <c r="G556">
        <f t="shared" si="167"/>
        <v>39.513748498891111</v>
      </c>
      <c r="H556">
        <f t="shared" si="168"/>
        <v>0</v>
      </c>
      <c r="I556" s="1">
        <f t="shared" si="156"/>
        <v>0</v>
      </c>
      <c r="J556">
        <f t="shared" si="169"/>
        <v>0</v>
      </c>
      <c r="K556">
        <f t="shared" si="157"/>
        <v>0</v>
      </c>
      <c r="L556" cm="1">
        <f t="array" ref="L556">IF(E556*J556=0,0,$C$21*INDEX([3]Sheet1!$C$4:$Q$23,MATCH(K556,[3]Sheet1!$B$4:$B$23,1),MATCH(D556,[3]Sheet1!$C$3:$Q$3,1))
+(K556-INDEX([3]Sheet1!$B$4:$B$23,MATCH(K556,[3]Sheet1!$B$4:$B$23,1),1))/(INDEX([3]Sheet1!$B$4:$B$23,MATCH(K556,[3]Sheet1!$B$4:$B$23,1)+1,1)-INDEX([3]Sheet1!$B$4:$B$23,
MATCH(K556,[3]Sheet1!$B$4:$B$23,1),1))*(INDEX([3]Sheet1!$C$4:$Q$23,MATCH(K556,[3]Sheet1!$B$4:$B$23,1)+1,MATCH(D556,[3]Sheet1!$C$3:$Q$3,1))-INDEX([3]Sheet1!$C$4:$Q$23,
MATCH(K556,[3]Sheet1!$B$4:$B$23,1),MATCH(D556,[3]Sheet1!$C$3:$Q$3,1)))
+(D556-INDEX([3]Sheet1!$C$3:$Q$3,1,MATCH(D556,[3]Sheet1!$C$3:$Q$3)))/(INDEX([3]Sheet1!$C$3:$Q$3,1,MATCH(D556,[3]Sheet1!$C$3:$Q$3)+1)-INDEX([3]Sheet1!$C$3:$Q$3,1,MATCH(
D556,[3]Sheet1!$C$3:$Q$3)))*(INDEX([3]Sheet1!$C$4:$Q$23,MATCH(K556,[3]Sheet1!$B$4:$B$23,1),MATCH(D556,[3]Sheet1!$C$3:$Q$3,1)+1)-INDEX([3]Sheet1!$C$4:$Q$23,MATCH(K556,[3]Sheet1!$B$4:$B$23,1),MATCH(D556,[3]Sheet1!$C$3:$Q$3,1))))</f>
        <v>0</v>
      </c>
      <c r="M556" cm="1">
        <f t="array" ref="M556" xml:space="preserve"> IF(E556*J556=0,0,(INDEX([2]Sheet1!$C$4:$Q$23,MATCH(K556,[2]Sheet1!$B$4:$B$23,1),MATCH(D556,[2]Sheet1!$C$3:$Q$3,1))
+ (K556 - INDEX([2]Sheet1!$B$4:$B$23,MATCH(K556,[2]Sheet1!$B$4:$B$23,1),1))/(INDEX([2]Sheet1!$B$4:$B$23,MATCH(K556,[2]Sheet1!$B$4:$B$23,1)+1,1) - INDEX([2]Sheet1!$B$4:$B$23,MATCH(K556,[2]Sheet1!$B$4:$B$23,1),1))*(INDEX([2]Sheet1!$C$4:$Q$23,MATCH(K556,[2]Sheet1!$B$4:$B$23,1)+1,MATCH(D556,[2]Sheet1!$C$3:$Q$3,1)) - INDEX([2]Sheet1!$C$4:$Q$23,MATCH(K556,[2]Sheet1!$B$4:$B$23,1),MATCH(D556,[2]Sheet1!$C$3:$Q$3,1)))
+ (D556 - INDEX([2]Sheet1!$C$3:$Q$3,1,MATCH(D556,[2]Sheet1!$C$3:$Q$3)))/(INDEX([2]Sheet1!$C$3:$Q$3,1,MATCH(D556,[2]Sheet1!$C$3:$Q$3)+1) - INDEX([2]Sheet1!$C$3:$Q$3,1,MATCH(D556,[2]Sheet1!$C$3:$Q$3)))*(
INDEX([2]Sheet1!$C$4:$Q$23,MATCH(K556,[2]Sheet1!$B$4:$B$23,1),MATCH(D556,[2]Sheet1!$C$3:$Q$3,1)+1) - INDEX([2]Sheet1!$C$4:$Q$23,MATCH(K556,[2]Sheet1!$B$4:$B$23,1),MATCH(D556,[2]Sheet1!$C$3:$Q$3,1)))))</f>
        <v>0</v>
      </c>
      <c r="N556">
        <f t="shared" si="170"/>
        <v>12</v>
      </c>
      <c r="O556">
        <v>8.5118537820424778E-2</v>
      </c>
      <c r="P556" t="e">
        <f t="shared" si="171"/>
        <v>#DIV/0!</v>
      </c>
      <c r="Q556">
        <f t="shared" si="158"/>
        <v>0</v>
      </c>
      <c r="R556">
        <f t="shared" si="172"/>
        <v>741.9099431943954</v>
      </c>
      <c r="T556" t="e">
        <f t="shared" si="161"/>
        <v>#DIV/0!</v>
      </c>
      <c r="U556" t="e">
        <f t="shared" si="162"/>
        <v>#DIV/0!</v>
      </c>
      <c r="V556">
        <f t="shared" si="163"/>
        <v>0</v>
      </c>
      <c r="W556" t="e">
        <f t="shared" si="159"/>
        <v>#DIV/0!</v>
      </c>
    </row>
    <row r="557" spans="1:23" x14ac:dyDescent="0.55000000000000004">
      <c r="A557">
        <f t="shared" si="160"/>
        <v>52.300000000000473</v>
      </c>
      <c r="B557">
        <f t="shared" si="164"/>
        <v>0.316</v>
      </c>
      <c r="C557">
        <f t="shared" si="165"/>
        <v>-29.108695652174227</v>
      </c>
      <c r="D557">
        <v>2.4264058759193139</v>
      </c>
      <c r="E557">
        <f t="shared" si="155"/>
        <v>0</v>
      </c>
      <c r="F557">
        <f t="shared" si="166"/>
        <v>4.8605058816845369E-2</v>
      </c>
      <c r="G557">
        <f t="shared" si="167"/>
        <v>39.513748498891111</v>
      </c>
      <c r="H557">
        <f t="shared" si="168"/>
        <v>0</v>
      </c>
      <c r="I557" s="1">
        <f t="shared" si="156"/>
        <v>0</v>
      </c>
      <c r="J557">
        <f t="shared" si="169"/>
        <v>0</v>
      </c>
      <c r="K557">
        <f t="shared" si="157"/>
        <v>0</v>
      </c>
      <c r="L557" cm="1">
        <f t="array" ref="L557">IF(E557*J557=0,0,$C$21*INDEX([3]Sheet1!$C$4:$Q$23,MATCH(K557,[3]Sheet1!$B$4:$B$23,1),MATCH(D557,[3]Sheet1!$C$3:$Q$3,1))
+(K557-INDEX([3]Sheet1!$B$4:$B$23,MATCH(K557,[3]Sheet1!$B$4:$B$23,1),1))/(INDEX([3]Sheet1!$B$4:$B$23,MATCH(K557,[3]Sheet1!$B$4:$B$23,1)+1,1)-INDEX([3]Sheet1!$B$4:$B$23,
MATCH(K557,[3]Sheet1!$B$4:$B$23,1),1))*(INDEX([3]Sheet1!$C$4:$Q$23,MATCH(K557,[3]Sheet1!$B$4:$B$23,1)+1,MATCH(D557,[3]Sheet1!$C$3:$Q$3,1))-INDEX([3]Sheet1!$C$4:$Q$23,
MATCH(K557,[3]Sheet1!$B$4:$B$23,1),MATCH(D557,[3]Sheet1!$C$3:$Q$3,1)))
+(D557-INDEX([3]Sheet1!$C$3:$Q$3,1,MATCH(D557,[3]Sheet1!$C$3:$Q$3)))/(INDEX([3]Sheet1!$C$3:$Q$3,1,MATCH(D557,[3]Sheet1!$C$3:$Q$3)+1)-INDEX([3]Sheet1!$C$3:$Q$3,1,MATCH(
D557,[3]Sheet1!$C$3:$Q$3)))*(INDEX([3]Sheet1!$C$4:$Q$23,MATCH(K557,[3]Sheet1!$B$4:$B$23,1),MATCH(D557,[3]Sheet1!$C$3:$Q$3,1)+1)-INDEX([3]Sheet1!$C$4:$Q$23,MATCH(K557,[3]Sheet1!$B$4:$B$23,1),MATCH(D557,[3]Sheet1!$C$3:$Q$3,1))))</f>
        <v>0</v>
      </c>
      <c r="M557" cm="1">
        <f t="array" ref="M557" xml:space="preserve"> IF(E557*J557=0,0,(INDEX([2]Sheet1!$C$4:$Q$23,MATCH(K557,[2]Sheet1!$B$4:$B$23,1),MATCH(D557,[2]Sheet1!$C$3:$Q$3,1))
+ (K557 - INDEX([2]Sheet1!$B$4:$B$23,MATCH(K557,[2]Sheet1!$B$4:$B$23,1),1))/(INDEX([2]Sheet1!$B$4:$B$23,MATCH(K557,[2]Sheet1!$B$4:$B$23,1)+1,1) - INDEX([2]Sheet1!$B$4:$B$23,MATCH(K557,[2]Sheet1!$B$4:$B$23,1),1))*(INDEX([2]Sheet1!$C$4:$Q$23,MATCH(K557,[2]Sheet1!$B$4:$B$23,1)+1,MATCH(D557,[2]Sheet1!$C$3:$Q$3,1)) - INDEX([2]Sheet1!$C$4:$Q$23,MATCH(K557,[2]Sheet1!$B$4:$B$23,1),MATCH(D557,[2]Sheet1!$C$3:$Q$3,1)))
+ (D557 - INDEX([2]Sheet1!$C$3:$Q$3,1,MATCH(D557,[2]Sheet1!$C$3:$Q$3)))/(INDEX([2]Sheet1!$C$3:$Q$3,1,MATCH(D557,[2]Sheet1!$C$3:$Q$3)+1) - INDEX([2]Sheet1!$C$3:$Q$3,1,MATCH(D557,[2]Sheet1!$C$3:$Q$3)))*(
INDEX([2]Sheet1!$C$4:$Q$23,MATCH(K557,[2]Sheet1!$B$4:$B$23,1),MATCH(D557,[2]Sheet1!$C$3:$Q$3,1)+1) - INDEX([2]Sheet1!$C$4:$Q$23,MATCH(K557,[2]Sheet1!$B$4:$B$23,1),MATCH(D557,[2]Sheet1!$C$3:$Q$3,1)))))</f>
        <v>0</v>
      </c>
      <c r="N557">
        <f t="shared" si="170"/>
        <v>12</v>
      </c>
      <c r="O557">
        <v>8.5104475503489763E-2</v>
      </c>
      <c r="P557" t="e">
        <f t="shared" si="171"/>
        <v>#DIV/0!</v>
      </c>
      <c r="Q557">
        <f t="shared" si="158"/>
        <v>0</v>
      </c>
      <c r="R557">
        <f t="shared" si="172"/>
        <v>741.9099431943954</v>
      </c>
      <c r="T557" t="e">
        <f t="shared" si="161"/>
        <v>#DIV/0!</v>
      </c>
      <c r="U557" t="e">
        <f t="shared" si="162"/>
        <v>#DIV/0!</v>
      </c>
      <c r="V557">
        <f t="shared" si="163"/>
        <v>0</v>
      </c>
      <c r="W557" t="e">
        <f t="shared" si="159"/>
        <v>#DIV/0!</v>
      </c>
    </row>
    <row r="558" spans="1:23" x14ac:dyDescent="0.55000000000000004">
      <c r="A558">
        <f t="shared" si="160"/>
        <v>52.400000000000475</v>
      </c>
      <c r="B558">
        <f t="shared" si="164"/>
        <v>0.316</v>
      </c>
      <c r="C558">
        <f t="shared" si="165"/>
        <v>-29.173913043478571</v>
      </c>
      <c r="D558">
        <v>2.4263336247218601</v>
      </c>
      <c r="E558">
        <f t="shared" si="155"/>
        <v>0</v>
      </c>
      <c r="F558">
        <f t="shared" si="166"/>
        <v>4.8605058816845369E-2</v>
      </c>
      <c r="G558">
        <f t="shared" si="167"/>
        <v>39.513748498891111</v>
      </c>
      <c r="H558">
        <f t="shared" si="168"/>
        <v>0</v>
      </c>
      <c r="I558" s="1">
        <f t="shared" si="156"/>
        <v>0</v>
      </c>
      <c r="J558">
        <f t="shared" si="169"/>
        <v>0</v>
      </c>
      <c r="K558">
        <f t="shared" si="157"/>
        <v>0</v>
      </c>
      <c r="L558" cm="1">
        <f t="array" ref="L558">IF(E558*J558=0,0,$C$21*INDEX([3]Sheet1!$C$4:$Q$23,MATCH(K558,[3]Sheet1!$B$4:$B$23,1),MATCH(D558,[3]Sheet1!$C$3:$Q$3,1))
+(K558-INDEX([3]Sheet1!$B$4:$B$23,MATCH(K558,[3]Sheet1!$B$4:$B$23,1),1))/(INDEX([3]Sheet1!$B$4:$B$23,MATCH(K558,[3]Sheet1!$B$4:$B$23,1)+1,1)-INDEX([3]Sheet1!$B$4:$B$23,
MATCH(K558,[3]Sheet1!$B$4:$B$23,1),1))*(INDEX([3]Sheet1!$C$4:$Q$23,MATCH(K558,[3]Sheet1!$B$4:$B$23,1)+1,MATCH(D558,[3]Sheet1!$C$3:$Q$3,1))-INDEX([3]Sheet1!$C$4:$Q$23,
MATCH(K558,[3]Sheet1!$B$4:$B$23,1),MATCH(D558,[3]Sheet1!$C$3:$Q$3,1)))
+(D558-INDEX([3]Sheet1!$C$3:$Q$3,1,MATCH(D558,[3]Sheet1!$C$3:$Q$3)))/(INDEX([3]Sheet1!$C$3:$Q$3,1,MATCH(D558,[3]Sheet1!$C$3:$Q$3)+1)-INDEX([3]Sheet1!$C$3:$Q$3,1,MATCH(
D558,[3]Sheet1!$C$3:$Q$3)))*(INDEX([3]Sheet1!$C$4:$Q$23,MATCH(K558,[3]Sheet1!$B$4:$B$23,1),MATCH(D558,[3]Sheet1!$C$3:$Q$3,1)+1)-INDEX([3]Sheet1!$C$4:$Q$23,MATCH(K558,[3]Sheet1!$B$4:$B$23,1),MATCH(D558,[3]Sheet1!$C$3:$Q$3,1))))</f>
        <v>0</v>
      </c>
      <c r="M558" cm="1">
        <f t="array" ref="M558" xml:space="preserve"> IF(E558*J558=0,0,(INDEX([2]Sheet1!$C$4:$Q$23,MATCH(K558,[2]Sheet1!$B$4:$B$23,1),MATCH(D558,[2]Sheet1!$C$3:$Q$3,1))
+ (K558 - INDEX([2]Sheet1!$B$4:$B$23,MATCH(K558,[2]Sheet1!$B$4:$B$23,1),1))/(INDEX([2]Sheet1!$B$4:$B$23,MATCH(K558,[2]Sheet1!$B$4:$B$23,1)+1,1) - INDEX([2]Sheet1!$B$4:$B$23,MATCH(K558,[2]Sheet1!$B$4:$B$23,1),1))*(INDEX([2]Sheet1!$C$4:$Q$23,MATCH(K558,[2]Sheet1!$B$4:$B$23,1)+1,MATCH(D558,[2]Sheet1!$C$3:$Q$3,1)) - INDEX([2]Sheet1!$C$4:$Q$23,MATCH(K558,[2]Sheet1!$B$4:$B$23,1),MATCH(D558,[2]Sheet1!$C$3:$Q$3,1)))
+ (D558 - INDEX([2]Sheet1!$C$3:$Q$3,1,MATCH(D558,[2]Sheet1!$C$3:$Q$3)))/(INDEX([2]Sheet1!$C$3:$Q$3,1,MATCH(D558,[2]Sheet1!$C$3:$Q$3)+1) - INDEX([2]Sheet1!$C$3:$Q$3,1,MATCH(D558,[2]Sheet1!$C$3:$Q$3)))*(
INDEX([2]Sheet1!$C$4:$Q$23,MATCH(K558,[2]Sheet1!$B$4:$B$23,1),MATCH(D558,[2]Sheet1!$C$3:$Q$3,1)+1) - INDEX([2]Sheet1!$C$4:$Q$23,MATCH(K558,[2]Sheet1!$B$4:$B$23,1),MATCH(D558,[2]Sheet1!$C$3:$Q$3,1)))))</f>
        <v>0</v>
      </c>
      <c r="N558">
        <f t="shared" si="170"/>
        <v>12</v>
      </c>
      <c r="O558">
        <v>8.5090433972610444E-2</v>
      </c>
      <c r="P558" t="e">
        <f t="shared" si="171"/>
        <v>#DIV/0!</v>
      </c>
      <c r="Q558">
        <f t="shared" si="158"/>
        <v>0</v>
      </c>
      <c r="R558">
        <f t="shared" si="172"/>
        <v>741.9099431943954</v>
      </c>
      <c r="T558" t="e">
        <f t="shared" si="161"/>
        <v>#DIV/0!</v>
      </c>
      <c r="U558" t="e">
        <f t="shared" si="162"/>
        <v>#DIV/0!</v>
      </c>
      <c r="V558" s="1">
        <f>4*L558*(E558+J558)/(PI()*N558^2)</f>
        <v>0</v>
      </c>
      <c r="W558" s="1" t="e">
        <f>(D558-V558)/V558*100</f>
        <v>#DIV/0!</v>
      </c>
    </row>
    <row r="559" spans="1:23" x14ac:dyDescent="0.55000000000000004">
      <c r="A559">
        <f t="shared" si="160"/>
        <v>52.500000000000476</v>
      </c>
      <c r="B559">
        <f t="shared" si="164"/>
        <v>0.316</v>
      </c>
      <c r="C559">
        <f t="shared" si="165"/>
        <v>-29.239130434782922</v>
      </c>
      <c r="D559">
        <v>2.4262614682389456</v>
      </c>
      <c r="E559">
        <f t="shared" si="155"/>
        <v>0</v>
      </c>
      <c r="F559">
        <f t="shared" si="166"/>
        <v>4.8605058816845369E-2</v>
      </c>
      <c r="G559">
        <f t="shared" si="167"/>
        <v>39.513748498891111</v>
      </c>
      <c r="H559">
        <f t="shared" si="168"/>
        <v>0</v>
      </c>
      <c r="I559" s="1">
        <f t="shared" si="156"/>
        <v>0</v>
      </c>
      <c r="J559">
        <f t="shared" si="169"/>
        <v>0</v>
      </c>
      <c r="K559">
        <f t="shared" si="157"/>
        <v>0</v>
      </c>
      <c r="L559" cm="1">
        <f t="array" ref="L559">IF(E559*J559=0,0,$C$21*INDEX([3]Sheet1!$C$4:$Q$23,MATCH(K559,[3]Sheet1!$B$4:$B$23,1),MATCH(D559,[3]Sheet1!$C$3:$Q$3,1))
+(K559-INDEX([3]Sheet1!$B$4:$B$23,MATCH(K559,[3]Sheet1!$B$4:$B$23,1),1))/(INDEX([3]Sheet1!$B$4:$B$23,MATCH(K559,[3]Sheet1!$B$4:$B$23,1)+1,1)-INDEX([3]Sheet1!$B$4:$B$23,
MATCH(K559,[3]Sheet1!$B$4:$B$23,1),1))*(INDEX([3]Sheet1!$C$4:$Q$23,MATCH(K559,[3]Sheet1!$B$4:$B$23,1)+1,MATCH(D559,[3]Sheet1!$C$3:$Q$3,1))-INDEX([3]Sheet1!$C$4:$Q$23,
MATCH(K559,[3]Sheet1!$B$4:$B$23,1),MATCH(D559,[3]Sheet1!$C$3:$Q$3,1)))
+(D559-INDEX([3]Sheet1!$C$3:$Q$3,1,MATCH(D559,[3]Sheet1!$C$3:$Q$3)))/(INDEX([3]Sheet1!$C$3:$Q$3,1,MATCH(D559,[3]Sheet1!$C$3:$Q$3)+1)-INDEX([3]Sheet1!$C$3:$Q$3,1,MATCH(
D559,[3]Sheet1!$C$3:$Q$3)))*(INDEX([3]Sheet1!$C$4:$Q$23,MATCH(K559,[3]Sheet1!$B$4:$B$23,1),MATCH(D559,[3]Sheet1!$C$3:$Q$3,1)+1)-INDEX([3]Sheet1!$C$4:$Q$23,MATCH(K559,[3]Sheet1!$B$4:$B$23,1),MATCH(D559,[3]Sheet1!$C$3:$Q$3,1))))</f>
        <v>0</v>
      </c>
      <c r="M559" cm="1">
        <f t="array" ref="M559" xml:space="preserve"> IF(E559*J559=0,0,(INDEX([2]Sheet1!$C$4:$Q$23,MATCH(K559,[2]Sheet1!$B$4:$B$23,1),MATCH(D559,[2]Sheet1!$C$3:$Q$3,1))
+ (K559 - INDEX([2]Sheet1!$B$4:$B$23,MATCH(K559,[2]Sheet1!$B$4:$B$23,1),1))/(INDEX([2]Sheet1!$B$4:$B$23,MATCH(K559,[2]Sheet1!$B$4:$B$23,1)+1,1) - INDEX([2]Sheet1!$B$4:$B$23,MATCH(K559,[2]Sheet1!$B$4:$B$23,1),1))*(INDEX([2]Sheet1!$C$4:$Q$23,MATCH(K559,[2]Sheet1!$B$4:$B$23,1)+1,MATCH(D559,[2]Sheet1!$C$3:$Q$3,1)) - INDEX([2]Sheet1!$C$4:$Q$23,MATCH(K559,[2]Sheet1!$B$4:$B$23,1),MATCH(D559,[2]Sheet1!$C$3:$Q$3,1)))
+ (D559 - INDEX([2]Sheet1!$C$3:$Q$3,1,MATCH(D559,[2]Sheet1!$C$3:$Q$3)))/(INDEX([2]Sheet1!$C$3:$Q$3,1,MATCH(D559,[2]Sheet1!$C$3:$Q$3)+1) - INDEX([2]Sheet1!$C$3:$Q$3,1,MATCH(D559,[2]Sheet1!$C$3:$Q$3)))*(
INDEX([2]Sheet1!$C$4:$Q$23,MATCH(K559,[2]Sheet1!$B$4:$B$23,1),MATCH(D559,[2]Sheet1!$C$3:$Q$3,1)+1) - INDEX([2]Sheet1!$C$4:$Q$23,MATCH(K559,[2]Sheet1!$B$4:$B$23,1),MATCH(D559,[2]Sheet1!$C$3:$Q$3,1)))))</f>
        <v>0</v>
      </c>
      <c r="N559">
        <f t="shared" si="170"/>
        <v>12</v>
      </c>
      <c r="O559">
        <v>8.5076413168232487E-2</v>
      </c>
      <c r="P559" t="e">
        <f t="shared" si="171"/>
        <v>#DIV/0!</v>
      </c>
      <c r="Q559">
        <f t="shared" si="158"/>
        <v>0</v>
      </c>
      <c r="R559">
        <f t="shared" si="172"/>
        <v>741.9099431943954</v>
      </c>
      <c r="T559" t="e">
        <f t="shared" si="161"/>
        <v>#DIV/0!</v>
      </c>
      <c r="U559" t="e">
        <f t="shared" si="162"/>
        <v>#DIV/0!</v>
      </c>
      <c r="V559">
        <f t="shared" si="163"/>
        <v>0</v>
      </c>
      <c r="W559" t="e">
        <f t="shared" si="159"/>
        <v>#DIV/0!</v>
      </c>
    </row>
    <row r="560" spans="1:23" x14ac:dyDescent="0.55000000000000004">
      <c r="A560">
        <f t="shared" si="160"/>
        <v>52.600000000000477</v>
      </c>
      <c r="B560">
        <f t="shared" si="164"/>
        <v>0.316</v>
      </c>
      <c r="C560">
        <f t="shared" si="165"/>
        <v>-29.304347826087273</v>
      </c>
      <c r="D560">
        <v>2.4261894062134282</v>
      </c>
      <c r="E560">
        <f t="shared" si="155"/>
        <v>0</v>
      </c>
      <c r="F560">
        <f t="shared" si="166"/>
        <v>4.8605058816845369E-2</v>
      </c>
      <c r="G560">
        <f t="shared" si="167"/>
        <v>39.513748498891111</v>
      </c>
      <c r="H560">
        <f t="shared" si="168"/>
        <v>0</v>
      </c>
      <c r="I560" s="1">
        <f t="shared" si="156"/>
        <v>0</v>
      </c>
      <c r="J560">
        <f t="shared" si="169"/>
        <v>0</v>
      </c>
      <c r="K560">
        <f t="shared" si="157"/>
        <v>0</v>
      </c>
      <c r="L560" cm="1">
        <f t="array" ref="L560">IF(E560*J560=0,0,$C$21*INDEX([3]Sheet1!$C$4:$Q$23,MATCH(K560,[3]Sheet1!$B$4:$B$23,1),MATCH(D560,[3]Sheet1!$C$3:$Q$3,1))
+(K560-INDEX([3]Sheet1!$B$4:$B$23,MATCH(K560,[3]Sheet1!$B$4:$B$23,1),1))/(INDEX([3]Sheet1!$B$4:$B$23,MATCH(K560,[3]Sheet1!$B$4:$B$23,1)+1,1)-INDEX([3]Sheet1!$B$4:$B$23,
MATCH(K560,[3]Sheet1!$B$4:$B$23,1),1))*(INDEX([3]Sheet1!$C$4:$Q$23,MATCH(K560,[3]Sheet1!$B$4:$B$23,1)+1,MATCH(D560,[3]Sheet1!$C$3:$Q$3,1))-INDEX([3]Sheet1!$C$4:$Q$23,
MATCH(K560,[3]Sheet1!$B$4:$B$23,1),MATCH(D560,[3]Sheet1!$C$3:$Q$3,1)))
+(D560-INDEX([3]Sheet1!$C$3:$Q$3,1,MATCH(D560,[3]Sheet1!$C$3:$Q$3)))/(INDEX([3]Sheet1!$C$3:$Q$3,1,MATCH(D560,[3]Sheet1!$C$3:$Q$3)+1)-INDEX([3]Sheet1!$C$3:$Q$3,1,MATCH(
D560,[3]Sheet1!$C$3:$Q$3)))*(INDEX([3]Sheet1!$C$4:$Q$23,MATCH(K560,[3]Sheet1!$B$4:$B$23,1),MATCH(D560,[3]Sheet1!$C$3:$Q$3,1)+1)-INDEX([3]Sheet1!$C$4:$Q$23,MATCH(K560,[3]Sheet1!$B$4:$B$23,1),MATCH(D560,[3]Sheet1!$C$3:$Q$3,1))))</f>
        <v>0</v>
      </c>
      <c r="M560" cm="1">
        <f t="array" ref="M560" xml:space="preserve"> IF(E560*J560=0,0,(INDEX([2]Sheet1!$C$4:$Q$23,MATCH(K560,[2]Sheet1!$B$4:$B$23,1),MATCH(D560,[2]Sheet1!$C$3:$Q$3,1))
+ (K560 - INDEX([2]Sheet1!$B$4:$B$23,MATCH(K560,[2]Sheet1!$B$4:$B$23,1),1))/(INDEX([2]Sheet1!$B$4:$B$23,MATCH(K560,[2]Sheet1!$B$4:$B$23,1)+1,1) - INDEX([2]Sheet1!$B$4:$B$23,MATCH(K560,[2]Sheet1!$B$4:$B$23,1),1))*(INDEX([2]Sheet1!$C$4:$Q$23,MATCH(K560,[2]Sheet1!$B$4:$B$23,1)+1,MATCH(D560,[2]Sheet1!$C$3:$Q$3,1)) - INDEX([2]Sheet1!$C$4:$Q$23,MATCH(K560,[2]Sheet1!$B$4:$B$23,1),MATCH(D560,[2]Sheet1!$C$3:$Q$3,1)))
+ (D560 - INDEX([2]Sheet1!$C$3:$Q$3,1,MATCH(D560,[2]Sheet1!$C$3:$Q$3)))/(INDEX([2]Sheet1!$C$3:$Q$3,1,MATCH(D560,[2]Sheet1!$C$3:$Q$3)+1) - INDEX([2]Sheet1!$C$3:$Q$3,1,MATCH(D560,[2]Sheet1!$C$3:$Q$3)))*(
INDEX([2]Sheet1!$C$4:$Q$23,MATCH(K560,[2]Sheet1!$B$4:$B$23,1),MATCH(D560,[2]Sheet1!$C$3:$Q$3,1)+1) - INDEX([2]Sheet1!$C$4:$Q$23,MATCH(K560,[2]Sheet1!$B$4:$B$23,1),MATCH(D560,[2]Sheet1!$C$3:$Q$3,1)))))</f>
        <v>0</v>
      </c>
      <c r="N560">
        <f t="shared" si="170"/>
        <v>12</v>
      </c>
      <c r="O560">
        <v>8.5062413031055412E-2</v>
      </c>
      <c r="P560" t="e">
        <f t="shared" si="171"/>
        <v>#DIV/0!</v>
      </c>
      <c r="Q560">
        <f t="shared" si="158"/>
        <v>0</v>
      </c>
      <c r="R560">
        <f t="shared" si="172"/>
        <v>741.9099431943954</v>
      </c>
      <c r="T560" t="e">
        <f t="shared" si="161"/>
        <v>#DIV/0!</v>
      </c>
      <c r="U560" t="e">
        <f t="shared" si="162"/>
        <v>#DIV/0!</v>
      </c>
      <c r="V560">
        <f t="shared" si="163"/>
        <v>0</v>
      </c>
      <c r="W560" t="e">
        <f t="shared" si="159"/>
        <v>#DIV/0!</v>
      </c>
    </row>
    <row r="561" spans="1:23" x14ac:dyDescent="0.55000000000000004">
      <c r="A561">
        <f t="shared" si="160"/>
        <v>52.700000000000479</v>
      </c>
      <c r="B561">
        <f t="shared" si="164"/>
        <v>0.316</v>
      </c>
      <c r="C561">
        <f t="shared" si="165"/>
        <v>-29.369565217391624</v>
      </c>
      <c r="D561">
        <v>2.4261174383892192</v>
      </c>
      <c r="E561">
        <f t="shared" si="155"/>
        <v>0</v>
      </c>
      <c r="F561">
        <f t="shared" si="166"/>
        <v>4.8605058816845369E-2</v>
      </c>
      <c r="G561">
        <f t="shared" si="167"/>
        <v>39.513748498891111</v>
      </c>
      <c r="H561">
        <f t="shared" si="168"/>
        <v>0</v>
      </c>
      <c r="I561" s="1">
        <f t="shared" si="156"/>
        <v>0</v>
      </c>
      <c r="J561">
        <f t="shared" si="169"/>
        <v>0</v>
      </c>
      <c r="K561">
        <f t="shared" si="157"/>
        <v>0</v>
      </c>
      <c r="L561" cm="1">
        <f t="array" ref="L561">IF(E561*J561=0,0,$C$21*INDEX([3]Sheet1!$C$4:$Q$23,MATCH(K561,[3]Sheet1!$B$4:$B$23,1),MATCH(D561,[3]Sheet1!$C$3:$Q$3,1))
+(K561-INDEX([3]Sheet1!$B$4:$B$23,MATCH(K561,[3]Sheet1!$B$4:$B$23,1),1))/(INDEX([3]Sheet1!$B$4:$B$23,MATCH(K561,[3]Sheet1!$B$4:$B$23,1)+1,1)-INDEX([3]Sheet1!$B$4:$B$23,
MATCH(K561,[3]Sheet1!$B$4:$B$23,1),1))*(INDEX([3]Sheet1!$C$4:$Q$23,MATCH(K561,[3]Sheet1!$B$4:$B$23,1)+1,MATCH(D561,[3]Sheet1!$C$3:$Q$3,1))-INDEX([3]Sheet1!$C$4:$Q$23,
MATCH(K561,[3]Sheet1!$B$4:$B$23,1),MATCH(D561,[3]Sheet1!$C$3:$Q$3,1)))
+(D561-INDEX([3]Sheet1!$C$3:$Q$3,1,MATCH(D561,[3]Sheet1!$C$3:$Q$3)))/(INDEX([3]Sheet1!$C$3:$Q$3,1,MATCH(D561,[3]Sheet1!$C$3:$Q$3)+1)-INDEX([3]Sheet1!$C$3:$Q$3,1,MATCH(
D561,[3]Sheet1!$C$3:$Q$3)))*(INDEX([3]Sheet1!$C$4:$Q$23,MATCH(K561,[3]Sheet1!$B$4:$B$23,1),MATCH(D561,[3]Sheet1!$C$3:$Q$3,1)+1)-INDEX([3]Sheet1!$C$4:$Q$23,MATCH(K561,[3]Sheet1!$B$4:$B$23,1),MATCH(D561,[3]Sheet1!$C$3:$Q$3,1))))</f>
        <v>0</v>
      </c>
      <c r="M561" cm="1">
        <f t="array" ref="M561" xml:space="preserve"> IF(E561*J561=0,0,(INDEX([2]Sheet1!$C$4:$Q$23,MATCH(K561,[2]Sheet1!$B$4:$B$23,1),MATCH(D561,[2]Sheet1!$C$3:$Q$3,1))
+ (K561 - INDEX([2]Sheet1!$B$4:$B$23,MATCH(K561,[2]Sheet1!$B$4:$B$23,1),1))/(INDEX([2]Sheet1!$B$4:$B$23,MATCH(K561,[2]Sheet1!$B$4:$B$23,1)+1,1) - INDEX([2]Sheet1!$B$4:$B$23,MATCH(K561,[2]Sheet1!$B$4:$B$23,1),1))*(INDEX([2]Sheet1!$C$4:$Q$23,MATCH(K561,[2]Sheet1!$B$4:$B$23,1)+1,MATCH(D561,[2]Sheet1!$C$3:$Q$3,1)) - INDEX([2]Sheet1!$C$4:$Q$23,MATCH(K561,[2]Sheet1!$B$4:$B$23,1),MATCH(D561,[2]Sheet1!$C$3:$Q$3,1)))
+ (D561 - INDEX([2]Sheet1!$C$3:$Q$3,1,MATCH(D561,[2]Sheet1!$C$3:$Q$3)))/(INDEX([2]Sheet1!$C$3:$Q$3,1,MATCH(D561,[2]Sheet1!$C$3:$Q$3)+1) - INDEX([2]Sheet1!$C$3:$Q$3,1,MATCH(D561,[2]Sheet1!$C$3:$Q$3)))*(
INDEX([2]Sheet1!$C$4:$Q$23,MATCH(K561,[2]Sheet1!$B$4:$B$23,1),MATCH(D561,[2]Sheet1!$C$3:$Q$3,1)+1) - INDEX([2]Sheet1!$C$4:$Q$23,MATCH(K561,[2]Sheet1!$B$4:$B$23,1),MATCH(D561,[2]Sheet1!$C$3:$Q$3,1)))))</f>
        <v>0</v>
      </c>
      <c r="N561">
        <f t="shared" si="170"/>
        <v>12</v>
      </c>
      <c r="O561">
        <v>8.5048433502030049E-2</v>
      </c>
      <c r="P561" t="e">
        <f t="shared" si="171"/>
        <v>#DIV/0!</v>
      </c>
      <c r="Q561">
        <f t="shared" si="158"/>
        <v>0</v>
      </c>
      <c r="R561">
        <f t="shared" si="172"/>
        <v>741.9099431943954</v>
      </c>
      <c r="T561" t="e">
        <f t="shared" si="161"/>
        <v>#DIV/0!</v>
      </c>
      <c r="U561" t="e">
        <f t="shared" si="162"/>
        <v>#DIV/0!</v>
      </c>
      <c r="V561">
        <f t="shared" si="163"/>
        <v>0</v>
      </c>
      <c r="W561" t="e">
        <f t="shared" si="159"/>
        <v>#DIV/0!</v>
      </c>
    </row>
    <row r="562" spans="1:23" x14ac:dyDescent="0.55000000000000004">
      <c r="A562">
        <f t="shared" si="160"/>
        <v>52.80000000000048</v>
      </c>
      <c r="B562">
        <f t="shared" si="164"/>
        <v>0.316</v>
      </c>
      <c r="C562">
        <f t="shared" si="165"/>
        <v>-29.434782608695969</v>
      </c>
      <c r="D562">
        <v>2.426045564511278</v>
      </c>
      <c r="E562">
        <f t="shared" si="155"/>
        <v>0</v>
      </c>
      <c r="F562">
        <f t="shared" si="166"/>
        <v>4.8605058816845369E-2</v>
      </c>
      <c r="G562">
        <f t="shared" si="167"/>
        <v>39.513748498891111</v>
      </c>
      <c r="H562">
        <f t="shared" si="168"/>
        <v>0</v>
      </c>
      <c r="I562" s="1">
        <f t="shared" si="156"/>
        <v>0</v>
      </c>
      <c r="J562">
        <f t="shared" si="169"/>
        <v>0</v>
      </c>
      <c r="K562">
        <f t="shared" si="157"/>
        <v>0</v>
      </c>
      <c r="L562" cm="1">
        <f t="array" ref="L562">IF(E562*J562=0,0,$C$21*INDEX([3]Sheet1!$C$4:$Q$23,MATCH(K562,[3]Sheet1!$B$4:$B$23,1),MATCH(D562,[3]Sheet1!$C$3:$Q$3,1))
+(K562-INDEX([3]Sheet1!$B$4:$B$23,MATCH(K562,[3]Sheet1!$B$4:$B$23,1),1))/(INDEX([3]Sheet1!$B$4:$B$23,MATCH(K562,[3]Sheet1!$B$4:$B$23,1)+1,1)-INDEX([3]Sheet1!$B$4:$B$23,
MATCH(K562,[3]Sheet1!$B$4:$B$23,1),1))*(INDEX([3]Sheet1!$C$4:$Q$23,MATCH(K562,[3]Sheet1!$B$4:$B$23,1)+1,MATCH(D562,[3]Sheet1!$C$3:$Q$3,1))-INDEX([3]Sheet1!$C$4:$Q$23,
MATCH(K562,[3]Sheet1!$B$4:$B$23,1),MATCH(D562,[3]Sheet1!$C$3:$Q$3,1)))
+(D562-INDEX([3]Sheet1!$C$3:$Q$3,1,MATCH(D562,[3]Sheet1!$C$3:$Q$3)))/(INDEX([3]Sheet1!$C$3:$Q$3,1,MATCH(D562,[3]Sheet1!$C$3:$Q$3)+1)-INDEX([3]Sheet1!$C$3:$Q$3,1,MATCH(
D562,[3]Sheet1!$C$3:$Q$3)))*(INDEX([3]Sheet1!$C$4:$Q$23,MATCH(K562,[3]Sheet1!$B$4:$B$23,1),MATCH(D562,[3]Sheet1!$C$3:$Q$3,1)+1)-INDEX([3]Sheet1!$C$4:$Q$23,MATCH(K562,[3]Sheet1!$B$4:$B$23,1),MATCH(D562,[3]Sheet1!$C$3:$Q$3,1))))</f>
        <v>0</v>
      </c>
      <c r="M562" cm="1">
        <f t="array" ref="M562" xml:space="preserve"> IF(E562*J562=0,0,(INDEX([2]Sheet1!$C$4:$Q$23,MATCH(K562,[2]Sheet1!$B$4:$B$23,1),MATCH(D562,[2]Sheet1!$C$3:$Q$3,1))
+ (K562 - INDEX([2]Sheet1!$B$4:$B$23,MATCH(K562,[2]Sheet1!$B$4:$B$23,1),1))/(INDEX([2]Sheet1!$B$4:$B$23,MATCH(K562,[2]Sheet1!$B$4:$B$23,1)+1,1) - INDEX([2]Sheet1!$B$4:$B$23,MATCH(K562,[2]Sheet1!$B$4:$B$23,1),1))*(INDEX([2]Sheet1!$C$4:$Q$23,MATCH(K562,[2]Sheet1!$B$4:$B$23,1)+1,MATCH(D562,[2]Sheet1!$C$3:$Q$3,1)) - INDEX([2]Sheet1!$C$4:$Q$23,MATCH(K562,[2]Sheet1!$B$4:$B$23,1),MATCH(D562,[2]Sheet1!$C$3:$Q$3,1)))
+ (D562 - INDEX([2]Sheet1!$C$3:$Q$3,1,MATCH(D562,[2]Sheet1!$C$3:$Q$3)))/(INDEX([2]Sheet1!$C$3:$Q$3,1,MATCH(D562,[2]Sheet1!$C$3:$Q$3)+1) - INDEX([2]Sheet1!$C$3:$Q$3,1,MATCH(D562,[2]Sheet1!$C$3:$Q$3)))*(
INDEX([2]Sheet1!$C$4:$Q$23,MATCH(K562,[2]Sheet1!$B$4:$B$23,1),MATCH(D562,[2]Sheet1!$C$3:$Q$3,1)+1) - INDEX([2]Sheet1!$C$4:$Q$23,MATCH(K562,[2]Sheet1!$B$4:$B$23,1),MATCH(D562,[2]Sheet1!$C$3:$Q$3,1)))))</f>
        <v>0</v>
      </c>
      <c r="N562">
        <f t="shared" si="170"/>
        <v>12</v>
      </c>
      <c r="O562">
        <v>8.5034474522358974E-2</v>
      </c>
      <c r="P562" t="e">
        <f t="shared" si="171"/>
        <v>#DIV/0!</v>
      </c>
      <c r="Q562">
        <f t="shared" si="158"/>
        <v>0</v>
      </c>
      <c r="R562">
        <f t="shared" si="172"/>
        <v>741.9099431943954</v>
      </c>
      <c r="T562" t="e">
        <f t="shared" si="161"/>
        <v>#DIV/0!</v>
      </c>
      <c r="U562" t="e">
        <f t="shared" si="162"/>
        <v>#DIV/0!</v>
      </c>
      <c r="V562">
        <f t="shared" si="163"/>
        <v>0</v>
      </c>
      <c r="W562" t="e">
        <f t="shared" si="159"/>
        <v>#DIV/0!</v>
      </c>
    </row>
    <row r="563" spans="1:23" x14ac:dyDescent="0.55000000000000004">
      <c r="A563">
        <f t="shared" si="160"/>
        <v>52.900000000000482</v>
      </c>
      <c r="B563">
        <f t="shared" si="164"/>
        <v>0.316</v>
      </c>
      <c r="C563">
        <f t="shared" si="165"/>
        <v>-29.500000000000313</v>
      </c>
      <c r="D563">
        <v>2.4259737843256057</v>
      </c>
      <c r="E563">
        <f t="shared" si="155"/>
        <v>0</v>
      </c>
      <c r="F563">
        <f t="shared" si="166"/>
        <v>4.8605058816845369E-2</v>
      </c>
      <c r="G563">
        <f t="shared" si="167"/>
        <v>39.513748498891111</v>
      </c>
      <c r="H563">
        <f t="shared" si="168"/>
        <v>0</v>
      </c>
      <c r="I563" s="1">
        <f t="shared" si="156"/>
        <v>0</v>
      </c>
      <c r="J563">
        <f t="shared" si="169"/>
        <v>0</v>
      </c>
      <c r="K563">
        <f t="shared" si="157"/>
        <v>0</v>
      </c>
      <c r="L563" cm="1">
        <f t="array" ref="L563">IF(E563*J563=0,0,$C$21*INDEX([3]Sheet1!$C$4:$Q$23,MATCH(K563,[3]Sheet1!$B$4:$B$23,1),MATCH(D563,[3]Sheet1!$C$3:$Q$3,1))
+(K563-INDEX([3]Sheet1!$B$4:$B$23,MATCH(K563,[3]Sheet1!$B$4:$B$23,1),1))/(INDEX([3]Sheet1!$B$4:$B$23,MATCH(K563,[3]Sheet1!$B$4:$B$23,1)+1,1)-INDEX([3]Sheet1!$B$4:$B$23,
MATCH(K563,[3]Sheet1!$B$4:$B$23,1),1))*(INDEX([3]Sheet1!$C$4:$Q$23,MATCH(K563,[3]Sheet1!$B$4:$B$23,1)+1,MATCH(D563,[3]Sheet1!$C$3:$Q$3,1))-INDEX([3]Sheet1!$C$4:$Q$23,
MATCH(K563,[3]Sheet1!$B$4:$B$23,1),MATCH(D563,[3]Sheet1!$C$3:$Q$3,1)))
+(D563-INDEX([3]Sheet1!$C$3:$Q$3,1,MATCH(D563,[3]Sheet1!$C$3:$Q$3)))/(INDEX([3]Sheet1!$C$3:$Q$3,1,MATCH(D563,[3]Sheet1!$C$3:$Q$3)+1)-INDEX([3]Sheet1!$C$3:$Q$3,1,MATCH(
D563,[3]Sheet1!$C$3:$Q$3)))*(INDEX([3]Sheet1!$C$4:$Q$23,MATCH(K563,[3]Sheet1!$B$4:$B$23,1),MATCH(D563,[3]Sheet1!$C$3:$Q$3,1)+1)-INDEX([3]Sheet1!$C$4:$Q$23,MATCH(K563,[3]Sheet1!$B$4:$B$23,1),MATCH(D563,[3]Sheet1!$C$3:$Q$3,1))))</f>
        <v>0</v>
      </c>
      <c r="M563" cm="1">
        <f t="array" ref="M563" xml:space="preserve"> IF(E563*J563=0,0,(INDEX([2]Sheet1!$C$4:$Q$23,MATCH(K563,[2]Sheet1!$B$4:$B$23,1),MATCH(D563,[2]Sheet1!$C$3:$Q$3,1))
+ (K563 - INDEX([2]Sheet1!$B$4:$B$23,MATCH(K563,[2]Sheet1!$B$4:$B$23,1),1))/(INDEX([2]Sheet1!$B$4:$B$23,MATCH(K563,[2]Sheet1!$B$4:$B$23,1)+1,1) - INDEX([2]Sheet1!$B$4:$B$23,MATCH(K563,[2]Sheet1!$B$4:$B$23,1),1))*(INDEX([2]Sheet1!$C$4:$Q$23,MATCH(K563,[2]Sheet1!$B$4:$B$23,1)+1,MATCH(D563,[2]Sheet1!$C$3:$Q$3,1)) - INDEX([2]Sheet1!$C$4:$Q$23,MATCH(K563,[2]Sheet1!$B$4:$B$23,1),MATCH(D563,[2]Sheet1!$C$3:$Q$3,1)))
+ (D563 - INDEX([2]Sheet1!$C$3:$Q$3,1,MATCH(D563,[2]Sheet1!$C$3:$Q$3)))/(INDEX([2]Sheet1!$C$3:$Q$3,1,MATCH(D563,[2]Sheet1!$C$3:$Q$3)+1) - INDEX([2]Sheet1!$C$3:$Q$3,1,MATCH(D563,[2]Sheet1!$C$3:$Q$3)))*(
INDEX([2]Sheet1!$C$4:$Q$23,MATCH(K563,[2]Sheet1!$B$4:$B$23,1),MATCH(D563,[2]Sheet1!$C$3:$Q$3,1)+1) - INDEX([2]Sheet1!$C$4:$Q$23,MATCH(K563,[2]Sheet1!$B$4:$B$23,1),MATCH(D563,[2]Sheet1!$C$3:$Q$3,1)))))</f>
        <v>0</v>
      </c>
      <c r="N563">
        <f t="shared" si="170"/>
        <v>12</v>
      </c>
      <c r="O563">
        <v>8.5020536033492924E-2</v>
      </c>
      <c r="P563" t="e">
        <f t="shared" si="171"/>
        <v>#DIV/0!</v>
      </c>
      <c r="Q563">
        <f t="shared" si="158"/>
        <v>0</v>
      </c>
      <c r="R563">
        <f t="shared" si="172"/>
        <v>741.9099431943954</v>
      </c>
      <c r="T563" t="e">
        <f t="shared" si="161"/>
        <v>#DIV/0!</v>
      </c>
      <c r="U563" t="e">
        <f t="shared" si="162"/>
        <v>#DIV/0!</v>
      </c>
      <c r="V563">
        <f t="shared" si="163"/>
        <v>0</v>
      </c>
      <c r="W563" t="e">
        <f t="shared" si="159"/>
        <v>#DIV/0!</v>
      </c>
    </row>
    <row r="564" spans="1:23" x14ac:dyDescent="0.55000000000000004">
      <c r="A564">
        <f t="shared" si="160"/>
        <v>53.000000000000483</v>
      </c>
      <c r="B564">
        <f t="shared" si="164"/>
        <v>0.316</v>
      </c>
      <c r="C564">
        <f t="shared" si="165"/>
        <v>-29.565217391304664</v>
      </c>
      <c r="D564">
        <v>2.4259020975792409</v>
      </c>
      <c r="E564">
        <f t="shared" si="155"/>
        <v>0</v>
      </c>
      <c r="F564">
        <f t="shared" si="166"/>
        <v>4.8605058816845369E-2</v>
      </c>
      <c r="G564">
        <f t="shared" si="167"/>
        <v>39.513748498891111</v>
      </c>
      <c r="H564">
        <f t="shared" si="168"/>
        <v>0</v>
      </c>
      <c r="I564" s="1">
        <f t="shared" si="156"/>
        <v>0</v>
      </c>
      <c r="J564">
        <f t="shared" si="169"/>
        <v>0</v>
      </c>
      <c r="K564">
        <f t="shared" si="157"/>
        <v>0</v>
      </c>
      <c r="L564" cm="1">
        <f t="array" ref="L564">IF(E564*J564=0,0,$C$21*INDEX([3]Sheet1!$C$4:$Q$23,MATCH(K564,[3]Sheet1!$B$4:$B$23,1),MATCH(D564,[3]Sheet1!$C$3:$Q$3,1))
+(K564-INDEX([3]Sheet1!$B$4:$B$23,MATCH(K564,[3]Sheet1!$B$4:$B$23,1),1))/(INDEX([3]Sheet1!$B$4:$B$23,MATCH(K564,[3]Sheet1!$B$4:$B$23,1)+1,1)-INDEX([3]Sheet1!$B$4:$B$23,
MATCH(K564,[3]Sheet1!$B$4:$B$23,1),1))*(INDEX([3]Sheet1!$C$4:$Q$23,MATCH(K564,[3]Sheet1!$B$4:$B$23,1)+1,MATCH(D564,[3]Sheet1!$C$3:$Q$3,1))-INDEX([3]Sheet1!$C$4:$Q$23,
MATCH(K564,[3]Sheet1!$B$4:$B$23,1),MATCH(D564,[3]Sheet1!$C$3:$Q$3,1)))
+(D564-INDEX([3]Sheet1!$C$3:$Q$3,1,MATCH(D564,[3]Sheet1!$C$3:$Q$3)))/(INDEX([3]Sheet1!$C$3:$Q$3,1,MATCH(D564,[3]Sheet1!$C$3:$Q$3)+1)-INDEX([3]Sheet1!$C$3:$Q$3,1,MATCH(
D564,[3]Sheet1!$C$3:$Q$3)))*(INDEX([3]Sheet1!$C$4:$Q$23,MATCH(K564,[3]Sheet1!$B$4:$B$23,1),MATCH(D564,[3]Sheet1!$C$3:$Q$3,1)+1)-INDEX([3]Sheet1!$C$4:$Q$23,MATCH(K564,[3]Sheet1!$B$4:$B$23,1),MATCH(D564,[3]Sheet1!$C$3:$Q$3,1))))</f>
        <v>0</v>
      </c>
      <c r="M564" cm="1">
        <f t="array" ref="M564" xml:space="preserve"> IF(E564*J564=0,0,(INDEX([2]Sheet1!$C$4:$Q$23,MATCH(K564,[2]Sheet1!$B$4:$B$23,1),MATCH(D564,[2]Sheet1!$C$3:$Q$3,1))
+ (K564 - INDEX([2]Sheet1!$B$4:$B$23,MATCH(K564,[2]Sheet1!$B$4:$B$23,1),1))/(INDEX([2]Sheet1!$B$4:$B$23,MATCH(K564,[2]Sheet1!$B$4:$B$23,1)+1,1) - INDEX([2]Sheet1!$B$4:$B$23,MATCH(K564,[2]Sheet1!$B$4:$B$23,1),1))*(INDEX([2]Sheet1!$C$4:$Q$23,MATCH(K564,[2]Sheet1!$B$4:$B$23,1)+1,MATCH(D564,[2]Sheet1!$C$3:$Q$3,1)) - INDEX([2]Sheet1!$C$4:$Q$23,MATCH(K564,[2]Sheet1!$B$4:$B$23,1),MATCH(D564,[2]Sheet1!$C$3:$Q$3,1)))
+ (D564 - INDEX([2]Sheet1!$C$3:$Q$3,1,MATCH(D564,[2]Sheet1!$C$3:$Q$3)))/(INDEX([2]Sheet1!$C$3:$Q$3,1,MATCH(D564,[2]Sheet1!$C$3:$Q$3)+1) - INDEX([2]Sheet1!$C$3:$Q$3,1,MATCH(D564,[2]Sheet1!$C$3:$Q$3)))*(
INDEX([2]Sheet1!$C$4:$Q$23,MATCH(K564,[2]Sheet1!$B$4:$B$23,1),MATCH(D564,[2]Sheet1!$C$3:$Q$3,1)+1) - INDEX([2]Sheet1!$C$4:$Q$23,MATCH(K564,[2]Sheet1!$B$4:$B$23,1),MATCH(D564,[2]Sheet1!$C$3:$Q$3,1)))))</f>
        <v>0</v>
      </c>
      <c r="N564">
        <f t="shared" si="170"/>
        <v>12</v>
      </c>
      <c r="O564">
        <v>8.5006617977130799E-2</v>
      </c>
      <c r="P564" t="e">
        <f t="shared" si="171"/>
        <v>#DIV/0!</v>
      </c>
      <c r="Q564">
        <f t="shared" si="158"/>
        <v>0</v>
      </c>
      <c r="R564">
        <f t="shared" si="172"/>
        <v>741.9099431943954</v>
      </c>
      <c r="T564" t="e">
        <f t="shared" si="161"/>
        <v>#DIV/0!</v>
      </c>
      <c r="U564" t="e">
        <f t="shared" si="162"/>
        <v>#DIV/0!</v>
      </c>
      <c r="V564">
        <f t="shared" si="163"/>
        <v>0</v>
      </c>
      <c r="W564" t="e">
        <f t="shared" si="159"/>
        <v>#DIV/0!</v>
      </c>
    </row>
    <row r="565" spans="1:23" x14ac:dyDescent="0.55000000000000004">
      <c r="A565">
        <f t="shared" si="160"/>
        <v>53.100000000000485</v>
      </c>
      <c r="B565">
        <f t="shared" si="164"/>
        <v>0.316</v>
      </c>
      <c r="C565">
        <f t="shared" si="165"/>
        <v>-29.630434782609015</v>
      </c>
      <c r="D565">
        <v>2.4258305040202517</v>
      </c>
      <c r="E565">
        <f t="shared" si="155"/>
        <v>0</v>
      </c>
      <c r="F565">
        <f t="shared" si="166"/>
        <v>4.8605058816845369E-2</v>
      </c>
      <c r="G565">
        <f t="shared" si="167"/>
        <v>39.513748498891111</v>
      </c>
      <c r="H565">
        <f t="shared" si="168"/>
        <v>0</v>
      </c>
      <c r="I565" s="1">
        <f t="shared" si="156"/>
        <v>0</v>
      </c>
      <c r="J565">
        <f t="shared" si="169"/>
        <v>0</v>
      </c>
      <c r="K565">
        <f t="shared" si="157"/>
        <v>0</v>
      </c>
      <c r="L565" cm="1">
        <f t="array" ref="L565">IF(E565*J565=0,0,$C$21*INDEX([3]Sheet1!$C$4:$Q$23,MATCH(K565,[3]Sheet1!$B$4:$B$23,1),MATCH(D565,[3]Sheet1!$C$3:$Q$3,1))
+(K565-INDEX([3]Sheet1!$B$4:$B$23,MATCH(K565,[3]Sheet1!$B$4:$B$23,1),1))/(INDEX([3]Sheet1!$B$4:$B$23,MATCH(K565,[3]Sheet1!$B$4:$B$23,1)+1,1)-INDEX([3]Sheet1!$B$4:$B$23,
MATCH(K565,[3]Sheet1!$B$4:$B$23,1),1))*(INDEX([3]Sheet1!$C$4:$Q$23,MATCH(K565,[3]Sheet1!$B$4:$B$23,1)+1,MATCH(D565,[3]Sheet1!$C$3:$Q$3,1))-INDEX([3]Sheet1!$C$4:$Q$23,
MATCH(K565,[3]Sheet1!$B$4:$B$23,1),MATCH(D565,[3]Sheet1!$C$3:$Q$3,1)))
+(D565-INDEX([3]Sheet1!$C$3:$Q$3,1,MATCH(D565,[3]Sheet1!$C$3:$Q$3)))/(INDEX([3]Sheet1!$C$3:$Q$3,1,MATCH(D565,[3]Sheet1!$C$3:$Q$3)+1)-INDEX([3]Sheet1!$C$3:$Q$3,1,MATCH(
D565,[3]Sheet1!$C$3:$Q$3)))*(INDEX([3]Sheet1!$C$4:$Q$23,MATCH(K565,[3]Sheet1!$B$4:$B$23,1),MATCH(D565,[3]Sheet1!$C$3:$Q$3,1)+1)-INDEX([3]Sheet1!$C$4:$Q$23,MATCH(K565,[3]Sheet1!$B$4:$B$23,1),MATCH(D565,[3]Sheet1!$C$3:$Q$3,1))))</f>
        <v>0</v>
      </c>
      <c r="M565" cm="1">
        <f t="array" ref="M565" xml:space="preserve"> IF(E565*J565=0,0,(INDEX([2]Sheet1!$C$4:$Q$23,MATCH(K565,[2]Sheet1!$B$4:$B$23,1),MATCH(D565,[2]Sheet1!$C$3:$Q$3,1))
+ (K565 - INDEX([2]Sheet1!$B$4:$B$23,MATCH(K565,[2]Sheet1!$B$4:$B$23,1),1))/(INDEX([2]Sheet1!$B$4:$B$23,MATCH(K565,[2]Sheet1!$B$4:$B$23,1)+1,1) - INDEX([2]Sheet1!$B$4:$B$23,MATCH(K565,[2]Sheet1!$B$4:$B$23,1),1))*(INDEX([2]Sheet1!$C$4:$Q$23,MATCH(K565,[2]Sheet1!$B$4:$B$23,1)+1,MATCH(D565,[2]Sheet1!$C$3:$Q$3,1)) - INDEX([2]Sheet1!$C$4:$Q$23,MATCH(K565,[2]Sheet1!$B$4:$B$23,1),MATCH(D565,[2]Sheet1!$C$3:$Q$3,1)))
+ (D565 - INDEX([2]Sheet1!$C$3:$Q$3,1,MATCH(D565,[2]Sheet1!$C$3:$Q$3)))/(INDEX([2]Sheet1!$C$3:$Q$3,1,MATCH(D565,[2]Sheet1!$C$3:$Q$3)+1) - INDEX([2]Sheet1!$C$3:$Q$3,1,MATCH(D565,[2]Sheet1!$C$3:$Q$3)))*(
INDEX([2]Sheet1!$C$4:$Q$23,MATCH(K565,[2]Sheet1!$B$4:$B$23,1),MATCH(D565,[2]Sheet1!$C$3:$Q$3,1)+1) - INDEX([2]Sheet1!$C$4:$Q$23,MATCH(K565,[2]Sheet1!$B$4:$B$23,1),MATCH(D565,[2]Sheet1!$C$3:$Q$3,1)))))</f>
        <v>0</v>
      </c>
      <c r="N565">
        <f t="shared" si="170"/>
        <v>12</v>
      </c>
      <c r="O565">
        <v>8.4992720295217913E-2</v>
      </c>
      <c r="P565" t="e">
        <f t="shared" si="171"/>
        <v>#DIV/0!</v>
      </c>
      <c r="Q565">
        <f t="shared" si="158"/>
        <v>0</v>
      </c>
      <c r="R565">
        <f t="shared" si="172"/>
        <v>741.9099431943954</v>
      </c>
      <c r="T565" t="e">
        <f t="shared" si="161"/>
        <v>#DIV/0!</v>
      </c>
      <c r="U565" t="e">
        <f t="shared" si="162"/>
        <v>#DIV/0!</v>
      </c>
      <c r="V565">
        <f t="shared" si="163"/>
        <v>0</v>
      </c>
      <c r="W565" t="e">
        <f t="shared" si="159"/>
        <v>#DIV/0!</v>
      </c>
    </row>
    <row r="566" spans="1:23" x14ac:dyDescent="0.55000000000000004">
      <c r="A566">
        <f t="shared" si="160"/>
        <v>53.200000000000486</v>
      </c>
      <c r="B566">
        <f t="shared" si="164"/>
        <v>0.316</v>
      </c>
      <c r="C566">
        <f t="shared" si="165"/>
        <v>-29.695652173913359</v>
      </c>
      <c r="D566">
        <v>2.4257590033977334</v>
      </c>
      <c r="E566">
        <f t="shared" si="155"/>
        <v>0</v>
      </c>
      <c r="F566">
        <f t="shared" si="166"/>
        <v>4.8605058816845369E-2</v>
      </c>
      <c r="G566">
        <f t="shared" si="167"/>
        <v>39.513748498891111</v>
      </c>
      <c r="H566">
        <f t="shared" si="168"/>
        <v>0</v>
      </c>
      <c r="I566" s="1">
        <f t="shared" si="156"/>
        <v>0</v>
      </c>
      <c r="J566">
        <f t="shared" si="169"/>
        <v>0</v>
      </c>
      <c r="K566">
        <f t="shared" si="157"/>
        <v>0</v>
      </c>
      <c r="L566" cm="1">
        <f t="array" ref="L566">IF(E566*J566=0,0,$C$21*INDEX([3]Sheet1!$C$4:$Q$23,MATCH(K566,[3]Sheet1!$B$4:$B$23,1),MATCH(D566,[3]Sheet1!$C$3:$Q$3,1))
+(K566-INDEX([3]Sheet1!$B$4:$B$23,MATCH(K566,[3]Sheet1!$B$4:$B$23,1),1))/(INDEX([3]Sheet1!$B$4:$B$23,MATCH(K566,[3]Sheet1!$B$4:$B$23,1)+1,1)-INDEX([3]Sheet1!$B$4:$B$23,
MATCH(K566,[3]Sheet1!$B$4:$B$23,1),1))*(INDEX([3]Sheet1!$C$4:$Q$23,MATCH(K566,[3]Sheet1!$B$4:$B$23,1)+1,MATCH(D566,[3]Sheet1!$C$3:$Q$3,1))-INDEX([3]Sheet1!$C$4:$Q$23,
MATCH(K566,[3]Sheet1!$B$4:$B$23,1),MATCH(D566,[3]Sheet1!$C$3:$Q$3,1)))
+(D566-INDEX([3]Sheet1!$C$3:$Q$3,1,MATCH(D566,[3]Sheet1!$C$3:$Q$3)))/(INDEX([3]Sheet1!$C$3:$Q$3,1,MATCH(D566,[3]Sheet1!$C$3:$Q$3)+1)-INDEX([3]Sheet1!$C$3:$Q$3,1,MATCH(
D566,[3]Sheet1!$C$3:$Q$3)))*(INDEX([3]Sheet1!$C$4:$Q$23,MATCH(K566,[3]Sheet1!$B$4:$B$23,1),MATCH(D566,[3]Sheet1!$C$3:$Q$3,1)+1)-INDEX([3]Sheet1!$C$4:$Q$23,MATCH(K566,[3]Sheet1!$B$4:$B$23,1),MATCH(D566,[3]Sheet1!$C$3:$Q$3,1))))</f>
        <v>0</v>
      </c>
      <c r="M566" cm="1">
        <f t="array" ref="M566" xml:space="preserve"> IF(E566*J566=0,0,(INDEX([2]Sheet1!$C$4:$Q$23,MATCH(K566,[2]Sheet1!$B$4:$B$23,1),MATCH(D566,[2]Sheet1!$C$3:$Q$3,1))
+ (K566 - INDEX([2]Sheet1!$B$4:$B$23,MATCH(K566,[2]Sheet1!$B$4:$B$23,1),1))/(INDEX([2]Sheet1!$B$4:$B$23,MATCH(K566,[2]Sheet1!$B$4:$B$23,1)+1,1) - INDEX([2]Sheet1!$B$4:$B$23,MATCH(K566,[2]Sheet1!$B$4:$B$23,1),1))*(INDEX([2]Sheet1!$C$4:$Q$23,MATCH(K566,[2]Sheet1!$B$4:$B$23,1)+1,MATCH(D566,[2]Sheet1!$C$3:$Q$3,1)) - INDEX([2]Sheet1!$C$4:$Q$23,MATCH(K566,[2]Sheet1!$B$4:$B$23,1),MATCH(D566,[2]Sheet1!$C$3:$Q$3,1)))
+ (D566 - INDEX([2]Sheet1!$C$3:$Q$3,1,MATCH(D566,[2]Sheet1!$C$3:$Q$3)))/(INDEX([2]Sheet1!$C$3:$Q$3,1,MATCH(D566,[2]Sheet1!$C$3:$Q$3)+1) - INDEX([2]Sheet1!$C$3:$Q$3,1,MATCH(D566,[2]Sheet1!$C$3:$Q$3)))*(
INDEX([2]Sheet1!$C$4:$Q$23,MATCH(K566,[2]Sheet1!$B$4:$B$23,1),MATCH(D566,[2]Sheet1!$C$3:$Q$3,1)+1) - INDEX([2]Sheet1!$C$4:$Q$23,MATCH(K566,[2]Sheet1!$B$4:$B$23,1),MATCH(D566,[2]Sheet1!$C$3:$Q$3,1)))))</f>
        <v>0</v>
      </c>
      <c r="N566">
        <f t="shared" si="170"/>
        <v>12</v>
      </c>
      <c r="O566">
        <v>8.4978842929944953E-2</v>
      </c>
      <c r="P566" t="e">
        <f t="shared" si="171"/>
        <v>#DIV/0!</v>
      </c>
      <c r="Q566">
        <f t="shared" si="158"/>
        <v>0</v>
      </c>
      <c r="R566">
        <f t="shared" si="172"/>
        <v>741.9099431943954</v>
      </c>
      <c r="T566" t="e">
        <f t="shared" si="161"/>
        <v>#DIV/0!</v>
      </c>
      <c r="U566" t="e">
        <f t="shared" si="162"/>
        <v>#DIV/0!</v>
      </c>
      <c r="V566">
        <f t="shared" si="163"/>
        <v>0</v>
      </c>
      <c r="W566" t="e">
        <f t="shared" si="159"/>
        <v>#DIV/0!</v>
      </c>
    </row>
    <row r="567" spans="1:23" x14ac:dyDescent="0.55000000000000004">
      <c r="A567">
        <f t="shared" si="160"/>
        <v>53.300000000000487</v>
      </c>
      <c r="B567">
        <f t="shared" si="164"/>
        <v>0.316</v>
      </c>
      <c r="C567">
        <f t="shared" si="165"/>
        <v>-29.76086956521771</v>
      </c>
      <c r="D567">
        <v>2.4256875954617998</v>
      </c>
      <c r="E567">
        <f t="shared" si="155"/>
        <v>0</v>
      </c>
      <c r="F567">
        <f t="shared" si="166"/>
        <v>4.8605058816845369E-2</v>
      </c>
      <c r="G567">
        <f t="shared" si="167"/>
        <v>39.513748498891111</v>
      </c>
      <c r="H567">
        <f t="shared" si="168"/>
        <v>0</v>
      </c>
      <c r="I567" s="1">
        <f t="shared" si="156"/>
        <v>0</v>
      </c>
      <c r="J567">
        <f t="shared" si="169"/>
        <v>0</v>
      </c>
      <c r="K567">
        <f t="shared" si="157"/>
        <v>0</v>
      </c>
      <c r="L567" cm="1">
        <f t="array" ref="L567">IF(E567*J567=0,0,$C$21*INDEX([3]Sheet1!$C$4:$Q$23,MATCH(K567,[3]Sheet1!$B$4:$B$23,1),MATCH(D567,[3]Sheet1!$C$3:$Q$3,1))
+(K567-INDEX([3]Sheet1!$B$4:$B$23,MATCH(K567,[3]Sheet1!$B$4:$B$23,1),1))/(INDEX([3]Sheet1!$B$4:$B$23,MATCH(K567,[3]Sheet1!$B$4:$B$23,1)+1,1)-INDEX([3]Sheet1!$B$4:$B$23,
MATCH(K567,[3]Sheet1!$B$4:$B$23,1),1))*(INDEX([3]Sheet1!$C$4:$Q$23,MATCH(K567,[3]Sheet1!$B$4:$B$23,1)+1,MATCH(D567,[3]Sheet1!$C$3:$Q$3,1))-INDEX([3]Sheet1!$C$4:$Q$23,
MATCH(K567,[3]Sheet1!$B$4:$B$23,1),MATCH(D567,[3]Sheet1!$C$3:$Q$3,1)))
+(D567-INDEX([3]Sheet1!$C$3:$Q$3,1,MATCH(D567,[3]Sheet1!$C$3:$Q$3)))/(INDEX([3]Sheet1!$C$3:$Q$3,1,MATCH(D567,[3]Sheet1!$C$3:$Q$3)+1)-INDEX([3]Sheet1!$C$3:$Q$3,1,MATCH(
D567,[3]Sheet1!$C$3:$Q$3)))*(INDEX([3]Sheet1!$C$4:$Q$23,MATCH(K567,[3]Sheet1!$B$4:$B$23,1),MATCH(D567,[3]Sheet1!$C$3:$Q$3,1)+1)-INDEX([3]Sheet1!$C$4:$Q$23,MATCH(K567,[3]Sheet1!$B$4:$B$23,1),MATCH(D567,[3]Sheet1!$C$3:$Q$3,1))))</f>
        <v>0</v>
      </c>
      <c r="M567" cm="1">
        <f t="array" ref="M567" xml:space="preserve"> IF(E567*J567=0,0,(INDEX([2]Sheet1!$C$4:$Q$23,MATCH(K567,[2]Sheet1!$B$4:$B$23,1),MATCH(D567,[2]Sheet1!$C$3:$Q$3,1))
+ (K567 - INDEX([2]Sheet1!$B$4:$B$23,MATCH(K567,[2]Sheet1!$B$4:$B$23,1),1))/(INDEX([2]Sheet1!$B$4:$B$23,MATCH(K567,[2]Sheet1!$B$4:$B$23,1)+1,1) - INDEX([2]Sheet1!$B$4:$B$23,MATCH(K567,[2]Sheet1!$B$4:$B$23,1),1))*(INDEX([2]Sheet1!$C$4:$Q$23,MATCH(K567,[2]Sheet1!$B$4:$B$23,1)+1,MATCH(D567,[2]Sheet1!$C$3:$Q$3,1)) - INDEX([2]Sheet1!$C$4:$Q$23,MATCH(K567,[2]Sheet1!$B$4:$B$23,1),MATCH(D567,[2]Sheet1!$C$3:$Q$3,1)))
+ (D567 - INDEX([2]Sheet1!$C$3:$Q$3,1,MATCH(D567,[2]Sheet1!$C$3:$Q$3)))/(INDEX([2]Sheet1!$C$3:$Q$3,1,MATCH(D567,[2]Sheet1!$C$3:$Q$3)+1) - INDEX([2]Sheet1!$C$3:$Q$3,1,MATCH(D567,[2]Sheet1!$C$3:$Q$3)))*(
INDEX([2]Sheet1!$C$4:$Q$23,MATCH(K567,[2]Sheet1!$B$4:$B$23,1),MATCH(D567,[2]Sheet1!$C$3:$Q$3,1)+1) - INDEX([2]Sheet1!$C$4:$Q$23,MATCH(K567,[2]Sheet1!$B$4:$B$23,1),MATCH(D567,[2]Sheet1!$C$3:$Q$3,1)))))</f>
        <v>0</v>
      </c>
      <c r="N567">
        <f t="shared" si="170"/>
        <v>12</v>
      </c>
      <c r="O567">
        <v>8.4964985823746023E-2</v>
      </c>
      <c r="P567" t="e">
        <f t="shared" si="171"/>
        <v>#DIV/0!</v>
      </c>
      <c r="Q567">
        <f t="shared" si="158"/>
        <v>0</v>
      </c>
      <c r="R567">
        <f t="shared" si="172"/>
        <v>741.9099431943954</v>
      </c>
      <c r="T567" t="e">
        <f t="shared" si="161"/>
        <v>#DIV/0!</v>
      </c>
      <c r="U567" t="e">
        <f t="shared" si="162"/>
        <v>#DIV/0!</v>
      </c>
      <c r="V567">
        <f t="shared" si="163"/>
        <v>0</v>
      </c>
      <c r="W567" t="e">
        <f t="shared" si="159"/>
        <v>#DIV/0!</v>
      </c>
    </row>
    <row r="568" spans="1:23" x14ac:dyDescent="0.55000000000000004">
      <c r="A568">
        <f t="shared" si="160"/>
        <v>53.400000000000489</v>
      </c>
      <c r="B568">
        <f t="shared" si="164"/>
        <v>0.316</v>
      </c>
      <c r="C568">
        <f t="shared" si="165"/>
        <v>-29.826086956522062</v>
      </c>
      <c r="D568">
        <v>2.4256162799635779</v>
      </c>
      <c r="E568">
        <f t="shared" si="155"/>
        <v>0</v>
      </c>
      <c r="F568">
        <f t="shared" si="166"/>
        <v>4.8605058816845369E-2</v>
      </c>
      <c r="G568">
        <f t="shared" si="167"/>
        <v>39.513748498891111</v>
      </c>
      <c r="H568">
        <f t="shared" si="168"/>
        <v>0</v>
      </c>
      <c r="I568" s="1">
        <f t="shared" si="156"/>
        <v>0</v>
      </c>
      <c r="J568">
        <f t="shared" si="169"/>
        <v>0</v>
      </c>
      <c r="K568">
        <f t="shared" si="157"/>
        <v>0</v>
      </c>
      <c r="L568" cm="1">
        <f t="array" ref="L568">IF(E568*J568=0,0,$C$21*INDEX([3]Sheet1!$C$4:$Q$23,MATCH(K568,[3]Sheet1!$B$4:$B$23,1),MATCH(D568,[3]Sheet1!$C$3:$Q$3,1))
+(K568-INDEX([3]Sheet1!$B$4:$B$23,MATCH(K568,[3]Sheet1!$B$4:$B$23,1),1))/(INDEX([3]Sheet1!$B$4:$B$23,MATCH(K568,[3]Sheet1!$B$4:$B$23,1)+1,1)-INDEX([3]Sheet1!$B$4:$B$23,
MATCH(K568,[3]Sheet1!$B$4:$B$23,1),1))*(INDEX([3]Sheet1!$C$4:$Q$23,MATCH(K568,[3]Sheet1!$B$4:$B$23,1)+1,MATCH(D568,[3]Sheet1!$C$3:$Q$3,1))-INDEX([3]Sheet1!$C$4:$Q$23,
MATCH(K568,[3]Sheet1!$B$4:$B$23,1),MATCH(D568,[3]Sheet1!$C$3:$Q$3,1)))
+(D568-INDEX([3]Sheet1!$C$3:$Q$3,1,MATCH(D568,[3]Sheet1!$C$3:$Q$3)))/(INDEX([3]Sheet1!$C$3:$Q$3,1,MATCH(D568,[3]Sheet1!$C$3:$Q$3)+1)-INDEX([3]Sheet1!$C$3:$Q$3,1,MATCH(
D568,[3]Sheet1!$C$3:$Q$3)))*(INDEX([3]Sheet1!$C$4:$Q$23,MATCH(K568,[3]Sheet1!$B$4:$B$23,1),MATCH(D568,[3]Sheet1!$C$3:$Q$3,1)+1)-INDEX([3]Sheet1!$C$4:$Q$23,MATCH(K568,[3]Sheet1!$B$4:$B$23,1),MATCH(D568,[3]Sheet1!$C$3:$Q$3,1))))</f>
        <v>0</v>
      </c>
      <c r="M568" cm="1">
        <f t="array" ref="M568" xml:space="preserve"> IF(E568*J568=0,0,(INDEX([2]Sheet1!$C$4:$Q$23,MATCH(K568,[2]Sheet1!$B$4:$B$23,1),MATCH(D568,[2]Sheet1!$C$3:$Q$3,1))
+ (K568 - INDEX([2]Sheet1!$B$4:$B$23,MATCH(K568,[2]Sheet1!$B$4:$B$23,1),1))/(INDEX([2]Sheet1!$B$4:$B$23,MATCH(K568,[2]Sheet1!$B$4:$B$23,1)+1,1) - INDEX([2]Sheet1!$B$4:$B$23,MATCH(K568,[2]Sheet1!$B$4:$B$23,1),1))*(INDEX([2]Sheet1!$C$4:$Q$23,MATCH(K568,[2]Sheet1!$B$4:$B$23,1)+1,MATCH(D568,[2]Sheet1!$C$3:$Q$3,1)) - INDEX([2]Sheet1!$C$4:$Q$23,MATCH(K568,[2]Sheet1!$B$4:$B$23,1),MATCH(D568,[2]Sheet1!$C$3:$Q$3,1)))
+ (D568 - INDEX([2]Sheet1!$C$3:$Q$3,1,MATCH(D568,[2]Sheet1!$C$3:$Q$3)))/(INDEX([2]Sheet1!$C$3:$Q$3,1,MATCH(D568,[2]Sheet1!$C$3:$Q$3)+1) - INDEX([2]Sheet1!$C$3:$Q$3,1,MATCH(D568,[2]Sheet1!$C$3:$Q$3)))*(
INDEX([2]Sheet1!$C$4:$Q$23,MATCH(K568,[2]Sheet1!$B$4:$B$23,1),MATCH(D568,[2]Sheet1!$C$3:$Q$3,1)+1) - INDEX([2]Sheet1!$C$4:$Q$23,MATCH(K568,[2]Sheet1!$B$4:$B$23,1),MATCH(D568,[2]Sheet1!$C$3:$Q$3,1)))))</f>
        <v>0</v>
      </c>
      <c r="N568">
        <f t="shared" si="170"/>
        <v>12</v>
      </c>
      <c r="O568">
        <v>8.4951148919297073E-2</v>
      </c>
      <c r="P568" t="e">
        <f t="shared" si="171"/>
        <v>#DIV/0!</v>
      </c>
      <c r="Q568">
        <f t="shared" si="158"/>
        <v>0</v>
      </c>
      <c r="R568">
        <f t="shared" si="172"/>
        <v>741.9099431943954</v>
      </c>
      <c r="T568" t="e">
        <f t="shared" si="161"/>
        <v>#DIV/0!</v>
      </c>
      <c r="U568" t="e">
        <f t="shared" si="162"/>
        <v>#DIV/0!</v>
      </c>
      <c r="V568">
        <f t="shared" si="163"/>
        <v>0</v>
      </c>
      <c r="W568" t="e">
        <f t="shared" si="159"/>
        <v>#DIV/0!</v>
      </c>
    </row>
    <row r="569" spans="1:23" x14ac:dyDescent="0.55000000000000004">
      <c r="A569">
        <f t="shared" si="160"/>
        <v>53.50000000000049</v>
      </c>
      <c r="B569">
        <f t="shared" si="164"/>
        <v>0.316</v>
      </c>
      <c r="C569">
        <f t="shared" si="165"/>
        <v>-29.891304347826413</v>
      </c>
      <c r="D569">
        <v>2.4255450566552068</v>
      </c>
      <c r="E569">
        <f t="shared" si="155"/>
        <v>0</v>
      </c>
      <c r="F569">
        <f t="shared" si="166"/>
        <v>4.8605058816845369E-2</v>
      </c>
      <c r="G569">
        <f t="shared" si="167"/>
        <v>39.513748498891111</v>
      </c>
      <c r="H569">
        <f t="shared" si="168"/>
        <v>0</v>
      </c>
      <c r="I569" s="1">
        <f t="shared" si="156"/>
        <v>0</v>
      </c>
      <c r="J569">
        <f t="shared" si="169"/>
        <v>0</v>
      </c>
      <c r="K569">
        <f t="shared" si="157"/>
        <v>0</v>
      </c>
      <c r="L569" cm="1">
        <f t="array" ref="L569">IF(E569*J569=0,0,$C$21*INDEX([3]Sheet1!$C$4:$Q$23,MATCH(K569,[3]Sheet1!$B$4:$B$23,1),MATCH(D569,[3]Sheet1!$C$3:$Q$3,1))
+(K569-INDEX([3]Sheet1!$B$4:$B$23,MATCH(K569,[3]Sheet1!$B$4:$B$23,1),1))/(INDEX([3]Sheet1!$B$4:$B$23,MATCH(K569,[3]Sheet1!$B$4:$B$23,1)+1,1)-INDEX([3]Sheet1!$B$4:$B$23,
MATCH(K569,[3]Sheet1!$B$4:$B$23,1),1))*(INDEX([3]Sheet1!$C$4:$Q$23,MATCH(K569,[3]Sheet1!$B$4:$B$23,1)+1,MATCH(D569,[3]Sheet1!$C$3:$Q$3,1))-INDEX([3]Sheet1!$C$4:$Q$23,
MATCH(K569,[3]Sheet1!$B$4:$B$23,1),MATCH(D569,[3]Sheet1!$C$3:$Q$3,1)))
+(D569-INDEX([3]Sheet1!$C$3:$Q$3,1,MATCH(D569,[3]Sheet1!$C$3:$Q$3)))/(INDEX([3]Sheet1!$C$3:$Q$3,1,MATCH(D569,[3]Sheet1!$C$3:$Q$3)+1)-INDEX([3]Sheet1!$C$3:$Q$3,1,MATCH(
D569,[3]Sheet1!$C$3:$Q$3)))*(INDEX([3]Sheet1!$C$4:$Q$23,MATCH(K569,[3]Sheet1!$B$4:$B$23,1),MATCH(D569,[3]Sheet1!$C$3:$Q$3,1)+1)-INDEX([3]Sheet1!$C$4:$Q$23,MATCH(K569,[3]Sheet1!$B$4:$B$23,1),MATCH(D569,[3]Sheet1!$C$3:$Q$3,1))))</f>
        <v>0</v>
      </c>
      <c r="M569" cm="1">
        <f t="array" ref="M569" xml:space="preserve"> IF(E569*J569=0,0,(INDEX([2]Sheet1!$C$4:$Q$23,MATCH(K569,[2]Sheet1!$B$4:$B$23,1),MATCH(D569,[2]Sheet1!$C$3:$Q$3,1))
+ (K569 - INDEX([2]Sheet1!$B$4:$B$23,MATCH(K569,[2]Sheet1!$B$4:$B$23,1),1))/(INDEX([2]Sheet1!$B$4:$B$23,MATCH(K569,[2]Sheet1!$B$4:$B$23,1)+1,1) - INDEX([2]Sheet1!$B$4:$B$23,MATCH(K569,[2]Sheet1!$B$4:$B$23,1),1))*(INDEX([2]Sheet1!$C$4:$Q$23,MATCH(K569,[2]Sheet1!$B$4:$B$23,1)+1,MATCH(D569,[2]Sheet1!$C$3:$Q$3,1)) - INDEX([2]Sheet1!$C$4:$Q$23,MATCH(K569,[2]Sheet1!$B$4:$B$23,1),MATCH(D569,[2]Sheet1!$C$3:$Q$3,1)))
+ (D569 - INDEX([2]Sheet1!$C$3:$Q$3,1,MATCH(D569,[2]Sheet1!$C$3:$Q$3)))/(INDEX([2]Sheet1!$C$3:$Q$3,1,MATCH(D569,[2]Sheet1!$C$3:$Q$3)+1) - INDEX([2]Sheet1!$C$3:$Q$3,1,MATCH(D569,[2]Sheet1!$C$3:$Q$3)))*(
INDEX([2]Sheet1!$C$4:$Q$23,MATCH(K569,[2]Sheet1!$B$4:$B$23,1),MATCH(D569,[2]Sheet1!$C$3:$Q$3,1)+1) - INDEX([2]Sheet1!$C$4:$Q$23,MATCH(K569,[2]Sheet1!$B$4:$B$23,1),MATCH(D569,[2]Sheet1!$C$3:$Q$3,1)))))</f>
        <v>0</v>
      </c>
      <c r="N569">
        <f t="shared" si="170"/>
        <v>12</v>
      </c>
      <c r="O569">
        <v>8.493733215951646E-2</v>
      </c>
      <c r="P569" t="e">
        <f t="shared" si="171"/>
        <v>#DIV/0!</v>
      </c>
      <c r="Q569">
        <f t="shared" si="158"/>
        <v>0</v>
      </c>
      <c r="R569">
        <f t="shared" si="172"/>
        <v>741.9099431943954</v>
      </c>
      <c r="T569" t="e">
        <f t="shared" si="161"/>
        <v>#DIV/0!</v>
      </c>
      <c r="U569" t="e">
        <f t="shared" si="162"/>
        <v>#DIV/0!</v>
      </c>
      <c r="V569">
        <f t="shared" si="163"/>
        <v>0</v>
      </c>
      <c r="W569" t="e">
        <f t="shared" si="159"/>
        <v>#DIV/0!</v>
      </c>
    </row>
    <row r="570" spans="1:23" x14ac:dyDescent="0.55000000000000004">
      <c r="A570">
        <f t="shared" si="160"/>
        <v>53.600000000000492</v>
      </c>
      <c r="B570">
        <f t="shared" si="164"/>
        <v>0.316</v>
      </c>
      <c r="C570">
        <f t="shared" si="165"/>
        <v>-29.956521739130764</v>
      </c>
      <c r="D570">
        <v>2.4254739252898245</v>
      </c>
      <c r="E570">
        <f t="shared" si="155"/>
        <v>0</v>
      </c>
      <c r="F570">
        <f t="shared" si="166"/>
        <v>4.8605058816845369E-2</v>
      </c>
      <c r="G570">
        <f t="shared" si="167"/>
        <v>39.513748498891111</v>
      </c>
      <c r="H570">
        <f t="shared" si="168"/>
        <v>0</v>
      </c>
      <c r="I570" s="1">
        <f t="shared" si="156"/>
        <v>0</v>
      </c>
      <c r="J570">
        <f t="shared" si="169"/>
        <v>0</v>
      </c>
      <c r="K570">
        <f t="shared" si="157"/>
        <v>0</v>
      </c>
      <c r="L570" cm="1">
        <f t="array" ref="L570">IF(E570*J570=0,0,$C$21*INDEX([3]Sheet1!$C$4:$Q$23,MATCH(K570,[3]Sheet1!$B$4:$B$23,1),MATCH(D570,[3]Sheet1!$C$3:$Q$3,1))
+(K570-INDEX([3]Sheet1!$B$4:$B$23,MATCH(K570,[3]Sheet1!$B$4:$B$23,1),1))/(INDEX([3]Sheet1!$B$4:$B$23,MATCH(K570,[3]Sheet1!$B$4:$B$23,1)+1,1)-INDEX([3]Sheet1!$B$4:$B$23,
MATCH(K570,[3]Sheet1!$B$4:$B$23,1),1))*(INDEX([3]Sheet1!$C$4:$Q$23,MATCH(K570,[3]Sheet1!$B$4:$B$23,1)+1,MATCH(D570,[3]Sheet1!$C$3:$Q$3,1))-INDEX([3]Sheet1!$C$4:$Q$23,
MATCH(K570,[3]Sheet1!$B$4:$B$23,1),MATCH(D570,[3]Sheet1!$C$3:$Q$3,1)))
+(D570-INDEX([3]Sheet1!$C$3:$Q$3,1,MATCH(D570,[3]Sheet1!$C$3:$Q$3)))/(INDEX([3]Sheet1!$C$3:$Q$3,1,MATCH(D570,[3]Sheet1!$C$3:$Q$3)+1)-INDEX([3]Sheet1!$C$3:$Q$3,1,MATCH(
D570,[3]Sheet1!$C$3:$Q$3)))*(INDEX([3]Sheet1!$C$4:$Q$23,MATCH(K570,[3]Sheet1!$B$4:$B$23,1),MATCH(D570,[3]Sheet1!$C$3:$Q$3,1)+1)-INDEX([3]Sheet1!$C$4:$Q$23,MATCH(K570,[3]Sheet1!$B$4:$B$23,1),MATCH(D570,[3]Sheet1!$C$3:$Q$3,1))))</f>
        <v>0</v>
      </c>
      <c r="M570" cm="1">
        <f t="array" ref="M570" xml:space="preserve"> IF(E570*J570=0,0,(INDEX([2]Sheet1!$C$4:$Q$23,MATCH(K570,[2]Sheet1!$B$4:$B$23,1),MATCH(D570,[2]Sheet1!$C$3:$Q$3,1))
+ (K570 - INDEX([2]Sheet1!$B$4:$B$23,MATCH(K570,[2]Sheet1!$B$4:$B$23,1),1))/(INDEX([2]Sheet1!$B$4:$B$23,MATCH(K570,[2]Sheet1!$B$4:$B$23,1)+1,1) - INDEX([2]Sheet1!$B$4:$B$23,MATCH(K570,[2]Sheet1!$B$4:$B$23,1),1))*(INDEX([2]Sheet1!$C$4:$Q$23,MATCH(K570,[2]Sheet1!$B$4:$B$23,1)+1,MATCH(D570,[2]Sheet1!$C$3:$Q$3,1)) - INDEX([2]Sheet1!$C$4:$Q$23,MATCH(K570,[2]Sheet1!$B$4:$B$23,1),MATCH(D570,[2]Sheet1!$C$3:$Q$3,1)))
+ (D570 - INDEX([2]Sheet1!$C$3:$Q$3,1,MATCH(D570,[2]Sheet1!$C$3:$Q$3)))/(INDEX([2]Sheet1!$C$3:$Q$3,1,MATCH(D570,[2]Sheet1!$C$3:$Q$3)+1) - INDEX([2]Sheet1!$C$3:$Q$3,1,MATCH(D570,[2]Sheet1!$C$3:$Q$3)))*(
INDEX([2]Sheet1!$C$4:$Q$23,MATCH(K570,[2]Sheet1!$B$4:$B$23,1),MATCH(D570,[2]Sheet1!$C$3:$Q$3,1)+1) - INDEX([2]Sheet1!$C$4:$Q$23,MATCH(K570,[2]Sheet1!$B$4:$B$23,1),MATCH(D570,[2]Sheet1!$C$3:$Q$3,1)))))</f>
        <v>0</v>
      </c>
      <c r="N570">
        <f t="shared" si="170"/>
        <v>12</v>
      </c>
      <c r="O570">
        <v>8.492353548756057E-2</v>
      </c>
      <c r="P570" t="e">
        <f t="shared" si="171"/>
        <v>#DIV/0!</v>
      </c>
      <c r="Q570">
        <f t="shared" si="158"/>
        <v>0</v>
      </c>
      <c r="R570">
        <f t="shared" si="172"/>
        <v>741.9099431943954</v>
      </c>
      <c r="T570" t="e">
        <f t="shared" si="161"/>
        <v>#DIV/0!</v>
      </c>
      <c r="U570" t="e">
        <f t="shared" si="162"/>
        <v>#DIV/0!</v>
      </c>
      <c r="V570">
        <f t="shared" si="163"/>
        <v>0</v>
      </c>
      <c r="W570" t="e">
        <f t="shared" si="159"/>
        <v>#DIV/0!</v>
      </c>
    </row>
    <row r="571" spans="1:23" x14ac:dyDescent="0.55000000000000004">
      <c r="A571">
        <f t="shared" si="160"/>
        <v>53.700000000000493</v>
      </c>
      <c r="B571">
        <f t="shared" si="164"/>
        <v>0.316</v>
      </c>
      <c r="C571">
        <f t="shared" si="165"/>
        <v>-30.021739130435108</v>
      </c>
      <c r="D571">
        <v>2.425402885621569</v>
      </c>
      <c r="E571">
        <f t="shared" si="155"/>
        <v>0</v>
      </c>
      <c r="F571">
        <f t="shared" si="166"/>
        <v>4.8605058816845369E-2</v>
      </c>
      <c r="G571">
        <f t="shared" si="167"/>
        <v>39.513748498891111</v>
      </c>
      <c r="H571">
        <f t="shared" si="168"/>
        <v>0</v>
      </c>
      <c r="I571" s="1">
        <f t="shared" si="156"/>
        <v>0</v>
      </c>
      <c r="J571">
        <f t="shared" si="169"/>
        <v>0</v>
      </c>
      <c r="K571">
        <f t="shared" si="157"/>
        <v>0</v>
      </c>
      <c r="L571" cm="1">
        <f t="array" ref="L571">IF(E571*J571=0,0,$C$21*INDEX([3]Sheet1!$C$4:$Q$23,MATCH(K571,[3]Sheet1!$B$4:$B$23,1),MATCH(D571,[3]Sheet1!$C$3:$Q$3,1))
+(K571-INDEX([3]Sheet1!$B$4:$B$23,MATCH(K571,[3]Sheet1!$B$4:$B$23,1),1))/(INDEX([3]Sheet1!$B$4:$B$23,MATCH(K571,[3]Sheet1!$B$4:$B$23,1)+1,1)-INDEX([3]Sheet1!$B$4:$B$23,
MATCH(K571,[3]Sheet1!$B$4:$B$23,1),1))*(INDEX([3]Sheet1!$C$4:$Q$23,MATCH(K571,[3]Sheet1!$B$4:$B$23,1)+1,MATCH(D571,[3]Sheet1!$C$3:$Q$3,1))-INDEX([3]Sheet1!$C$4:$Q$23,
MATCH(K571,[3]Sheet1!$B$4:$B$23,1),MATCH(D571,[3]Sheet1!$C$3:$Q$3,1)))
+(D571-INDEX([3]Sheet1!$C$3:$Q$3,1,MATCH(D571,[3]Sheet1!$C$3:$Q$3)))/(INDEX([3]Sheet1!$C$3:$Q$3,1,MATCH(D571,[3]Sheet1!$C$3:$Q$3)+1)-INDEX([3]Sheet1!$C$3:$Q$3,1,MATCH(
D571,[3]Sheet1!$C$3:$Q$3)))*(INDEX([3]Sheet1!$C$4:$Q$23,MATCH(K571,[3]Sheet1!$B$4:$B$23,1),MATCH(D571,[3]Sheet1!$C$3:$Q$3,1)+1)-INDEX([3]Sheet1!$C$4:$Q$23,MATCH(K571,[3]Sheet1!$B$4:$B$23,1),MATCH(D571,[3]Sheet1!$C$3:$Q$3,1))))</f>
        <v>0</v>
      </c>
      <c r="M571" cm="1">
        <f t="array" ref="M571" xml:space="preserve"> IF(E571*J571=0,0,(INDEX([2]Sheet1!$C$4:$Q$23,MATCH(K571,[2]Sheet1!$B$4:$B$23,1),MATCH(D571,[2]Sheet1!$C$3:$Q$3,1))
+ (K571 - INDEX([2]Sheet1!$B$4:$B$23,MATCH(K571,[2]Sheet1!$B$4:$B$23,1),1))/(INDEX([2]Sheet1!$B$4:$B$23,MATCH(K571,[2]Sheet1!$B$4:$B$23,1)+1,1) - INDEX([2]Sheet1!$B$4:$B$23,MATCH(K571,[2]Sheet1!$B$4:$B$23,1),1))*(INDEX([2]Sheet1!$C$4:$Q$23,MATCH(K571,[2]Sheet1!$B$4:$B$23,1)+1,MATCH(D571,[2]Sheet1!$C$3:$Q$3,1)) - INDEX([2]Sheet1!$C$4:$Q$23,MATCH(K571,[2]Sheet1!$B$4:$B$23,1),MATCH(D571,[2]Sheet1!$C$3:$Q$3,1)))
+ (D571 - INDEX([2]Sheet1!$C$3:$Q$3,1,MATCH(D571,[2]Sheet1!$C$3:$Q$3)))/(INDEX([2]Sheet1!$C$3:$Q$3,1,MATCH(D571,[2]Sheet1!$C$3:$Q$3)+1) - INDEX([2]Sheet1!$C$3:$Q$3,1,MATCH(D571,[2]Sheet1!$C$3:$Q$3)))*(
INDEX([2]Sheet1!$C$4:$Q$23,MATCH(K571,[2]Sheet1!$B$4:$B$23,1),MATCH(D571,[2]Sheet1!$C$3:$Q$3,1)+1) - INDEX([2]Sheet1!$C$4:$Q$23,MATCH(K571,[2]Sheet1!$B$4:$B$23,1),MATCH(D571,[2]Sheet1!$C$3:$Q$3,1)))))</f>
        <v>0</v>
      </c>
      <c r="N571">
        <f t="shared" si="170"/>
        <v>12</v>
      </c>
      <c r="O571">
        <v>8.4909758846824196E-2</v>
      </c>
      <c r="P571" t="e">
        <f t="shared" si="171"/>
        <v>#DIV/0!</v>
      </c>
      <c r="Q571">
        <f t="shared" si="158"/>
        <v>0</v>
      </c>
      <c r="R571">
        <f t="shared" si="172"/>
        <v>741.9099431943954</v>
      </c>
      <c r="T571" t="e">
        <f t="shared" si="161"/>
        <v>#DIV/0!</v>
      </c>
      <c r="U571" t="e">
        <f t="shared" si="162"/>
        <v>#DIV/0!</v>
      </c>
      <c r="V571">
        <f t="shared" si="163"/>
        <v>0</v>
      </c>
      <c r="W571" t="e">
        <f t="shared" si="159"/>
        <v>#DIV/0!</v>
      </c>
    </row>
    <row r="572" spans="1:23" x14ac:dyDescent="0.55000000000000004">
      <c r="A572">
        <f t="shared" si="160"/>
        <v>53.800000000000495</v>
      </c>
      <c r="B572">
        <f t="shared" si="164"/>
        <v>0.316</v>
      </c>
      <c r="C572">
        <f t="shared" si="165"/>
        <v>-30.086956521739452</v>
      </c>
      <c r="D572">
        <v>2.4253319374055722</v>
      </c>
      <c r="E572">
        <f t="shared" si="155"/>
        <v>0</v>
      </c>
      <c r="F572">
        <f t="shared" si="166"/>
        <v>4.8605058816845369E-2</v>
      </c>
      <c r="G572">
        <f t="shared" si="167"/>
        <v>39.513748498891111</v>
      </c>
      <c r="H572">
        <f t="shared" si="168"/>
        <v>0</v>
      </c>
      <c r="I572" s="1">
        <f t="shared" si="156"/>
        <v>0</v>
      </c>
      <c r="J572">
        <f t="shared" si="169"/>
        <v>0</v>
      </c>
      <c r="K572">
        <f t="shared" si="157"/>
        <v>0</v>
      </c>
      <c r="L572" cm="1">
        <f t="array" ref="L572">IF(E572*J572=0,0,$C$21*INDEX([3]Sheet1!$C$4:$Q$23,MATCH(K572,[3]Sheet1!$B$4:$B$23,1),MATCH(D572,[3]Sheet1!$C$3:$Q$3,1))
+(K572-INDEX([3]Sheet1!$B$4:$B$23,MATCH(K572,[3]Sheet1!$B$4:$B$23,1),1))/(INDEX([3]Sheet1!$B$4:$B$23,MATCH(K572,[3]Sheet1!$B$4:$B$23,1)+1,1)-INDEX([3]Sheet1!$B$4:$B$23,
MATCH(K572,[3]Sheet1!$B$4:$B$23,1),1))*(INDEX([3]Sheet1!$C$4:$Q$23,MATCH(K572,[3]Sheet1!$B$4:$B$23,1)+1,MATCH(D572,[3]Sheet1!$C$3:$Q$3,1))-INDEX([3]Sheet1!$C$4:$Q$23,
MATCH(K572,[3]Sheet1!$B$4:$B$23,1),MATCH(D572,[3]Sheet1!$C$3:$Q$3,1)))
+(D572-INDEX([3]Sheet1!$C$3:$Q$3,1,MATCH(D572,[3]Sheet1!$C$3:$Q$3)))/(INDEX([3]Sheet1!$C$3:$Q$3,1,MATCH(D572,[3]Sheet1!$C$3:$Q$3)+1)-INDEX([3]Sheet1!$C$3:$Q$3,1,MATCH(
D572,[3]Sheet1!$C$3:$Q$3)))*(INDEX([3]Sheet1!$C$4:$Q$23,MATCH(K572,[3]Sheet1!$B$4:$B$23,1),MATCH(D572,[3]Sheet1!$C$3:$Q$3,1)+1)-INDEX([3]Sheet1!$C$4:$Q$23,MATCH(K572,[3]Sheet1!$B$4:$B$23,1),MATCH(D572,[3]Sheet1!$C$3:$Q$3,1))))</f>
        <v>0</v>
      </c>
      <c r="M572" cm="1">
        <f t="array" ref="M572" xml:space="preserve"> IF(E572*J572=0,0,(INDEX([2]Sheet1!$C$4:$Q$23,MATCH(K572,[2]Sheet1!$B$4:$B$23,1),MATCH(D572,[2]Sheet1!$C$3:$Q$3,1))
+ (K572 - INDEX([2]Sheet1!$B$4:$B$23,MATCH(K572,[2]Sheet1!$B$4:$B$23,1),1))/(INDEX([2]Sheet1!$B$4:$B$23,MATCH(K572,[2]Sheet1!$B$4:$B$23,1)+1,1) - INDEX([2]Sheet1!$B$4:$B$23,MATCH(K572,[2]Sheet1!$B$4:$B$23,1),1))*(INDEX([2]Sheet1!$C$4:$Q$23,MATCH(K572,[2]Sheet1!$B$4:$B$23,1)+1,MATCH(D572,[2]Sheet1!$C$3:$Q$3,1)) - INDEX([2]Sheet1!$C$4:$Q$23,MATCH(K572,[2]Sheet1!$B$4:$B$23,1),MATCH(D572,[2]Sheet1!$C$3:$Q$3,1)))
+ (D572 - INDEX([2]Sheet1!$C$3:$Q$3,1,MATCH(D572,[2]Sheet1!$C$3:$Q$3)))/(INDEX([2]Sheet1!$C$3:$Q$3,1,MATCH(D572,[2]Sheet1!$C$3:$Q$3)+1) - INDEX([2]Sheet1!$C$3:$Q$3,1,MATCH(D572,[2]Sheet1!$C$3:$Q$3)))*(
INDEX([2]Sheet1!$C$4:$Q$23,MATCH(K572,[2]Sheet1!$B$4:$B$23,1),MATCH(D572,[2]Sheet1!$C$3:$Q$3,1)+1) - INDEX([2]Sheet1!$C$4:$Q$23,MATCH(K572,[2]Sheet1!$B$4:$B$23,1),MATCH(D572,[2]Sheet1!$C$3:$Q$3,1)))))</f>
        <v>0</v>
      </c>
      <c r="N572">
        <f t="shared" si="170"/>
        <v>12</v>
      </c>
      <c r="O572">
        <v>8.4896002180940636E-2</v>
      </c>
      <c r="P572" t="e">
        <f t="shared" si="171"/>
        <v>#DIV/0!</v>
      </c>
      <c r="Q572">
        <f t="shared" si="158"/>
        <v>0</v>
      </c>
      <c r="R572">
        <f t="shared" si="172"/>
        <v>741.9099431943954</v>
      </c>
      <c r="T572" t="e">
        <f t="shared" si="161"/>
        <v>#DIV/0!</v>
      </c>
      <c r="U572" t="e">
        <f t="shared" si="162"/>
        <v>#DIV/0!</v>
      </c>
      <c r="V572">
        <f t="shared" si="163"/>
        <v>0</v>
      </c>
      <c r="W572" t="e">
        <f t="shared" si="159"/>
        <v>#DIV/0!</v>
      </c>
    </row>
    <row r="573" spans="1:23" x14ac:dyDescent="0.55000000000000004">
      <c r="A573">
        <f t="shared" si="160"/>
        <v>53.900000000000496</v>
      </c>
      <c r="B573">
        <f t="shared" si="164"/>
        <v>0.316</v>
      </c>
      <c r="C573">
        <f t="shared" si="165"/>
        <v>-30.152173913043804</v>
      </c>
      <c r="D573">
        <v>2.4252610803979509</v>
      </c>
      <c r="E573">
        <f t="shared" si="155"/>
        <v>0</v>
      </c>
      <c r="F573">
        <f t="shared" si="166"/>
        <v>4.8605058816845369E-2</v>
      </c>
      <c r="G573">
        <f t="shared" si="167"/>
        <v>39.513748498891111</v>
      </c>
      <c r="H573">
        <f t="shared" si="168"/>
        <v>0</v>
      </c>
      <c r="I573" s="1">
        <f t="shared" si="156"/>
        <v>0</v>
      </c>
      <c r="J573">
        <f t="shared" si="169"/>
        <v>0</v>
      </c>
      <c r="K573">
        <f t="shared" si="157"/>
        <v>0</v>
      </c>
      <c r="L573" cm="1">
        <f t="array" ref="L573">IF(E573*J573=0,0,$C$21*INDEX([3]Sheet1!$C$4:$Q$23,MATCH(K573,[3]Sheet1!$B$4:$B$23,1),MATCH(D573,[3]Sheet1!$C$3:$Q$3,1))
+(K573-INDEX([3]Sheet1!$B$4:$B$23,MATCH(K573,[3]Sheet1!$B$4:$B$23,1),1))/(INDEX([3]Sheet1!$B$4:$B$23,MATCH(K573,[3]Sheet1!$B$4:$B$23,1)+1,1)-INDEX([3]Sheet1!$B$4:$B$23,
MATCH(K573,[3]Sheet1!$B$4:$B$23,1),1))*(INDEX([3]Sheet1!$C$4:$Q$23,MATCH(K573,[3]Sheet1!$B$4:$B$23,1)+1,MATCH(D573,[3]Sheet1!$C$3:$Q$3,1))-INDEX([3]Sheet1!$C$4:$Q$23,
MATCH(K573,[3]Sheet1!$B$4:$B$23,1),MATCH(D573,[3]Sheet1!$C$3:$Q$3,1)))
+(D573-INDEX([3]Sheet1!$C$3:$Q$3,1,MATCH(D573,[3]Sheet1!$C$3:$Q$3)))/(INDEX([3]Sheet1!$C$3:$Q$3,1,MATCH(D573,[3]Sheet1!$C$3:$Q$3)+1)-INDEX([3]Sheet1!$C$3:$Q$3,1,MATCH(
D573,[3]Sheet1!$C$3:$Q$3)))*(INDEX([3]Sheet1!$C$4:$Q$23,MATCH(K573,[3]Sheet1!$B$4:$B$23,1),MATCH(D573,[3]Sheet1!$C$3:$Q$3,1)+1)-INDEX([3]Sheet1!$C$4:$Q$23,MATCH(K573,[3]Sheet1!$B$4:$B$23,1),MATCH(D573,[3]Sheet1!$C$3:$Q$3,1))))</f>
        <v>0</v>
      </c>
      <c r="M573" cm="1">
        <f t="array" ref="M573" xml:space="preserve"> IF(E573*J573=0,0,(INDEX([2]Sheet1!$C$4:$Q$23,MATCH(K573,[2]Sheet1!$B$4:$B$23,1),MATCH(D573,[2]Sheet1!$C$3:$Q$3,1))
+ (K573 - INDEX([2]Sheet1!$B$4:$B$23,MATCH(K573,[2]Sheet1!$B$4:$B$23,1),1))/(INDEX([2]Sheet1!$B$4:$B$23,MATCH(K573,[2]Sheet1!$B$4:$B$23,1)+1,1) - INDEX([2]Sheet1!$B$4:$B$23,MATCH(K573,[2]Sheet1!$B$4:$B$23,1),1))*(INDEX([2]Sheet1!$C$4:$Q$23,MATCH(K573,[2]Sheet1!$B$4:$B$23,1)+1,MATCH(D573,[2]Sheet1!$C$3:$Q$3,1)) - INDEX([2]Sheet1!$C$4:$Q$23,MATCH(K573,[2]Sheet1!$B$4:$B$23,1),MATCH(D573,[2]Sheet1!$C$3:$Q$3,1)))
+ (D573 - INDEX([2]Sheet1!$C$3:$Q$3,1,MATCH(D573,[2]Sheet1!$C$3:$Q$3)))/(INDEX([2]Sheet1!$C$3:$Q$3,1,MATCH(D573,[2]Sheet1!$C$3:$Q$3)+1) - INDEX([2]Sheet1!$C$3:$Q$3,1,MATCH(D573,[2]Sheet1!$C$3:$Q$3)))*(
INDEX([2]Sheet1!$C$4:$Q$23,MATCH(K573,[2]Sheet1!$B$4:$B$23,1),MATCH(D573,[2]Sheet1!$C$3:$Q$3,1)+1) - INDEX([2]Sheet1!$C$4:$Q$23,MATCH(K573,[2]Sheet1!$B$4:$B$23,1),MATCH(D573,[2]Sheet1!$C$3:$Q$3,1)))))</f>
        <v>0</v>
      </c>
      <c r="N573">
        <f t="shared" si="170"/>
        <v>12</v>
      </c>
      <c r="O573">
        <v>8.4882265433777637E-2</v>
      </c>
      <c r="P573" t="e">
        <f t="shared" si="171"/>
        <v>#DIV/0!</v>
      </c>
      <c r="Q573">
        <f t="shared" si="158"/>
        <v>0</v>
      </c>
      <c r="R573">
        <f t="shared" si="172"/>
        <v>741.9099431943954</v>
      </c>
      <c r="T573" t="e">
        <f t="shared" si="161"/>
        <v>#DIV/0!</v>
      </c>
      <c r="U573" t="e">
        <f t="shared" si="162"/>
        <v>#DIV/0!</v>
      </c>
      <c r="V573">
        <f t="shared" si="163"/>
        <v>0</v>
      </c>
      <c r="W573" t="e">
        <f t="shared" si="159"/>
        <v>#DIV/0!</v>
      </c>
    </row>
    <row r="574" spans="1:23" x14ac:dyDescent="0.55000000000000004">
      <c r="A574">
        <f t="shared" si="160"/>
        <v>54.000000000000497</v>
      </c>
      <c r="B574">
        <f t="shared" si="164"/>
        <v>0.316</v>
      </c>
      <c r="C574">
        <f t="shared" si="165"/>
        <v>-30.217391304348148</v>
      </c>
      <c r="D574">
        <v>2.4251903143558038</v>
      </c>
      <c r="E574">
        <f t="shared" si="155"/>
        <v>0</v>
      </c>
      <c r="F574">
        <f t="shared" si="166"/>
        <v>4.8605058816845369E-2</v>
      </c>
      <c r="G574">
        <f t="shared" si="167"/>
        <v>39.513748498891111</v>
      </c>
      <c r="H574">
        <f t="shared" si="168"/>
        <v>0</v>
      </c>
      <c r="I574" s="1">
        <f t="shared" si="156"/>
        <v>0</v>
      </c>
      <c r="J574">
        <f t="shared" si="169"/>
        <v>0</v>
      </c>
      <c r="K574">
        <f t="shared" si="157"/>
        <v>0</v>
      </c>
      <c r="L574" cm="1">
        <f t="array" ref="L574">IF(E574*J574=0,0,$C$21*INDEX([3]Sheet1!$C$4:$Q$23,MATCH(K574,[3]Sheet1!$B$4:$B$23,1),MATCH(D574,[3]Sheet1!$C$3:$Q$3,1))
+(K574-INDEX([3]Sheet1!$B$4:$B$23,MATCH(K574,[3]Sheet1!$B$4:$B$23,1),1))/(INDEX([3]Sheet1!$B$4:$B$23,MATCH(K574,[3]Sheet1!$B$4:$B$23,1)+1,1)-INDEX([3]Sheet1!$B$4:$B$23,
MATCH(K574,[3]Sheet1!$B$4:$B$23,1),1))*(INDEX([3]Sheet1!$C$4:$Q$23,MATCH(K574,[3]Sheet1!$B$4:$B$23,1)+1,MATCH(D574,[3]Sheet1!$C$3:$Q$3,1))-INDEX([3]Sheet1!$C$4:$Q$23,
MATCH(K574,[3]Sheet1!$B$4:$B$23,1),MATCH(D574,[3]Sheet1!$C$3:$Q$3,1)))
+(D574-INDEX([3]Sheet1!$C$3:$Q$3,1,MATCH(D574,[3]Sheet1!$C$3:$Q$3)))/(INDEX([3]Sheet1!$C$3:$Q$3,1,MATCH(D574,[3]Sheet1!$C$3:$Q$3)+1)-INDEX([3]Sheet1!$C$3:$Q$3,1,MATCH(
D574,[3]Sheet1!$C$3:$Q$3)))*(INDEX([3]Sheet1!$C$4:$Q$23,MATCH(K574,[3]Sheet1!$B$4:$B$23,1),MATCH(D574,[3]Sheet1!$C$3:$Q$3,1)+1)-INDEX([3]Sheet1!$C$4:$Q$23,MATCH(K574,[3]Sheet1!$B$4:$B$23,1),MATCH(D574,[3]Sheet1!$C$3:$Q$3,1))))</f>
        <v>0</v>
      </c>
      <c r="M574" cm="1">
        <f t="array" ref="M574" xml:space="preserve"> IF(E574*J574=0,0,(INDEX([2]Sheet1!$C$4:$Q$23,MATCH(K574,[2]Sheet1!$B$4:$B$23,1),MATCH(D574,[2]Sheet1!$C$3:$Q$3,1))
+ (K574 - INDEX([2]Sheet1!$B$4:$B$23,MATCH(K574,[2]Sheet1!$B$4:$B$23,1),1))/(INDEX([2]Sheet1!$B$4:$B$23,MATCH(K574,[2]Sheet1!$B$4:$B$23,1)+1,1) - INDEX([2]Sheet1!$B$4:$B$23,MATCH(K574,[2]Sheet1!$B$4:$B$23,1),1))*(INDEX([2]Sheet1!$C$4:$Q$23,MATCH(K574,[2]Sheet1!$B$4:$B$23,1)+1,MATCH(D574,[2]Sheet1!$C$3:$Q$3,1)) - INDEX([2]Sheet1!$C$4:$Q$23,MATCH(K574,[2]Sheet1!$B$4:$B$23,1),MATCH(D574,[2]Sheet1!$C$3:$Q$3,1)))
+ (D574 - INDEX([2]Sheet1!$C$3:$Q$3,1,MATCH(D574,[2]Sheet1!$C$3:$Q$3)))/(INDEX([2]Sheet1!$C$3:$Q$3,1,MATCH(D574,[2]Sheet1!$C$3:$Q$3)+1) - INDEX([2]Sheet1!$C$3:$Q$3,1,MATCH(D574,[2]Sheet1!$C$3:$Q$3)))*(
INDEX([2]Sheet1!$C$4:$Q$23,MATCH(K574,[2]Sheet1!$B$4:$B$23,1),MATCH(D574,[2]Sheet1!$C$3:$Q$3,1)+1) - INDEX([2]Sheet1!$C$4:$Q$23,MATCH(K574,[2]Sheet1!$B$4:$B$23,1),MATCH(D574,[2]Sheet1!$C$3:$Q$3,1)))))</f>
        <v>0</v>
      </c>
      <c r="N574">
        <f t="shared" si="170"/>
        <v>12</v>
      </c>
      <c r="O574">
        <v>8.4868548549437581E-2</v>
      </c>
      <c r="P574" t="e">
        <f t="shared" si="171"/>
        <v>#DIV/0!</v>
      </c>
      <c r="Q574">
        <f t="shared" si="158"/>
        <v>0</v>
      </c>
      <c r="R574">
        <f t="shared" si="172"/>
        <v>741.9099431943954</v>
      </c>
      <c r="T574" t="e">
        <f t="shared" si="161"/>
        <v>#DIV/0!</v>
      </c>
      <c r="U574" t="e">
        <f t="shared" si="162"/>
        <v>#DIV/0!</v>
      </c>
      <c r="V574">
        <f t="shared" si="163"/>
        <v>0</v>
      </c>
      <c r="W574" t="e">
        <f t="shared" si="159"/>
        <v>#DIV/0!</v>
      </c>
    </row>
    <row r="575" spans="1:23" x14ac:dyDescent="0.55000000000000004">
      <c r="A575">
        <f t="shared" si="160"/>
        <v>54.100000000000499</v>
      </c>
      <c r="B575">
        <f t="shared" si="164"/>
        <v>0.316</v>
      </c>
      <c r="C575">
        <f t="shared" si="165"/>
        <v>-30.282608695652499</v>
      </c>
      <c r="D575">
        <v>2.4251204653578728</v>
      </c>
      <c r="E575">
        <f t="shared" si="155"/>
        <v>0</v>
      </c>
      <c r="F575">
        <f t="shared" si="166"/>
        <v>4.8605058816845369E-2</v>
      </c>
      <c r="G575">
        <f t="shared" si="167"/>
        <v>39.513748498891111</v>
      </c>
      <c r="H575">
        <f t="shared" si="168"/>
        <v>0</v>
      </c>
      <c r="I575" s="1">
        <f t="shared" si="156"/>
        <v>0</v>
      </c>
      <c r="J575">
        <f t="shared" si="169"/>
        <v>0</v>
      </c>
      <c r="K575">
        <f t="shared" si="157"/>
        <v>0</v>
      </c>
      <c r="L575" cm="1">
        <f t="array" ref="L575">IF(E575*J575=0,0,$C$21*INDEX([3]Sheet1!$C$4:$Q$23,MATCH(K575,[3]Sheet1!$B$4:$B$23,1),MATCH(D575,[3]Sheet1!$C$3:$Q$3,1))
+(K575-INDEX([3]Sheet1!$B$4:$B$23,MATCH(K575,[3]Sheet1!$B$4:$B$23,1),1))/(INDEX([3]Sheet1!$B$4:$B$23,MATCH(K575,[3]Sheet1!$B$4:$B$23,1)+1,1)-INDEX([3]Sheet1!$B$4:$B$23,
MATCH(K575,[3]Sheet1!$B$4:$B$23,1),1))*(INDEX([3]Sheet1!$C$4:$Q$23,MATCH(K575,[3]Sheet1!$B$4:$B$23,1)+1,MATCH(D575,[3]Sheet1!$C$3:$Q$3,1))-INDEX([3]Sheet1!$C$4:$Q$23,
MATCH(K575,[3]Sheet1!$B$4:$B$23,1),MATCH(D575,[3]Sheet1!$C$3:$Q$3,1)))
+(D575-INDEX([3]Sheet1!$C$3:$Q$3,1,MATCH(D575,[3]Sheet1!$C$3:$Q$3)))/(INDEX([3]Sheet1!$C$3:$Q$3,1,MATCH(D575,[3]Sheet1!$C$3:$Q$3)+1)-INDEX([3]Sheet1!$C$3:$Q$3,1,MATCH(
D575,[3]Sheet1!$C$3:$Q$3)))*(INDEX([3]Sheet1!$C$4:$Q$23,MATCH(K575,[3]Sheet1!$B$4:$B$23,1),MATCH(D575,[3]Sheet1!$C$3:$Q$3,1)+1)-INDEX([3]Sheet1!$C$4:$Q$23,MATCH(K575,[3]Sheet1!$B$4:$B$23,1),MATCH(D575,[3]Sheet1!$C$3:$Q$3,1))))</f>
        <v>0</v>
      </c>
      <c r="M575" cm="1">
        <f t="array" ref="M575" xml:space="preserve"> IF(E575*J575=0,0,(INDEX([2]Sheet1!$C$4:$Q$23,MATCH(K575,[2]Sheet1!$B$4:$B$23,1),MATCH(D575,[2]Sheet1!$C$3:$Q$3,1))
+ (K575 - INDEX([2]Sheet1!$B$4:$B$23,MATCH(K575,[2]Sheet1!$B$4:$B$23,1),1))/(INDEX([2]Sheet1!$B$4:$B$23,MATCH(K575,[2]Sheet1!$B$4:$B$23,1)+1,1) - INDEX([2]Sheet1!$B$4:$B$23,MATCH(K575,[2]Sheet1!$B$4:$B$23,1),1))*(INDEX([2]Sheet1!$C$4:$Q$23,MATCH(K575,[2]Sheet1!$B$4:$B$23,1)+1,MATCH(D575,[2]Sheet1!$C$3:$Q$3,1)) - INDEX([2]Sheet1!$C$4:$Q$23,MATCH(K575,[2]Sheet1!$B$4:$B$23,1),MATCH(D575,[2]Sheet1!$C$3:$Q$3,1)))
+ (D575 - INDEX([2]Sheet1!$C$3:$Q$3,1,MATCH(D575,[2]Sheet1!$C$3:$Q$3)))/(INDEX([2]Sheet1!$C$3:$Q$3,1,MATCH(D575,[2]Sheet1!$C$3:$Q$3)+1) - INDEX([2]Sheet1!$C$3:$Q$3,1,MATCH(D575,[2]Sheet1!$C$3:$Q$3)))*(
INDEX([2]Sheet1!$C$4:$Q$23,MATCH(K575,[2]Sheet1!$B$4:$B$23,1),MATCH(D575,[2]Sheet1!$C$3:$Q$3,1)+1) - INDEX([2]Sheet1!$C$4:$Q$23,MATCH(K575,[2]Sheet1!$B$4:$B$23,1),MATCH(D575,[2]Sheet1!$C$3:$Q$3,1)))))</f>
        <v>0</v>
      </c>
      <c r="N575">
        <f t="shared" si="170"/>
        <v>12</v>
      </c>
      <c r="O575">
        <v>8.4837246255766746E-2</v>
      </c>
      <c r="P575" t="e">
        <f t="shared" si="171"/>
        <v>#DIV/0!</v>
      </c>
      <c r="Q575">
        <f t="shared" si="158"/>
        <v>0</v>
      </c>
      <c r="R575">
        <f t="shared" si="172"/>
        <v>741.9099431943954</v>
      </c>
      <c r="T575" t="e">
        <f t="shared" si="161"/>
        <v>#DIV/0!</v>
      </c>
      <c r="U575" t="e">
        <f t="shared" si="162"/>
        <v>#DIV/0!</v>
      </c>
      <c r="V575">
        <f t="shared" si="163"/>
        <v>0</v>
      </c>
      <c r="W575" t="e">
        <f t="shared" si="159"/>
        <v>#DIV/0!</v>
      </c>
    </row>
    <row r="576" spans="1:23" x14ac:dyDescent="0.55000000000000004">
      <c r="A576">
        <f t="shared" si="160"/>
        <v>54.2000000000005</v>
      </c>
      <c r="B576">
        <f t="shared" si="164"/>
        <v>0.316</v>
      </c>
      <c r="C576">
        <f t="shared" si="165"/>
        <v>-30.34782608695685</v>
      </c>
      <c r="D576">
        <v>2.4250526555277641</v>
      </c>
      <c r="E576">
        <f t="shared" si="155"/>
        <v>0</v>
      </c>
      <c r="F576">
        <f t="shared" si="166"/>
        <v>4.8605058816845369E-2</v>
      </c>
      <c r="G576">
        <f t="shared" si="167"/>
        <v>39.513748498891111</v>
      </c>
      <c r="H576">
        <f t="shared" si="168"/>
        <v>0</v>
      </c>
      <c r="I576" s="1">
        <f t="shared" si="156"/>
        <v>0</v>
      </c>
      <c r="J576">
        <f t="shared" si="169"/>
        <v>0</v>
      </c>
      <c r="K576">
        <f t="shared" si="157"/>
        <v>0</v>
      </c>
      <c r="L576" cm="1">
        <f t="array" ref="L576">IF(E576*J576=0,0,$C$21*INDEX([3]Sheet1!$C$4:$Q$23,MATCH(K576,[3]Sheet1!$B$4:$B$23,1),MATCH(D576,[3]Sheet1!$C$3:$Q$3,1))
+(K576-INDEX([3]Sheet1!$B$4:$B$23,MATCH(K576,[3]Sheet1!$B$4:$B$23,1),1))/(INDEX([3]Sheet1!$B$4:$B$23,MATCH(K576,[3]Sheet1!$B$4:$B$23,1)+1,1)-INDEX([3]Sheet1!$B$4:$B$23,
MATCH(K576,[3]Sheet1!$B$4:$B$23,1),1))*(INDEX([3]Sheet1!$C$4:$Q$23,MATCH(K576,[3]Sheet1!$B$4:$B$23,1)+1,MATCH(D576,[3]Sheet1!$C$3:$Q$3,1))-INDEX([3]Sheet1!$C$4:$Q$23,
MATCH(K576,[3]Sheet1!$B$4:$B$23,1),MATCH(D576,[3]Sheet1!$C$3:$Q$3,1)))
+(D576-INDEX([3]Sheet1!$C$3:$Q$3,1,MATCH(D576,[3]Sheet1!$C$3:$Q$3)))/(INDEX([3]Sheet1!$C$3:$Q$3,1,MATCH(D576,[3]Sheet1!$C$3:$Q$3)+1)-INDEX([3]Sheet1!$C$3:$Q$3,1,MATCH(
D576,[3]Sheet1!$C$3:$Q$3)))*(INDEX([3]Sheet1!$C$4:$Q$23,MATCH(K576,[3]Sheet1!$B$4:$B$23,1),MATCH(D576,[3]Sheet1!$C$3:$Q$3,1)+1)-INDEX([3]Sheet1!$C$4:$Q$23,MATCH(K576,[3]Sheet1!$B$4:$B$23,1),MATCH(D576,[3]Sheet1!$C$3:$Q$3,1))))</f>
        <v>0</v>
      </c>
      <c r="M576" cm="1">
        <f t="array" ref="M576" xml:space="preserve"> IF(E576*J576=0,0,(INDEX([2]Sheet1!$C$4:$Q$23,MATCH(K576,[2]Sheet1!$B$4:$B$23,1),MATCH(D576,[2]Sheet1!$C$3:$Q$3,1))
+ (K576 - INDEX([2]Sheet1!$B$4:$B$23,MATCH(K576,[2]Sheet1!$B$4:$B$23,1),1))/(INDEX([2]Sheet1!$B$4:$B$23,MATCH(K576,[2]Sheet1!$B$4:$B$23,1)+1,1) - INDEX([2]Sheet1!$B$4:$B$23,MATCH(K576,[2]Sheet1!$B$4:$B$23,1),1))*(INDEX([2]Sheet1!$C$4:$Q$23,MATCH(K576,[2]Sheet1!$B$4:$B$23,1)+1,MATCH(D576,[2]Sheet1!$C$3:$Q$3,1)) - INDEX([2]Sheet1!$C$4:$Q$23,MATCH(K576,[2]Sheet1!$B$4:$B$23,1),MATCH(D576,[2]Sheet1!$C$3:$Q$3,1)))
+ (D576 - INDEX([2]Sheet1!$C$3:$Q$3,1,MATCH(D576,[2]Sheet1!$C$3:$Q$3)))/(INDEX([2]Sheet1!$C$3:$Q$3,1,MATCH(D576,[2]Sheet1!$C$3:$Q$3)+1) - INDEX([2]Sheet1!$C$3:$Q$3,1,MATCH(D576,[2]Sheet1!$C$3:$Q$3)))*(
INDEX([2]Sheet1!$C$4:$Q$23,MATCH(K576,[2]Sheet1!$B$4:$B$23,1),MATCH(D576,[2]Sheet1!$C$3:$Q$3,1)+1) - INDEX([2]Sheet1!$C$4:$Q$23,MATCH(K576,[2]Sheet1!$B$4:$B$23,1),MATCH(D576,[2]Sheet1!$C$3:$Q$3,1)))))</f>
        <v>0</v>
      </c>
      <c r="N576">
        <f t="shared" si="170"/>
        <v>12</v>
      </c>
      <c r="O576">
        <v>8.4823777958989294E-2</v>
      </c>
      <c r="P576" t="e">
        <f t="shared" si="171"/>
        <v>#DIV/0!</v>
      </c>
      <c r="Q576">
        <f t="shared" si="158"/>
        <v>0</v>
      </c>
      <c r="R576">
        <f t="shared" si="172"/>
        <v>741.9099431943954</v>
      </c>
      <c r="T576" t="e">
        <f t="shared" si="161"/>
        <v>#DIV/0!</v>
      </c>
      <c r="U576" t="e">
        <f t="shared" si="162"/>
        <v>#DIV/0!</v>
      </c>
      <c r="V576">
        <f t="shared" si="163"/>
        <v>0</v>
      </c>
      <c r="W576" t="e">
        <f t="shared" si="159"/>
        <v>#DIV/0!</v>
      </c>
    </row>
    <row r="577" spans="1:23" x14ac:dyDescent="0.55000000000000004">
      <c r="A577">
        <f t="shared" si="160"/>
        <v>54.300000000000502</v>
      </c>
      <c r="B577">
        <f t="shared" si="164"/>
        <v>0.316</v>
      </c>
      <c r="C577">
        <f t="shared" si="165"/>
        <v>-30.413043478261201</v>
      </c>
      <c r="D577">
        <v>2.4249849008936071</v>
      </c>
      <c r="E577">
        <f t="shared" si="155"/>
        <v>0</v>
      </c>
      <c r="F577">
        <f t="shared" si="166"/>
        <v>4.8605058816845369E-2</v>
      </c>
      <c r="G577">
        <f t="shared" si="167"/>
        <v>39.513748498891111</v>
      </c>
      <c r="H577">
        <f t="shared" si="168"/>
        <v>0</v>
      </c>
      <c r="I577" s="1">
        <f t="shared" si="156"/>
        <v>0</v>
      </c>
      <c r="J577">
        <f t="shared" si="169"/>
        <v>0</v>
      </c>
      <c r="K577">
        <f t="shared" si="157"/>
        <v>0</v>
      </c>
      <c r="L577" cm="1">
        <f t="array" ref="L577">IF(E577*J577=0,0,$C$21*INDEX([3]Sheet1!$C$4:$Q$23,MATCH(K577,[3]Sheet1!$B$4:$B$23,1),MATCH(D577,[3]Sheet1!$C$3:$Q$3,1))
+(K577-INDEX([3]Sheet1!$B$4:$B$23,MATCH(K577,[3]Sheet1!$B$4:$B$23,1),1))/(INDEX([3]Sheet1!$B$4:$B$23,MATCH(K577,[3]Sheet1!$B$4:$B$23,1)+1,1)-INDEX([3]Sheet1!$B$4:$B$23,
MATCH(K577,[3]Sheet1!$B$4:$B$23,1),1))*(INDEX([3]Sheet1!$C$4:$Q$23,MATCH(K577,[3]Sheet1!$B$4:$B$23,1)+1,MATCH(D577,[3]Sheet1!$C$3:$Q$3,1))-INDEX([3]Sheet1!$C$4:$Q$23,
MATCH(K577,[3]Sheet1!$B$4:$B$23,1),MATCH(D577,[3]Sheet1!$C$3:$Q$3,1)))
+(D577-INDEX([3]Sheet1!$C$3:$Q$3,1,MATCH(D577,[3]Sheet1!$C$3:$Q$3)))/(INDEX([3]Sheet1!$C$3:$Q$3,1,MATCH(D577,[3]Sheet1!$C$3:$Q$3)+1)-INDEX([3]Sheet1!$C$3:$Q$3,1,MATCH(
D577,[3]Sheet1!$C$3:$Q$3)))*(INDEX([3]Sheet1!$C$4:$Q$23,MATCH(K577,[3]Sheet1!$B$4:$B$23,1),MATCH(D577,[3]Sheet1!$C$3:$Q$3,1)+1)-INDEX([3]Sheet1!$C$4:$Q$23,MATCH(K577,[3]Sheet1!$B$4:$B$23,1),MATCH(D577,[3]Sheet1!$C$3:$Q$3,1))))</f>
        <v>0</v>
      </c>
      <c r="M577" cm="1">
        <f t="array" ref="M577" xml:space="preserve"> IF(E577*J577=0,0,(INDEX([2]Sheet1!$C$4:$Q$23,MATCH(K577,[2]Sheet1!$B$4:$B$23,1),MATCH(D577,[2]Sheet1!$C$3:$Q$3,1))
+ (K577 - INDEX([2]Sheet1!$B$4:$B$23,MATCH(K577,[2]Sheet1!$B$4:$B$23,1),1))/(INDEX([2]Sheet1!$B$4:$B$23,MATCH(K577,[2]Sheet1!$B$4:$B$23,1)+1,1) - INDEX([2]Sheet1!$B$4:$B$23,MATCH(K577,[2]Sheet1!$B$4:$B$23,1),1))*(INDEX([2]Sheet1!$C$4:$Q$23,MATCH(K577,[2]Sheet1!$B$4:$B$23,1)+1,MATCH(D577,[2]Sheet1!$C$3:$Q$3,1)) - INDEX([2]Sheet1!$C$4:$Q$23,MATCH(K577,[2]Sheet1!$B$4:$B$23,1),MATCH(D577,[2]Sheet1!$C$3:$Q$3,1)))
+ (D577 - INDEX([2]Sheet1!$C$3:$Q$3,1,MATCH(D577,[2]Sheet1!$C$3:$Q$3)))/(INDEX([2]Sheet1!$C$3:$Q$3,1,MATCH(D577,[2]Sheet1!$C$3:$Q$3)+1) - INDEX([2]Sheet1!$C$3:$Q$3,1,MATCH(D577,[2]Sheet1!$C$3:$Q$3)))*(
INDEX([2]Sheet1!$C$4:$Q$23,MATCH(K577,[2]Sheet1!$B$4:$B$23,1),MATCH(D577,[2]Sheet1!$C$3:$Q$3,1)+1) - INDEX([2]Sheet1!$C$4:$Q$23,MATCH(K577,[2]Sheet1!$B$4:$B$23,1),MATCH(D577,[2]Sheet1!$C$3:$Q$3,1)))))</f>
        <v>0</v>
      </c>
      <c r="N577">
        <f t="shared" si="170"/>
        <v>12</v>
      </c>
      <c r="O577">
        <v>8.4810323239862373E-2</v>
      </c>
      <c r="P577" t="e">
        <f t="shared" si="171"/>
        <v>#DIV/0!</v>
      </c>
      <c r="Q577">
        <f t="shared" si="158"/>
        <v>0</v>
      </c>
      <c r="R577">
        <f t="shared" si="172"/>
        <v>741.9099431943954</v>
      </c>
      <c r="T577" t="e">
        <f t="shared" si="161"/>
        <v>#DIV/0!</v>
      </c>
      <c r="U577" t="e">
        <f t="shared" si="162"/>
        <v>#DIV/0!</v>
      </c>
      <c r="V577">
        <f t="shared" si="163"/>
        <v>0</v>
      </c>
      <c r="W577" t="e">
        <f t="shared" si="159"/>
        <v>#DIV/0!</v>
      </c>
    </row>
    <row r="578" spans="1:23" x14ac:dyDescent="0.55000000000000004">
      <c r="A578">
        <f t="shared" si="160"/>
        <v>54.400000000000503</v>
      </c>
      <c r="B578">
        <f t="shared" si="164"/>
        <v>0.316</v>
      </c>
      <c r="C578">
        <f t="shared" si="165"/>
        <v>-30.478260869565553</v>
      </c>
      <c r="D578">
        <v>2.4249172290993362</v>
      </c>
      <c r="E578">
        <f t="shared" si="155"/>
        <v>0</v>
      </c>
      <c r="F578">
        <f t="shared" si="166"/>
        <v>4.8605058816845369E-2</v>
      </c>
      <c r="G578">
        <f t="shared" si="167"/>
        <v>39.513748498891111</v>
      </c>
      <c r="H578">
        <f t="shared" si="168"/>
        <v>0</v>
      </c>
      <c r="I578" s="1">
        <f t="shared" si="156"/>
        <v>0</v>
      </c>
      <c r="J578">
        <f t="shared" si="169"/>
        <v>0</v>
      </c>
      <c r="K578">
        <f t="shared" si="157"/>
        <v>0</v>
      </c>
      <c r="L578" cm="1">
        <f t="array" ref="L578">IF(E578*J578=0,0,$C$21*INDEX([3]Sheet1!$C$4:$Q$23,MATCH(K578,[3]Sheet1!$B$4:$B$23,1),MATCH(D578,[3]Sheet1!$C$3:$Q$3,1))
+(K578-INDEX([3]Sheet1!$B$4:$B$23,MATCH(K578,[3]Sheet1!$B$4:$B$23,1),1))/(INDEX([3]Sheet1!$B$4:$B$23,MATCH(K578,[3]Sheet1!$B$4:$B$23,1)+1,1)-INDEX([3]Sheet1!$B$4:$B$23,
MATCH(K578,[3]Sheet1!$B$4:$B$23,1),1))*(INDEX([3]Sheet1!$C$4:$Q$23,MATCH(K578,[3]Sheet1!$B$4:$B$23,1)+1,MATCH(D578,[3]Sheet1!$C$3:$Q$3,1))-INDEX([3]Sheet1!$C$4:$Q$23,
MATCH(K578,[3]Sheet1!$B$4:$B$23,1),MATCH(D578,[3]Sheet1!$C$3:$Q$3,1)))
+(D578-INDEX([3]Sheet1!$C$3:$Q$3,1,MATCH(D578,[3]Sheet1!$C$3:$Q$3)))/(INDEX([3]Sheet1!$C$3:$Q$3,1,MATCH(D578,[3]Sheet1!$C$3:$Q$3)+1)-INDEX([3]Sheet1!$C$3:$Q$3,1,MATCH(
D578,[3]Sheet1!$C$3:$Q$3)))*(INDEX([3]Sheet1!$C$4:$Q$23,MATCH(K578,[3]Sheet1!$B$4:$B$23,1),MATCH(D578,[3]Sheet1!$C$3:$Q$3,1)+1)-INDEX([3]Sheet1!$C$4:$Q$23,MATCH(K578,[3]Sheet1!$B$4:$B$23,1),MATCH(D578,[3]Sheet1!$C$3:$Q$3,1))))</f>
        <v>0</v>
      </c>
      <c r="M578" cm="1">
        <f t="array" ref="M578" xml:space="preserve"> IF(E578*J578=0,0,(INDEX([2]Sheet1!$C$4:$Q$23,MATCH(K578,[2]Sheet1!$B$4:$B$23,1),MATCH(D578,[2]Sheet1!$C$3:$Q$3,1))
+ (K578 - INDEX([2]Sheet1!$B$4:$B$23,MATCH(K578,[2]Sheet1!$B$4:$B$23,1),1))/(INDEX([2]Sheet1!$B$4:$B$23,MATCH(K578,[2]Sheet1!$B$4:$B$23,1)+1,1) - INDEX([2]Sheet1!$B$4:$B$23,MATCH(K578,[2]Sheet1!$B$4:$B$23,1),1))*(INDEX([2]Sheet1!$C$4:$Q$23,MATCH(K578,[2]Sheet1!$B$4:$B$23,1)+1,MATCH(D578,[2]Sheet1!$C$3:$Q$3,1)) - INDEX([2]Sheet1!$C$4:$Q$23,MATCH(K578,[2]Sheet1!$B$4:$B$23,1),MATCH(D578,[2]Sheet1!$C$3:$Q$3,1)))
+ (D578 - INDEX([2]Sheet1!$C$3:$Q$3,1,MATCH(D578,[2]Sheet1!$C$3:$Q$3)))/(INDEX([2]Sheet1!$C$3:$Q$3,1,MATCH(D578,[2]Sheet1!$C$3:$Q$3)+1) - INDEX([2]Sheet1!$C$3:$Q$3,1,MATCH(D578,[2]Sheet1!$C$3:$Q$3)))*(
INDEX([2]Sheet1!$C$4:$Q$23,MATCH(K578,[2]Sheet1!$B$4:$B$23,1),MATCH(D578,[2]Sheet1!$C$3:$Q$3,1)+1) - INDEX([2]Sheet1!$C$4:$Q$23,MATCH(K578,[2]Sheet1!$B$4:$B$23,1),MATCH(D578,[2]Sheet1!$C$3:$Q$3,1)))))</f>
        <v>0</v>
      </c>
      <c r="N578">
        <f t="shared" si="170"/>
        <v>12</v>
      </c>
      <c r="O578">
        <v>8.4796887125424936E-2</v>
      </c>
      <c r="P578" t="e">
        <f t="shared" si="171"/>
        <v>#DIV/0!</v>
      </c>
      <c r="Q578">
        <f t="shared" si="158"/>
        <v>0</v>
      </c>
      <c r="R578">
        <f t="shared" si="172"/>
        <v>741.9099431943954</v>
      </c>
      <c r="T578" t="e">
        <f t="shared" si="161"/>
        <v>#DIV/0!</v>
      </c>
      <c r="U578" t="e">
        <f t="shared" si="162"/>
        <v>#DIV/0!</v>
      </c>
      <c r="V578">
        <f t="shared" si="163"/>
        <v>0</v>
      </c>
      <c r="W578" t="e">
        <f t="shared" si="159"/>
        <v>#DIV/0!</v>
      </c>
    </row>
    <row r="579" spans="1:23" x14ac:dyDescent="0.55000000000000004">
      <c r="A579">
        <f t="shared" si="160"/>
        <v>54.500000000000504</v>
      </c>
      <c r="B579">
        <f t="shared" si="164"/>
        <v>0.316</v>
      </c>
      <c r="C579">
        <f t="shared" si="165"/>
        <v>-30.543478260869897</v>
      </c>
      <c r="D579">
        <v>2.4248496440738374</v>
      </c>
      <c r="E579">
        <f t="shared" si="155"/>
        <v>0</v>
      </c>
      <c r="F579">
        <f t="shared" si="166"/>
        <v>4.8605058816845369E-2</v>
      </c>
      <c r="G579">
        <f t="shared" si="167"/>
        <v>39.513748498891111</v>
      </c>
      <c r="H579">
        <f t="shared" si="168"/>
        <v>0</v>
      </c>
      <c r="I579" s="1">
        <f t="shared" si="156"/>
        <v>0</v>
      </c>
      <c r="J579">
        <f t="shared" si="169"/>
        <v>0</v>
      </c>
      <c r="K579">
        <f t="shared" si="157"/>
        <v>0</v>
      </c>
      <c r="L579" cm="1">
        <f t="array" ref="L579">IF(E579*J579=0,0,$C$21*INDEX([3]Sheet1!$C$4:$Q$23,MATCH(K579,[3]Sheet1!$B$4:$B$23,1),MATCH(D579,[3]Sheet1!$C$3:$Q$3,1))
+(K579-INDEX([3]Sheet1!$B$4:$B$23,MATCH(K579,[3]Sheet1!$B$4:$B$23,1),1))/(INDEX([3]Sheet1!$B$4:$B$23,MATCH(K579,[3]Sheet1!$B$4:$B$23,1)+1,1)-INDEX([3]Sheet1!$B$4:$B$23,
MATCH(K579,[3]Sheet1!$B$4:$B$23,1),1))*(INDEX([3]Sheet1!$C$4:$Q$23,MATCH(K579,[3]Sheet1!$B$4:$B$23,1)+1,MATCH(D579,[3]Sheet1!$C$3:$Q$3,1))-INDEX([3]Sheet1!$C$4:$Q$23,
MATCH(K579,[3]Sheet1!$B$4:$B$23,1),MATCH(D579,[3]Sheet1!$C$3:$Q$3,1)))
+(D579-INDEX([3]Sheet1!$C$3:$Q$3,1,MATCH(D579,[3]Sheet1!$C$3:$Q$3)))/(INDEX([3]Sheet1!$C$3:$Q$3,1,MATCH(D579,[3]Sheet1!$C$3:$Q$3)+1)-INDEX([3]Sheet1!$C$3:$Q$3,1,MATCH(
D579,[3]Sheet1!$C$3:$Q$3)))*(INDEX([3]Sheet1!$C$4:$Q$23,MATCH(K579,[3]Sheet1!$B$4:$B$23,1),MATCH(D579,[3]Sheet1!$C$3:$Q$3,1)+1)-INDEX([3]Sheet1!$C$4:$Q$23,MATCH(K579,[3]Sheet1!$B$4:$B$23,1),MATCH(D579,[3]Sheet1!$C$3:$Q$3,1))))</f>
        <v>0</v>
      </c>
      <c r="M579" cm="1">
        <f t="array" ref="M579" xml:space="preserve"> IF(E579*J579=0,0,(INDEX([2]Sheet1!$C$4:$Q$23,MATCH(K579,[2]Sheet1!$B$4:$B$23,1),MATCH(D579,[2]Sheet1!$C$3:$Q$3,1))
+ (K579 - INDEX([2]Sheet1!$B$4:$B$23,MATCH(K579,[2]Sheet1!$B$4:$B$23,1),1))/(INDEX([2]Sheet1!$B$4:$B$23,MATCH(K579,[2]Sheet1!$B$4:$B$23,1)+1,1) - INDEX([2]Sheet1!$B$4:$B$23,MATCH(K579,[2]Sheet1!$B$4:$B$23,1),1))*(INDEX([2]Sheet1!$C$4:$Q$23,MATCH(K579,[2]Sheet1!$B$4:$B$23,1)+1,MATCH(D579,[2]Sheet1!$C$3:$Q$3,1)) - INDEX([2]Sheet1!$C$4:$Q$23,MATCH(K579,[2]Sheet1!$B$4:$B$23,1),MATCH(D579,[2]Sheet1!$C$3:$Q$3,1)))
+ (D579 - INDEX([2]Sheet1!$C$3:$Q$3,1,MATCH(D579,[2]Sheet1!$C$3:$Q$3)))/(INDEX([2]Sheet1!$C$3:$Q$3,1,MATCH(D579,[2]Sheet1!$C$3:$Q$3)+1) - INDEX([2]Sheet1!$C$3:$Q$3,1,MATCH(D579,[2]Sheet1!$C$3:$Q$3)))*(
INDEX([2]Sheet1!$C$4:$Q$23,MATCH(K579,[2]Sheet1!$B$4:$B$23,1),MATCH(D579,[2]Sheet1!$C$3:$Q$3,1)+1) - INDEX([2]Sheet1!$C$4:$Q$23,MATCH(K579,[2]Sheet1!$B$4:$B$23,1),MATCH(D579,[2]Sheet1!$C$3:$Q$3,1)))))</f>
        <v>0</v>
      </c>
      <c r="N579">
        <f t="shared" si="170"/>
        <v>12</v>
      </c>
      <c r="O579">
        <v>8.4783470319710966E-2</v>
      </c>
      <c r="P579" t="e">
        <f t="shared" si="171"/>
        <v>#DIV/0!</v>
      </c>
      <c r="Q579">
        <f t="shared" si="158"/>
        <v>0</v>
      </c>
      <c r="R579">
        <f t="shared" si="172"/>
        <v>741.9099431943954</v>
      </c>
      <c r="T579" t="e">
        <f t="shared" si="161"/>
        <v>#DIV/0!</v>
      </c>
      <c r="U579" t="e">
        <f t="shared" si="162"/>
        <v>#DIV/0!</v>
      </c>
      <c r="V579">
        <f t="shared" si="163"/>
        <v>0</v>
      </c>
      <c r="W579" t="e">
        <f t="shared" si="159"/>
        <v>#DIV/0!</v>
      </c>
    </row>
    <row r="580" spans="1:23" x14ac:dyDescent="0.55000000000000004">
      <c r="A580">
        <f t="shared" si="160"/>
        <v>54.600000000000506</v>
      </c>
      <c r="B580">
        <f t="shared" si="164"/>
        <v>0.316</v>
      </c>
      <c r="C580">
        <f t="shared" si="165"/>
        <v>-30.608695652174248</v>
      </c>
      <c r="D580">
        <v>2.4247821455872574</v>
      </c>
      <c r="E580">
        <f t="shared" si="155"/>
        <v>0</v>
      </c>
      <c r="F580">
        <f t="shared" si="166"/>
        <v>4.8605058816845369E-2</v>
      </c>
      <c r="G580">
        <f t="shared" si="167"/>
        <v>39.513748498891111</v>
      </c>
      <c r="H580">
        <f t="shared" si="168"/>
        <v>0</v>
      </c>
      <c r="I580" s="1">
        <f t="shared" si="156"/>
        <v>0</v>
      </c>
      <c r="J580">
        <f t="shared" si="169"/>
        <v>0</v>
      </c>
      <c r="K580">
        <f t="shared" si="157"/>
        <v>0</v>
      </c>
      <c r="L580" cm="1">
        <f t="array" ref="L580">IF(E580*J580=0,0,$C$21*INDEX([3]Sheet1!$C$4:$Q$23,MATCH(K580,[3]Sheet1!$B$4:$B$23,1),MATCH(D580,[3]Sheet1!$C$3:$Q$3,1))
+(K580-INDEX([3]Sheet1!$B$4:$B$23,MATCH(K580,[3]Sheet1!$B$4:$B$23,1),1))/(INDEX([3]Sheet1!$B$4:$B$23,MATCH(K580,[3]Sheet1!$B$4:$B$23,1)+1,1)-INDEX([3]Sheet1!$B$4:$B$23,
MATCH(K580,[3]Sheet1!$B$4:$B$23,1),1))*(INDEX([3]Sheet1!$C$4:$Q$23,MATCH(K580,[3]Sheet1!$B$4:$B$23,1)+1,MATCH(D580,[3]Sheet1!$C$3:$Q$3,1))-INDEX([3]Sheet1!$C$4:$Q$23,
MATCH(K580,[3]Sheet1!$B$4:$B$23,1),MATCH(D580,[3]Sheet1!$C$3:$Q$3,1)))
+(D580-INDEX([3]Sheet1!$C$3:$Q$3,1,MATCH(D580,[3]Sheet1!$C$3:$Q$3)))/(INDEX([3]Sheet1!$C$3:$Q$3,1,MATCH(D580,[3]Sheet1!$C$3:$Q$3)+1)-INDEX([3]Sheet1!$C$3:$Q$3,1,MATCH(
D580,[3]Sheet1!$C$3:$Q$3)))*(INDEX([3]Sheet1!$C$4:$Q$23,MATCH(K580,[3]Sheet1!$B$4:$B$23,1),MATCH(D580,[3]Sheet1!$C$3:$Q$3,1)+1)-INDEX([3]Sheet1!$C$4:$Q$23,MATCH(K580,[3]Sheet1!$B$4:$B$23,1),MATCH(D580,[3]Sheet1!$C$3:$Q$3,1))))</f>
        <v>0</v>
      </c>
      <c r="M580" cm="1">
        <f t="array" ref="M580" xml:space="preserve"> IF(E580*J580=0,0,(INDEX([2]Sheet1!$C$4:$Q$23,MATCH(K580,[2]Sheet1!$B$4:$B$23,1),MATCH(D580,[2]Sheet1!$C$3:$Q$3,1))
+ (K580 - INDEX([2]Sheet1!$B$4:$B$23,MATCH(K580,[2]Sheet1!$B$4:$B$23,1),1))/(INDEX([2]Sheet1!$B$4:$B$23,MATCH(K580,[2]Sheet1!$B$4:$B$23,1)+1,1) - INDEX([2]Sheet1!$B$4:$B$23,MATCH(K580,[2]Sheet1!$B$4:$B$23,1),1))*(INDEX([2]Sheet1!$C$4:$Q$23,MATCH(K580,[2]Sheet1!$B$4:$B$23,1)+1,MATCH(D580,[2]Sheet1!$C$3:$Q$3,1)) - INDEX([2]Sheet1!$C$4:$Q$23,MATCH(K580,[2]Sheet1!$B$4:$B$23,1),MATCH(D580,[2]Sheet1!$C$3:$Q$3,1)))
+ (D580 - INDEX([2]Sheet1!$C$3:$Q$3,1,MATCH(D580,[2]Sheet1!$C$3:$Q$3)))/(INDEX([2]Sheet1!$C$3:$Q$3,1,MATCH(D580,[2]Sheet1!$C$3:$Q$3)+1) - INDEX([2]Sheet1!$C$3:$Q$3,1,MATCH(D580,[2]Sheet1!$C$3:$Q$3)))*(
INDEX([2]Sheet1!$C$4:$Q$23,MATCH(K580,[2]Sheet1!$B$4:$B$23,1),MATCH(D580,[2]Sheet1!$C$3:$Q$3,1)+1) - INDEX([2]Sheet1!$C$4:$Q$23,MATCH(K580,[2]Sheet1!$B$4:$B$23,1),MATCH(D580,[2]Sheet1!$C$3:$Q$3,1)))))</f>
        <v>0</v>
      </c>
      <c r="N580">
        <f t="shared" si="170"/>
        <v>12</v>
      </c>
      <c r="O580">
        <v>8.4770072768946575E-2</v>
      </c>
      <c r="P580" t="e">
        <f t="shared" si="171"/>
        <v>#DIV/0!</v>
      </c>
      <c r="Q580">
        <f t="shared" si="158"/>
        <v>0</v>
      </c>
      <c r="R580">
        <f t="shared" si="172"/>
        <v>741.9099431943954</v>
      </c>
      <c r="T580" t="e">
        <f t="shared" si="161"/>
        <v>#DIV/0!</v>
      </c>
      <c r="U580" t="e">
        <f t="shared" si="162"/>
        <v>#DIV/0!</v>
      </c>
      <c r="V580">
        <f t="shared" si="163"/>
        <v>0</v>
      </c>
      <c r="W580" t="e">
        <f t="shared" si="159"/>
        <v>#DIV/0!</v>
      </c>
    </row>
    <row r="581" spans="1:23" x14ac:dyDescent="0.55000000000000004">
      <c r="A581">
        <f t="shared" si="160"/>
        <v>54.700000000000507</v>
      </c>
      <c r="B581">
        <f t="shared" si="164"/>
        <v>0.316</v>
      </c>
      <c r="C581">
        <f t="shared" si="165"/>
        <v>-30.673913043478599</v>
      </c>
      <c r="D581">
        <v>2.4247147334106778</v>
      </c>
      <c r="E581">
        <f t="shared" si="155"/>
        <v>0</v>
      </c>
      <c r="F581">
        <f t="shared" si="166"/>
        <v>4.8605058816845369E-2</v>
      </c>
      <c r="G581">
        <f t="shared" si="167"/>
        <v>39.513748498891111</v>
      </c>
      <c r="H581">
        <f t="shared" si="168"/>
        <v>0</v>
      </c>
      <c r="I581" s="1">
        <f t="shared" si="156"/>
        <v>0</v>
      </c>
      <c r="J581">
        <f t="shared" si="169"/>
        <v>0</v>
      </c>
      <c r="K581">
        <f t="shared" si="157"/>
        <v>0</v>
      </c>
      <c r="L581" cm="1">
        <f t="array" ref="L581">IF(E581*J581=0,0,$C$21*INDEX([3]Sheet1!$C$4:$Q$23,MATCH(K581,[3]Sheet1!$B$4:$B$23,1),MATCH(D581,[3]Sheet1!$C$3:$Q$3,1))
+(K581-INDEX([3]Sheet1!$B$4:$B$23,MATCH(K581,[3]Sheet1!$B$4:$B$23,1),1))/(INDEX([3]Sheet1!$B$4:$B$23,MATCH(K581,[3]Sheet1!$B$4:$B$23,1)+1,1)-INDEX([3]Sheet1!$B$4:$B$23,
MATCH(K581,[3]Sheet1!$B$4:$B$23,1),1))*(INDEX([3]Sheet1!$C$4:$Q$23,MATCH(K581,[3]Sheet1!$B$4:$B$23,1)+1,MATCH(D581,[3]Sheet1!$C$3:$Q$3,1))-INDEX([3]Sheet1!$C$4:$Q$23,
MATCH(K581,[3]Sheet1!$B$4:$B$23,1),MATCH(D581,[3]Sheet1!$C$3:$Q$3,1)))
+(D581-INDEX([3]Sheet1!$C$3:$Q$3,1,MATCH(D581,[3]Sheet1!$C$3:$Q$3)))/(INDEX([3]Sheet1!$C$3:$Q$3,1,MATCH(D581,[3]Sheet1!$C$3:$Q$3)+1)-INDEX([3]Sheet1!$C$3:$Q$3,1,MATCH(
D581,[3]Sheet1!$C$3:$Q$3)))*(INDEX([3]Sheet1!$C$4:$Q$23,MATCH(K581,[3]Sheet1!$B$4:$B$23,1),MATCH(D581,[3]Sheet1!$C$3:$Q$3,1)+1)-INDEX([3]Sheet1!$C$4:$Q$23,MATCH(K581,[3]Sheet1!$B$4:$B$23,1),MATCH(D581,[3]Sheet1!$C$3:$Q$3,1))))</f>
        <v>0</v>
      </c>
      <c r="M581" cm="1">
        <f t="array" ref="M581" xml:space="preserve"> IF(E581*J581=0,0,(INDEX([2]Sheet1!$C$4:$Q$23,MATCH(K581,[2]Sheet1!$B$4:$B$23,1),MATCH(D581,[2]Sheet1!$C$3:$Q$3,1))
+ (K581 - INDEX([2]Sheet1!$B$4:$B$23,MATCH(K581,[2]Sheet1!$B$4:$B$23,1),1))/(INDEX([2]Sheet1!$B$4:$B$23,MATCH(K581,[2]Sheet1!$B$4:$B$23,1)+1,1) - INDEX([2]Sheet1!$B$4:$B$23,MATCH(K581,[2]Sheet1!$B$4:$B$23,1),1))*(INDEX([2]Sheet1!$C$4:$Q$23,MATCH(K581,[2]Sheet1!$B$4:$B$23,1)+1,MATCH(D581,[2]Sheet1!$C$3:$Q$3,1)) - INDEX([2]Sheet1!$C$4:$Q$23,MATCH(K581,[2]Sheet1!$B$4:$B$23,1),MATCH(D581,[2]Sheet1!$C$3:$Q$3,1)))
+ (D581 - INDEX([2]Sheet1!$C$3:$Q$3,1,MATCH(D581,[2]Sheet1!$C$3:$Q$3)))/(INDEX([2]Sheet1!$C$3:$Q$3,1,MATCH(D581,[2]Sheet1!$C$3:$Q$3)+1) - INDEX([2]Sheet1!$C$3:$Q$3,1,MATCH(D581,[2]Sheet1!$C$3:$Q$3)))*(
INDEX([2]Sheet1!$C$4:$Q$23,MATCH(K581,[2]Sheet1!$B$4:$B$23,1),MATCH(D581,[2]Sheet1!$C$3:$Q$3,1)+1) - INDEX([2]Sheet1!$C$4:$Q$23,MATCH(K581,[2]Sheet1!$B$4:$B$23,1),MATCH(D581,[2]Sheet1!$C$3:$Q$3,1)))))</f>
        <v>0</v>
      </c>
      <c r="N581">
        <f t="shared" si="170"/>
        <v>12</v>
      </c>
      <c r="O581">
        <v>8.4756694419583889E-2</v>
      </c>
      <c r="P581" t="e">
        <f t="shared" si="171"/>
        <v>#DIV/0!</v>
      </c>
      <c r="Q581">
        <f t="shared" si="158"/>
        <v>0</v>
      </c>
      <c r="R581">
        <f t="shared" si="172"/>
        <v>741.9099431943954</v>
      </c>
      <c r="T581" t="e">
        <f t="shared" si="161"/>
        <v>#DIV/0!</v>
      </c>
      <c r="U581" t="e">
        <f t="shared" si="162"/>
        <v>#DIV/0!</v>
      </c>
      <c r="V581">
        <f t="shared" si="163"/>
        <v>0</v>
      </c>
      <c r="W581" t="e">
        <f t="shared" si="159"/>
        <v>#DIV/0!</v>
      </c>
    </row>
    <row r="582" spans="1:23" x14ac:dyDescent="0.55000000000000004">
      <c r="A582">
        <f t="shared" si="160"/>
        <v>54.800000000000509</v>
      </c>
      <c r="B582">
        <f t="shared" si="164"/>
        <v>0.316</v>
      </c>
      <c r="C582">
        <f t="shared" si="165"/>
        <v>-30.739130434782943</v>
      </c>
      <c r="D582">
        <v>2.424647407316094</v>
      </c>
      <c r="E582">
        <f t="shared" si="155"/>
        <v>0</v>
      </c>
      <c r="F582">
        <f t="shared" si="166"/>
        <v>4.8605058816845369E-2</v>
      </c>
      <c r="G582">
        <f t="shared" si="167"/>
        <v>39.513748498891111</v>
      </c>
      <c r="H582">
        <f t="shared" si="168"/>
        <v>0</v>
      </c>
      <c r="I582" s="1">
        <f t="shared" si="156"/>
        <v>0</v>
      </c>
      <c r="J582">
        <f t="shared" si="169"/>
        <v>0</v>
      </c>
      <c r="K582">
        <f t="shared" si="157"/>
        <v>0</v>
      </c>
      <c r="L582" cm="1">
        <f t="array" ref="L582">IF(E582*J582=0,0,$C$21*INDEX([3]Sheet1!$C$4:$Q$23,MATCH(K582,[3]Sheet1!$B$4:$B$23,1),MATCH(D582,[3]Sheet1!$C$3:$Q$3,1))
+(K582-INDEX([3]Sheet1!$B$4:$B$23,MATCH(K582,[3]Sheet1!$B$4:$B$23,1),1))/(INDEX([3]Sheet1!$B$4:$B$23,MATCH(K582,[3]Sheet1!$B$4:$B$23,1)+1,1)-INDEX([3]Sheet1!$B$4:$B$23,
MATCH(K582,[3]Sheet1!$B$4:$B$23,1),1))*(INDEX([3]Sheet1!$C$4:$Q$23,MATCH(K582,[3]Sheet1!$B$4:$B$23,1)+1,MATCH(D582,[3]Sheet1!$C$3:$Q$3,1))-INDEX([3]Sheet1!$C$4:$Q$23,
MATCH(K582,[3]Sheet1!$B$4:$B$23,1),MATCH(D582,[3]Sheet1!$C$3:$Q$3,1)))
+(D582-INDEX([3]Sheet1!$C$3:$Q$3,1,MATCH(D582,[3]Sheet1!$C$3:$Q$3)))/(INDEX([3]Sheet1!$C$3:$Q$3,1,MATCH(D582,[3]Sheet1!$C$3:$Q$3)+1)-INDEX([3]Sheet1!$C$3:$Q$3,1,MATCH(
D582,[3]Sheet1!$C$3:$Q$3)))*(INDEX([3]Sheet1!$C$4:$Q$23,MATCH(K582,[3]Sheet1!$B$4:$B$23,1),MATCH(D582,[3]Sheet1!$C$3:$Q$3,1)+1)-INDEX([3]Sheet1!$C$4:$Q$23,MATCH(K582,[3]Sheet1!$B$4:$B$23,1),MATCH(D582,[3]Sheet1!$C$3:$Q$3,1))))</f>
        <v>0</v>
      </c>
      <c r="M582" cm="1">
        <f t="array" ref="M582" xml:space="preserve"> IF(E582*J582=0,0,(INDEX([2]Sheet1!$C$4:$Q$23,MATCH(K582,[2]Sheet1!$B$4:$B$23,1),MATCH(D582,[2]Sheet1!$C$3:$Q$3,1))
+ (K582 - INDEX([2]Sheet1!$B$4:$B$23,MATCH(K582,[2]Sheet1!$B$4:$B$23,1),1))/(INDEX([2]Sheet1!$B$4:$B$23,MATCH(K582,[2]Sheet1!$B$4:$B$23,1)+1,1) - INDEX([2]Sheet1!$B$4:$B$23,MATCH(K582,[2]Sheet1!$B$4:$B$23,1),1))*(INDEX([2]Sheet1!$C$4:$Q$23,MATCH(K582,[2]Sheet1!$B$4:$B$23,1)+1,MATCH(D582,[2]Sheet1!$C$3:$Q$3,1)) - INDEX([2]Sheet1!$C$4:$Q$23,MATCH(K582,[2]Sheet1!$B$4:$B$23,1),MATCH(D582,[2]Sheet1!$C$3:$Q$3,1)))
+ (D582 - INDEX([2]Sheet1!$C$3:$Q$3,1,MATCH(D582,[2]Sheet1!$C$3:$Q$3)))/(INDEX([2]Sheet1!$C$3:$Q$3,1,MATCH(D582,[2]Sheet1!$C$3:$Q$3)+1) - INDEX([2]Sheet1!$C$3:$Q$3,1,MATCH(D582,[2]Sheet1!$C$3:$Q$3)))*(
INDEX([2]Sheet1!$C$4:$Q$23,MATCH(K582,[2]Sheet1!$B$4:$B$23,1),MATCH(D582,[2]Sheet1!$C$3:$Q$3,1)+1) - INDEX([2]Sheet1!$C$4:$Q$23,MATCH(K582,[2]Sheet1!$B$4:$B$23,1),MATCH(D582,[2]Sheet1!$C$3:$Q$3,1)))))</f>
        <v>0</v>
      </c>
      <c r="N582">
        <f t="shared" si="170"/>
        <v>12</v>
      </c>
      <c r="O582">
        <v>8.47433352182968E-2</v>
      </c>
      <c r="P582" t="e">
        <f t="shared" si="171"/>
        <v>#DIV/0!</v>
      </c>
      <c r="Q582">
        <f t="shared" si="158"/>
        <v>0</v>
      </c>
      <c r="R582">
        <f t="shared" si="172"/>
        <v>741.9099431943954</v>
      </c>
      <c r="T582" t="e">
        <f t="shared" si="161"/>
        <v>#DIV/0!</v>
      </c>
      <c r="U582" t="e">
        <f t="shared" si="162"/>
        <v>#DIV/0!</v>
      </c>
      <c r="V582">
        <f t="shared" si="163"/>
        <v>0</v>
      </c>
      <c r="W582" t="e">
        <f t="shared" si="159"/>
        <v>#DIV/0!</v>
      </c>
    </row>
    <row r="583" spans="1:23" x14ac:dyDescent="0.55000000000000004">
      <c r="A583">
        <f t="shared" si="160"/>
        <v>54.90000000000051</v>
      </c>
      <c r="B583">
        <f t="shared" si="164"/>
        <v>0.316</v>
      </c>
      <c r="C583">
        <f t="shared" si="165"/>
        <v>-30.804347826087287</v>
      </c>
      <c r="D583">
        <v>2.4245801670764102</v>
      </c>
      <c r="E583">
        <f t="shared" si="155"/>
        <v>0</v>
      </c>
      <c r="F583">
        <f t="shared" si="166"/>
        <v>4.8605058816845369E-2</v>
      </c>
      <c r="G583">
        <f t="shared" si="167"/>
        <v>39.513748498891111</v>
      </c>
      <c r="H583">
        <f t="shared" si="168"/>
        <v>0</v>
      </c>
      <c r="I583" s="1">
        <f t="shared" si="156"/>
        <v>0</v>
      </c>
      <c r="J583">
        <f t="shared" si="169"/>
        <v>0</v>
      </c>
      <c r="K583">
        <f t="shared" si="157"/>
        <v>0</v>
      </c>
      <c r="L583" cm="1">
        <f t="array" ref="L583">IF(E583*J583=0,0,$C$21*INDEX([3]Sheet1!$C$4:$Q$23,MATCH(K583,[3]Sheet1!$B$4:$B$23,1),MATCH(D583,[3]Sheet1!$C$3:$Q$3,1))
+(K583-INDEX([3]Sheet1!$B$4:$B$23,MATCH(K583,[3]Sheet1!$B$4:$B$23,1),1))/(INDEX([3]Sheet1!$B$4:$B$23,MATCH(K583,[3]Sheet1!$B$4:$B$23,1)+1,1)-INDEX([3]Sheet1!$B$4:$B$23,
MATCH(K583,[3]Sheet1!$B$4:$B$23,1),1))*(INDEX([3]Sheet1!$C$4:$Q$23,MATCH(K583,[3]Sheet1!$B$4:$B$23,1)+1,MATCH(D583,[3]Sheet1!$C$3:$Q$3,1))-INDEX([3]Sheet1!$C$4:$Q$23,
MATCH(K583,[3]Sheet1!$B$4:$B$23,1),MATCH(D583,[3]Sheet1!$C$3:$Q$3,1)))
+(D583-INDEX([3]Sheet1!$C$3:$Q$3,1,MATCH(D583,[3]Sheet1!$C$3:$Q$3)))/(INDEX([3]Sheet1!$C$3:$Q$3,1,MATCH(D583,[3]Sheet1!$C$3:$Q$3)+1)-INDEX([3]Sheet1!$C$3:$Q$3,1,MATCH(
D583,[3]Sheet1!$C$3:$Q$3)))*(INDEX([3]Sheet1!$C$4:$Q$23,MATCH(K583,[3]Sheet1!$B$4:$B$23,1),MATCH(D583,[3]Sheet1!$C$3:$Q$3,1)+1)-INDEX([3]Sheet1!$C$4:$Q$23,MATCH(K583,[3]Sheet1!$B$4:$B$23,1),MATCH(D583,[3]Sheet1!$C$3:$Q$3,1))))</f>
        <v>0</v>
      </c>
      <c r="M583" cm="1">
        <f t="array" ref="M583" xml:space="preserve"> IF(E583*J583=0,0,(INDEX([2]Sheet1!$C$4:$Q$23,MATCH(K583,[2]Sheet1!$B$4:$B$23,1),MATCH(D583,[2]Sheet1!$C$3:$Q$3,1))
+ (K583 - INDEX([2]Sheet1!$B$4:$B$23,MATCH(K583,[2]Sheet1!$B$4:$B$23,1),1))/(INDEX([2]Sheet1!$B$4:$B$23,MATCH(K583,[2]Sheet1!$B$4:$B$23,1)+1,1) - INDEX([2]Sheet1!$B$4:$B$23,MATCH(K583,[2]Sheet1!$B$4:$B$23,1),1))*(INDEX([2]Sheet1!$C$4:$Q$23,MATCH(K583,[2]Sheet1!$B$4:$B$23,1)+1,MATCH(D583,[2]Sheet1!$C$3:$Q$3,1)) - INDEX([2]Sheet1!$C$4:$Q$23,MATCH(K583,[2]Sheet1!$B$4:$B$23,1),MATCH(D583,[2]Sheet1!$C$3:$Q$3,1)))
+ (D583 - INDEX([2]Sheet1!$C$3:$Q$3,1,MATCH(D583,[2]Sheet1!$C$3:$Q$3)))/(INDEX([2]Sheet1!$C$3:$Q$3,1,MATCH(D583,[2]Sheet1!$C$3:$Q$3)+1) - INDEX([2]Sheet1!$C$3:$Q$3,1,MATCH(D583,[2]Sheet1!$C$3:$Q$3)))*(
INDEX([2]Sheet1!$C$4:$Q$23,MATCH(K583,[2]Sheet1!$B$4:$B$23,1),MATCH(D583,[2]Sheet1!$C$3:$Q$3,1)+1) - INDEX([2]Sheet1!$C$4:$Q$23,MATCH(K583,[2]Sheet1!$B$4:$B$23,1),MATCH(D583,[2]Sheet1!$C$3:$Q$3,1)))))</f>
        <v>0</v>
      </c>
      <c r="N583">
        <f t="shared" si="170"/>
        <v>12</v>
      </c>
      <c r="O583">
        <v>8.4729995111978332E-2</v>
      </c>
      <c r="P583" t="e">
        <f t="shared" si="171"/>
        <v>#DIV/0!</v>
      </c>
      <c r="Q583">
        <f t="shared" si="158"/>
        <v>0</v>
      </c>
      <c r="R583">
        <f t="shared" si="172"/>
        <v>741.9099431943954</v>
      </c>
      <c r="T583" t="e">
        <f t="shared" si="161"/>
        <v>#DIV/0!</v>
      </c>
      <c r="U583" t="e">
        <f t="shared" si="162"/>
        <v>#DIV/0!</v>
      </c>
      <c r="V583">
        <f t="shared" si="163"/>
        <v>0</v>
      </c>
      <c r="W583" t="e">
        <f t="shared" si="159"/>
        <v>#DIV/0!</v>
      </c>
    </row>
    <row r="584" spans="1:23" x14ac:dyDescent="0.55000000000000004">
      <c r="A584">
        <f t="shared" si="160"/>
        <v>55.000000000000512</v>
      </c>
      <c r="B584">
        <f t="shared" si="164"/>
        <v>0.316</v>
      </c>
      <c r="C584">
        <f t="shared" si="165"/>
        <v>-30.869565217391639</v>
      </c>
      <c r="D584">
        <v>2.4245130124654337</v>
      </c>
      <c r="E584">
        <f t="shared" si="155"/>
        <v>0</v>
      </c>
      <c r="F584">
        <f t="shared" si="166"/>
        <v>4.8605058816845369E-2</v>
      </c>
      <c r="G584">
        <f t="shared" si="167"/>
        <v>39.513748498891111</v>
      </c>
      <c r="H584">
        <f t="shared" si="168"/>
        <v>0</v>
      </c>
      <c r="I584" s="1">
        <f t="shared" si="156"/>
        <v>0</v>
      </c>
      <c r="J584">
        <f t="shared" si="169"/>
        <v>0</v>
      </c>
      <c r="K584">
        <f t="shared" si="157"/>
        <v>0</v>
      </c>
      <c r="L584" cm="1">
        <f t="array" ref="L584">IF(E584*J584=0,0,$C$21*INDEX([3]Sheet1!$C$4:$Q$23,MATCH(K584,[3]Sheet1!$B$4:$B$23,1),MATCH(D584,[3]Sheet1!$C$3:$Q$3,1))
+(K584-INDEX([3]Sheet1!$B$4:$B$23,MATCH(K584,[3]Sheet1!$B$4:$B$23,1),1))/(INDEX([3]Sheet1!$B$4:$B$23,MATCH(K584,[3]Sheet1!$B$4:$B$23,1)+1,1)-INDEX([3]Sheet1!$B$4:$B$23,
MATCH(K584,[3]Sheet1!$B$4:$B$23,1),1))*(INDEX([3]Sheet1!$C$4:$Q$23,MATCH(K584,[3]Sheet1!$B$4:$B$23,1)+1,MATCH(D584,[3]Sheet1!$C$3:$Q$3,1))-INDEX([3]Sheet1!$C$4:$Q$23,
MATCH(K584,[3]Sheet1!$B$4:$B$23,1),MATCH(D584,[3]Sheet1!$C$3:$Q$3,1)))
+(D584-INDEX([3]Sheet1!$C$3:$Q$3,1,MATCH(D584,[3]Sheet1!$C$3:$Q$3)))/(INDEX([3]Sheet1!$C$3:$Q$3,1,MATCH(D584,[3]Sheet1!$C$3:$Q$3)+1)-INDEX([3]Sheet1!$C$3:$Q$3,1,MATCH(
D584,[3]Sheet1!$C$3:$Q$3)))*(INDEX([3]Sheet1!$C$4:$Q$23,MATCH(K584,[3]Sheet1!$B$4:$B$23,1),MATCH(D584,[3]Sheet1!$C$3:$Q$3,1)+1)-INDEX([3]Sheet1!$C$4:$Q$23,MATCH(K584,[3]Sheet1!$B$4:$B$23,1),MATCH(D584,[3]Sheet1!$C$3:$Q$3,1))))</f>
        <v>0</v>
      </c>
      <c r="M584" cm="1">
        <f t="array" ref="M584" xml:space="preserve"> IF(E584*J584=0,0,(INDEX([2]Sheet1!$C$4:$Q$23,MATCH(K584,[2]Sheet1!$B$4:$B$23,1),MATCH(D584,[2]Sheet1!$C$3:$Q$3,1))
+ (K584 - INDEX([2]Sheet1!$B$4:$B$23,MATCH(K584,[2]Sheet1!$B$4:$B$23,1),1))/(INDEX([2]Sheet1!$B$4:$B$23,MATCH(K584,[2]Sheet1!$B$4:$B$23,1)+1,1) - INDEX([2]Sheet1!$B$4:$B$23,MATCH(K584,[2]Sheet1!$B$4:$B$23,1),1))*(INDEX([2]Sheet1!$C$4:$Q$23,MATCH(K584,[2]Sheet1!$B$4:$B$23,1)+1,MATCH(D584,[2]Sheet1!$C$3:$Q$3,1)) - INDEX([2]Sheet1!$C$4:$Q$23,MATCH(K584,[2]Sheet1!$B$4:$B$23,1),MATCH(D584,[2]Sheet1!$C$3:$Q$3,1)))
+ (D584 - INDEX([2]Sheet1!$C$3:$Q$3,1,MATCH(D584,[2]Sheet1!$C$3:$Q$3)))/(INDEX([2]Sheet1!$C$3:$Q$3,1,MATCH(D584,[2]Sheet1!$C$3:$Q$3)+1) - INDEX([2]Sheet1!$C$3:$Q$3,1,MATCH(D584,[2]Sheet1!$C$3:$Q$3)))*(
INDEX([2]Sheet1!$C$4:$Q$23,MATCH(K584,[2]Sheet1!$B$4:$B$23,1),MATCH(D584,[2]Sheet1!$C$3:$Q$3,1)+1) - INDEX([2]Sheet1!$C$4:$Q$23,MATCH(K584,[2]Sheet1!$B$4:$B$23,1),MATCH(D584,[2]Sheet1!$C$3:$Q$3,1)))))</f>
        <v>0</v>
      </c>
      <c r="N584">
        <f t="shared" si="170"/>
        <v>12</v>
      </c>
      <c r="O584">
        <v>8.4716674047741622E-2</v>
      </c>
      <c r="P584" t="e">
        <f t="shared" si="171"/>
        <v>#DIV/0!</v>
      </c>
      <c r="Q584">
        <f t="shared" si="158"/>
        <v>0</v>
      </c>
      <c r="R584">
        <f t="shared" si="172"/>
        <v>741.9099431943954</v>
      </c>
      <c r="T584" t="e">
        <f t="shared" si="161"/>
        <v>#DIV/0!</v>
      </c>
      <c r="U584" t="e">
        <f t="shared" si="162"/>
        <v>#DIV/0!</v>
      </c>
      <c r="V584">
        <f t="shared" si="163"/>
        <v>0</v>
      </c>
      <c r="W584" t="e">
        <f t="shared" si="159"/>
        <v>#DIV/0!</v>
      </c>
    </row>
    <row r="585" spans="1:23" x14ac:dyDescent="0.55000000000000004">
      <c r="A585">
        <f t="shared" si="160"/>
        <v>55.100000000000513</v>
      </c>
      <c r="B585">
        <f t="shared" si="164"/>
        <v>0.316</v>
      </c>
      <c r="C585">
        <f t="shared" si="165"/>
        <v>-30.93478260869599</v>
      </c>
      <c r="D585">
        <v>2.42444594325787</v>
      </c>
      <c r="E585">
        <f t="shared" si="155"/>
        <v>0</v>
      </c>
      <c r="F585">
        <f t="shared" si="166"/>
        <v>4.8605058816845369E-2</v>
      </c>
      <c r="G585">
        <f t="shared" si="167"/>
        <v>39.513748498891111</v>
      </c>
      <c r="H585">
        <f t="shared" si="168"/>
        <v>0</v>
      </c>
      <c r="I585" s="1">
        <f t="shared" si="156"/>
        <v>0</v>
      </c>
      <c r="J585">
        <f t="shared" si="169"/>
        <v>0</v>
      </c>
      <c r="K585">
        <f t="shared" si="157"/>
        <v>0</v>
      </c>
      <c r="L585" cm="1">
        <f t="array" ref="L585">IF(E585*J585=0,0,$C$21*INDEX([3]Sheet1!$C$4:$Q$23,MATCH(K585,[3]Sheet1!$B$4:$B$23,1),MATCH(D585,[3]Sheet1!$C$3:$Q$3,1))
+(K585-INDEX([3]Sheet1!$B$4:$B$23,MATCH(K585,[3]Sheet1!$B$4:$B$23,1),1))/(INDEX([3]Sheet1!$B$4:$B$23,MATCH(K585,[3]Sheet1!$B$4:$B$23,1)+1,1)-INDEX([3]Sheet1!$B$4:$B$23,
MATCH(K585,[3]Sheet1!$B$4:$B$23,1),1))*(INDEX([3]Sheet1!$C$4:$Q$23,MATCH(K585,[3]Sheet1!$B$4:$B$23,1)+1,MATCH(D585,[3]Sheet1!$C$3:$Q$3,1))-INDEX([3]Sheet1!$C$4:$Q$23,
MATCH(K585,[3]Sheet1!$B$4:$B$23,1),MATCH(D585,[3]Sheet1!$C$3:$Q$3,1)))
+(D585-INDEX([3]Sheet1!$C$3:$Q$3,1,MATCH(D585,[3]Sheet1!$C$3:$Q$3)))/(INDEX([3]Sheet1!$C$3:$Q$3,1,MATCH(D585,[3]Sheet1!$C$3:$Q$3)+1)-INDEX([3]Sheet1!$C$3:$Q$3,1,MATCH(
D585,[3]Sheet1!$C$3:$Q$3)))*(INDEX([3]Sheet1!$C$4:$Q$23,MATCH(K585,[3]Sheet1!$B$4:$B$23,1),MATCH(D585,[3]Sheet1!$C$3:$Q$3,1)+1)-INDEX([3]Sheet1!$C$4:$Q$23,MATCH(K585,[3]Sheet1!$B$4:$B$23,1),MATCH(D585,[3]Sheet1!$C$3:$Q$3,1))))</f>
        <v>0</v>
      </c>
      <c r="M585" cm="1">
        <f t="array" ref="M585" xml:space="preserve"> IF(E585*J585=0,0,(INDEX([2]Sheet1!$C$4:$Q$23,MATCH(K585,[2]Sheet1!$B$4:$B$23,1),MATCH(D585,[2]Sheet1!$C$3:$Q$3,1))
+ (K585 - INDEX([2]Sheet1!$B$4:$B$23,MATCH(K585,[2]Sheet1!$B$4:$B$23,1),1))/(INDEX([2]Sheet1!$B$4:$B$23,MATCH(K585,[2]Sheet1!$B$4:$B$23,1)+1,1) - INDEX([2]Sheet1!$B$4:$B$23,MATCH(K585,[2]Sheet1!$B$4:$B$23,1),1))*(INDEX([2]Sheet1!$C$4:$Q$23,MATCH(K585,[2]Sheet1!$B$4:$B$23,1)+1,MATCH(D585,[2]Sheet1!$C$3:$Q$3,1)) - INDEX([2]Sheet1!$C$4:$Q$23,MATCH(K585,[2]Sheet1!$B$4:$B$23,1),MATCH(D585,[2]Sheet1!$C$3:$Q$3,1)))
+ (D585 - INDEX([2]Sheet1!$C$3:$Q$3,1,MATCH(D585,[2]Sheet1!$C$3:$Q$3)))/(INDEX([2]Sheet1!$C$3:$Q$3,1,MATCH(D585,[2]Sheet1!$C$3:$Q$3)+1) - INDEX([2]Sheet1!$C$3:$Q$3,1,MATCH(D585,[2]Sheet1!$C$3:$Q$3)))*(
INDEX([2]Sheet1!$C$4:$Q$23,MATCH(K585,[2]Sheet1!$B$4:$B$23,1),MATCH(D585,[2]Sheet1!$C$3:$Q$3,1)+1) - INDEX([2]Sheet1!$C$4:$Q$23,MATCH(K585,[2]Sheet1!$B$4:$B$23,1),MATCH(D585,[2]Sheet1!$C$3:$Q$3,1)))))</f>
        <v>0</v>
      </c>
      <c r="N585">
        <f t="shared" si="170"/>
        <v>12</v>
      </c>
      <c r="O585">
        <v>8.4703371972915761E-2</v>
      </c>
      <c r="P585" t="e">
        <f t="shared" si="171"/>
        <v>#DIV/0!</v>
      </c>
      <c r="Q585">
        <f t="shared" si="158"/>
        <v>0</v>
      </c>
      <c r="R585">
        <f t="shared" si="172"/>
        <v>741.9099431943954</v>
      </c>
      <c r="T585" t="e">
        <f t="shared" si="161"/>
        <v>#DIV/0!</v>
      </c>
      <c r="U585" t="e">
        <f t="shared" si="162"/>
        <v>#DIV/0!</v>
      </c>
      <c r="V585">
        <f t="shared" si="163"/>
        <v>0</v>
      </c>
      <c r="W585" t="e">
        <f t="shared" si="159"/>
        <v>#DIV/0!</v>
      </c>
    </row>
    <row r="586" spans="1:23" x14ac:dyDescent="0.55000000000000004">
      <c r="A586">
        <f t="shared" si="160"/>
        <v>55.200000000000514</v>
      </c>
      <c r="B586">
        <f t="shared" si="164"/>
        <v>0.316</v>
      </c>
      <c r="C586">
        <f t="shared" si="165"/>
        <v>-31.000000000000341</v>
      </c>
      <c r="D586">
        <v>2.4243789592293212</v>
      </c>
      <c r="E586">
        <f t="shared" si="155"/>
        <v>0</v>
      </c>
      <c r="F586">
        <f t="shared" si="166"/>
        <v>4.8605058816845369E-2</v>
      </c>
      <c r="G586">
        <f t="shared" si="167"/>
        <v>39.513748498891111</v>
      </c>
      <c r="H586">
        <f t="shared" si="168"/>
        <v>0</v>
      </c>
      <c r="I586" s="1">
        <f t="shared" si="156"/>
        <v>0</v>
      </c>
      <c r="J586">
        <f t="shared" si="169"/>
        <v>0</v>
      </c>
      <c r="K586">
        <f t="shared" si="157"/>
        <v>0</v>
      </c>
      <c r="L586" cm="1">
        <f t="array" ref="L586">IF(E586*J586=0,0,$C$21*INDEX([3]Sheet1!$C$4:$Q$23,MATCH(K586,[3]Sheet1!$B$4:$B$23,1),MATCH(D586,[3]Sheet1!$C$3:$Q$3,1))
+(K586-INDEX([3]Sheet1!$B$4:$B$23,MATCH(K586,[3]Sheet1!$B$4:$B$23,1),1))/(INDEX([3]Sheet1!$B$4:$B$23,MATCH(K586,[3]Sheet1!$B$4:$B$23,1)+1,1)-INDEX([3]Sheet1!$B$4:$B$23,
MATCH(K586,[3]Sheet1!$B$4:$B$23,1),1))*(INDEX([3]Sheet1!$C$4:$Q$23,MATCH(K586,[3]Sheet1!$B$4:$B$23,1)+1,MATCH(D586,[3]Sheet1!$C$3:$Q$3,1))-INDEX([3]Sheet1!$C$4:$Q$23,
MATCH(K586,[3]Sheet1!$B$4:$B$23,1),MATCH(D586,[3]Sheet1!$C$3:$Q$3,1)))
+(D586-INDEX([3]Sheet1!$C$3:$Q$3,1,MATCH(D586,[3]Sheet1!$C$3:$Q$3)))/(INDEX([3]Sheet1!$C$3:$Q$3,1,MATCH(D586,[3]Sheet1!$C$3:$Q$3)+1)-INDEX([3]Sheet1!$C$3:$Q$3,1,MATCH(
D586,[3]Sheet1!$C$3:$Q$3)))*(INDEX([3]Sheet1!$C$4:$Q$23,MATCH(K586,[3]Sheet1!$B$4:$B$23,1),MATCH(D586,[3]Sheet1!$C$3:$Q$3,1)+1)-INDEX([3]Sheet1!$C$4:$Q$23,MATCH(K586,[3]Sheet1!$B$4:$B$23,1),MATCH(D586,[3]Sheet1!$C$3:$Q$3,1))))</f>
        <v>0</v>
      </c>
      <c r="M586" cm="1">
        <f t="array" ref="M586" xml:space="preserve"> IF(E586*J586=0,0,(INDEX([2]Sheet1!$C$4:$Q$23,MATCH(K586,[2]Sheet1!$B$4:$B$23,1),MATCH(D586,[2]Sheet1!$C$3:$Q$3,1))
+ (K586 - INDEX([2]Sheet1!$B$4:$B$23,MATCH(K586,[2]Sheet1!$B$4:$B$23,1),1))/(INDEX([2]Sheet1!$B$4:$B$23,MATCH(K586,[2]Sheet1!$B$4:$B$23,1)+1,1) - INDEX([2]Sheet1!$B$4:$B$23,MATCH(K586,[2]Sheet1!$B$4:$B$23,1),1))*(INDEX([2]Sheet1!$C$4:$Q$23,MATCH(K586,[2]Sheet1!$B$4:$B$23,1)+1,MATCH(D586,[2]Sheet1!$C$3:$Q$3,1)) - INDEX([2]Sheet1!$C$4:$Q$23,MATCH(K586,[2]Sheet1!$B$4:$B$23,1),MATCH(D586,[2]Sheet1!$C$3:$Q$3,1)))
+ (D586 - INDEX([2]Sheet1!$C$3:$Q$3,1,MATCH(D586,[2]Sheet1!$C$3:$Q$3)))/(INDEX([2]Sheet1!$C$3:$Q$3,1,MATCH(D586,[2]Sheet1!$C$3:$Q$3)+1) - INDEX([2]Sheet1!$C$3:$Q$3,1,MATCH(D586,[2]Sheet1!$C$3:$Q$3)))*(
INDEX([2]Sheet1!$C$4:$Q$23,MATCH(K586,[2]Sheet1!$B$4:$B$23,1),MATCH(D586,[2]Sheet1!$C$3:$Q$3,1)+1) - INDEX([2]Sheet1!$C$4:$Q$23,MATCH(K586,[2]Sheet1!$B$4:$B$23,1),MATCH(D586,[2]Sheet1!$C$3:$Q$3,1)))))</f>
        <v>0</v>
      </c>
      <c r="N586">
        <f t="shared" si="170"/>
        <v>12</v>
      </c>
      <c r="O586">
        <v>8.4690088835047944E-2</v>
      </c>
      <c r="P586" t="e">
        <f t="shared" si="171"/>
        <v>#DIV/0!</v>
      </c>
      <c r="Q586">
        <f t="shared" si="158"/>
        <v>0</v>
      </c>
      <c r="R586">
        <f t="shared" si="172"/>
        <v>741.9099431943954</v>
      </c>
      <c r="T586" t="e">
        <f t="shared" si="161"/>
        <v>#DIV/0!</v>
      </c>
      <c r="U586" t="e">
        <f t="shared" si="162"/>
        <v>#DIV/0!</v>
      </c>
      <c r="V586">
        <f t="shared" si="163"/>
        <v>0</v>
      </c>
      <c r="W586" t="e">
        <f t="shared" si="159"/>
        <v>#DIV/0!</v>
      </c>
    </row>
    <row r="587" spans="1:23" x14ac:dyDescent="0.55000000000000004">
      <c r="A587">
        <f t="shared" si="160"/>
        <v>55.300000000000516</v>
      </c>
      <c r="B587">
        <f t="shared" si="164"/>
        <v>0.316</v>
      </c>
      <c r="C587">
        <f t="shared" si="165"/>
        <v>-31.065217391304685</v>
      </c>
      <c r="D587">
        <v>2.424312060156276</v>
      </c>
      <c r="E587">
        <f t="shared" si="155"/>
        <v>0</v>
      </c>
      <c r="F587">
        <f t="shared" si="166"/>
        <v>4.8605058816845369E-2</v>
      </c>
      <c r="G587">
        <f t="shared" si="167"/>
        <v>39.513748498891111</v>
      </c>
      <c r="H587">
        <f t="shared" si="168"/>
        <v>0</v>
      </c>
      <c r="I587" s="1">
        <f t="shared" si="156"/>
        <v>0</v>
      </c>
      <c r="J587">
        <f t="shared" si="169"/>
        <v>0</v>
      </c>
      <c r="K587">
        <f t="shared" si="157"/>
        <v>0</v>
      </c>
      <c r="L587" cm="1">
        <f t="array" ref="L587">IF(E587*J587=0,0,$C$21*INDEX([3]Sheet1!$C$4:$Q$23,MATCH(K587,[3]Sheet1!$B$4:$B$23,1),MATCH(D587,[3]Sheet1!$C$3:$Q$3,1))
+(K587-INDEX([3]Sheet1!$B$4:$B$23,MATCH(K587,[3]Sheet1!$B$4:$B$23,1),1))/(INDEX([3]Sheet1!$B$4:$B$23,MATCH(K587,[3]Sheet1!$B$4:$B$23,1)+1,1)-INDEX([3]Sheet1!$B$4:$B$23,
MATCH(K587,[3]Sheet1!$B$4:$B$23,1),1))*(INDEX([3]Sheet1!$C$4:$Q$23,MATCH(K587,[3]Sheet1!$B$4:$B$23,1)+1,MATCH(D587,[3]Sheet1!$C$3:$Q$3,1))-INDEX([3]Sheet1!$C$4:$Q$23,
MATCH(K587,[3]Sheet1!$B$4:$B$23,1),MATCH(D587,[3]Sheet1!$C$3:$Q$3,1)))
+(D587-INDEX([3]Sheet1!$C$3:$Q$3,1,MATCH(D587,[3]Sheet1!$C$3:$Q$3)))/(INDEX([3]Sheet1!$C$3:$Q$3,1,MATCH(D587,[3]Sheet1!$C$3:$Q$3)+1)-INDEX([3]Sheet1!$C$3:$Q$3,1,MATCH(
D587,[3]Sheet1!$C$3:$Q$3)))*(INDEX([3]Sheet1!$C$4:$Q$23,MATCH(K587,[3]Sheet1!$B$4:$B$23,1),MATCH(D587,[3]Sheet1!$C$3:$Q$3,1)+1)-INDEX([3]Sheet1!$C$4:$Q$23,MATCH(K587,[3]Sheet1!$B$4:$B$23,1),MATCH(D587,[3]Sheet1!$C$3:$Q$3,1))))</f>
        <v>0</v>
      </c>
      <c r="M587" cm="1">
        <f t="array" ref="M587" xml:space="preserve"> IF(E587*J587=0,0,(INDEX([2]Sheet1!$C$4:$Q$23,MATCH(K587,[2]Sheet1!$B$4:$B$23,1),MATCH(D587,[2]Sheet1!$C$3:$Q$3,1))
+ (K587 - INDEX([2]Sheet1!$B$4:$B$23,MATCH(K587,[2]Sheet1!$B$4:$B$23,1),1))/(INDEX([2]Sheet1!$B$4:$B$23,MATCH(K587,[2]Sheet1!$B$4:$B$23,1)+1,1) - INDEX([2]Sheet1!$B$4:$B$23,MATCH(K587,[2]Sheet1!$B$4:$B$23,1),1))*(INDEX([2]Sheet1!$C$4:$Q$23,MATCH(K587,[2]Sheet1!$B$4:$B$23,1)+1,MATCH(D587,[2]Sheet1!$C$3:$Q$3,1)) - INDEX([2]Sheet1!$C$4:$Q$23,MATCH(K587,[2]Sheet1!$B$4:$B$23,1),MATCH(D587,[2]Sheet1!$C$3:$Q$3,1)))
+ (D587 - INDEX([2]Sheet1!$C$3:$Q$3,1,MATCH(D587,[2]Sheet1!$C$3:$Q$3)))/(INDEX([2]Sheet1!$C$3:$Q$3,1,MATCH(D587,[2]Sheet1!$C$3:$Q$3)+1) - INDEX([2]Sheet1!$C$3:$Q$3,1,MATCH(D587,[2]Sheet1!$C$3:$Q$3)))*(
INDEX([2]Sheet1!$C$4:$Q$23,MATCH(K587,[2]Sheet1!$B$4:$B$23,1),MATCH(D587,[2]Sheet1!$C$3:$Q$3,1)+1) - INDEX([2]Sheet1!$C$4:$Q$23,MATCH(K587,[2]Sheet1!$B$4:$B$23,1),MATCH(D587,[2]Sheet1!$C$3:$Q$3,1)))))</f>
        <v>0</v>
      </c>
      <c r="N587">
        <f t="shared" si="170"/>
        <v>12</v>
      </c>
      <c r="O587">
        <v>8.4676824581899346E-2</v>
      </c>
      <c r="P587" t="e">
        <f t="shared" si="171"/>
        <v>#DIV/0!</v>
      </c>
      <c r="Q587">
        <f t="shared" si="158"/>
        <v>0</v>
      </c>
      <c r="R587">
        <f t="shared" si="172"/>
        <v>741.9099431943954</v>
      </c>
      <c r="T587" t="e">
        <f t="shared" si="161"/>
        <v>#DIV/0!</v>
      </c>
      <c r="U587" t="e">
        <f t="shared" si="162"/>
        <v>#DIV/0!</v>
      </c>
      <c r="V587">
        <f t="shared" si="163"/>
        <v>0</v>
      </c>
      <c r="W587" t="e">
        <f t="shared" si="159"/>
        <v>#DIV/0!</v>
      </c>
    </row>
    <row r="588" spans="1:23" x14ac:dyDescent="0.55000000000000004">
      <c r="A588">
        <f t="shared" si="160"/>
        <v>55.400000000000517</v>
      </c>
      <c r="B588">
        <f t="shared" si="164"/>
        <v>0.316</v>
      </c>
      <c r="C588">
        <f t="shared" si="165"/>
        <v>-31.130434782609036</v>
      </c>
      <c r="D588">
        <v>2.4242452458161097</v>
      </c>
      <c r="E588">
        <f t="shared" si="155"/>
        <v>0</v>
      </c>
      <c r="F588">
        <f t="shared" si="166"/>
        <v>4.8605058816845369E-2</v>
      </c>
      <c r="G588">
        <f t="shared" si="167"/>
        <v>39.513748498891111</v>
      </c>
      <c r="H588">
        <f t="shared" si="168"/>
        <v>0</v>
      </c>
      <c r="I588" s="1">
        <f t="shared" si="156"/>
        <v>0</v>
      </c>
      <c r="J588">
        <f t="shared" si="169"/>
        <v>0</v>
      </c>
      <c r="K588">
        <f t="shared" si="157"/>
        <v>0</v>
      </c>
      <c r="L588" cm="1">
        <f t="array" ref="L588">IF(E588*J588=0,0,$C$21*INDEX([3]Sheet1!$C$4:$Q$23,MATCH(K588,[3]Sheet1!$B$4:$B$23,1),MATCH(D588,[3]Sheet1!$C$3:$Q$3,1))
+(K588-INDEX([3]Sheet1!$B$4:$B$23,MATCH(K588,[3]Sheet1!$B$4:$B$23,1),1))/(INDEX([3]Sheet1!$B$4:$B$23,MATCH(K588,[3]Sheet1!$B$4:$B$23,1)+1,1)-INDEX([3]Sheet1!$B$4:$B$23,
MATCH(K588,[3]Sheet1!$B$4:$B$23,1),1))*(INDEX([3]Sheet1!$C$4:$Q$23,MATCH(K588,[3]Sheet1!$B$4:$B$23,1)+1,MATCH(D588,[3]Sheet1!$C$3:$Q$3,1))-INDEX([3]Sheet1!$C$4:$Q$23,
MATCH(K588,[3]Sheet1!$B$4:$B$23,1),MATCH(D588,[3]Sheet1!$C$3:$Q$3,1)))
+(D588-INDEX([3]Sheet1!$C$3:$Q$3,1,MATCH(D588,[3]Sheet1!$C$3:$Q$3)))/(INDEX([3]Sheet1!$C$3:$Q$3,1,MATCH(D588,[3]Sheet1!$C$3:$Q$3)+1)-INDEX([3]Sheet1!$C$3:$Q$3,1,MATCH(
D588,[3]Sheet1!$C$3:$Q$3)))*(INDEX([3]Sheet1!$C$4:$Q$23,MATCH(K588,[3]Sheet1!$B$4:$B$23,1),MATCH(D588,[3]Sheet1!$C$3:$Q$3,1)+1)-INDEX([3]Sheet1!$C$4:$Q$23,MATCH(K588,[3]Sheet1!$B$4:$B$23,1),MATCH(D588,[3]Sheet1!$C$3:$Q$3,1))))</f>
        <v>0</v>
      </c>
      <c r="M588" cm="1">
        <f t="array" ref="M588" xml:space="preserve"> IF(E588*J588=0,0,(INDEX([2]Sheet1!$C$4:$Q$23,MATCH(K588,[2]Sheet1!$B$4:$B$23,1),MATCH(D588,[2]Sheet1!$C$3:$Q$3,1))
+ (K588 - INDEX([2]Sheet1!$B$4:$B$23,MATCH(K588,[2]Sheet1!$B$4:$B$23,1),1))/(INDEX([2]Sheet1!$B$4:$B$23,MATCH(K588,[2]Sheet1!$B$4:$B$23,1)+1,1) - INDEX([2]Sheet1!$B$4:$B$23,MATCH(K588,[2]Sheet1!$B$4:$B$23,1),1))*(INDEX([2]Sheet1!$C$4:$Q$23,MATCH(K588,[2]Sheet1!$B$4:$B$23,1)+1,MATCH(D588,[2]Sheet1!$C$3:$Q$3,1)) - INDEX([2]Sheet1!$C$4:$Q$23,MATCH(K588,[2]Sheet1!$B$4:$B$23,1),MATCH(D588,[2]Sheet1!$C$3:$Q$3,1)))
+ (D588 - INDEX([2]Sheet1!$C$3:$Q$3,1,MATCH(D588,[2]Sheet1!$C$3:$Q$3)))/(INDEX([2]Sheet1!$C$3:$Q$3,1,MATCH(D588,[2]Sheet1!$C$3:$Q$3)+1) - INDEX([2]Sheet1!$C$3:$Q$3,1,MATCH(D588,[2]Sheet1!$C$3:$Q$3)))*(
INDEX([2]Sheet1!$C$4:$Q$23,MATCH(K588,[2]Sheet1!$B$4:$B$23,1),MATCH(D588,[2]Sheet1!$C$3:$Q$3,1)+1) - INDEX([2]Sheet1!$C$4:$Q$23,MATCH(K588,[2]Sheet1!$B$4:$B$23,1),MATCH(D588,[2]Sheet1!$C$3:$Q$3,1)))))</f>
        <v>0</v>
      </c>
      <c r="N588">
        <f t="shared" si="170"/>
        <v>12</v>
      </c>
      <c r="O588">
        <v>8.4663579161446248E-2</v>
      </c>
      <c r="P588" t="e">
        <f t="shared" si="171"/>
        <v>#DIV/0!</v>
      </c>
      <c r="Q588">
        <f t="shared" si="158"/>
        <v>0</v>
      </c>
      <c r="R588">
        <f t="shared" si="172"/>
        <v>741.9099431943954</v>
      </c>
      <c r="T588" t="e">
        <f t="shared" si="161"/>
        <v>#DIV/0!</v>
      </c>
      <c r="U588" t="e">
        <f t="shared" si="162"/>
        <v>#DIV/0!</v>
      </c>
      <c r="V588">
        <f t="shared" si="163"/>
        <v>0</v>
      </c>
      <c r="W588" t="e">
        <f t="shared" si="159"/>
        <v>#DIV/0!</v>
      </c>
    </row>
    <row r="589" spans="1:23" x14ac:dyDescent="0.55000000000000004">
      <c r="A589">
        <f t="shared" si="160"/>
        <v>55.500000000000519</v>
      </c>
      <c r="B589">
        <f t="shared" si="164"/>
        <v>0.316</v>
      </c>
      <c r="C589">
        <f t="shared" si="165"/>
        <v>-31.195652173913388</v>
      </c>
      <c r="D589">
        <v>2.4241785159870752</v>
      </c>
      <c r="E589">
        <f t="shared" si="155"/>
        <v>0</v>
      </c>
      <c r="F589">
        <f t="shared" si="166"/>
        <v>4.8605058816845369E-2</v>
      </c>
      <c r="G589">
        <f t="shared" si="167"/>
        <v>39.513748498891111</v>
      </c>
      <c r="H589">
        <f t="shared" si="168"/>
        <v>0</v>
      </c>
      <c r="I589" s="1">
        <f t="shared" si="156"/>
        <v>0</v>
      </c>
      <c r="J589">
        <f t="shared" si="169"/>
        <v>0</v>
      </c>
      <c r="K589">
        <f t="shared" si="157"/>
        <v>0</v>
      </c>
      <c r="L589" cm="1">
        <f t="array" ref="L589">IF(E589*J589=0,0,$C$21*INDEX([3]Sheet1!$C$4:$Q$23,MATCH(K589,[3]Sheet1!$B$4:$B$23,1),MATCH(D589,[3]Sheet1!$C$3:$Q$3,1))
+(K589-INDEX([3]Sheet1!$B$4:$B$23,MATCH(K589,[3]Sheet1!$B$4:$B$23,1),1))/(INDEX([3]Sheet1!$B$4:$B$23,MATCH(K589,[3]Sheet1!$B$4:$B$23,1)+1,1)-INDEX([3]Sheet1!$B$4:$B$23,
MATCH(K589,[3]Sheet1!$B$4:$B$23,1),1))*(INDEX([3]Sheet1!$C$4:$Q$23,MATCH(K589,[3]Sheet1!$B$4:$B$23,1)+1,MATCH(D589,[3]Sheet1!$C$3:$Q$3,1))-INDEX([3]Sheet1!$C$4:$Q$23,
MATCH(K589,[3]Sheet1!$B$4:$B$23,1),MATCH(D589,[3]Sheet1!$C$3:$Q$3,1)))
+(D589-INDEX([3]Sheet1!$C$3:$Q$3,1,MATCH(D589,[3]Sheet1!$C$3:$Q$3)))/(INDEX([3]Sheet1!$C$3:$Q$3,1,MATCH(D589,[3]Sheet1!$C$3:$Q$3)+1)-INDEX([3]Sheet1!$C$3:$Q$3,1,MATCH(
D589,[3]Sheet1!$C$3:$Q$3)))*(INDEX([3]Sheet1!$C$4:$Q$23,MATCH(K589,[3]Sheet1!$B$4:$B$23,1),MATCH(D589,[3]Sheet1!$C$3:$Q$3,1)+1)-INDEX([3]Sheet1!$C$4:$Q$23,MATCH(K589,[3]Sheet1!$B$4:$B$23,1),MATCH(D589,[3]Sheet1!$C$3:$Q$3,1))))</f>
        <v>0</v>
      </c>
      <c r="M589" cm="1">
        <f t="array" ref="M589" xml:space="preserve"> IF(E589*J589=0,0,(INDEX([2]Sheet1!$C$4:$Q$23,MATCH(K589,[2]Sheet1!$B$4:$B$23,1),MATCH(D589,[2]Sheet1!$C$3:$Q$3,1))
+ (K589 - INDEX([2]Sheet1!$B$4:$B$23,MATCH(K589,[2]Sheet1!$B$4:$B$23,1),1))/(INDEX([2]Sheet1!$B$4:$B$23,MATCH(K589,[2]Sheet1!$B$4:$B$23,1)+1,1) - INDEX([2]Sheet1!$B$4:$B$23,MATCH(K589,[2]Sheet1!$B$4:$B$23,1),1))*(INDEX([2]Sheet1!$C$4:$Q$23,MATCH(K589,[2]Sheet1!$B$4:$B$23,1)+1,MATCH(D589,[2]Sheet1!$C$3:$Q$3,1)) - INDEX([2]Sheet1!$C$4:$Q$23,MATCH(K589,[2]Sheet1!$B$4:$B$23,1),MATCH(D589,[2]Sheet1!$C$3:$Q$3,1)))
+ (D589 - INDEX([2]Sheet1!$C$3:$Q$3,1,MATCH(D589,[2]Sheet1!$C$3:$Q$3)))/(INDEX([2]Sheet1!$C$3:$Q$3,1,MATCH(D589,[2]Sheet1!$C$3:$Q$3)+1) - INDEX([2]Sheet1!$C$3:$Q$3,1,MATCH(D589,[2]Sheet1!$C$3:$Q$3)))*(
INDEX([2]Sheet1!$C$4:$Q$23,MATCH(K589,[2]Sheet1!$B$4:$B$23,1),MATCH(D589,[2]Sheet1!$C$3:$Q$3,1)+1) - INDEX([2]Sheet1!$C$4:$Q$23,MATCH(K589,[2]Sheet1!$B$4:$B$23,1),MATCH(D589,[2]Sheet1!$C$3:$Q$3,1)))))</f>
        <v>0</v>
      </c>
      <c r="N589">
        <f t="shared" si="170"/>
        <v>12</v>
      </c>
      <c r="O589">
        <v>8.4650352521877206E-2</v>
      </c>
      <c r="P589" t="e">
        <f t="shared" si="171"/>
        <v>#DIV/0!</v>
      </c>
      <c r="Q589">
        <f t="shared" si="158"/>
        <v>0</v>
      </c>
      <c r="R589">
        <f t="shared" si="172"/>
        <v>741.9099431943954</v>
      </c>
      <c r="T589" t="e">
        <f t="shared" si="161"/>
        <v>#DIV/0!</v>
      </c>
      <c r="U589" t="e">
        <f t="shared" si="162"/>
        <v>#DIV/0!</v>
      </c>
      <c r="V589">
        <f t="shared" si="163"/>
        <v>0</v>
      </c>
      <c r="W589" t="e">
        <f t="shared" si="159"/>
        <v>#DIV/0!</v>
      </c>
    </row>
    <row r="590" spans="1:23" x14ac:dyDescent="0.55000000000000004">
      <c r="A590">
        <f t="shared" si="160"/>
        <v>55.60000000000052</v>
      </c>
      <c r="B590">
        <f t="shared" si="164"/>
        <v>0.316</v>
      </c>
      <c r="C590">
        <f t="shared" si="165"/>
        <v>-31.260869565217732</v>
      </c>
      <c r="D590">
        <v>2.4241118704483031</v>
      </c>
      <c r="E590">
        <f t="shared" si="155"/>
        <v>0</v>
      </c>
      <c r="F590">
        <f t="shared" si="166"/>
        <v>4.8605058816845369E-2</v>
      </c>
      <c r="G590">
        <f t="shared" si="167"/>
        <v>39.513748498891111</v>
      </c>
      <c r="H590">
        <f t="shared" si="168"/>
        <v>0</v>
      </c>
      <c r="I590" s="1">
        <f t="shared" si="156"/>
        <v>0</v>
      </c>
      <c r="J590">
        <f t="shared" si="169"/>
        <v>0</v>
      </c>
      <c r="K590">
        <f t="shared" si="157"/>
        <v>0</v>
      </c>
      <c r="L590" cm="1">
        <f t="array" ref="L590">IF(E590*J590=0,0,$C$21*INDEX([3]Sheet1!$C$4:$Q$23,MATCH(K590,[3]Sheet1!$B$4:$B$23,1),MATCH(D590,[3]Sheet1!$C$3:$Q$3,1))
+(K590-INDEX([3]Sheet1!$B$4:$B$23,MATCH(K590,[3]Sheet1!$B$4:$B$23,1),1))/(INDEX([3]Sheet1!$B$4:$B$23,MATCH(K590,[3]Sheet1!$B$4:$B$23,1)+1,1)-INDEX([3]Sheet1!$B$4:$B$23,
MATCH(K590,[3]Sheet1!$B$4:$B$23,1),1))*(INDEX([3]Sheet1!$C$4:$Q$23,MATCH(K590,[3]Sheet1!$B$4:$B$23,1)+1,MATCH(D590,[3]Sheet1!$C$3:$Q$3,1))-INDEX([3]Sheet1!$C$4:$Q$23,
MATCH(K590,[3]Sheet1!$B$4:$B$23,1),MATCH(D590,[3]Sheet1!$C$3:$Q$3,1)))
+(D590-INDEX([3]Sheet1!$C$3:$Q$3,1,MATCH(D590,[3]Sheet1!$C$3:$Q$3)))/(INDEX([3]Sheet1!$C$3:$Q$3,1,MATCH(D590,[3]Sheet1!$C$3:$Q$3)+1)-INDEX([3]Sheet1!$C$3:$Q$3,1,MATCH(
D590,[3]Sheet1!$C$3:$Q$3)))*(INDEX([3]Sheet1!$C$4:$Q$23,MATCH(K590,[3]Sheet1!$B$4:$B$23,1),MATCH(D590,[3]Sheet1!$C$3:$Q$3,1)+1)-INDEX([3]Sheet1!$C$4:$Q$23,MATCH(K590,[3]Sheet1!$B$4:$B$23,1),MATCH(D590,[3]Sheet1!$C$3:$Q$3,1))))</f>
        <v>0</v>
      </c>
      <c r="M590" cm="1">
        <f t="array" ref="M590" xml:space="preserve"> IF(E590*J590=0,0,(INDEX([2]Sheet1!$C$4:$Q$23,MATCH(K590,[2]Sheet1!$B$4:$B$23,1),MATCH(D590,[2]Sheet1!$C$3:$Q$3,1))
+ (K590 - INDEX([2]Sheet1!$B$4:$B$23,MATCH(K590,[2]Sheet1!$B$4:$B$23,1),1))/(INDEX([2]Sheet1!$B$4:$B$23,MATCH(K590,[2]Sheet1!$B$4:$B$23,1)+1,1) - INDEX([2]Sheet1!$B$4:$B$23,MATCH(K590,[2]Sheet1!$B$4:$B$23,1),1))*(INDEX([2]Sheet1!$C$4:$Q$23,MATCH(K590,[2]Sheet1!$B$4:$B$23,1)+1,MATCH(D590,[2]Sheet1!$C$3:$Q$3,1)) - INDEX([2]Sheet1!$C$4:$Q$23,MATCH(K590,[2]Sheet1!$B$4:$B$23,1),MATCH(D590,[2]Sheet1!$C$3:$Q$3,1)))
+ (D590 - INDEX([2]Sheet1!$C$3:$Q$3,1,MATCH(D590,[2]Sheet1!$C$3:$Q$3)))/(INDEX([2]Sheet1!$C$3:$Q$3,1,MATCH(D590,[2]Sheet1!$C$3:$Q$3)+1) - INDEX([2]Sheet1!$C$3:$Q$3,1,MATCH(D590,[2]Sheet1!$C$3:$Q$3)))*(
INDEX([2]Sheet1!$C$4:$Q$23,MATCH(K590,[2]Sheet1!$B$4:$B$23,1),MATCH(D590,[2]Sheet1!$C$3:$Q$3,1)+1) - INDEX([2]Sheet1!$C$4:$Q$23,MATCH(K590,[2]Sheet1!$B$4:$B$23,1),MATCH(D590,[2]Sheet1!$C$3:$Q$3,1)))))</f>
        <v>0</v>
      </c>
      <c r="N590">
        <f t="shared" si="170"/>
        <v>12</v>
      </c>
      <c r="O590">
        <v>8.463714461159226E-2</v>
      </c>
      <c r="P590" t="e">
        <f t="shared" si="171"/>
        <v>#DIV/0!</v>
      </c>
      <c r="Q590">
        <f t="shared" si="158"/>
        <v>0</v>
      </c>
      <c r="R590">
        <f t="shared" si="172"/>
        <v>741.9099431943954</v>
      </c>
      <c r="T590" t="e">
        <f t="shared" si="161"/>
        <v>#DIV/0!</v>
      </c>
      <c r="U590" t="e">
        <f t="shared" si="162"/>
        <v>#DIV/0!</v>
      </c>
      <c r="V590">
        <f t="shared" si="163"/>
        <v>0</v>
      </c>
      <c r="W590" t="e">
        <f t="shared" si="159"/>
        <v>#DIV/0!</v>
      </c>
    </row>
    <row r="591" spans="1:23" x14ac:dyDescent="0.55000000000000004">
      <c r="A591">
        <f t="shared" si="160"/>
        <v>55.700000000000522</v>
      </c>
      <c r="B591">
        <f t="shared" si="164"/>
        <v>0.316</v>
      </c>
      <c r="C591">
        <f t="shared" si="165"/>
        <v>-31.326086956522083</v>
      </c>
      <c r="D591">
        <v>2.4240453089797938</v>
      </c>
      <c r="E591">
        <f t="shared" si="155"/>
        <v>0</v>
      </c>
      <c r="F591">
        <f t="shared" si="166"/>
        <v>4.8605058816845369E-2</v>
      </c>
      <c r="G591">
        <f t="shared" si="167"/>
        <v>39.513748498891111</v>
      </c>
      <c r="H591">
        <f t="shared" si="168"/>
        <v>0</v>
      </c>
      <c r="I591" s="1">
        <f t="shared" si="156"/>
        <v>0</v>
      </c>
      <c r="J591">
        <f t="shared" si="169"/>
        <v>0</v>
      </c>
      <c r="K591">
        <f t="shared" si="157"/>
        <v>0</v>
      </c>
      <c r="L591" cm="1">
        <f t="array" ref="L591">IF(E591*J591=0,0,$C$21*INDEX([3]Sheet1!$C$4:$Q$23,MATCH(K591,[3]Sheet1!$B$4:$B$23,1),MATCH(D591,[3]Sheet1!$C$3:$Q$3,1))
+(K591-INDEX([3]Sheet1!$B$4:$B$23,MATCH(K591,[3]Sheet1!$B$4:$B$23,1),1))/(INDEX([3]Sheet1!$B$4:$B$23,MATCH(K591,[3]Sheet1!$B$4:$B$23,1)+1,1)-INDEX([3]Sheet1!$B$4:$B$23,
MATCH(K591,[3]Sheet1!$B$4:$B$23,1),1))*(INDEX([3]Sheet1!$C$4:$Q$23,MATCH(K591,[3]Sheet1!$B$4:$B$23,1)+1,MATCH(D591,[3]Sheet1!$C$3:$Q$3,1))-INDEX([3]Sheet1!$C$4:$Q$23,
MATCH(K591,[3]Sheet1!$B$4:$B$23,1),MATCH(D591,[3]Sheet1!$C$3:$Q$3,1)))
+(D591-INDEX([3]Sheet1!$C$3:$Q$3,1,MATCH(D591,[3]Sheet1!$C$3:$Q$3)))/(INDEX([3]Sheet1!$C$3:$Q$3,1,MATCH(D591,[3]Sheet1!$C$3:$Q$3)+1)-INDEX([3]Sheet1!$C$3:$Q$3,1,MATCH(
D591,[3]Sheet1!$C$3:$Q$3)))*(INDEX([3]Sheet1!$C$4:$Q$23,MATCH(K591,[3]Sheet1!$B$4:$B$23,1),MATCH(D591,[3]Sheet1!$C$3:$Q$3,1)+1)-INDEX([3]Sheet1!$C$4:$Q$23,MATCH(K591,[3]Sheet1!$B$4:$B$23,1),MATCH(D591,[3]Sheet1!$C$3:$Q$3,1))))</f>
        <v>0</v>
      </c>
      <c r="M591" cm="1">
        <f t="array" ref="M591" xml:space="preserve"> IF(E591*J591=0,0,(INDEX([2]Sheet1!$C$4:$Q$23,MATCH(K591,[2]Sheet1!$B$4:$B$23,1),MATCH(D591,[2]Sheet1!$C$3:$Q$3,1))
+ (K591 - INDEX([2]Sheet1!$B$4:$B$23,MATCH(K591,[2]Sheet1!$B$4:$B$23,1),1))/(INDEX([2]Sheet1!$B$4:$B$23,MATCH(K591,[2]Sheet1!$B$4:$B$23,1)+1,1) - INDEX([2]Sheet1!$B$4:$B$23,MATCH(K591,[2]Sheet1!$B$4:$B$23,1),1))*(INDEX([2]Sheet1!$C$4:$Q$23,MATCH(K591,[2]Sheet1!$B$4:$B$23,1)+1,MATCH(D591,[2]Sheet1!$C$3:$Q$3,1)) - INDEX([2]Sheet1!$C$4:$Q$23,MATCH(K591,[2]Sheet1!$B$4:$B$23,1),MATCH(D591,[2]Sheet1!$C$3:$Q$3,1)))
+ (D591 - INDEX([2]Sheet1!$C$3:$Q$3,1,MATCH(D591,[2]Sheet1!$C$3:$Q$3)))/(INDEX([2]Sheet1!$C$3:$Q$3,1,MATCH(D591,[2]Sheet1!$C$3:$Q$3)+1) - INDEX([2]Sheet1!$C$3:$Q$3,1,MATCH(D591,[2]Sheet1!$C$3:$Q$3)))*(
INDEX([2]Sheet1!$C$4:$Q$23,MATCH(K591,[2]Sheet1!$B$4:$B$23,1),MATCH(D591,[2]Sheet1!$C$3:$Q$3,1)+1) - INDEX([2]Sheet1!$C$4:$Q$23,MATCH(K591,[2]Sheet1!$B$4:$B$23,1),MATCH(D591,[2]Sheet1!$C$3:$Q$3,1)))))</f>
        <v>0</v>
      </c>
      <c r="N591">
        <f t="shared" si="170"/>
        <v>12</v>
      </c>
      <c r="O591">
        <v>8.4623955379203655E-2</v>
      </c>
      <c r="P591" t="e">
        <f t="shared" si="171"/>
        <v>#DIV/0!</v>
      </c>
      <c r="Q591">
        <f t="shared" si="158"/>
        <v>0</v>
      </c>
      <c r="R591">
        <f t="shared" si="172"/>
        <v>741.9099431943954</v>
      </c>
      <c r="T591" t="e">
        <f t="shared" si="161"/>
        <v>#DIV/0!</v>
      </c>
      <c r="U591" t="e">
        <f t="shared" si="162"/>
        <v>#DIV/0!</v>
      </c>
      <c r="V591">
        <f t="shared" si="163"/>
        <v>0</v>
      </c>
      <c r="W591" t="e">
        <f t="shared" si="159"/>
        <v>#DIV/0!</v>
      </c>
    </row>
    <row r="592" spans="1:23" x14ac:dyDescent="0.55000000000000004">
      <c r="A592">
        <f t="shared" si="160"/>
        <v>55.800000000000523</v>
      </c>
      <c r="B592">
        <f t="shared" si="164"/>
        <v>0.316</v>
      </c>
      <c r="C592">
        <f t="shared" si="165"/>
        <v>-31.391304347826434</v>
      </c>
      <c r="D592">
        <v>2.4239788313624135</v>
      </c>
      <c r="E592">
        <f t="shared" si="155"/>
        <v>0</v>
      </c>
      <c r="F592">
        <f t="shared" si="166"/>
        <v>4.8605058816845369E-2</v>
      </c>
      <c r="G592">
        <f t="shared" si="167"/>
        <v>39.513748498891111</v>
      </c>
      <c r="H592">
        <f t="shared" si="168"/>
        <v>0</v>
      </c>
      <c r="I592" s="1">
        <f t="shared" si="156"/>
        <v>0</v>
      </c>
      <c r="J592">
        <f t="shared" si="169"/>
        <v>0</v>
      </c>
      <c r="K592">
        <f t="shared" si="157"/>
        <v>0</v>
      </c>
      <c r="L592" cm="1">
        <f t="array" ref="L592">IF(E592*J592=0,0,$C$21*INDEX([3]Sheet1!$C$4:$Q$23,MATCH(K592,[3]Sheet1!$B$4:$B$23,1),MATCH(D592,[3]Sheet1!$C$3:$Q$3,1))
+(K592-INDEX([3]Sheet1!$B$4:$B$23,MATCH(K592,[3]Sheet1!$B$4:$B$23,1),1))/(INDEX([3]Sheet1!$B$4:$B$23,MATCH(K592,[3]Sheet1!$B$4:$B$23,1)+1,1)-INDEX([3]Sheet1!$B$4:$B$23,
MATCH(K592,[3]Sheet1!$B$4:$B$23,1),1))*(INDEX([3]Sheet1!$C$4:$Q$23,MATCH(K592,[3]Sheet1!$B$4:$B$23,1)+1,MATCH(D592,[3]Sheet1!$C$3:$Q$3,1))-INDEX([3]Sheet1!$C$4:$Q$23,
MATCH(K592,[3]Sheet1!$B$4:$B$23,1),MATCH(D592,[3]Sheet1!$C$3:$Q$3,1)))
+(D592-INDEX([3]Sheet1!$C$3:$Q$3,1,MATCH(D592,[3]Sheet1!$C$3:$Q$3)))/(INDEX([3]Sheet1!$C$3:$Q$3,1,MATCH(D592,[3]Sheet1!$C$3:$Q$3)+1)-INDEX([3]Sheet1!$C$3:$Q$3,1,MATCH(
D592,[3]Sheet1!$C$3:$Q$3)))*(INDEX([3]Sheet1!$C$4:$Q$23,MATCH(K592,[3]Sheet1!$B$4:$B$23,1),MATCH(D592,[3]Sheet1!$C$3:$Q$3,1)+1)-INDEX([3]Sheet1!$C$4:$Q$23,MATCH(K592,[3]Sheet1!$B$4:$B$23,1),MATCH(D592,[3]Sheet1!$C$3:$Q$3,1))))</f>
        <v>0</v>
      </c>
      <c r="M592" cm="1">
        <f t="array" ref="M592" xml:space="preserve"> IF(E592*J592=0,0,(INDEX([2]Sheet1!$C$4:$Q$23,MATCH(K592,[2]Sheet1!$B$4:$B$23,1),MATCH(D592,[2]Sheet1!$C$3:$Q$3,1))
+ (K592 - INDEX([2]Sheet1!$B$4:$B$23,MATCH(K592,[2]Sheet1!$B$4:$B$23,1),1))/(INDEX([2]Sheet1!$B$4:$B$23,MATCH(K592,[2]Sheet1!$B$4:$B$23,1)+1,1) - INDEX([2]Sheet1!$B$4:$B$23,MATCH(K592,[2]Sheet1!$B$4:$B$23,1),1))*(INDEX([2]Sheet1!$C$4:$Q$23,MATCH(K592,[2]Sheet1!$B$4:$B$23,1)+1,MATCH(D592,[2]Sheet1!$C$3:$Q$3,1)) - INDEX([2]Sheet1!$C$4:$Q$23,MATCH(K592,[2]Sheet1!$B$4:$B$23,1),MATCH(D592,[2]Sheet1!$C$3:$Q$3,1)))
+ (D592 - INDEX([2]Sheet1!$C$3:$Q$3,1,MATCH(D592,[2]Sheet1!$C$3:$Q$3)))/(INDEX([2]Sheet1!$C$3:$Q$3,1,MATCH(D592,[2]Sheet1!$C$3:$Q$3)+1) - INDEX([2]Sheet1!$C$3:$Q$3,1,MATCH(D592,[2]Sheet1!$C$3:$Q$3)))*(
INDEX([2]Sheet1!$C$4:$Q$23,MATCH(K592,[2]Sheet1!$B$4:$B$23,1),MATCH(D592,[2]Sheet1!$C$3:$Q$3,1)+1) - INDEX([2]Sheet1!$C$4:$Q$23,MATCH(K592,[2]Sheet1!$B$4:$B$23,1),MATCH(D592,[2]Sheet1!$C$3:$Q$3,1)))))</f>
        <v>0</v>
      </c>
      <c r="N592">
        <f t="shared" si="170"/>
        <v>12</v>
      </c>
      <c r="O592">
        <v>8.46107847735309E-2</v>
      </c>
      <c r="P592" t="e">
        <f t="shared" si="171"/>
        <v>#DIV/0!</v>
      </c>
      <c r="Q592">
        <f t="shared" si="158"/>
        <v>0</v>
      </c>
      <c r="R592">
        <f t="shared" si="172"/>
        <v>741.9099431943954</v>
      </c>
      <c r="T592" t="e">
        <f t="shared" si="161"/>
        <v>#DIV/0!</v>
      </c>
      <c r="U592" t="e">
        <f t="shared" si="162"/>
        <v>#DIV/0!</v>
      </c>
      <c r="V592">
        <f t="shared" si="163"/>
        <v>0</v>
      </c>
      <c r="W592" t="e">
        <f t="shared" si="159"/>
        <v>#DIV/0!</v>
      </c>
    </row>
    <row r="593" spans="1:23" x14ac:dyDescent="0.55000000000000004">
      <c r="A593">
        <f t="shared" si="160"/>
        <v>55.900000000000524</v>
      </c>
      <c r="B593">
        <f t="shared" si="164"/>
        <v>0.316</v>
      </c>
      <c r="C593">
        <f t="shared" si="165"/>
        <v>-31.456521739130778</v>
      </c>
      <c r="D593">
        <v>2.4239124373778895</v>
      </c>
      <c r="E593">
        <f t="shared" si="155"/>
        <v>0</v>
      </c>
      <c r="F593">
        <f t="shared" si="166"/>
        <v>4.8605058816845369E-2</v>
      </c>
      <c r="G593">
        <f t="shared" si="167"/>
        <v>39.513748498891111</v>
      </c>
      <c r="H593">
        <f t="shared" si="168"/>
        <v>0</v>
      </c>
      <c r="I593" s="1">
        <f t="shared" si="156"/>
        <v>0</v>
      </c>
      <c r="J593">
        <f t="shared" si="169"/>
        <v>0</v>
      </c>
      <c r="K593">
        <f t="shared" si="157"/>
        <v>0</v>
      </c>
      <c r="L593" cm="1">
        <f t="array" ref="L593">IF(E593*J593=0,0,$C$21*INDEX([3]Sheet1!$C$4:$Q$23,MATCH(K593,[3]Sheet1!$B$4:$B$23,1),MATCH(D593,[3]Sheet1!$C$3:$Q$3,1))
+(K593-INDEX([3]Sheet1!$B$4:$B$23,MATCH(K593,[3]Sheet1!$B$4:$B$23,1),1))/(INDEX([3]Sheet1!$B$4:$B$23,MATCH(K593,[3]Sheet1!$B$4:$B$23,1)+1,1)-INDEX([3]Sheet1!$B$4:$B$23,
MATCH(K593,[3]Sheet1!$B$4:$B$23,1),1))*(INDEX([3]Sheet1!$C$4:$Q$23,MATCH(K593,[3]Sheet1!$B$4:$B$23,1)+1,MATCH(D593,[3]Sheet1!$C$3:$Q$3,1))-INDEX([3]Sheet1!$C$4:$Q$23,
MATCH(K593,[3]Sheet1!$B$4:$B$23,1),MATCH(D593,[3]Sheet1!$C$3:$Q$3,1)))
+(D593-INDEX([3]Sheet1!$C$3:$Q$3,1,MATCH(D593,[3]Sheet1!$C$3:$Q$3)))/(INDEX([3]Sheet1!$C$3:$Q$3,1,MATCH(D593,[3]Sheet1!$C$3:$Q$3)+1)-INDEX([3]Sheet1!$C$3:$Q$3,1,MATCH(
D593,[3]Sheet1!$C$3:$Q$3)))*(INDEX([3]Sheet1!$C$4:$Q$23,MATCH(K593,[3]Sheet1!$B$4:$B$23,1),MATCH(D593,[3]Sheet1!$C$3:$Q$3,1)+1)-INDEX([3]Sheet1!$C$4:$Q$23,MATCH(K593,[3]Sheet1!$B$4:$B$23,1),MATCH(D593,[3]Sheet1!$C$3:$Q$3,1))))</f>
        <v>0</v>
      </c>
      <c r="M593" cm="1">
        <f t="array" ref="M593" xml:space="preserve"> IF(E593*J593=0,0,(INDEX([2]Sheet1!$C$4:$Q$23,MATCH(K593,[2]Sheet1!$B$4:$B$23,1),MATCH(D593,[2]Sheet1!$C$3:$Q$3,1))
+ (K593 - INDEX([2]Sheet1!$B$4:$B$23,MATCH(K593,[2]Sheet1!$B$4:$B$23,1),1))/(INDEX([2]Sheet1!$B$4:$B$23,MATCH(K593,[2]Sheet1!$B$4:$B$23,1)+1,1) - INDEX([2]Sheet1!$B$4:$B$23,MATCH(K593,[2]Sheet1!$B$4:$B$23,1),1))*(INDEX([2]Sheet1!$C$4:$Q$23,MATCH(K593,[2]Sheet1!$B$4:$B$23,1)+1,MATCH(D593,[2]Sheet1!$C$3:$Q$3,1)) - INDEX([2]Sheet1!$C$4:$Q$23,MATCH(K593,[2]Sheet1!$B$4:$B$23,1),MATCH(D593,[2]Sheet1!$C$3:$Q$3,1)))
+ (D593 - INDEX([2]Sheet1!$C$3:$Q$3,1,MATCH(D593,[2]Sheet1!$C$3:$Q$3)))/(INDEX([2]Sheet1!$C$3:$Q$3,1,MATCH(D593,[2]Sheet1!$C$3:$Q$3)+1) - INDEX([2]Sheet1!$C$3:$Q$3,1,MATCH(D593,[2]Sheet1!$C$3:$Q$3)))*(
INDEX([2]Sheet1!$C$4:$Q$23,MATCH(K593,[2]Sheet1!$B$4:$B$23,1),MATCH(D593,[2]Sheet1!$C$3:$Q$3,1)+1) - INDEX([2]Sheet1!$C$4:$Q$23,MATCH(K593,[2]Sheet1!$B$4:$B$23,1),MATCH(D593,[2]Sheet1!$C$3:$Q$3,1)))))</f>
        <v>0</v>
      </c>
      <c r="N593">
        <f t="shared" si="170"/>
        <v>12</v>
      </c>
      <c r="O593">
        <v>8.4597632743603546E-2</v>
      </c>
      <c r="P593" t="e">
        <f t="shared" si="171"/>
        <v>#DIV/0!</v>
      </c>
      <c r="Q593">
        <f t="shared" si="158"/>
        <v>0</v>
      </c>
      <c r="R593">
        <f t="shared" si="172"/>
        <v>741.9099431943954</v>
      </c>
      <c r="T593" t="e">
        <f t="shared" si="161"/>
        <v>#DIV/0!</v>
      </c>
      <c r="U593" t="e">
        <f t="shared" si="162"/>
        <v>#DIV/0!</v>
      </c>
      <c r="V593">
        <f t="shared" si="163"/>
        <v>0</v>
      </c>
      <c r="W593" t="e">
        <f t="shared" si="159"/>
        <v>#DIV/0!</v>
      </c>
    </row>
    <row r="594" spans="1:23" x14ac:dyDescent="0.55000000000000004">
      <c r="A594">
        <f t="shared" si="160"/>
        <v>56.000000000000526</v>
      </c>
      <c r="B594">
        <f t="shared" si="164"/>
        <v>0.316</v>
      </c>
      <c r="C594">
        <f t="shared" si="165"/>
        <v>-31.52173913043513</v>
      </c>
      <c r="D594">
        <v>2.4238461268088081</v>
      </c>
      <c r="E594">
        <f t="shared" si="155"/>
        <v>0</v>
      </c>
      <c r="F594">
        <f t="shared" si="166"/>
        <v>4.8605058816845369E-2</v>
      </c>
      <c r="G594">
        <f t="shared" si="167"/>
        <v>39.513748498891111</v>
      </c>
      <c r="H594">
        <f t="shared" si="168"/>
        <v>0</v>
      </c>
      <c r="I594" s="1">
        <f t="shared" si="156"/>
        <v>0</v>
      </c>
      <c r="J594">
        <f t="shared" si="169"/>
        <v>0</v>
      </c>
      <c r="K594">
        <f t="shared" si="157"/>
        <v>0</v>
      </c>
      <c r="L594" cm="1">
        <f t="array" ref="L594">IF(E594*J594=0,0,$C$21*INDEX([3]Sheet1!$C$4:$Q$23,MATCH(K594,[3]Sheet1!$B$4:$B$23,1),MATCH(D594,[3]Sheet1!$C$3:$Q$3,1))
+(K594-INDEX([3]Sheet1!$B$4:$B$23,MATCH(K594,[3]Sheet1!$B$4:$B$23,1),1))/(INDEX([3]Sheet1!$B$4:$B$23,MATCH(K594,[3]Sheet1!$B$4:$B$23,1)+1,1)-INDEX([3]Sheet1!$B$4:$B$23,
MATCH(K594,[3]Sheet1!$B$4:$B$23,1),1))*(INDEX([3]Sheet1!$C$4:$Q$23,MATCH(K594,[3]Sheet1!$B$4:$B$23,1)+1,MATCH(D594,[3]Sheet1!$C$3:$Q$3,1))-INDEX([3]Sheet1!$C$4:$Q$23,
MATCH(K594,[3]Sheet1!$B$4:$B$23,1),MATCH(D594,[3]Sheet1!$C$3:$Q$3,1)))
+(D594-INDEX([3]Sheet1!$C$3:$Q$3,1,MATCH(D594,[3]Sheet1!$C$3:$Q$3)))/(INDEX([3]Sheet1!$C$3:$Q$3,1,MATCH(D594,[3]Sheet1!$C$3:$Q$3)+1)-INDEX([3]Sheet1!$C$3:$Q$3,1,MATCH(
D594,[3]Sheet1!$C$3:$Q$3)))*(INDEX([3]Sheet1!$C$4:$Q$23,MATCH(K594,[3]Sheet1!$B$4:$B$23,1),MATCH(D594,[3]Sheet1!$C$3:$Q$3,1)+1)-INDEX([3]Sheet1!$C$4:$Q$23,MATCH(K594,[3]Sheet1!$B$4:$B$23,1),MATCH(D594,[3]Sheet1!$C$3:$Q$3,1))))</f>
        <v>0</v>
      </c>
      <c r="M594" cm="1">
        <f t="array" ref="M594" xml:space="preserve"> IF(E594*J594=0,0,(INDEX([2]Sheet1!$C$4:$Q$23,MATCH(K594,[2]Sheet1!$B$4:$B$23,1),MATCH(D594,[2]Sheet1!$C$3:$Q$3,1))
+ (K594 - INDEX([2]Sheet1!$B$4:$B$23,MATCH(K594,[2]Sheet1!$B$4:$B$23,1),1))/(INDEX([2]Sheet1!$B$4:$B$23,MATCH(K594,[2]Sheet1!$B$4:$B$23,1)+1,1) - INDEX([2]Sheet1!$B$4:$B$23,MATCH(K594,[2]Sheet1!$B$4:$B$23,1),1))*(INDEX([2]Sheet1!$C$4:$Q$23,MATCH(K594,[2]Sheet1!$B$4:$B$23,1)+1,MATCH(D594,[2]Sheet1!$C$3:$Q$3,1)) - INDEX([2]Sheet1!$C$4:$Q$23,MATCH(K594,[2]Sheet1!$B$4:$B$23,1),MATCH(D594,[2]Sheet1!$C$3:$Q$3,1)))
+ (D594 - INDEX([2]Sheet1!$C$3:$Q$3,1,MATCH(D594,[2]Sheet1!$C$3:$Q$3)))/(INDEX([2]Sheet1!$C$3:$Q$3,1,MATCH(D594,[2]Sheet1!$C$3:$Q$3)+1) - INDEX([2]Sheet1!$C$3:$Q$3,1,MATCH(D594,[2]Sheet1!$C$3:$Q$3)))*(
INDEX([2]Sheet1!$C$4:$Q$23,MATCH(K594,[2]Sheet1!$B$4:$B$23,1),MATCH(D594,[2]Sheet1!$C$3:$Q$3,1)+1) - INDEX([2]Sheet1!$C$4:$Q$23,MATCH(K594,[2]Sheet1!$B$4:$B$23,1),MATCH(D594,[2]Sheet1!$C$3:$Q$3,1)))))</f>
        <v>0</v>
      </c>
      <c r="N594">
        <f t="shared" si="170"/>
        <v>12</v>
      </c>
      <c r="O594">
        <v>8.4584499238657934E-2</v>
      </c>
      <c r="P594" t="e">
        <f t="shared" si="171"/>
        <v>#DIV/0!</v>
      </c>
      <c r="Q594">
        <f t="shared" si="158"/>
        <v>0</v>
      </c>
      <c r="R594">
        <f t="shared" si="172"/>
        <v>741.9099431943954</v>
      </c>
      <c r="T594" t="e">
        <f t="shared" si="161"/>
        <v>#DIV/0!</v>
      </c>
      <c r="U594" t="e">
        <f t="shared" si="162"/>
        <v>#DIV/0!</v>
      </c>
      <c r="V594">
        <f t="shared" si="163"/>
        <v>0</v>
      </c>
      <c r="W594" t="e">
        <f t="shared" si="159"/>
        <v>#DIV/0!</v>
      </c>
    </row>
    <row r="595" spans="1:23" x14ac:dyDescent="0.55000000000000004">
      <c r="A595">
        <f t="shared" si="160"/>
        <v>56.100000000000527</v>
      </c>
      <c r="B595">
        <f t="shared" si="164"/>
        <v>0.316</v>
      </c>
      <c r="C595">
        <f t="shared" si="165"/>
        <v>-31.586956521739474</v>
      </c>
      <c r="D595">
        <v>2.4237798994386055</v>
      </c>
      <c r="E595">
        <f t="shared" si="155"/>
        <v>0</v>
      </c>
      <c r="F595">
        <f t="shared" si="166"/>
        <v>4.8605058816845369E-2</v>
      </c>
      <c r="G595">
        <f t="shared" si="167"/>
        <v>39.513748498891111</v>
      </c>
      <c r="H595">
        <f t="shared" si="168"/>
        <v>0</v>
      </c>
      <c r="I595" s="1">
        <f t="shared" si="156"/>
        <v>0</v>
      </c>
      <c r="J595">
        <f t="shared" si="169"/>
        <v>0</v>
      </c>
      <c r="K595">
        <f t="shared" si="157"/>
        <v>0</v>
      </c>
      <c r="L595" cm="1">
        <f t="array" ref="L595">IF(E595*J595=0,0,$C$21*INDEX([3]Sheet1!$C$4:$Q$23,MATCH(K595,[3]Sheet1!$B$4:$B$23,1),MATCH(D595,[3]Sheet1!$C$3:$Q$3,1))
+(K595-INDEX([3]Sheet1!$B$4:$B$23,MATCH(K595,[3]Sheet1!$B$4:$B$23,1),1))/(INDEX([3]Sheet1!$B$4:$B$23,MATCH(K595,[3]Sheet1!$B$4:$B$23,1)+1,1)-INDEX([3]Sheet1!$B$4:$B$23,
MATCH(K595,[3]Sheet1!$B$4:$B$23,1),1))*(INDEX([3]Sheet1!$C$4:$Q$23,MATCH(K595,[3]Sheet1!$B$4:$B$23,1)+1,MATCH(D595,[3]Sheet1!$C$3:$Q$3,1))-INDEX([3]Sheet1!$C$4:$Q$23,
MATCH(K595,[3]Sheet1!$B$4:$B$23,1),MATCH(D595,[3]Sheet1!$C$3:$Q$3,1)))
+(D595-INDEX([3]Sheet1!$C$3:$Q$3,1,MATCH(D595,[3]Sheet1!$C$3:$Q$3)))/(INDEX([3]Sheet1!$C$3:$Q$3,1,MATCH(D595,[3]Sheet1!$C$3:$Q$3)+1)-INDEX([3]Sheet1!$C$3:$Q$3,1,MATCH(
D595,[3]Sheet1!$C$3:$Q$3)))*(INDEX([3]Sheet1!$C$4:$Q$23,MATCH(K595,[3]Sheet1!$B$4:$B$23,1),MATCH(D595,[3]Sheet1!$C$3:$Q$3,1)+1)-INDEX([3]Sheet1!$C$4:$Q$23,MATCH(K595,[3]Sheet1!$B$4:$B$23,1),MATCH(D595,[3]Sheet1!$C$3:$Q$3,1))))</f>
        <v>0</v>
      </c>
      <c r="M595" cm="1">
        <f t="array" ref="M595" xml:space="preserve"> IF(E595*J595=0,0,(INDEX([2]Sheet1!$C$4:$Q$23,MATCH(K595,[2]Sheet1!$B$4:$B$23,1),MATCH(D595,[2]Sheet1!$C$3:$Q$3,1))
+ (K595 - INDEX([2]Sheet1!$B$4:$B$23,MATCH(K595,[2]Sheet1!$B$4:$B$23,1),1))/(INDEX([2]Sheet1!$B$4:$B$23,MATCH(K595,[2]Sheet1!$B$4:$B$23,1)+1,1) - INDEX([2]Sheet1!$B$4:$B$23,MATCH(K595,[2]Sheet1!$B$4:$B$23,1),1))*(INDEX([2]Sheet1!$C$4:$Q$23,MATCH(K595,[2]Sheet1!$B$4:$B$23,1)+1,MATCH(D595,[2]Sheet1!$C$3:$Q$3,1)) - INDEX([2]Sheet1!$C$4:$Q$23,MATCH(K595,[2]Sheet1!$B$4:$B$23,1),MATCH(D595,[2]Sheet1!$C$3:$Q$3,1)))
+ (D595 - INDEX([2]Sheet1!$C$3:$Q$3,1,MATCH(D595,[2]Sheet1!$C$3:$Q$3)))/(INDEX([2]Sheet1!$C$3:$Q$3,1,MATCH(D595,[2]Sheet1!$C$3:$Q$3)+1) - INDEX([2]Sheet1!$C$3:$Q$3,1,MATCH(D595,[2]Sheet1!$C$3:$Q$3)))*(
INDEX([2]Sheet1!$C$4:$Q$23,MATCH(K595,[2]Sheet1!$B$4:$B$23,1),MATCH(D595,[2]Sheet1!$C$3:$Q$3,1)+1) - INDEX([2]Sheet1!$C$4:$Q$23,MATCH(K595,[2]Sheet1!$B$4:$B$23,1),MATCH(D595,[2]Sheet1!$C$3:$Q$3,1)))))</f>
        <v>0</v>
      </c>
      <c r="N595">
        <f t="shared" si="170"/>
        <v>12</v>
      </c>
      <c r="O595">
        <v>8.4571384208136008E-2</v>
      </c>
      <c r="P595" t="e">
        <f t="shared" si="171"/>
        <v>#DIV/0!</v>
      </c>
      <c r="Q595">
        <f t="shared" si="158"/>
        <v>0</v>
      </c>
      <c r="R595">
        <f t="shared" si="172"/>
        <v>741.9099431943954</v>
      </c>
      <c r="T595" t="e">
        <f t="shared" si="161"/>
        <v>#DIV/0!</v>
      </c>
      <c r="U595" t="e">
        <f t="shared" si="162"/>
        <v>#DIV/0!</v>
      </c>
      <c r="V595">
        <f t="shared" si="163"/>
        <v>0</v>
      </c>
      <c r="W595" t="e">
        <f t="shared" si="159"/>
        <v>#DIV/0!</v>
      </c>
    </row>
    <row r="596" spans="1:23" x14ac:dyDescent="0.55000000000000004">
      <c r="A596">
        <f t="shared" si="160"/>
        <v>56.200000000000529</v>
      </c>
      <c r="B596">
        <f t="shared" si="164"/>
        <v>0.316</v>
      </c>
      <c r="C596">
        <f t="shared" si="165"/>
        <v>-31.652173913043825</v>
      </c>
      <c r="D596">
        <v>2.4237137550515686</v>
      </c>
      <c r="E596">
        <f t="shared" si="155"/>
        <v>0</v>
      </c>
      <c r="F596">
        <f t="shared" si="166"/>
        <v>4.8605058816845369E-2</v>
      </c>
      <c r="G596">
        <f t="shared" si="167"/>
        <v>39.513748498891111</v>
      </c>
      <c r="H596">
        <f t="shared" si="168"/>
        <v>0</v>
      </c>
      <c r="I596" s="1">
        <f t="shared" si="156"/>
        <v>0</v>
      </c>
      <c r="J596">
        <f t="shared" si="169"/>
        <v>0</v>
      </c>
      <c r="K596">
        <f t="shared" si="157"/>
        <v>0</v>
      </c>
      <c r="L596" cm="1">
        <f t="array" ref="L596">IF(E596*J596=0,0,$C$21*INDEX([3]Sheet1!$C$4:$Q$23,MATCH(K596,[3]Sheet1!$B$4:$B$23,1),MATCH(D596,[3]Sheet1!$C$3:$Q$3,1))
+(K596-INDEX([3]Sheet1!$B$4:$B$23,MATCH(K596,[3]Sheet1!$B$4:$B$23,1),1))/(INDEX([3]Sheet1!$B$4:$B$23,MATCH(K596,[3]Sheet1!$B$4:$B$23,1)+1,1)-INDEX([3]Sheet1!$B$4:$B$23,
MATCH(K596,[3]Sheet1!$B$4:$B$23,1),1))*(INDEX([3]Sheet1!$C$4:$Q$23,MATCH(K596,[3]Sheet1!$B$4:$B$23,1)+1,MATCH(D596,[3]Sheet1!$C$3:$Q$3,1))-INDEX([3]Sheet1!$C$4:$Q$23,
MATCH(K596,[3]Sheet1!$B$4:$B$23,1),MATCH(D596,[3]Sheet1!$C$3:$Q$3,1)))
+(D596-INDEX([3]Sheet1!$C$3:$Q$3,1,MATCH(D596,[3]Sheet1!$C$3:$Q$3)))/(INDEX([3]Sheet1!$C$3:$Q$3,1,MATCH(D596,[3]Sheet1!$C$3:$Q$3)+1)-INDEX([3]Sheet1!$C$3:$Q$3,1,MATCH(
D596,[3]Sheet1!$C$3:$Q$3)))*(INDEX([3]Sheet1!$C$4:$Q$23,MATCH(K596,[3]Sheet1!$B$4:$B$23,1),MATCH(D596,[3]Sheet1!$C$3:$Q$3,1)+1)-INDEX([3]Sheet1!$C$4:$Q$23,MATCH(K596,[3]Sheet1!$B$4:$B$23,1),MATCH(D596,[3]Sheet1!$C$3:$Q$3,1))))</f>
        <v>0</v>
      </c>
      <c r="M596" cm="1">
        <f t="array" ref="M596" xml:space="preserve"> IF(E596*J596=0,0,(INDEX([2]Sheet1!$C$4:$Q$23,MATCH(K596,[2]Sheet1!$B$4:$B$23,1),MATCH(D596,[2]Sheet1!$C$3:$Q$3,1))
+ (K596 - INDEX([2]Sheet1!$B$4:$B$23,MATCH(K596,[2]Sheet1!$B$4:$B$23,1),1))/(INDEX([2]Sheet1!$B$4:$B$23,MATCH(K596,[2]Sheet1!$B$4:$B$23,1)+1,1) - INDEX([2]Sheet1!$B$4:$B$23,MATCH(K596,[2]Sheet1!$B$4:$B$23,1),1))*(INDEX([2]Sheet1!$C$4:$Q$23,MATCH(K596,[2]Sheet1!$B$4:$B$23,1)+1,MATCH(D596,[2]Sheet1!$C$3:$Q$3,1)) - INDEX([2]Sheet1!$C$4:$Q$23,MATCH(K596,[2]Sheet1!$B$4:$B$23,1),MATCH(D596,[2]Sheet1!$C$3:$Q$3,1)))
+ (D596 - INDEX([2]Sheet1!$C$3:$Q$3,1,MATCH(D596,[2]Sheet1!$C$3:$Q$3)))/(INDEX([2]Sheet1!$C$3:$Q$3,1,MATCH(D596,[2]Sheet1!$C$3:$Q$3)+1) - INDEX([2]Sheet1!$C$3:$Q$3,1,MATCH(D596,[2]Sheet1!$C$3:$Q$3)))*(
INDEX([2]Sheet1!$C$4:$Q$23,MATCH(K596,[2]Sheet1!$B$4:$B$23,1),MATCH(D596,[2]Sheet1!$C$3:$Q$3,1)+1) - INDEX([2]Sheet1!$C$4:$Q$23,MATCH(K596,[2]Sheet1!$B$4:$B$23,1),MATCH(D596,[2]Sheet1!$C$3:$Q$3,1)))))</f>
        <v>0</v>
      </c>
      <c r="N596">
        <f t="shared" si="170"/>
        <v>12</v>
      </c>
      <c r="O596">
        <v>8.4558287601685739E-2</v>
      </c>
      <c r="P596" t="e">
        <f t="shared" si="171"/>
        <v>#DIV/0!</v>
      </c>
      <c r="Q596">
        <f t="shared" si="158"/>
        <v>0</v>
      </c>
      <c r="R596">
        <f t="shared" si="172"/>
        <v>741.9099431943954</v>
      </c>
      <c r="T596" t="e">
        <f t="shared" si="161"/>
        <v>#DIV/0!</v>
      </c>
      <c r="U596" t="e">
        <f t="shared" si="162"/>
        <v>#DIV/0!</v>
      </c>
      <c r="V596">
        <f t="shared" si="163"/>
        <v>0</v>
      </c>
      <c r="W596" t="e">
        <f t="shared" si="159"/>
        <v>#DIV/0!</v>
      </c>
    </row>
    <row r="597" spans="1:23" x14ac:dyDescent="0.55000000000000004">
      <c r="A597">
        <f t="shared" si="160"/>
        <v>56.30000000000053</v>
      </c>
      <c r="B597">
        <f t="shared" si="164"/>
        <v>0.316</v>
      </c>
      <c r="C597">
        <f t="shared" si="165"/>
        <v>-31.717391304348176</v>
      </c>
      <c r="D597">
        <v>2.4236476933678652</v>
      </c>
      <c r="E597">
        <f t="shared" si="155"/>
        <v>0</v>
      </c>
      <c r="F597">
        <f t="shared" si="166"/>
        <v>4.8605058816845369E-2</v>
      </c>
      <c r="G597">
        <f t="shared" si="167"/>
        <v>39.513748498891111</v>
      </c>
      <c r="H597">
        <f t="shared" si="168"/>
        <v>0</v>
      </c>
      <c r="I597" s="1">
        <f t="shared" si="156"/>
        <v>0</v>
      </c>
      <c r="J597">
        <f t="shared" si="169"/>
        <v>0</v>
      </c>
      <c r="K597">
        <f t="shared" si="157"/>
        <v>0</v>
      </c>
      <c r="L597" cm="1">
        <f t="array" ref="L597">IF(E597*J597=0,0,$C$21*INDEX([3]Sheet1!$C$4:$Q$23,MATCH(K597,[3]Sheet1!$B$4:$B$23,1),MATCH(D597,[3]Sheet1!$C$3:$Q$3,1))
+(K597-INDEX([3]Sheet1!$B$4:$B$23,MATCH(K597,[3]Sheet1!$B$4:$B$23,1),1))/(INDEX([3]Sheet1!$B$4:$B$23,MATCH(K597,[3]Sheet1!$B$4:$B$23,1)+1,1)-INDEX([3]Sheet1!$B$4:$B$23,
MATCH(K597,[3]Sheet1!$B$4:$B$23,1),1))*(INDEX([3]Sheet1!$C$4:$Q$23,MATCH(K597,[3]Sheet1!$B$4:$B$23,1)+1,MATCH(D597,[3]Sheet1!$C$3:$Q$3,1))-INDEX([3]Sheet1!$C$4:$Q$23,
MATCH(K597,[3]Sheet1!$B$4:$B$23,1),MATCH(D597,[3]Sheet1!$C$3:$Q$3,1)))
+(D597-INDEX([3]Sheet1!$C$3:$Q$3,1,MATCH(D597,[3]Sheet1!$C$3:$Q$3)))/(INDEX([3]Sheet1!$C$3:$Q$3,1,MATCH(D597,[3]Sheet1!$C$3:$Q$3)+1)-INDEX([3]Sheet1!$C$3:$Q$3,1,MATCH(
D597,[3]Sheet1!$C$3:$Q$3)))*(INDEX([3]Sheet1!$C$4:$Q$23,MATCH(K597,[3]Sheet1!$B$4:$B$23,1),MATCH(D597,[3]Sheet1!$C$3:$Q$3,1)+1)-INDEX([3]Sheet1!$C$4:$Q$23,MATCH(K597,[3]Sheet1!$B$4:$B$23,1),MATCH(D597,[3]Sheet1!$C$3:$Q$3,1))))</f>
        <v>0</v>
      </c>
      <c r="M597" cm="1">
        <f t="array" ref="M597" xml:space="preserve"> IF(E597*J597=0,0,(INDEX([2]Sheet1!$C$4:$Q$23,MATCH(K597,[2]Sheet1!$B$4:$B$23,1),MATCH(D597,[2]Sheet1!$C$3:$Q$3,1))
+ (K597 - INDEX([2]Sheet1!$B$4:$B$23,MATCH(K597,[2]Sheet1!$B$4:$B$23,1),1))/(INDEX([2]Sheet1!$B$4:$B$23,MATCH(K597,[2]Sheet1!$B$4:$B$23,1)+1,1) - INDEX([2]Sheet1!$B$4:$B$23,MATCH(K597,[2]Sheet1!$B$4:$B$23,1),1))*(INDEX([2]Sheet1!$C$4:$Q$23,MATCH(K597,[2]Sheet1!$B$4:$B$23,1)+1,MATCH(D597,[2]Sheet1!$C$3:$Q$3,1)) - INDEX([2]Sheet1!$C$4:$Q$23,MATCH(K597,[2]Sheet1!$B$4:$B$23,1),MATCH(D597,[2]Sheet1!$C$3:$Q$3,1)))
+ (D597 - INDEX([2]Sheet1!$C$3:$Q$3,1,MATCH(D597,[2]Sheet1!$C$3:$Q$3)))/(INDEX([2]Sheet1!$C$3:$Q$3,1,MATCH(D597,[2]Sheet1!$C$3:$Q$3)+1) - INDEX([2]Sheet1!$C$3:$Q$3,1,MATCH(D597,[2]Sheet1!$C$3:$Q$3)))*(
INDEX([2]Sheet1!$C$4:$Q$23,MATCH(K597,[2]Sheet1!$B$4:$B$23,1),MATCH(D597,[2]Sheet1!$C$3:$Q$3,1)+1) - INDEX([2]Sheet1!$C$4:$Q$23,MATCH(K597,[2]Sheet1!$B$4:$B$23,1),MATCH(D597,[2]Sheet1!$C$3:$Q$3,1)))))</f>
        <v>0</v>
      </c>
      <c r="N597">
        <f t="shared" si="170"/>
        <v>12</v>
      </c>
      <c r="O597">
        <v>8.4545209357360956E-2</v>
      </c>
      <c r="P597" t="e">
        <f t="shared" si="171"/>
        <v>#DIV/0!</v>
      </c>
      <c r="Q597">
        <f t="shared" si="158"/>
        <v>0</v>
      </c>
      <c r="R597">
        <f t="shared" si="172"/>
        <v>741.9099431943954</v>
      </c>
      <c r="T597" t="e">
        <f t="shared" si="161"/>
        <v>#DIV/0!</v>
      </c>
      <c r="U597" t="e">
        <f t="shared" si="162"/>
        <v>#DIV/0!</v>
      </c>
      <c r="V597">
        <f t="shared" si="163"/>
        <v>0</v>
      </c>
      <c r="W597" t="e">
        <f t="shared" si="159"/>
        <v>#DIV/0!</v>
      </c>
    </row>
    <row r="598" spans="1:23" x14ac:dyDescent="0.55000000000000004">
      <c r="A598">
        <f t="shared" si="160"/>
        <v>56.400000000000531</v>
      </c>
      <c r="B598">
        <f t="shared" si="164"/>
        <v>0.316</v>
      </c>
      <c r="C598">
        <f t="shared" si="165"/>
        <v>-31.78260869565252</v>
      </c>
      <c r="D598">
        <v>2.423581714203956</v>
      </c>
      <c r="E598">
        <f t="shared" si="155"/>
        <v>0</v>
      </c>
      <c r="F598">
        <f t="shared" si="166"/>
        <v>4.8605058816845369E-2</v>
      </c>
      <c r="G598">
        <f t="shared" si="167"/>
        <v>39.513748498891111</v>
      </c>
      <c r="H598">
        <f t="shared" si="168"/>
        <v>0</v>
      </c>
      <c r="I598" s="1">
        <f t="shared" si="156"/>
        <v>0</v>
      </c>
      <c r="J598">
        <f t="shared" si="169"/>
        <v>0</v>
      </c>
      <c r="K598">
        <f t="shared" si="157"/>
        <v>0</v>
      </c>
      <c r="L598" cm="1">
        <f t="array" ref="L598">IF(E598*J598=0,0,$C$21*INDEX([3]Sheet1!$C$4:$Q$23,MATCH(K598,[3]Sheet1!$B$4:$B$23,1),MATCH(D598,[3]Sheet1!$C$3:$Q$3,1))
+(K598-INDEX([3]Sheet1!$B$4:$B$23,MATCH(K598,[3]Sheet1!$B$4:$B$23,1),1))/(INDEX([3]Sheet1!$B$4:$B$23,MATCH(K598,[3]Sheet1!$B$4:$B$23,1)+1,1)-INDEX([3]Sheet1!$B$4:$B$23,
MATCH(K598,[3]Sheet1!$B$4:$B$23,1),1))*(INDEX([3]Sheet1!$C$4:$Q$23,MATCH(K598,[3]Sheet1!$B$4:$B$23,1)+1,MATCH(D598,[3]Sheet1!$C$3:$Q$3,1))-INDEX([3]Sheet1!$C$4:$Q$23,
MATCH(K598,[3]Sheet1!$B$4:$B$23,1),MATCH(D598,[3]Sheet1!$C$3:$Q$3,1)))
+(D598-INDEX([3]Sheet1!$C$3:$Q$3,1,MATCH(D598,[3]Sheet1!$C$3:$Q$3)))/(INDEX([3]Sheet1!$C$3:$Q$3,1,MATCH(D598,[3]Sheet1!$C$3:$Q$3)+1)-INDEX([3]Sheet1!$C$3:$Q$3,1,MATCH(
D598,[3]Sheet1!$C$3:$Q$3)))*(INDEX([3]Sheet1!$C$4:$Q$23,MATCH(K598,[3]Sheet1!$B$4:$B$23,1),MATCH(D598,[3]Sheet1!$C$3:$Q$3,1)+1)-INDEX([3]Sheet1!$C$4:$Q$23,MATCH(K598,[3]Sheet1!$B$4:$B$23,1),MATCH(D598,[3]Sheet1!$C$3:$Q$3,1))))</f>
        <v>0</v>
      </c>
      <c r="M598" cm="1">
        <f t="array" ref="M598" xml:space="preserve"> IF(E598*J598=0,0,(INDEX([2]Sheet1!$C$4:$Q$23,MATCH(K598,[2]Sheet1!$B$4:$B$23,1),MATCH(D598,[2]Sheet1!$C$3:$Q$3,1))
+ (K598 - INDEX([2]Sheet1!$B$4:$B$23,MATCH(K598,[2]Sheet1!$B$4:$B$23,1),1))/(INDEX([2]Sheet1!$B$4:$B$23,MATCH(K598,[2]Sheet1!$B$4:$B$23,1)+1,1) - INDEX([2]Sheet1!$B$4:$B$23,MATCH(K598,[2]Sheet1!$B$4:$B$23,1),1))*(INDEX([2]Sheet1!$C$4:$Q$23,MATCH(K598,[2]Sheet1!$B$4:$B$23,1)+1,MATCH(D598,[2]Sheet1!$C$3:$Q$3,1)) - INDEX([2]Sheet1!$C$4:$Q$23,MATCH(K598,[2]Sheet1!$B$4:$B$23,1),MATCH(D598,[2]Sheet1!$C$3:$Q$3,1)))
+ (D598 - INDEX([2]Sheet1!$C$3:$Q$3,1,MATCH(D598,[2]Sheet1!$C$3:$Q$3)))/(INDEX([2]Sheet1!$C$3:$Q$3,1,MATCH(D598,[2]Sheet1!$C$3:$Q$3)+1) - INDEX([2]Sheet1!$C$3:$Q$3,1,MATCH(D598,[2]Sheet1!$C$3:$Q$3)))*(
INDEX([2]Sheet1!$C$4:$Q$23,MATCH(K598,[2]Sheet1!$B$4:$B$23,1),MATCH(D598,[2]Sheet1!$C$3:$Q$3,1)+1) - INDEX([2]Sheet1!$C$4:$Q$23,MATCH(K598,[2]Sheet1!$B$4:$B$23,1),MATCH(D598,[2]Sheet1!$C$3:$Q$3,1)))))</f>
        <v>0</v>
      </c>
      <c r="N598">
        <f t="shared" si="170"/>
        <v>12</v>
      </c>
      <c r="O598">
        <v>8.4532149430757875E-2</v>
      </c>
      <c r="P598" t="e">
        <f t="shared" si="171"/>
        <v>#DIV/0!</v>
      </c>
      <c r="Q598">
        <f t="shared" si="158"/>
        <v>0</v>
      </c>
      <c r="R598">
        <f t="shared" si="172"/>
        <v>741.9099431943954</v>
      </c>
      <c r="T598" t="e">
        <f t="shared" si="161"/>
        <v>#DIV/0!</v>
      </c>
      <c r="U598" t="e">
        <f t="shared" si="162"/>
        <v>#DIV/0!</v>
      </c>
      <c r="V598">
        <f t="shared" si="163"/>
        <v>0</v>
      </c>
      <c r="W598" t="e">
        <f t="shared" si="159"/>
        <v>#DIV/0!</v>
      </c>
    </row>
    <row r="599" spans="1:23" x14ac:dyDescent="0.55000000000000004">
      <c r="A599">
        <f t="shared" si="160"/>
        <v>56.500000000000533</v>
      </c>
      <c r="B599">
        <f t="shared" si="164"/>
        <v>0.316</v>
      </c>
      <c r="C599">
        <f t="shared" si="165"/>
        <v>-31.847826086956871</v>
      </c>
      <c r="D599">
        <v>2.4235158173816034</v>
      </c>
      <c r="E599">
        <f t="shared" si="155"/>
        <v>0</v>
      </c>
      <c r="F599">
        <f t="shared" si="166"/>
        <v>4.8605058816845369E-2</v>
      </c>
      <c r="G599">
        <f t="shared" si="167"/>
        <v>39.513748498891111</v>
      </c>
      <c r="H599">
        <f t="shared" si="168"/>
        <v>0</v>
      </c>
      <c r="I599" s="1">
        <f t="shared" si="156"/>
        <v>0</v>
      </c>
      <c r="J599">
        <f t="shared" si="169"/>
        <v>0</v>
      </c>
      <c r="K599">
        <f t="shared" si="157"/>
        <v>0</v>
      </c>
      <c r="L599" cm="1">
        <f t="array" ref="L599">IF(E599*J599=0,0,$C$21*INDEX([3]Sheet1!$C$4:$Q$23,MATCH(K599,[3]Sheet1!$B$4:$B$23,1),MATCH(D599,[3]Sheet1!$C$3:$Q$3,1))
+(K599-INDEX([3]Sheet1!$B$4:$B$23,MATCH(K599,[3]Sheet1!$B$4:$B$23,1),1))/(INDEX([3]Sheet1!$B$4:$B$23,MATCH(K599,[3]Sheet1!$B$4:$B$23,1)+1,1)-INDEX([3]Sheet1!$B$4:$B$23,
MATCH(K599,[3]Sheet1!$B$4:$B$23,1),1))*(INDEX([3]Sheet1!$C$4:$Q$23,MATCH(K599,[3]Sheet1!$B$4:$B$23,1)+1,MATCH(D599,[3]Sheet1!$C$3:$Q$3,1))-INDEX([3]Sheet1!$C$4:$Q$23,
MATCH(K599,[3]Sheet1!$B$4:$B$23,1),MATCH(D599,[3]Sheet1!$C$3:$Q$3,1)))
+(D599-INDEX([3]Sheet1!$C$3:$Q$3,1,MATCH(D599,[3]Sheet1!$C$3:$Q$3)))/(INDEX([3]Sheet1!$C$3:$Q$3,1,MATCH(D599,[3]Sheet1!$C$3:$Q$3)+1)-INDEX([3]Sheet1!$C$3:$Q$3,1,MATCH(
D599,[3]Sheet1!$C$3:$Q$3)))*(INDEX([3]Sheet1!$C$4:$Q$23,MATCH(K599,[3]Sheet1!$B$4:$B$23,1),MATCH(D599,[3]Sheet1!$C$3:$Q$3,1)+1)-INDEX([3]Sheet1!$C$4:$Q$23,MATCH(K599,[3]Sheet1!$B$4:$B$23,1),MATCH(D599,[3]Sheet1!$C$3:$Q$3,1))))</f>
        <v>0</v>
      </c>
      <c r="M599" cm="1">
        <f t="array" ref="M599" xml:space="preserve"> IF(E599*J599=0,0,(INDEX([2]Sheet1!$C$4:$Q$23,MATCH(K599,[2]Sheet1!$B$4:$B$23,1),MATCH(D599,[2]Sheet1!$C$3:$Q$3,1))
+ (K599 - INDEX([2]Sheet1!$B$4:$B$23,MATCH(K599,[2]Sheet1!$B$4:$B$23,1),1))/(INDEX([2]Sheet1!$B$4:$B$23,MATCH(K599,[2]Sheet1!$B$4:$B$23,1)+1,1) - INDEX([2]Sheet1!$B$4:$B$23,MATCH(K599,[2]Sheet1!$B$4:$B$23,1),1))*(INDEX([2]Sheet1!$C$4:$Q$23,MATCH(K599,[2]Sheet1!$B$4:$B$23,1)+1,MATCH(D599,[2]Sheet1!$C$3:$Q$3,1)) - INDEX([2]Sheet1!$C$4:$Q$23,MATCH(K599,[2]Sheet1!$B$4:$B$23,1),MATCH(D599,[2]Sheet1!$C$3:$Q$3,1)))
+ (D599 - INDEX([2]Sheet1!$C$3:$Q$3,1,MATCH(D599,[2]Sheet1!$C$3:$Q$3)))/(INDEX([2]Sheet1!$C$3:$Q$3,1,MATCH(D599,[2]Sheet1!$C$3:$Q$3)+1) - INDEX([2]Sheet1!$C$3:$Q$3,1,MATCH(D599,[2]Sheet1!$C$3:$Q$3)))*(
INDEX([2]Sheet1!$C$4:$Q$23,MATCH(K599,[2]Sheet1!$B$4:$B$23,1),MATCH(D599,[2]Sheet1!$C$3:$Q$3,1)+1) - INDEX([2]Sheet1!$C$4:$Q$23,MATCH(K599,[2]Sheet1!$B$4:$B$23,1),MATCH(D599,[2]Sheet1!$C$3:$Q$3,1)))))</f>
        <v>0</v>
      </c>
      <c r="N599">
        <f t="shared" si="170"/>
        <v>12</v>
      </c>
      <c r="O599">
        <v>8.4519107778482885E-2</v>
      </c>
      <c r="P599" t="e">
        <f t="shared" si="171"/>
        <v>#DIV/0!</v>
      </c>
      <c r="Q599">
        <f t="shared" si="158"/>
        <v>0</v>
      </c>
      <c r="R599">
        <f t="shared" si="172"/>
        <v>741.9099431943954</v>
      </c>
      <c r="T599" t="e">
        <f t="shared" si="161"/>
        <v>#DIV/0!</v>
      </c>
      <c r="U599" t="e">
        <f t="shared" si="162"/>
        <v>#DIV/0!</v>
      </c>
      <c r="V599">
        <f t="shared" si="163"/>
        <v>0</v>
      </c>
      <c r="W599" t="e">
        <f t="shared" si="159"/>
        <v>#DIV/0!</v>
      </c>
    </row>
    <row r="600" spans="1:23" x14ac:dyDescent="0.55000000000000004">
      <c r="A600">
        <f t="shared" si="160"/>
        <v>56.600000000000534</v>
      </c>
      <c r="B600">
        <f t="shared" si="164"/>
        <v>0.316</v>
      </c>
      <c r="C600">
        <f t="shared" si="165"/>
        <v>-31.913043478261223</v>
      </c>
      <c r="D600">
        <v>2.4234500026884374</v>
      </c>
      <c r="E600">
        <f t="shared" si="155"/>
        <v>0</v>
      </c>
      <c r="F600">
        <f t="shared" si="166"/>
        <v>4.8605058816845369E-2</v>
      </c>
      <c r="G600">
        <f t="shared" si="167"/>
        <v>39.513748498891111</v>
      </c>
      <c r="H600">
        <f t="shared" si="168"/>
        <v>0</v>
      </c>
      <c r="I600" s="1">
        <f t="shared" si="156"/>
        <v>0</v>
      </c>
      <c r="J600">
        <f t="shared" si="169"/>
        <v>0</v>
      </c>
      <c r="K600">
        <f t="shared" si="157"/>
        <v>0</v>
      </c>
      <c r="L600" cm="1">
        <f t="array" ref="L600">IF(E600*J600=0,0,$C$21*INDEX([3]Sheet1!$C$4:$Q$23,MATCH(K600,[3]Sheet1!$B$4:$B$23,1),MATCH(D600,[3]Sheet1!$C$3:$Q$3,1))
+(K600-INDEX([3]Sheet1!$B$4:$B$23,MATCH(K600,[3]Sheet1!$B$4:$B$23,1),1))/(INDEX([3]Sheet1!$B$4:$B$23,MATCH(K600,[3]Sheet1!$B$4:$B$23,1)+1,1)-INDEX([3]Sheet1!$B$4:$B$23,
MATCH(K600,[3]Sheet1!$B$4:$B$23,1),1))*(INDEX([3]Sheet1!$C$4:$Q$23,MATCH(K600,[3]Sheet1!$B$4:$B$23,1)+1,MATCH(D600,[3]Sheet1!$C$3:$Q$3,1))-INDEX([3]Sheet1!$C$4:$Q$23,
MATCH(K600,[3]Sheet1!$B$4:$B$23,1),MATCH(D600,[3]Sheet1!$C$3:$Q$3,1)))
+(D600-INDEX([3]Sheet1!$C$3:$Q$3,1,MATCH(D600,[3]Sheet1!$C$3:$Q$3)))/(INDEX([3]Sheet1!$C$3:$Q$3,1,MATCH(D600,[3]Sheet1!$C$3:$Q$3)+1)-INDEX([3]Sheet1!$C$3:$Q$3,1,MATCH(
D600,[3]Sheet1!$C$3:$Q$3)))*(INDEX([3]Sheet1!$C$4:$Q$23,MATCH(K600,[3]Sheet1!$B$4:$B$23,1),MATCH(D600,[3]Sheet1!$C$3:$Q$3,1)+1)-INDEX([3]Sheet1!$C$4:$Q$23,MATCH(K600,[3]Sheet1!$B$4:$B$23,1),MATCH(D600,[3]Sheet1!$C$3:$Q$3,1))))</f>
        <v>0</v>
      </c>
      <c r="M600" cm="1">
        <f t="array" ref="M600" xml:space="preserve"> IF(E600*J600=0,0,(INDEX([2]Sheet1!$C$4:$Q$23,MATCH(K600,[2]Sheet1!$B$4:$B$23,1),MATCH(D600,[2]Sheet1!$C$3:$Q$3,1))
+ (K600 - INDEX([2]Sheet1!$B$4:$B$23,MATCH(K600,[2]Sheet1!$B$4:$B$23,1),1))/(INDEX([2]Sheet1!$B$4:$B$23,MATCH(K600,[2]Sheet1!$B$4:$B$23,1)+1,1) - INDEX([2]Sheet1!$B$4:$B$23,MATCH(K600,[2]Sheet1!$B$4:$B$23,1),1))*(INDEX([2]Sheet1!$C$4:$Q$23,MATCH(K600,[2]Sheet1!$B$4:$B$23,1)+1,MATCH(D600,[2]Sheet1!$C$3:$Q$3,1)) - INDEX([2]Sheet1!$C$4:$Q$23,MATCH(K600,[2]Sheet1!$B$4:$B$23,1),MATCH(D600,[2]Sheet1!$C$3:$Q$3,1)))
+ (D600 - INDEX([2]Sheet1!$C$3:$Q$3,1,MATCH(D600,[2]Sheet1!$C$3:$Q$3)))/(INDEX([2]Sheet1!$C$3:$Q$3,1,MATCH(D600,[2]Sheet1!$C$3:$Q$3)+1) - INDEX([2]Sheet1!$C$3:$Q$3,1,MATCH(D600,[2]Sheet1!$C$3:$Q$3)))*(
INDEX([2]Sheet1!$C$4:$Q$23,MATCH(K600,[2]Sheet1!$B$4:$B$23,1),MATCH(D600,[2]Sheet1!$C$3:$Q$3,1)+1) - INDEX([2]Sheet1!$C$4:$Q$23,MATCH(K600,[2]Sheet1!$B$4:$B$23,1),MATCH(D600,[2]Sheet1!$C$3:$Q$3,1)))))</f>
        <v>0</v>
      </c>
      <c r="N600">
        <f t="shared" si="170"/>
        <v>12</v>
      </c>
      <c r="O600">
        <v>8.4506084350990995E-2</v>
      </c>
      <c r="P600" t="e">
        <f t="shared" si="171"/>
        <v>#DIV/0!</v>
      </c>
      <c r="Q600">
        <f t="shared" si="158"/>
        <v>0</v>
      </c>
      <c r="R600">
        <f t="shared" si="172"/>
        <v>741.9099431943954</v>
      </c>
      <c r="T600" t="e">
        <f t="shared" si="161"/>
        <v>#DIV/0!</v>
      </c>
      <c r="U600" t="e">
        <f t="shared" si="162"/>
        <v>#DIV/0!</v>
      </c>
      <c r="V600">
        <f t="shared" si="163"/>
        <v>0</v>
      </c>
      <c r="W600" t="e">
        <f t="shared" si="159"/>
        <v>#DIV/0!</v>
      </c>
    </row>
    <row r="601" spans="1:23" x14ac:dyDescent="0.55000000000000004">
      <c r="A601">
        <f t="shared" si="160"/>
        <v>56.700000000000536</v>
      </c>
      <c r="B601">
        <f t="shared" si="164"/>
        <v>0.316</v>
      </c>
      <c r="C601">
        <f t="shared" si="165"/>
        <v>-31.978260869565574</v>
      </c>
      <c r="D601">
        <v>2.4233842699129169</v>
      </c>
      <c r="E601">
        <f t="shared" si="155"/>
        <v>0</v>
      </c>
      <c r="F601">
        <f t="shared" si="166"/>
        <v>4.8605058816845369E-2</v>
      </c>
      <c r="G601">
        <f t="shared" si="167"/>
        <v>39.513748498891111</v>
      </c>
      <c r="H601">
        <f t="shared" si="168"/>
        <v>0</v>
      </c>
      <c r="I601" s="1">
        <f t="shared" si="156"/>
        <v>0</v>
      </c>
      <c r="J601">
        <f t="shared" si="169"/>
        <v>0</v>
      </c>
      <c r="K601">
        <f t="shared" si="157"/>
        <v>0</v>
      </c>
      <c r="L601" cm="1">
        <f t="array" ref="L601">IF(E601*J601=0,0,$C$21*INDEX([3]Sheet1!$C$4:$Q$23,MATCH(K601,[3]Sheet1!$B$4:$B$23,1),MATCH(D601,[3]Sheet1!$C$3:$Q$3,1))
+(K601-INDEX([3]Sheet1!$B$4:$B$23,MATCH(K601,[3]Sheet1!$B$4:$B$23,1),1))/(INDEX([3]Sheet1!$B$4:$B$23,MATCH(K601,[3]Sheet1!$B$4:$B$23,1)+1,1)-INDEX([3]Sheet1!$B$4:$B$23,
MATCH(K601,[3]Sheet1!$B$4:$B$23,1),1))*(INDEX([3]Sheet1!$C$4:$Q$23,MATCH(K601,[3]Sheet1!$B$4:$B$23,1)+1,MATCH(D601,[3]Sheet1!$C$3:$Q$3,1))-INDEX([3]Sheet1!$C$4:$Q$23,
MATCH(K601,[3]Sheet1!$B$4:$B$23,1),MATCH(D601,[3]Sheet1!$C$3:$Q$3,1)))
+(D601-INDEX([3]Sheet1!$C$3:$Q$3,1,MATCH(D601,[3]Sheet1!$C$3:$Q$3)))/(INDEX([3]Sheet1!$C$3:$Q$3,1,MATCH(D601,[3]Sheet1!$C$3:$Q$3)+1)-INDEX([3]Sheet1!$C$3:$Q$3,1,MATCH(
D601,[3]Sheet1!$C$3:$Q$3)))*(INDEX([3]Sheet1!$C$4:$Q$23,MATCH(K601,[3]Sheet1!$B$4:$B$23,1),MATCH(D601,[3]Sheet1!$C$3:$Q$3,1)+1)-INDEX([3]Sheet1!$C$4:$Q$23,MATCH(K601,[3]Sheet1!$B$4:$B$23,1),MATCH(D601,[3]Sheet1!$C$3:$Q$3,1))))</f>
        <v>0</v>
      </c>
      <c r="M601" cm="1">
        <f t="array" ref="M601" xml:space="preserve"> IF(E601*J601=0,0,(INDEX([2]Sheet1!$C$4:$Q$23,MATCH(K601,[2]Sheet1!$B$4:$B$23,1),MATCH(D601,[2]Sheet1!$C$3:$Q$3,1))
+ (K601 - INDEX([2]Sheet1!$B$4:$B$23,MATCH(K601,[2]Sheet1!$B$4:$B$23,1),1))/(INDEX([2]Sheet1!$B$4:$B$23,MATCH(K601,[2]Sheet1!$B$4:$B$23,1)+1,1) - INDEX([2]Sheet1!$B$4:$B$23,MATCH(K601,[2]Sheet1!$B$4:$B$23,1),1))*(INDEX([2]Sheet1!$C$4:$Q$23,MATCH(K601,[2]Sheet1!$B$4:$B$23,1)+1,MATCH(D601,[2]Sheet1!$C$3:$Q$3,1)) - INDEX([2]Sheet1!$C$4:$Q$23,MATCH(K601,[2]Sheet1!$B$4:$B$23,1),MATCH(D601,[2]Sheet1!$C$3:$Q$3,1)))
+ (D601 - INDEX([2]Sheet1!$C$3:$Q$3,1,MATCH(D601,[2]Sheet1!$C$3:$Q$3)))/(INDEX([2]Sheet1!$C$3:$Q$3,1,MATCH(D601,[2]Sheet1!$C$3:$Q$3)+1) - INDEX([2]Sheet1!$C$3:$Q$3,1,MATCH(D601,[2]Sheet1!$C$3:$Q$3)))*(
INDEX([2]Sheet1!$C$4:$Q$23,MATCH(K601,[2]Sheet1!$B$4:$B$23,1),MATCH(D601,[2]Sheet1!$C$3:$Q$3,1)+1) - INDEX([2]Sheet1!$C$4:$Q$23,MATCH(K601,[2]Sheet1!$B$4:$B$23,1),MATCH(D601,[2]Sheet1!$C$3:$Q$3,1)))))</f>
        <v>0</v>
      </c>
      <c r="N601">
        <f t="shared" si="170"/>
        <v>12</v>
      </c>
      <c r="O601">
        <v>8.4493079098938259E-2</v>
      </c>
      <c r="P601" t="e">
        <f t="shared" si="171"/>
        <v>#DIV/0!</v>
      </c>
      <c r="Q601">
        <f t="shared" si="158"/>
        <v>0</v>
      </c>
      <c r="R601">
        <f t="shared" si="172"/>
        <v>741.9099431943954</v>
      </c>
      <c r="T601" t="e">
        <f t="shared" si="161"/>
        <v>#DIV/0!</v>
      </c>
      <c r="U601" t="e">
        <f t="shared" si="162"/>
        <v>#DIV/0!</v>
      </c>
      <c r="V601">
        <f t="shared" si="163"/>
        <v>0</v>
      </c>
      <c r="W601" t="e">
        <f t="shared" si="159"/>
        <v>#DIV/0!</v>
      </c>
    </row>
    <row r="602" spans="1:23" x14ac:dyDescent="0.55000000000000004">
      <c r="A602">
        <f t="shared" si="160"/>
        <v>56.800000000000537</v>
      </c>
      <c r="B602">
        <f t="shared" si="164"/>
        <v>0.316</v>
      </c>
      <c r="C602">
        <f t="shared" si="165"/>
        <v>-32.043478260869918</v>
      </c>
      <c r="D602">
        <v>2.4233186188443225</v>
      </c>
      <c r="E602">
        <f t="shared" si="155"/>
        <v>0</v>
      </c>
      <c r="F602">
        <f t="shared" si="166"/>
        <v>4.8605058816845369E-2</v>
      </c>
      <c r="G602">
        <f t="shared" si="167"/>
        <v>39.513748498891111</v>
      </c>
      <c r="H602">
        <f t="shared" si="168"/>
        <v>0</v>
      </c>
      <c r="I602" s="1">
        <f t="shared" si="156"/>
        <v>0</v>
      </c>
      <c r="J602">
        <f t="shared" si="169"/>
        <v>0</v>
      </c>
      <c r="K602">
        <f t="shared" si="157"/>
        <v>0</v>
      </c>
      <c r="L602" cm="1">
        <f t="array" ref="L602">IF(E602*J602=0,0,$C$21*INDEX([3]Sheet1!$C$4:$Q$23,MATCH(K602,[3]Sheet1!$B$4:$B$23,1),MATCH(D602,[3]Sheet1!$C$3:$Q$3,1))
+(K602-INDEX([3]Sheet1!$B$4:$B$23,MATCH(K602,[3]Sheet1!$B$4:$B$23,1),1))/(INDEX([3]Sheet1!$B$4:$B$23,MATCH(K602,[3]Sheet1!$B$4:$B$23,1)+1,1)-INDEX([3]Sheet1!$B$4:$B$23,
MATCH(K602,[3]Sheet1!$B$4:$B$23,1),1))*(INDEX([3]Sheet1!$C$4:$Q$23,MATCH(K602,[3]Sheet1!$B$4:$B$23,1)+1,MATCH(D602,[3]Sheet1!$C$3:$Q$3,1))-INDEX([3]Sheet1!$C$4:$Q$23,
MATCH(K602,[3]Sheet1!$B$4:$B$23,1),MATCH(D602,[3]Sheet1!$C$3:$Q$3,1)))
+(D602-INDEX([3]Sheet1!$C$3:$Q$3,1,MATCH(D602,[3]Sheet1!$C$3:$Q$3)))/(INDEX([3]Sheet1!$C$3:$Q$3,1,MATCH(D602,[3]Sheet1!$C$3:$Q$3)+1)-INDEX([3]Sheet1!$C$3:$Q$3,1,MATCH(
D602,[3]Sheet1!$C$3:$Q$3)))*(INDEX([3]Sheet1!$C$4:$Q$23,MATCH(K602,[3]Sheet1!$B$4:$B$23,1),MATCH(D602,[3]Sheet1!$C$3:$Q$3,1)+1)-INDEX([3]Sheet1!$C$4:$Q$23,MATCH(K602,[3]Sheet1!$B$4:$B$23,1),MATCH(D602,[3]Sheet1!$C$3:$Q$3,1))))</f>
        <v>0</v>
      </c>
      <c r="M602" cm="1">
        <f t="array" ref="M602" xml:space="preserve"> IF(E602*J602=0,0,(INDEX([2]Sheet1!$C$4:$Q$23,MATCH(K602,[2]Sheet1!$B$4:$B$23,1),MATCH(D602,[2]Sheet1!$C$3:$Q$3,1))
+ (K602 - INDEX([2]Sheet1!$B$4:$B$23,MATCH(K602,[2]Sheet1!$B$4:$B$23,1),1))/(INDEX([2]Sheet1!$B$4:$B$23,MATCH(K602,[2]Sheet1!$B$4:$B$23,1)+1,1) - INDEX([2]Sheet1!$B$4:$B$23,MATCH(K602,[2]Sheet1!$B$4:$B$23,1),1))*(INDEX([2]Sheet1!$C$4:$Q$23,MATCH(K602,[2]Sheet1!$B$4:$B$23,1)+1,MATCH(D602,[2]Sheet1!$C$3:$Q$3,1)) - INDEX([2]Sheet1!$C$4:$Q$23,MATCH(K602,[2]Sheet1!$B$4:$B$23,1),MATCH(D602,[2]Sheet1!$C$3:$Q$3,1)))
+ (D602 - INDEX([2]Sheet1!$C$3:$Q$3,1,MATCH(D602,[2]Sheet1!$C$3:$Q$3)))/(INDEX([2]Sheet1!$C$3:$Q$3,1,MATCH(D602,[2]Sheet1!$C$3:$Q$3)+1) - INDEX([2]Sheet1!$C$3:$Q$3,1,MATCH(D602,[2]Sheet1!$C$3:$Q$3)))*(
INDEX([2]Sheet1!$C$4:$Q$23,MATCH(K602,[2]Sheet1!$B$4:$B$23,1),MATCH(D602,[2]Sheet1!$C$3:$Q$3,1)+1) - INDEX([2]Sheet1!$C$4:$Q$23,MATCH(K602,[2]Sheet1!$B$4:$B$23,1),MATCH(D602,[2]Sheet1!$C$3:$Q$3,1)))))</f>
        <v>0</v>
      </c>
      <c r="N602">
        <f t="shared" si="170"/>
        <v>12</v>
      </c>
      <c r="O602">
        <v>8.4480091973179267E-2</v>
      </c>
      <c r="P602" t="e">
        <f t="shared" si="171"/>
        <v>#DIV/0!</v>
      </c>
      <c r="Q602">
        <f t="shared" si="158"/>
        <v>0</v>
      </c>
      <c r="R602">
        <f t="shared" si="172"/>
        <v>741.9099431943954</v>
      </c>
      <c r="T602" t="e">
        <f t="shared" si="161"/>
        <v>#DIV/0!</v>
      </c>
      <c r="U602" t="e">
        <f t="shared" si="162"/>
        <v>#DIV/0!</v>
      </c>
      <c r="V602">
        <f t="shared" si="163"/>
        <v>0</v>
      </c>
      <c r="W602" t="e">
        <f t="shared" si="159"/>
        <v>#DIV/0!</v>
      </c>
    </row>
    <row r="603" spans="1:23" x14ac:dyDescent="0.55000000000000004">
      <c r="A603">
        <f t="shared" si="160"/>
        <v>56.900000000000539</v>
      </c>
      <c r="B603">
        <f t="shared" si="164"/>
        <v>0.316</v>
      </c>
      <c r="C603">
        <f t="shared" si="165"/>
        <v>-32.108695652174262</v>
      </c>
      <c r="D603">
        <v>2.423253049272752</v>
      </c>
      <c r="E603">
        <f t="shared" si="155"/>
        <v>0</v>
      </c>
      <c r="F603">
        <f t="shared" si="166"/>
        <v>4.8605058816845369E-2</v>
      </c>
      <c r="G603">
        <f t="shared" si="167"/>
        <v>39.513748498891111</v>
      </c>
      <c r="H603">
        <f t="shared" si="168"/>
        <v>0</v>
      </c>
      <c r="I603" s="1">
        <f t="shared" si="156"/>
        <v>0</v>
      </c>
      <c r="J603">
        <f t="shared" si="169"/>
        <v>0</v>
      </c>
      <c r="K603">
        <f t="shared" si="157"/>
        <v>0</v>
      </c>
      <c r="L603" cm="1">
        <f t="array" ref="L603">IF(E603*J603=0,0,$C$21*INDEX([3]Sheet1!$C$4:$Q$23,MATCH(K603,[3]Sheet1!$B$4:$B$23,1),MATCH(D603,[3]Sheet1!$C$3:$Q$3,1))
+(K603-INDEX([3]Sheet1!$B$4:$B$23,MATCH(K603,[3]Sheet1!$B$4:$B$23,1),1))/(INDEX([3]Sheet1!$B$4:$B$23,MATCH(K603,[3]Sheet1!$B$4:$B$23,1)+1,1)-INDEX([3]Sheet1!$B$4:$B$23,
MATCH(K603,[3]Sheet1!$B$4:$B$23,1),1))*(INDEX([3]Sheet1!$C$4:$Q$23,MATCH(K603,[3]Sheet1!$B$4:$B$23,1)+1,MATCH(D603,[3]Sheet1!$C$3:$Q$3,1))-INDEX([3]Sheet1!$C$4:$Q$23,
MATCH(K603,[3]Sheet1!$B$4:$B$23,1),MATCH(D603,[3]Sheet1!$C$3:$Q$3,1)))
+(D603-INDEX([3]Sheet1!$C$3:$Q$3,1,MATCH(D603,[3]Sheet1!$C$3:$Q$3)))/(INDEX([3]Sheet1!$C$3:$Q$3,1,MATCH(D603,[3]Sheet1!$C$3:$Q$3)+1)-INDEX([3]Sheet1!$C$3:$Q$3,1,MATCH(
D603,[3]Sheet1!$C$3:$Q$3)))*(INDEX([3]Sheet1!$C$4:$Q$23,MATCH(K603,[3]Sheet1!$B$4:$B$23,1),MATCH(D603,[3]Sheet1!$C$3:$Q$3,1)+1)-INDEX([3]Sheet1!$C$4:$Q$23,MATCH(K603,[3]Sheet1!$B$4:$B$23,1),MATCH(D603,[3]Sheet1!$C$3:$Q$3,1))))</f>
        <v>0</v>
      </c>
      <c r="M603" cm="1">
        <f t="array" ref="M603" xml:space="preserve"> IF(E603*J603=0,0,(INDEX([2]Sheet1!$C$4:$Q$23,MATCH(K603,[2]Sheet1!$B$4:$B$23,1),MATCH(D603,[2]Sheet1!$C$3:$Q$3,1))
+ (K603 - INDEX([2]Sheet1!$B$4:$B$23,MATCH(K603,[2]Sheet1!$B$4:$B$23,1),1))/(INDEX([2]Sheet1!$B$4:$B$23,MATCH(K603,[2]Sheet1!$B$4:$B$23,1)+1,1) - INDEX([2]Sheet1!$B$4:$B$23,MATCH(K603,[2]Sheet1!$B$4:$B$23,1),1))*(INDEX([2]Sheet1!$C$4:$Q$23,MATCH(K603,[2]Sheet1!$B$4:$B$23,1)+1,MATCH(D603,[2]Sheet1!$C$3:$Q$3,1)) - INDEX([2]Sheet1!$C$4:$Q$23,MATCH(K603,[2]Sheet1!$B$4:$B$23,1),MATCH(D603,[2]Sheet1!$C$3:$Q$3,1)))
+ (D603 - INDEX([2]Sheet1!$C$3:$Q$3,1,MATCH(D603,[2]Sheet1!$C$3:$Q$3)))/(INDEX([2]Sheet1!$C$3:$Q$3,1,MATCH(D603,[2]Sheet1!$C$3:$Q$3)+1) - INDEX([2]Sheet1!$C$3:$Q$3,1,MATCH(D603,[2]Sheet1!$C$3:$Q$3)))*(
INDEX([2]Sheet1!$C$4:$Q$23,MATCH(K603,[2]Sheet1!$B$4:$B$23,1),MATCH(D603,[2]Sheet1!$C$3:$Q$3,1)+1) - INDEX([2]Sheet1!$C$4:$Q$23,MATCH(K603,[2]Sheet1!$B$4:$B$23,1),MATCH(D603,[2]Sheet1!$C$3:$Q$3,1)))))</f>
        <v>0</v>
      </c>
      <c r="N603">
        <f t="shared" si="170"/>
        <v>12</v>
      </c>
      <c r="O603">
        <v>8.4467122924765714E-2</v>
      </c>
      <c r="P603" t="e">
        <f t="shared" si="171"/>
        <v>#DIV/0!</v>
      </c>
      <c r="Q603">
        <f t="shared" si="158"/>
        <v>0</v>
      </c>
      <c r="R603">
        <f t="shared" si="172"/>
        <v>741.9099431943954</v>
      </c>
      <c r="T603" t="e">
        <f t="shared" si="161"/>
        <v>#DIV/0!</v>
      </c>
      <c r="U603" t="e">
        <f t="shared" si="162"/>
        <v>#DIV/0!</v>
      </c>
      <c r="V603">
        <f t="shared" si="163"/>
        <v>0</v>
      </c>
      <c r="W603" t="e">
        <f t="shared" si="159"/>
        <v>#DIV/0!</v>
      </c>
    </row>
    <row r="604" spans="1:23" x14ac:dyDescent="0.55000000000000004">
      <c r="A604">
        <f t="shared" si="160"/>
        <v>57.00000000000054</v>
      </c>
      <c r="B604">
        <f t="shared" si="164"/>
        <v>0.316</v>
      </c>
      <c r="C604">
        <f t="shared" si="165"/>
        <v>-32.173913043478613</v>
      </c>
      <c r="D604">
        <v>2.4231875609891151</v>
      </c>
      <c r="E604">
        <f t="shared" si="155"/>
        <v>0</v>
      </c>
      <c r="F604">
        <f t="shared" si="166"/>
        <v>4.8605058816845369E-2</v>
      </c>
      <c r="G604">
        <f t="shared" si="167"/>
        <v>39.513748498891111</v>
      </c>
      <c r="H604">
        <f t="shared" si="168"/>
        <v>0</v>
      </c>
      <c r="I604" s="1">
        <f t="shared" si="156"/>
        <v>0</v>
      </c>
      <c r="J604">
        <f t="shared" si="169"/>
        <v>0</v>
      </c>
      <c r="K604">
        <f t="shared" si="157"/>
        <v>0</v>
      </c>
      <c r="L604" cm="1">
        <f t="array" ref="L604">IF(E604*J604=0,0,$C$21*INDEX([3]Sheet1!$C$4:$Q$23,MATCH(K604,[3]Sheet1!$B$4:$B$23,1),MATCH(D604,[3]Sheet1!$C$3:$Q$3,1))
+(K604-INDEX([3]Sheet1!$B$4:$B$23,MATCH(K604,[3]Sheet1!$B$4:$B$23,1),1))/(INDEX([3]Sheet1!$B$4:$B$23,MATCH(K604,[3]Sheet1!$B$4:$B$23,1)+1,1)-INDEX([3]Sheet1!$B$4:$B$23,
MATCH(K604,[3]Sheet1!$B$4:$B$23,1),1))*(INDEX([3]Sheet1!$C$4:$Q$23,MATCH(K604,[3]Sheet1!$B$4:$B$23,1)+1,MATCH(D604,[3]Sheet1!$C$3:$Q$3,1))-INDEX([3]Sheet1!$C$4:$Q$23,
MATCH(K604,[3]Sheet1!$B$4:$B$23,1),MATCH(D604,[3]Sheet1!$C$3:$Q$3,1)))
+(D604-INDEX([3]Sheet1!$C$3:$Q$3,1,MATCH(D604,[3]Sheet1!$C$3:$Q$3)))/(INDEX([3]Sheet1!$C$3:$Q$3,1,MATCH(D604,[3]Sheet1!$C$3:$Q$3)+1)-INDEX([3]Sheet1!$C$3:$Q$3,1,MATCH(
D604,[3]Sheet1!$C$3:$Q$3)))*(INDEX([3]Sheet1!$C$4:$Q$23,MATCH(K604,[3]Sheet1!$B$4:$B$23,1),MATCH(D604,[3]Sheet1!$C$3:$Q$3,1)+1)-INDEX([3]Sheet1!$C$4:$Q$23,MATCH(K604,[3]Sheet1!$B$4:$B$23,1),MATCH(D604,[3]Sheet1!$C$3:$Q$3,1))))</f>
        <v>0</v>
      </c>
      <c r="M604" cm="1">
        <f t="array" ref="M604" xml:space="preserve"> IF(E604*J604=0,0,(INDEX([2]Sheet1!$C$4:$Q$23,MATCH(K604,[2]Sheet1!$B$4:$B$23,1),MATCH(D604,[2]Sheet1!$C$3:$Q$3,1))
+ (K604 - INDEX([2]Sheet1!$B$4:$B$23,MATCH(K604,[2]Sheet1!$B$4:$B$23,1),1))/(INDEX([2]Sheet1!$B$4:$B$23,MATCH(K604,[2]Sheet1!$B$4:$B$23,1)+1,1) - INDEX([2]Sheet1!$B$4:$B$23,MATCH(K604,[2]Sheet1!$B$4:$B$23,1),1))*(INDEX([2]Sheet1!$C$4:$Q$23,MATCH(K604,[2]Sheet1!$B$4:$B$23,1)+1,MATCH(D604,[2]Sheet1!$C$3:$Q$3,1)) - INDEX([2]Sheet1!$C$4:$Q$23,MATCH(K604,[2]Sheet1!$B$4:$B$23,1),MATCH(D604,[2]Sheet1!$C$3:$Q$3,1)))
+ (D604 - INDEX([2]Sheet1!$C$3:$Q$3,1,MATCH(D604,[2]Sheet1!$C$3:$Q$3)))/(INDEX([2]Sheet1!$C$3:$Q$3,1,MATCH(D604,[2]Sheet1!$C$3:$Q$3)+1) - INDEX([2]Sheet1!$C$3:$Q$3,1,MATCH(D604,[2]Sheet1!$C$3:$Q$3)))*(
INDEX([2]Sheet1!$C$4:$Q$23,MATCH(K604,[2]Sheet1!$B$4:$B$23,1),MATCH(D604,[2]Sheet1!$C$3:$Q$3,1)+1) - INDEX([2]Sheet1!$C$4:$Q$23,MATCH(K604,[2]Sheet1!$B$4:$B$23,1),MATCH(D604,[2]Sheet1!$C$3:$Q$3,1)))))</f>
        <v>0</v>
      </c>
      <c r="N604">
        <f t="shared" si="170"/>
        <v>12</v>
      </c>
      <c r="O604">
        <v>8.4454171904945433E-2</v>
      </c>
      <c r="P604" t="e">
        <f t="shared" si="171"/>
        <v>#DIV/0!</v>
      </c>
      <c r="Q604">
        <f t="shared" si="158"/>
        <v>0</v>
      </c>
      <c r="R604">
        <f t="shared" si="172"/>
        <v>741.9099431943954</v>
      </c>
      <c r="T604" t="e">
        <f t="shared" si="161"/>
        <v>#DIV/0!</v>
      </c>
      <c r="U604" t="e">
        <f t="shared" si="162"/>
        <v>#DIV/0!</v>
      </c>
      <c r="V604">
        <f t="shared" si="163"/>
        <v>0</v>
      </c>
      <c r="W604" t="e">
        <f t="shared" si="159"/>
        <v>#DIV/0!</v>
      </c>
    </row>
    <row r="605" spans="1:23" x14ac:dyDescent="0.55000000000000004">
      <c r="A605">
        <f t="shared" si="160"/>
        <v>57.100000000000541</v>
      </c>
      <c r="B605">
        <f t="shared" si="164"/>
        <v>0.316</v>
      </c>
      <c r="C605">
        <f t="shared" si="165"/>
        <v>-32.239130434782965</v>
      </c>
      <c r="D605">
        <v>2.4231221537851346</v>
      </c>
      <c r="E605">
        <f t="shared" si="155"/>
        <v>0</v>
      </c>
      <c r="F605">
        <f t="shared" si="166"/>
        <v>4.8605058816845369E-2</v>
      </c>
      <c r="G605">
        <f t="shared" si="167"/>
        <v>39.513748498891111</v>
      </c>
      <c r="H605">
        <f t="shared" si="168"/>
        <v>0</v>
      </c>
      <c r="I605" s="1">
        <f t="shared" si="156"/>
        <v>0</v>
      </c>
      <c r="J605">
        <f t="shared" si="169"/>
        <v>0</v>
      </c>
      <c r="K605">
        <f t="shared" si="157"/>
        <v>0</v>
      </c>
      <c r="L605" cm="1">
        <f t="array" ref="L605">IF(E605*J605=0,0,$C$21*INDEX([3]Sheet1!$C$4:$Q$23,MATCH(K605,[3]Sheet1!$B$4:$B$23,1),MATCH(D605,[3]Sheet1!$C$3:$Q$3,1))
+(K605-INDEX([3]Sheet1!$B$4:$B$23,MATCH(K605,[3]Sheet1!$B$4:$B$23,1),1))/(INDEX([3]Sheet1!$B$4:$B$23,MATCH(K605,[3]Sheet1!$B$4:$B$23,1)+1,1)-INDEX([3]Sheet1!$B$4:$B$23,
MATCH(K605,[3]Sheet1!$B$4:$B$23,1),1))*(INDEX([3]Sheet1!$C$4:$Q$23,MATCH(K605,[3]Sheet1!$B$4:$B$23,1)+1,MATCH(D605,[3]Sheet1!$C$3:$Q$3,1))-INDEX([3]Sheet1!$C$4:$Q$23,
MATCH(K605,[3]Sheet1!$B$4:$B$23,1),MATCH(D605,[3]Sheet1!$C$3:$Q$3,1)))
+(D605-INDEX([3]Sheet1!$C$3:$Q$3,1,MATCH(D605,[3]Sheet1!$C$3:$Q$3)))/(INDEX([3]Sheet1!$C$3:$Q$3,1,MATCH(D605,[3]Sheet1!$C$3:$Q$3)+1)-INDEX([3]Sheet1!$C$3:$Q$3,1,MATCH(
D605,[3]Sheet1!$C$3:$Q$3)))*(INDEX([3]Sheet1!$C$4:$Q$23,MATCH(K605,[3]Sheet1!$B$4:$B$23,1),MATCH(D605,[3]Sheet1!$C$3:$Q$3,1)+1)-INDEX([3]Sheet1!$C$4:$Q$23,MATCH(K605,[3]Sheet1!$B$4:$B$23,1),MATCH(D605,[3]Sheet1!$C$3:$Q$3,1))))</f>
        <v>0</v>
      </c>
      <c r="M605" cm="1">
        <f t="array" ref="M605" xml:space="preserve"> IF(E605*J605=0,0,(INDEX([2]Sheet1!$C$4:$Q$23,MATCH(K605,[2]Sheet1!$B$4:$B$23,1),MATCH(D605,[2]Sheet1!$C$3:$Q$3,1))
+ (K605 - INDEX([2]Sheet1!$B$4:$B$23,MATCH(K605,[2]Sheet1!$B$4:$B$23,1),1))/(INDEX([2]Sheet1!$B$4:$B$23,MATCH(K605,[2]Sheet1!$B$4:$B$23,1)+1,1) - INDEX([2]Sheet1!$B$4:$B$23,MATCH(K605,[2]Sheet1!$B$4:$B$23,1),1))*(INDEX([2]Sheet1!$C$4:$Q$23,MATCH(K605,[2]Sheet1!$B$4:$B$23,1)+1,MATCH(D605,[2]Sheet1!$C$3:$Q$3,1)) - INDEX([2]Sheet1!$C$4:$Q$23,MATCH(K605,[2]Sheet1!$B$4:$B$23,1),MATCH(D605,[2]Sheet1!$C$3:$Q$3,1)))
+ (D605 - INDEX([2]Sheet1!$C$3:$Q$3,1,MATCH(D605,[2]Sheet1!$C$3:$Q$3)))/(INDEX([2]Sheet1!$C$3:$Q$3,1,MATCH(D605,[2]Sheet1!$C$3:$Q$3)+1) - INDEX([2]Sheet1!$C$3:$Q$3,1,MATCH(D605,[2]Sheet1!$C$3:$Q$3)))*(
INDEX([2]Sheet1!$C$4:$Q$23,MATCH(K605,[2]Sheet1!$B$4:$B$23,1),MATCH(D605,[2]Sheet1!$C$3:$Q$3,1)+1) - INDEX([2]Sheet1!$C$4:$Q$23,MATCH(K605,[2]Sheet1!$B$4:$B$23,1),MATCH(D605,[2]Sheet1!$C$3:$Q$3,1)))))</f>
        <v>0</v>
      </c>
      <c r="N605">
        <f t="shared" si="170"/>
        <v>12</v>
      </c>
      <c r="O605">
        <v>8.4441238865162346E-2</v>
      </c>
      <c r="P605" t="e">
        <f t="shared" si="171"/>
        <v>#DIV/0!</v>
      </c>
      <c r="Q605">
        <f t="shared" si="158"/>
        <v>0</v>
      </c>
      <c r="R605">
        <f t="shared" si="172"/>
        <v>741.9099431943954</v>
      </c>
      <c r="T605" t="e">
        <f t="shared" si="161"/>
        <v>#DIV/0!</v>
      </c>
      <c r="U605" t="e">
        <f t="shared" si="162"/>
        <v>#DIV/0!</v>
      </c>
      <c r="V605">
        <f t="shared" si="163"/>
        <v>0</v>
      </c>
      <c r="W605" t="e">
        <f t="shared" si="159"/>
        <v>#DIV/0!</v>
      </c>
    </row>
    <row r="606" spans="1:23" x14ac:dyDescent="0.55000000000000004">
      <c r="A606">
        <f t="shared" si="160"/>
        <v>57.200000000000543</v>
      </c>
      <c r="B606">
        <f t="shared" si="164"/>
        <v>0.316</v>
      </c>
      <c r="C606">
        <f t="shared" si="165"/>
        <v>-32.304347826087309</v>
      </c>
      <c r="D606">
        <v>2.4230568274533351</v>
      </c>
      <c r="E606">
        <f t="shared" si="155"/>
        <v>0</v>
      </c>
      <c r="F606">
        <f t="shared" si="166"/>
        <v>4.8605058816845369E-2</v>
      </c>
      <c r="G606">
        <f t="shared" si="167"/>
        <v>39.513748498891111</v>
      </c>
      <c r="H606">
        <f t="shared" si="168"/>
        <v>0</v>
      </c>
      <c r="I606" s="1">
        <f t="shared" si="156"/>
        <v>0</v>
      </c>
      <c r="J606">
        <f t="shared" si="169"/>
        <v>0</v>
      </c>
      <c r="K606">
        <f t="shared" si="157"/>
        <v>0</v>
      </c>
      <c r="L606" cm="1">
        <f t="array" ref="L606">IF(E606*J606=0,0,$C$21*INDEX([3]Sheet1!$C$4:$Q$23,MATCH(K606,[3]Sheet1!$B$4:$B$23,1),MATCH(D606,[3]Sheet1!$C$3:$Q$3,1))
+(K606-INDEX([3]Sheet1!$B$4:$B$23,MATCH(K606,[3]Sheet1!$B$4:$B$23,1),1))/(INDEX([3]Sheet1!$B$4:$B$23,MATCH(K606,[3]Sheet1!$B$4:$B$23,1)+1,1)-INDEX([3]Sheet1!$B$4:$B$23,
MATCH(K606,[3]Sheet1!$B$4:$B$23,1),1))*(INDEX([3]Sheet1!$C$4:$Q$23,MATCH(K606,[3]Sheet1!$B$4:$B$23,1)+1,MATCH(D606,[3]Sheet1!$C$3:$Q$3,1))-INDEX([3]Sheet1!$C$4:$Q$23,
MATCH(K606,[3]Sheet1!$B$4:$B$23,1),MATCH(D606,[3]Sheet1!$C$3:$Q$3,1)))
+(D606-INDEX([3]Sheet1!$C$3:$Q$3,1,MATCH(D606,[3]Sheet1!$C$3:$Q$3)))/(INDEX([3]Sheet1!$C$3:$Q$3,1,MATCH(D606,[3]Sheet1!$C$3:$Q$3)+1)-INDEX([3]Sheet1!$C$3:$Q$3,1,MATCH(
D606,[3]Sheet1!$C$3:$Q$3)))*(INDEX([3]Sheet1!$C$4:$Q$23,MATCH(K606,[3]Sheet1!$B$4:$B$23,1),MATCH(D606,[3]Sheet1!$C$3:$Q$3,1)+1)-INDEX([3]Sheet1!$C$4:$Q$23,MATCH(K606,[3]Sheet1!$B$4:$B$23,1),MATCH(D606,[3]Sheet1!$C$3:$Q$3,1))))</f>
        <v>0</v>
      </c>
      <c r="M606" cm="1">
        <f t="array" ref="M606" xml:space="preserve"> IF(E606*J606=0,0,(INDEX([2]Sheet1!$C$4:$Q$23,MATCH(K606,[2]Sheet1!$B$4:$B$23,1),MATCH(D606,[2]Sheet1!$C$3:$Q$3,1))
+ (K606 - INDEX([2]Sheet1!$B$4:$B$23,MATCH(K606,[2]Sheet1!$B$4:$B$23,1),1))/(INDEX([2]Sheet1!$B$4:$B$23,MATCH(K606,[2]Sheet1!$B$4:$B$23,1)+1,1) - INDEX([2]Sheet1!$B$4:$B$23,MATCH(K606,[2]Sheet1!$B$4:$B$23,1),1))*(INDEX([2]Sheet1!$C$4:$Q$23,MATCH(K606,[2]Sheet1!$B$4:$B$23,1)+1,MATCH(D606,[2]Sheet1!$C$3:$Q$3,1)) - INDEX([2]Sheet1!$C$4:$Q$23,MATCH(K606,[2]Sheet1!$B$4:$B$23,1),MATCH(D606,[2]Sheet1!$C$3:$Q$3,1)))
+ (D606 - INDEX([2]Sheet1!$C$3:$Q$3,1,MATCH(D606,[2]Sheet1!$C$3:$Q$3)))/(INDEX([2]Sheet1!$C$3:$Q$3,1,MATCH(D606,[2]Sheet1!$C$3:$Q$3)+1) - INDEX([2]Sheet1!$C$3:$Q$3,1,MATCH(D606,[2]Sheet1!$C$3:$Q$3)))*(
INDEX([2]Sheet1!$C$4:$Q$23,MATCH(K606,[2]Sheet1!$B$4:$B$23,1),MATCH(D606,[2]Sheet1!$C$3:$Q$3,1)+1) - INDEX([2]Sheet1!$C$4:$Q$23,MATCH(K606,[2]Sheet1!$B$4:$B$23,1),MATCH(D606,[2]Sheet1!$C$3:$Q$3,1)))))</f>
        <v>0</v>
      </c>
      <c r="N606">
        <f t="shared" si="170"/>
        <v>12</v>
      </c>
      <c r="O606">
        <v>8.4428323757054377E-2</v>
      </c>
      <c r="P606" t="e">
        <f t="shared" si="171"/>
        <v>#DIV/0!</v>
      </c>
      <c r="Q606">
        <f t="shared" si="158"/>
        <v>0</v>
      </c>
      <c r="R606">
        <f t="shared" si="172"/>
        <v>741.9099431943954</v>
      </c>
      <c r="T606" t="e">
        <f t="shared" si="161"/>
        <v>#DIV/0!</v>
      </c>
      <c r="U606" t="e">
        <f t="shared" si="162"/>
        <v>#DIV/0!</v>
      </c>
      <c r="V606">
        <f t="shared" si="163"/>
        <v>0</v>
      </c>
      <c r="W606" t="e">
        <f t="shared" si="159"/>
        <v>#DIV/0!</v>
      </c>
    </row>
    <row r="607" spans="1:23" x14ac:dyDescent="0.55000000000000004">
      <c r="A607">
        <f t="shared" si="160"/>
        <v>57.300000000000544</v>
      </c>
      <c r="B607">
        <f t="shared" si="164"/>
        <v>0.316</v>
      </c>
      <c r="C607">
        <f t="shared" si="165"/>
        <v>-32.36956521739166</v>
      </c>
      <c r="D607">
        <v>2.4229915817870422</v>
      </c>
      <c r="E607">
        <f t="shared" si="155"/>
        <v>0</v>
      </c>
      <c r="F607">
        <f t="shared" si="166"/>
        <v>4.8605058816845369E-2</v>
      </c>
      <c r="G607">
        <f t="shared" si="167"/>
        <v>39.513748498891111</v>
      </c>
      <c r="H607">
        <f t="shared" si="168"/>
        <v>0</v>
      </c>
      <c r="I607" s="1">
        <f t="shared" si="156"/>
        <v>0</v>
      </c>
      <c r="J607">
        <f t="shared" si="169"/>
        <v>0</v>
      </c>
      <c r="K607">
        <f t="shared" si="157"/>
        <v>0</v>
      </c>
      <c r="L607" cm="1">
        <f t="array" ref="L607">IF(E607*J607=0,0,$C$21*INDEX([3]Sheet1!$C$4:$Q$23,MATCH(K607,[3]Sheet1!$B$4:$B$23,1),MATCH(D607,[3]Sheet1!$C$3:$Q$3,1))
+(K607-INDEX([3]Sheet1!$B$4:$B$23,MATCH(K607,[3]Sheet1!$B$4:$B$23,1),1))/(INDEX([3]Sheet1!$B$4:$B$23,MATCH(K607,[3]Sheet1!$B$4:$B$23,1)+1,1)-INDEX([3]Sheet1!$B$4:$B$23,
MATCH(K607,[3]Sheet1!$B$4:$B$23,1),1))*(INDEX([3]Sheet1!$C$4:$Q$23,MATCH(K607,[3]Sheet1!$B$4:$B$23,1)+1,MATCH(D607,[3]Sheet1!$C$3:$Q$3,1))-INDEX([3]Sheet1!$C$4:$Q$23,
MATCH(K607,[3]Sheet1!$B$4:$B$23,1),MATCH(D607,[3]Sheet1!$C$3:$Q$3,1)))
+(D607-INDEX([3]Sheet1!$C$3:$Q$3,1,MATCH(D607,[3]Sheet1!$C$3:$Q$3)))/(INDEX([3]Sheet1!$C$3:$Q$3,1,MATCH(D607,[3]Sheet1!$C$3:$Q$3)+1)-INDEX([3]Sheet1!$C$3:$Q$3,1,MATCH(
D607,[3]Sheet1!$C$3:$Q$3)))*(INDEX([3]Sheet1!$C$4:$Q$23,MATCH(K607,[3]Sheet1!$B$4:$B$23,1),MATCH(D607,[3]Sheet1!$C$3:$Q$3,1)+1)-INDEX([3]Sheet1!$C$4:$Q$23,MATCH(K607,[3]Sheet1!$B$4:$B$23,1),MATCH(D607,[3]Sheet1!$C$3:$Q$3,1))))</f>
        <v>0</v>
      </c>
      <c r="M607" cm="1">
        <f t="array" ref="M607" xml:space="preserve"> IF(E607*J607=0,0,(INDEX([2]Sheet1!$C$4:$Q$23,MATCH(K607,[2]Sheet1!$B$4:$B$23,1),MATCH(D607,[2]Sheet1!$C$3:$Q$3,1))
+ (K607 - INDEX([2]Sheet1!$B$4:$B$23,MATCH(K607,[2]Sheet1!$B$4:$B$23,1),1))/(INDEX([2]Sheet1!$B$4:$B$23,MATCH(K607,[2]Sheet1!$B$4:$B$23,1)+1,1) - INDEX([2]Sheet1!$B$4:$B$23,MATCH(K607,[2]Sheet1!$B$4:$B$23,1),1))*(INDEX([2]Sheet1!$C$4:$Q$23,MATCH(K607,[2]Sheet1!$B$4:$B$23,1)+1,MATCH(D607,[2]Sheet1!$C$3:$Q$3,1)) - INDEX([2]Sheet1!$C$4:$Q$23,MATCH(K607,[2]Sheet1!$B$4:$B$23,1),MATCH(D607,[2]Sheet1!$C$3:$Q$3,1)))
+ (D607 - INDEX([2]Sheet1!$C$3:$Q$3,1,MATCH(D607,[2]Sheet1!$C$3:$Q$3)))/(INDEX([2]Sheet1!$C$3:$Q$3,1,MATCH(D607,[2]Sheet1!$C$3:$Q$3)+1) - INDEX([2]Sheet1!$C$3:$Q$3,1,MATCH(D607,[2]Sheet1!$C$3:$Q$3)))*(
INDEX([2]Sheet1!$C$4:$Q$23,MATCH(K607,[2]Sheet1!$B$4:$B$23,1),MATCH(D607,[2]Sheet1!$C$3:$Q$3,1)+1) - INDEX([2]Sheet1!$C$4:$Q$23,MATCH(K607,[2]Sheet1!$B$4:$B$23,1),MATCH(D607,[2]Sheet1!$C$3:$Q$3,1)))))</f>
        <v>0</v>
      </c>
      <c r="N607">
        <f t="shared" si="170"/>
        <v>12</v>
      </c>
      <c r="O607">
        <v>8.4415426532452348E-2</v>
      </c>
      <c r="P607" t="e">
        <f t="shared" si="171"/>
        <v>#DIV/0!</v>
      </c>
      <c r="Q607">
        <f t="shared" si="158"/>
        <v>0</v>
      </c>
      <c r="R607">
        <f t="shared" si="172"/>
        <v>741.9099431943954</v>
      </c>
      <c r="T607" t="e">
        <f t="shared" si="161"/>
        <v>#DIV/0!</v>
      </c>
      <c r="U607" t="e">
        <f t="shared" si="162"/>
        <v>#DIV/0!</v>
      </c>
      <c r="V607">
        <f t="shared" si="163"/>
        <v>0</v>
      </c>
      <c r="W607" t="e">
        <f t="shared" si="159"/>
        <v>#DIV/0!</v>
      </c>
    </row>
    <row r="608" spans="1:23" x14ac:dyDescent="0.55000000000000004">
      <c r="A608">
        <f t="shared" si="160"/>
        <v>57.400000000000546</v>
      </c>
      <c r="B608">
        <f t="shared" si="164"/>
        <v>0.316</v>
      </c>
      <c r="C608">
        <f t="shared" si="165"/>
        <v>-32.434782608696011</v>
      </c>
      <c r="D608">
        <v>2.4229264165803803</v>
      </c>
      <c r="E608">
        <f t="shared" si="155"/>
        <v>0</v>
      </c>
      <c r="F608">
        <f t="shared" si="166"/>
        <v>4.8605058816845369E-2</v>
      </c>
      <c r="G608">
        <f t="shared" si="167"/>
        <v>39.513748498891111</v>
      </c>
      <c r="H608">
        <f t="shared" si="168"/>
        <v>0</v>
      </c>
      <c r="I608" s="1">
        <f t="shared" si="156"/>
        <v>0</v>
      </c>
      <c r="J608">
        <f t="shared" si="169"/>
        <v>0</v>
      </c>
      <c r="K608">
        <f t="shared" si="157"/>
        <v>0</v>
      </c>
      <c r="L608" cm="1">
        <f t="array" ref="L608">IF(E608*J608=0,0,$C$21*INDEX([3]Sheet1!$C$4:$Q$23,MATCH(K608,[3]Sheet1!$B$4:$B$23,1),MATCH(D608,[3]Sheet1!$C$3:$Q$3,1))
+(K608-INDEX([3]Sheet1!$B$4:$B$23,MATCH(K608,[3]Sheet1!$B$4:$B$23,1),1))/(INDEX([3]Sheet1!$B$4:$B$23,MATCH(K608,[3]Sheet1!$B$4:$B$23,1)+1,1)-INDEX([3]Sheet1!$B$4:$B$23,
MATCH(K608,[3]Sheet1!$B$4:$B$23,1),1))*(INDEX([3]Sheet1!$C$4:$Q$23,MATCH(K608,[3]Sheet1!$B$4:$B$23,1)+1,MATCH(D608,[3]Sheet1!$C$3:$Q$3,1))-INDEX([3]Sheet1!$C$4:$Q$23,
MATCH(K608,[3]Sheet1!$B$4:$B$23,1),MATCH(D608,[3]Sheet1!$C$3:$Q$3,1)))
+(D608-INDEX([3]Sheet1!$C$3:$Q$3,1,MATCH(D608,[3]Sheet1!$C$3:$Q$3)))/(INDEX([3]Sheet1!$C$3:$Q$3,1,MATCH(D608,[3]Sheet1!$C$3:$Q$3)+1)-INDEX([3]Sheet1!$C$3:$Q$3,1,MATCH(
D608,[3]Sheet1!$C$3:$Q$3)))*(INDEX([3]Sheet1!$C$4:$Q$23,MATCH(K608,[3]Sheet1!$B$4:$B$23,1),MATCH(D608,[3]Sheet1!$C$3:$Q$3,1)+1)-INDEX([3]Sheet1!$C$4:$Q$23,MATCH(K608,[3]Sheet1!$B$4:$B$23,1),MATCH(D608,[3]Sheet1!$C$3:$Q$3,1))))</f>
        <v>0</v>
      </c>
      <c r="M608" cm="1">
        <f t="array" ref="M608" xml:space="preserve"> IF(E608*J608=0,0,(INDEX([2]Sheet1!$C$4:$Q$23,MATCH(K608,[2]Sheet1!$B$4:$B$23,1),MATCH(D608,[2]Sheet1!$C$3:$Q$3,1))
+ (K608 - INDEX([2]Sheet1!$B$4:$B$23,MATCH(K608,[2]Sheet1!$B$4:$B$23,1),1))/(INDEX([2]Sheet1!$B$4:$B$23,MATCH(K608,[2]Sheet1!$B$4:$B$23,1)+1,1) - INDEX([2]Sheet1!$B$4:$B$23,MATCH(K608,[2]Sheet1!$B$4:$B$23,1),1))*(INDEX([2]Sheet1!$C$4:$Q$23,MATCH(K608,[2]Sheet1!$B$4:$B$23,1)+1,MATCH(D608,[2]Sheet1!$C$3:$Q$3,1)) - INDEX([2]Sheet1!$C$4:$Q$23,MATCH(K608,[2]Sheet1!$B$4:$B$23,1),MATCH(D608,[2]Sheet1!$C$3:$Q$3,1)))
+ (D608 - INDEX([2]Sheet1!$C$3:$Q$3,1,MATCH(D608,[2]Sheet1!$C$3:$Q$3)))/(INDEX([2]Sheet1!$C$3:$Q$3,1,MATCH(D608,[2]Sheet1!$C$3:$Q$3)+1) - INDEX([2]Sheet1!$C$3:$Q$3,1,MATCH(D608,[2]Sheet1!$C$3:$Q$3)))*(
INDEX([2]Sheet1!$C$4:$Q$23,MATCH(K608,[2]Sheet1!$B$4:$B$23,1),MATCH(D608,[2]Sheet1!$C$3:$Q$3,1)+1) - INDEX([2]Sheet1!$C$4:$Q$23,MATCH(K608,[2]Sheet1!$B$4:$B$23,1),MATCH(D608,[2]Sheet1!$C$3:$Q$3,1)))))</f>
        <v>0</v>
      </c>
      <c r="N608">
        <f t="shared" si="170"/>
        <v>12</v>
      </c>
      <c r="O608">
        <v>8.4402547143380316E-2</v>
      </c>
      <c r="P608" t="e">
        <f t="shared" si="171"/>
        <v>#DIV/0!</v>
      </c>
      <c r="Q608">
        <f t="shared" si="158"/>
        <v>0</v>
      </c>
      <c r="R608">
        <f t="shared" si="172"/>
        <v>741.9099431943954</v>
      </c>
      <c r="T608" t="e">
        <f t="shared" si="161"/>
        <v>#DIV/0!</v>
      </c>
      <c r="U608" t="e">
        <f t="shared" si="162"/>
        <v>#DIV/0!</v>
      </c>
      <c r="V608">
        <f t="shared" si="163"/>
        <v>0</v>
      </c>
      <c r="W608" t="e">
        <f t="shared" si="159"/>
        <v>#DIV/0!</v>
      </c>
    </row>
    <row r="609" spans="1:23" x14ac:dyDescent="0.55000000000000004">
      <c r="A609">
        <f t="shared" si="160"/>
        <v>57.500000000000547</v>
      </c>
      <c r="B609">
        <f t="shared" si="164"/>
        <v>0.316</v>
      </c>
      <c r="C609">
        <f t="shared" si="165"/>
        <v>-32.500000000000362</v>
      </c>
      <c r="D609">
        <v>2.4228613316282646</v>
      </c>
      <c r="E609">
        <f t="shared" si="155"/>
        <v>0</v>
      </c>
      <c r="F609">
        <f t="shared" si="166"/>
        <v>4.8605058816845369E-2</v>
      </c>
      <c r="G609">
        <f t="shared" si="167"/>
        <v>39.513748498891111</v>
      </c>
      <c r="H609">
        <f t="shared" si="168"/>
        <v>0</v>
      </c>
      <c r="I609" s="1">
        <f t="shared" si="156"/>
        <v>0</v>
      </c>
      <c r="J609">
        <f t="shared" si="169"/>
        <v>0</v>
      </c>
      <c r="K609">
        <f t="shared" si="157"/>
        <v>0</v>
      </c>
      <c r="L609" cm="1">
        <f t="array" ref="L609">IF(E609*J609=0,0,$C$21*INDEX([3]Sheet1!$C$4:$Q$23,MATCH(K609,[3]Sheet1!$B$4:$B$23,1),MATCH(D609,[3]Sheet1!$C$3:$Q$3,1))
+(K609-INDEX([3]Sheet1!$B$4:$B$23,MATCH(K609,[3]Sheet1!$B$4:$B$23,1),1))/(INDEX([3]Sheet1!$B$4:$B$23,MATCH(K609,[3]Sheet1!$B$4:$B$23,1)+1,1)-INDEX([3]Sheet1!$B$4:$B$23,
MATCH(K609,[3]Sheet1!$B$4:$B$23,1),1))*(INDEX([3]Sheet1!$C$4:$Q$23,MATCH(K609,[3]Sheet1!$B$4:$B$23,1)+1,MATCH(D609,[3]Sheet1!$C$3:$Q$3,1))-INDEX([3]Sheet1!$C$4:$Q$23,
MATCH(K609,[3]Sheet1!$B$4:$B$23,1),MATCH(D609,[3]Sheet1!$C$3:$Q$3,1)))
+(D609-INDEX([3]Sheet1!$C$3:$Q$3,1,MATCH(D609,[3]Sheet1!$C$3:$Q$3)))/(INDEX([3]Sheet1!$C$3:$Q$3,1,MATCH(D609,[3]Sheet1!$C$3:$Q$3)+1)-INDEX([3]Sheet1!$C$3:$Q$3,1,MATCH(
D609,[3]Sheet1!$C$3:$Q$3)))*(INDEX([3]Sheet1!$C$4:$Q$23,MATCH(K609,[3]Sheet1!$B$4:$B$23,1),MATCH(D609,[3]Sheet1!$C$3:$Q$3,1)+1)-INDEX([3]Sheet1!$C$4:$Q$23,MATCH(K609,[3]Sheet1!$B$4:$B$23,1),MATCH(D609,[3]Sheet1!$C$3:$Q$3,1))))</f>
        <v>0</v>
      </c>
      <c r="M609" cm="1">
        <f t="array" ref="M609" xml:space="preserve"> IF(E609*J609=0,0,(INDEX([2]Sheet1!$C$4:$Q$23,MATCH(K609,[2]Sheet1!$B$4:$B$23,1),MATCH(D609,[2]Sheet1!$C$3:$Q$3,1))
+ (K609 - INDEX([2]Sheet1!$B$4:$B$23,MATCH(K609,[2]Sheet1!$B$4:$B$23,1),1))/(INDEX([2]Sheet1!$B$4:$B$23,MATCH(K609,[2]Sheet1!$B$4:$B$23,1)+1,1) - INDEX([2]Sheet1!$B$4:$B$23,MATCH(K609,[2]Sheet1!$B$4:$B$23,1),1))*(INDEX([2]Sheet1!$C$4:$Q$23,MATCH(K609,[2]Sheet1!$B$4:$B$23,1)+1,MATCH(D609,[2]Sheet1!$C$3:$Q$3,1)) - INDEX([2]Sheet1!$C$4:$Q$23,MATCH(K609,[2]Sheet1!$B$4:$B$23,1),MATCH(D609,[2]Sheet1!$C$3:$Q$3,1)))
+ (D609 - INDEX([2]Sheet1!$C$3:$Q$3,1,MATCH(D609,[2]Sheet1!$C$3:$Q$3)))/(INDEX([2]Sheet1!$C$3:$Q$3,1,MATCH(D609,[2]Sheet1!$C$3:$Q$3)+1) - INDEX([2]Sheet1!$C$3:$Q$3,1,MATCH(D609,[2]Sheet1!$C$3:$Q$3)))*(
INDEX([2]Sheet1!$C$4:$Q$23,MATCH(K609,[2]Sheet1!$B$4:$B$23,1),MATCH(D609,[2]Sheet1!$C$3:$Q$3,1)+1) - INDEX([2]Sheet1!$C$4:$Q$23,MATCH(K609,[2]Sheet1!$B$4:$B$23,1),MATCH(D609,[2]Sheet1!$C$3:$Q$3,1)))))</f>
        <v>0</v>
      </c>
      <c r="N609">
        <f t="shared" si="170"/>
        <v>12</v>
      </c>
      <c r="O609">
        <v>8.4389685542052645E-2</v>
      </c>
      <c r="P609" t="e">
        <f t="shared" si="171"/>
        <v>#DIV/0!</v>
      </c>
      <c r="Q609">
        <f t="shared" si="158"/>
        <v>0</v>
      </c>
      <c r="R609">
        <f t="shared" si="172"/>
        <v>741.9099431943954</v>
      </c>
      <c r="T609" t="e">
        <f t="shared" si="161"/>
        <v>#DIV/0!</v>
      </c>
      <c r="U609" t="e">
        <f t="shared" si="162"/>
        <v>#DIV/0!</v>
      </c>
      <c r="V609">
        <f t="shared" si="163"/>
        <v>0</v>
      </c>
      <c r="W609" t="e">
        <f t="shared" si="159"/>
        <v>#DIV/0!</v>
      </c>
    </row>
    <row r="610" spans="1:23" x14ac:dyDescent="0.55000000000000004">
      <c r="A610">
        <f t="shared" si="160"/>
        <v>57.600000000000549</v>
      </c>
      <c r="B610">
        <f t="shared" si="164"/>
        <v>0.316</v>
      </c>
      <c r="C610">
        <f t="shared" si="165"/>
        <v>-32.565217391304714</v>
      </c>
      <c r="D610">
        <v>2.4227963267263992</v>
      </c>
      <c r="E610">
        <f t="shared" si="155"/>
        <v>0</v>
      </c>
      <c r="F610">
        <f t="shared" si="166"/>
        <v>4.8605058816845369E-2</v>
      </c>
      <c r="G610">
        <f t="shared" si="167"/>
        <v>39.513748498891111</v>
      </c>
      <c r="H610">
        <f t="shared" si="168"/>
        <v>0</v>
      </c>
      <c r="I610" s="1">
        <f t="shared" si="156"/>
        <v>0</v>
      </c>
      <c r="J610">
        <f t="shared" si="169"/>
        <v>0</v>
      </c>
      <c r="K610">
        <f t="shared" si="157"/>
        <v>0</v>
      </c>
      <c r="L610" cm="1">
        <f t="array" ref="L610">IF(E610*J610=0,0,$C$21*INDEX([3]Sheet1!$C$4:$Q$23,MATCH(K610,[3]Sheet1!$B$4:$B$23,1),MATCH(D610,[3]Sheet1!$C$3:$Q$3,1))
+(K610-INDEX([3]Sheet1!$B$4:$B$23,MATCH(K610,[3]Sheet1!$B$4:$B$23,1),1))/(INDEX([3]Sheet1!$B$4:$B$23,MATCH(K610,[3]Sheet1!$B$4:$B$23,1)+1,1)-INDEX([3]Sheet1!$B$4:$B$23,
MATCH(K610,[3]Sheet1!$B$4:$B$23,1),1))*(INDEX([3]Sheet1!$C$4:$Q$23,MATCH(K610,[3]Sheet1!$B$4:$B$23,1)+1,MATCH(D610,[3]Sheet1!$C$3:$Q$3,1))-INDEX([3]Sheet1!$C$4:$Q$23,
MATCH(K610,[3]Sheet1!$B$4:$B$23,1),MATCH(D610,[3]Sheet1!$C$3:$Q$3,1)))
+(D610-INDEX([3]Sheet1!$C$3:$Q$3,1,MATCH(D610,[3]Sheet1!$C$3:$Q$3)))/(INDEX([3]Sheet1!$C$3:$Q$3,1,MATCH(D610,[3]Sheet1!$C$3:$Q$3)+1)-INDEX([3]Sheet1!$C$3:$Q$3,1,MATCH(
D610,[3]Sheet1!$C$3:$Q$3)))*(INDEX([3]Sheet1!$C$4:$Q$23,MATCH(K610,[3]Sheet1!$B$4:$B$23,1),MATCH(D610,[3]Sheet1!$C$3:$Q$3,1)+1)-INDEX([3]Sheet1!$C$4:$Q$23,MATCH(K610,[3]Sheet1!$B$4:$B$23,1),MATCH(D610,[3]Sheet1!$C$3:$Q$3,1))))</f>
        <v>0</v>
      </c>
      <c r="M610" cm="1">
        <f t="array" ref="M610" xml:space="preserve"> IF(E610*J610=0,0,(INDEX([2]Sheet1!$C$4:$Q$23,MATCH(K610,[2]Sheet1!$B$4:$B$23,1),MATCH(D610,[2]Sheet1!$C$3:$Q$3,1))
+ (K610 - INDEX([2]Sheet1!$B$4:$B$23,MATCH(K610,[2]Sheet1!$B$4:$B$23,1),1))/(INDEX([2]Sheet1!$B$4:$B$23,MATCH(K610,[2]Sheet1!$B$4:$B$23,1)+1,1) - INDEX([2]Sheet1!$B$4:$B$23,MATCH(K610,[2]Sheet1!$B$4:$B$23,1),1))*(INDEX([2]Sheet1!$C$4:$Q$23,MATCH(K610,[2]Sheet1!$B$4:$B$23,1)+1,MATCH(D610,[2]Sheet1!$C$3:$Q$3,1)) - INDEX([2]Sheet1!$C$4:$Q$23,MATCH(K610,[2]Sheet1!$B$4:$B$23,1),MATCH(D610,[2]Sheet1!$C$3:$Q$3,1)))
+ (D610 - INDEX([2]Sheet1!$C$3:$Q$3,1,MATCH(D610,[2]Sheet1!$C$3:$Q$3)))/(INDEX([2]Sheet1!$C$3:$Q$3,1,MATCH(D610,[2]Sheet1!$C$3:$Q$3)+1) - INDEX([2]Sheet1!$C$3:$Q$3,1,MATCH(D610,[2]Sheet1!$C$3:$Q$3)))*(
INDEX([2]Sheet1!$C$4:$Q$23,MATCH(K610,[2]Sheet1!$B$4:$B$23,1),MATCH(D610,[2]Sheet1!$C$3:$Q$3,1)+1) - INDEX([2]Sheet1!$C$4:$Q$23,MATCH(K610,[2]Sheet1!$B$4:$B$23,1),MATCH(D610,[2]Sheet1!$C$3:$Q$3,1)))))</f>
        <v>0</v>
      </c>
      <c r="N610">
        <f t="shared" si="170"/>
        <v>12</v>
      </c>
      <c r="O610">
        <v>8.4376841680874448E-2</v>
      </c>
      <c r="P610" t="e">
        <f t="shared" si="171"/>
        <v>#DIV/0!</v>
      </c>
      <c r="Q610">
        <f t="shared" si="158"/>
        <v>0</v>
      </c>
      <c r="R610">
        <f t="shared" si="172"/>
        <v>741.9099431943954</v>
      </c>
      <c r="T610" t="e">
        <f t="shared" si="161"/>
        <v>#DIV/0!</v>
      </c>
      <c r="U610" t="e">
        <f t="shared" si="162"/>
        <v>#DIV/0!</v>
      </c>
      <c r="V610">
        <f t="shared" si="163"/>
        <v>0</v>
      </c>
      <c r="W610" t="e">
        <f t="shared" si="159"/>
        <v>#DIV/0!</v>
      </c>
    </row>
    <row r="611" spans="1:23" x14ac:dyDescent="0.55000000000000004">
      <c r="A611">
        <f t="shared" si="160"/>
        <v>57.70000000000055</v>
      </c>
      <c r="B611">
        <f t="shared" si="164"/>
        <v>0.316</v>
      </c>
      <c r="C611">
        <f t="shared" si="165"/>
        <v>-32.630434782609058</v>
      </c>
      <c r="D611">
        <v>2.4227314016712742</v>
      </c>
      <c r="E611">
        <f t="shared" ref="E611:E634" si="173">IF(B611&lt;($C$5*$C$6*10^-6),$C$9*(PI()/4*($C$8*0.001)^2)*SQRT(2*$C$6*IF(C611&gt;D611,(C611-D611),0)*10^6),0)</f>
        <v>0</v>
      </c>
      <c r="F611">
        <f t="shared" si="166"/>
        <v>4.8605058816845369E-2</v>
      </c>
      <c r="G611">
        <f t="shared" si="167"/>
        <v>39.513748498891111</v>
      </c>
      <c r="H611">
        <f t="shared" si="168"/>
        <v>0</v>
      </c>
      <c r="I611" s="1">
        <f t="shared" ref="I611:I674" si="174">IF(G611=$C$14,0,$C$16*(H611)^$C$17)</f>
        <v>0</v>
      </c>
      <c r="J611">
        <f t="shared" si="169"/>
        <v>0</v>
      </c>
      <c r="K611">
        <f t="shared" ref="K611:K634" si="175">IF(E611*J611=0,0,E611/J611)</f>
        <v>0</v>
      </c>
      <c r="L611" cm="1">
        <f t="array" ref="L611">IF(E611*J611=0,0,$C$21*INDEX([3]Sheet1!$C$4:$Q$23,MATCH(K611,[3]Sheet1!$B$4:$B$23,1),MATCH(D611,[3]Sheet1!$C$3:$Q$3,1))
+(K611-INDEX([3]Sheet1!$B$4:$B$23,MATCH(K611,[3]Sheet1!$B$4:$B$23,1),1))/(INDEX([3]Sheet1!$B$4:$B$23,MATCH(K611,[3]Sheet1!$B$4:$B$23,1)+1,1)-INDEX([3]Sheet1!$B$4:$B$23,
MATCH(K611,[3]Sheet1!$B$4:$B$23,1),1))*(INDEX([3]Sheet1!$C$4:$Q$23,MATCH(K611,[3]Sheet1!$B$4:$B$23,1)+1,MATCH(D611,[3]Sheet1!$C$3:$Q$3,1))-INDEX([3]Sheet1!$C$4:$Q$23,
MATCH(K611,[3]Sheet1!$B$4:$B$23,1),MATCH(D611,[3]Sheet1!$C$3:$Q$3,1)))
+(D611-INDEX([3]Sheet1!$C$3:$Q$3,1,MATCH(D611,[3]Sheet1!$C$3:$Q$3)))/(INDEX([3]Sheet1!$C$3:$Q$3,1,MATCH(D611,[3]Sheet1!$C$3:$Q$3)+1)-INDEX([3]Sheet1!$C$3:$Q$3,1,MATCH(
D611,[3]Sheet1!$C$3:$Q$3)))*(INDEX([3]Sheet1!$C$4:$Q$23,MATCH(K611,[3]Sheet1!$B$4:$B$23,1),MATCH(D611,[3]Sheet1!$C$3:$Q$3,1)+1)-INDEX([3]Sheet1!$C$4:$Q$23,MATCH(K611,[3]Sheet1!$B$4:$B$23,1),MATCH(D611,[3]Sheet1!$C$3:$Q$3,1))))</f>
        <v>0</v>
      </c>
      <c r="M611" cm="1">
        <f t="array" ref="M611" xml:space="preserve"> IF(E611*J611=0,0,(INDEX([2]Sheet1!$C$4:$Q$23,MATCH(K611,[2]Sheet1!$B$4:$B$23,1),MATCH(D611,[2]Sheet1!$C$3:$Q$3,1))
+ (K611 - INDEX([2]Sheet1!$B$4:$B$23,MATCH(K611,[2]Sheet1!$B$4:$B$23,1),1))/(INDEX([2]Sheet1!$B$4:$B$23,MATCH(K611,[2]Sheet1!$B$4:$B$23,1)+1,1) - INDEX([2]Sheet1!$B$4:$B$23,MATCH(K611,[2]Sheet1!$B$4:$B$23,1),1))*(INDEX([2]Sheet1!$C$4:$Q$23,MATCH(K611,[2]Sheet1!$B$4:$B$23,1)+1,MATCH(D611,[2]Sheet1!$C$3:$Q$3,1)) - INDEX([2]Sheet1!$C$4:$Q$23,MATCH(K611,[2]Sheet1!$B$4:$B$23,1),MATCH(D611,[2]Sheet1!$C$3:$Q$3,1)))
+ (D611 - INDEX([2]Sheet1!$C$3:$Q$3,1,MATCH(D611,[2]Sheet1!$C$3:$Q$3)))/(INDEX([2]Sheet1!$C$3:$Q$3,1,MATCH(D611,[2]Sheet1!$C$3:$Q$3)+1) - INDEX([2]Sheet1!$C$3:$Q$3,1,MATCH(D611,[2]Sheet1!$C$3:$Q$3)))*(
INDEX([2]Sheet1!$C$4:$Q$23,MATCH(K611,[2]Sheet1!$B$4:$B$23,1),MATCH(D611,[2]Sheet1!$C$3:$Q$3,1)+1) - INDEX([2]Sheet1!$C$4:$Q$23,MATCH(K611,[2]Sheet1!$B$4:$B$23,1),MATCH(D611,[2]Sheet1!$C$3:$Q$3,1)))))</f>
        <v>0</v>
      </c>
      <c r="N611">
        <f t="shared" si="170"/>
        <v>12</v>
      </c>
      <c r="O611">
        <v>8.4364015512440382E-2</v>
      </c>
      <c r="P611" t="e">
        <f t="shared" si="171"/>
        <v>#DIV/0!</v>
      </c>
      <c r="Q611">
        <f t="shared" ref="Q611:Q634" si="176">IF(E611*J611=0,0,((1+COS(RADIANS($C$25)))/2)*P611*D611*(PI()*($C$23^2)/4))</f>
        <v>0</v>
      </c>
      <c r="R611">
        <f t="shared" si="172"/>
        <v>741.9099431943954</v>
      </c>
      <c r="T611" t="e">
        <f t="shared" si="161"/>
        <v>#DIV/0!</v>
      </c>
      <c r="U611" t="e">
        <f t="shared" si="162"/>
        <v>#DIV/0!</v>
      </c>
      <c r="V611">
        <f t="shared" si="163"/>
        <v>0</v>
      </c>
      <c r="W611" t="e">
        <f t="shared" ref="W611:W634" si="177">(D611-V611)/V611*100</f>
        <v>#DIV/0!</v>
      </c>
    </row>
    <row r="612" spans="1:23" x14ac:dyDescent="0.55000000000000004">
      <c r="A612">
        <f t="shared" ref="A612:A675" si="178">A611+$C$29</f>
        <v>57.800000000000551</v>
      </c>
      <c r="B612">
        <f t="shared" si="164"/>
        <v>0.316</v>
      </c>
      <c r="C612">
        <f t="shared" si="165"/>
        <v>-32.695652173913409</v>
      </c>
      <c r="D612">
        <v>2.4226665562601584</v>
      </c>
      <c r="E612">
        <f t="shared" si="173"/>
        <v>0</v>
      </c>
      <c r="F612">
        <f t="shared" si="166"/>
        <v>4.8605058816845369E-2</v>
      </c>
      <c r="G612">
        <f t="shared" si="167"/>
        <v>39.513748498891111</v>
      </c>
      <c r="H612">
        <f t="shared" si="168"/>
        <v>0</v>
      </c>
      <c r="I612" s="1">
        <f t="shared" si="174"/>
        <v>0</v>
      </c>
      <c r="J612">
        <f t="shared" si="169"/>
        <v>0</v>
      </c>
      <c r="K612">
        <f t="shared" si="175"/>
        <v>0</v>
      </c>
      <c r="L612" cm="1">
        <f t="array" ref="L612">IF(E612*J612=0,0,$C$21*INDEX([3]Sheet1!$C$4:$Q$23,MATCH(K612,[3]Sheet1!$B$4:$B$23,1),MATCH(D612,[3]Sheet1!$C$3:$Q$3,1))
+(K612-INDEX([3]Sheet1!$B$4:$B$23,MATCH(K612,[3]Sheet1!$B$4:$B$23,1),1))/(INDEX([3]Sheet1!$B$4:$B$23,MATCH(K612,[3]Sheet1!$B$4:$B$23,1)+1,1)-INDEX([3]Sheet1!$B$4:$B$23,
MATCH(K612,[3]Sheet1!$B$4:$B$23,1),1))*(INDEX([3]Sheet1!$C$4:$Q$23,MATCH(K612,[3]Sheet1!$B$4:$B$23,1)+1,MATCH(D612,[3]Sheet1!$C$3:$Q$3,1))-INDEX([3]Sheet1!$C$4:$Q$23,
MATCH(K612,[3]Sheet1!$B$4:$B$23,1),MATCH(D612,[3]Sheet1!$C$3:$Q$3,1)))
+(D612-INDEX([3]Sheet1!$C$3:$Q$3,1,MATCH(D612,[3]Sheet1!$C$3:$Q$3)))/(INDEX([3]Sheet1!$C$3:$Q$3,1,MATCH(D612,[3]Sheet1!$C$3:$Q$3)+1)-INDEX([3]Sheet1!$C$3:$Q$3,1,MATCH(
D612,[3]Sheet1!$C$3:$Q$3)))*(INDEX([3]Sheet1!$C$4:$Q$23,MATCH(K612,[3]Sheet1!$B$4:$B$23,1),MATCH(D612,[3]Sheet1!$C$3:$Q$3,1)+1)-INDEX([3]Sheet1!$C$4:$Q$23,MATCH(K612,[3]Sheet1!$B$4:$B$23,1),MATCH(D612,[3]Sheet1!$C$3:$Q$3,1))))</f>
        <v>0</v>
      </c>
      <c r="M612" cm="1">
        <f t="array" ref="M612" xml:space="preserve"> IF(E612*J612=0,0,(INDEX([2]Sheet1!$C$4:$Q$23,MATCH(K612,[2]Sheet1!$B$4:$B$23,1),MATCH(D612,[2]Sheet1!$C$3:$Q$3,1))
+ (K612 - INDEX([2]Sheet1!$B$4:$B$23,MATCH(K612,[2]Sheet1!$B$4:$B$23,1),1))/(INDEX([2]Sheet1!$B$4:$B$23,MATCH(K612,[2]Sheet1!$B$4:$B$23,1)+1,1) - INDEX([2]Sheet1!$B$4:$B$23,MATCH(K612,[2]Sheet1!$B$4:$B$23,1),1))*(INDEX([2]Sheet1!$C$4:$Q$23,MATCH(K612,[2]Sheet1!$B$4:$B$23,1)+1,MATCH(D612,[2]Sheet1!$C$3:$Q$3,1)) - INDEX([2]Sheet1!$C$4:$Q$23,MATCH(K612,[2]Sheet1!$B$4:$B$23,1),MATCH(D612,[2]Sheet1!$C$3:$Q$3,1)))
+ (D612 - INDEX([2]Sheet1!$C$3:$Q$3,1,MATCH(D612,[2]Sheet1!$C$3:$Q$3)))/(INDEX([2]Sheet1!$C$3:$Q$3,1,MATCH(D612,[2]Sheet1!$C$3:$Q$3)+1) - INDEX([2]Sheet1!$C$3:$Q$3,1,MATCH(D612,[2]Sheet1!$C$3:$Q$3)))*(
INDEX([2]Sheet1!$C$4:$Q$23,MATCH(K612,[2]Sheet1!$B$4:$B$23,1),MATCH(D612,[2]Sheet1!$C$3:$Q$3,1)+1) - INDEX([2]Sheet1!$C$4:$Q$23,MATCH(K612,[2]Sheet1!$B$4:$B$23,1),MATCH(D612,[2]Sheet1!$C$3:$Q$3,1)))))</f>
        <v>0</v>
      </c>
      <c r="N612">
        <f t="shared" si="170"/>
        <v>12</v>
      </c>
      <c r="O612">
        <v>8.4351206989532648E-2</v>
      </c>
      <c r="P612" t="e">
        <f t="shared" si="171"/>
        <v>#DIV/0!</v>
      </c>
      <c r="Q612">
        <f t="shared" si="176"/>
        <v>0</v>
      </c>
      <c r="R612">
        <f t="shared" si="172"/>
        <v>741.9099431943954</v>
      </c>
      <c r="T612" t="e">
        <f t="shared" si="161"/>
        <v>#DIV/0!</v>
      </c>
      <c r="U612" t="e">
        <f t="shared" si="162"/>
        <v>#DIV/0!</v>
      </c>
      <c r="V612">
        <f t="shared" si="163"/>
        <v>0</v>
      </c>
      <c r="W612" t="e">
        <f t="shared" si="177"/>
        <v>#DIV/0!</v>
      </c>
    </row>
    <row r="613" spans="1:23" x14ac:dyDescent="0.55000000000000004">
      <c r="A613">
        <f t="shared" si="178"/>
        <v>57.900000000000553</v>
      </c>
      <c r="B613">
        <f t="shared" si="164"/>
        <v>0.316</v>
      </c>
      <c r="C613">
        <f t="shared" si="165"/>
        <v>-32.760869565217753</v>
      </c>
      <c r="D613">
        <v>2.4226017902910972</v>
      </c>
      <c r="E613">
        <f t="shared" si="173"/>
        <v>0</v>
      </c>
      <c r="F613">
        <f t="shared" si="166"/>
        <v>4.8605058816845369E-2</v>
      </c>
      <c r="G613">
        <f t="shared" si="167"/>
        <v>39.513748498891111</v>
      </c>
      <c r="H613">
        <f t="shared" si="168"/>
        <v>0</v>
      </c>
      <c r="I613" s="1">
        <f t="shared" si="174"/>
        <v>0</v>
      </c>
      <c r="J613">
        <f t="shared" si="169"/>
        <v>0</v>
      </c>
      <c r="K613">
        <f t="shared" si="175"/>
        <v>0</v>
      </c>
      <c r="L613" cm="1">
        <f t="array" ref="L613">IF(E613*J613=0,0,$C$21*INDEX([3]Sheet1!$C$4:$Q$23,MATCH(K613,[3]Sheet1!$B$4:$B$23,1),MATCH(D613,[3]Sheet1!$C$3:$Q$3,1))
+(K613-INDEX([3]Sheet1!$B$4:$B$23,MATCH(K613,[3]Sheet1!$B$4:$B$23,1),1))/(INDEX([3]Sheet1!$B$4:$B$23,MATCH(K613,[3]Sheet1!$B$4:$B$23,1)+1,1)-INDEX([3]Sheet1!$B$4:$B$23,
MATCH(K613,[3]Sheet1!$B$4:$B$23,1),1))*(INDEX([3]Sheet1!$C$4:$Q$23,MATCH(K613,[3]Sheet1!$B$4:$B$23,1)+1,MATCH(D613,[3]Sheet1!$C$3:$Q$3,1))-INDEX([3]Sheet1!$C$4:$Q$23,
MATCH(K613,[3]Sheet1!$B$4:$B$23,1),MATCH(D613,[3]Sheet1!$C$3:$Q$3,1)))
+(D613-INDEX([3]Sheet1!$C$3:$Q$3,1,MATCH(D613,[3]Sheet1!$C$3:$Q$3)))/(INDEX([3]Sheet1!$C$3:$Q$3,1,MATCH(D613,[3]Sheet1!$C$3:$Q$3)+1)-INDEX([3]Sheet1!$C$3:$Q$3,1,MATCH(
D613,[3]Sheet1!$C$3:$Q$3)))*(INDEX([3]Sheet1!$C$4:$Q$23,MATCH(K613,[3]Sheet1!$B$4:$B$23,1),MATCH(D613,[3]Sheet1!$C$3:$Q$3,1)+1)-INDEX([3]Sheet1!$C$4:$Q$23,MATCH(K613,[3]Sheet1!$B$4:$B$23,1),MATCH(D613,[3]Sheet1!$C$3:$Q$3,1))))</f>
        <v>0</v>
      </c>
      <c r="M613" cm="1">
        <f t="array" ref="M613" xml:space="preserve"> IF(E613*J613=0,0,(INDEX([2]Sheet1!$C$4:$Q$23,MATCH(K613,[2]Sheet1!$B$4:$B$23,1),MATCH(D613,[2]Sheet1!$C$3:$Q$3,1))
+ (K613 - INDEX([2]Sheet1!$B$4:$B$23,MATCH(K613,[2]Sheet1!$B$4:$B$23,1),1))/(INDEX([2]Sheet1!$B$4:$B$23,MATCH(K613,[2]Sheet1!$B$4:$B$23,1)+1,1) - INDEX([2]Sheet1!$B$4:$B$23,MATCH(K613,[2]Sheet1!$B$4:$B$23,1),1))*(INDEX([2]Sheet1!$C$4:$Q$23,MATCH(K613,[2]Sheet1!$B$4:$B$23,1)+1,MATCH(D613,[2]Sheet1!$C$3:$Q$3,1)) - INDEX([2]Sheet1!$C$4:$Q$23,MATCH(K613,[2]Sheet1!$B$4:$B$23,1),MATCH(D613,[2]Sheet1!$C$3:$Q$3,1)))
+ (D613 - INDEX([2]Sheet1!$C$3:$Q$3,1,MATCH(D613,[2]Sheet1!$C$3:$Q$3)))/(INDEX([2]Sheet1!$C$3:$Q$3,1,MATCH(D613,[2]Sheet1!$C$3:$Q$3)+1) - INDEX([2]Sheet1!$C$3:$Q$3,1,MATCH(D613,[2]Sheet1!$C$3:$Q$3)))*(
INDEX([2]Sheet1!$C$4:$Q$23,MATCH(K613,[2]Sheet1!$B$4:$B$23,1),MATCH(D613,[2]Sheet1!$C$3:$Q$3,1)+1) - INDEX([2]Sheet1!$C$4:$Q$23,MATCH(K613,[2]Sheet1!$B$4:$B$23,1),MATCH(D613,[2]Sheet1!$C$3:$Q$3,1)))))</f>
        <v>0</v>
      </c>
      <c r="N613">
        <f t="shared" si="170"/>
        <v>12</v>
      </c>
      <c r="O613">
        <v>8.4338416065120964E-2</v>
      </c>
      <c r="P613" t="e">
        <f t="shared" si="171"/>
        <v>#DIV/0!</v>
      </c>
      <c r="Q613">
        <f t="shared" si="176"/>
        <v>0</v>
      </c>
      <c r="R613">
        <f t="shared" si="172"/>
        <v>741.9099431943954</v>
      </c>
      <c r="T613" t="e">
        <f t="shared" ref="T613:T634" si="179">((2/(M613+1))^(1/(M613-1)))*((D613/O613)^(1/M613))/SQRT(((M613+1)/(M613-1))*(1-(O613/D613)^((M613-1)/M613)))</f>
        <v>#DIV/0!</v>
      </c>
      <c r="U613" t="e">
        <f t="shared" ref="U613:U633" si="180">(T613-(($C$24^2)/(N613^2)))/(($C$24^2)/(N613^2))*100</f>
        <v>#DIV/0!</v>
      </c>
      <c r="V613">
        <f t="shared" ref="V613:V634" si="181">4*L613*(E613+J613)/(PI()*N613^2)</f>
        <v>0</v>
      </c>
      <c r="W613" t="e">
        <f t="shared" si="177"/>
        <v>#DIV/0!</v>
      </c>
    </row>
    <row r="614" spans="1:23" x14ac:dyDescent="0.55000000000000004">
      <c r="A614">
        <f t="shared" si="178"/>
        <v>58.000000000000554</v>
      </c>
      <c r="B614">
        <f t="shared" ref="B614:B677" si="182">IF(B613+(E613+E612)*(A613-A612)/2&lt;$C$5*$C$6*10^-6,B613+(E613+E612)*(A613-A612)/2,$C$5*$C$6*10^-6)</f>
        <v>0.316</v>
      </c>
      <c r="C614">
        <f t="shared" ref="C614:C634" si="183">($C$3-$C$2)*A614/$C$4+$C$2</f>
        <v>-32.826086956522097</v>
      </c>
      <c r="D614">
        <v>2.4225371035629095</v>
      </c>
      <c r="E614">
        <f t="shared" si="173"/>
        <v>0</v>
      </c>
      <c r="F614">
        <f t="shared" ref="F614:F634" si="184">F613+(J613+J612)*(A614-A613)/2</f>
        <v>4.8605058816845369E-2</v>
      </c>
      <c r="G614">
        <f t="shared" ref="G614:G634" si="185">IF(SQRT(4*F614/($C$15*PI()*$C$11*$C$12*0.001)+($C$13*0.001)^2)*1000&lt;$C$14,SQRT(4*F614/($C$15*PI()*$C$11*$C$12*0.001)+($C$13*0.001)^2)*1000,$C$14)</f>
        <v>39.513748498891111</v>
      </c>
      <c r="H614">
        <f t="shared" ref="H614:H634" si="186">4*E614/($C$15*PI()*(G614*0.001)^2)</f>
        <v>0</v>
      </c>
      <c r="I614" s="1">
        <f t="shared" si="174"/>
        <v>0</v>
      </c>
      <c r="J614">
        <f t="shared" ref="J614:J634" si="187">($C$12*10^-3)*PI()*(G614*10^-3)*$C$11*(I614*10^-3)*$C$15</f>
        <v>0</v>
      </c>
      <c r="K614">
        <f t="shared" si="175"/>
        <v>0</v>
      </c>
      <c r="L614" cm="1">
        <f t="array" ref="L614">IF(E614*J614=0,0,$C$21*INDEX([3]Sheet1!$C$4:$Q$23,MATCH(K614,[3]Sheet1!$B$4:$B$23,1),MATCH(D614,[3]Sheet1!$C$3:$Q$3,1))
+(K614-INDEX([3]Sheet1!$B$4:$B$23,MATCH(K614,[3]Sheet1!$B$4:$B$23,1),1))/(INDEX([3]Sheet1!$B$4:$B$23,MATCH(K614,[3]Sheet1!$B$4:$B$23,1)+1,1)-INDEX([3]Sheet1!$B$4:$B$23,
MATCH(K614,[3]Sheet1!$B$4:$B$23,1),1))*(INDEX([3]Sheet1!$C$4:$Q$23,MATCH(K614,[3]Sheet1!$B$4:$B$23,1)+1,MATCH(D614,[3]Sheet1!$C$3:$Q$3,1))-INDEX([3]Sheet1!$C$4:$Q$23,
MATCH(K614,[3]Sheet1!$B$4:$B$23,1),MATCH(D614,[3]Sheet1!$C$3:$Q$3,1)))
+(D614-INDEX([3]Sheet1!$C$3:$Q$3,1,MATCH(D614,[3]Sheet1!$C$3:$Q$3)))/(INDEX([3]Sheet1!$C$3:$Q$3,1,MATCH(D614,[3]Sheet1!$C$3:$Q$3)+1)-INDEX([3]Sheet1!$C$3:$Q$3,1,MATCH(
D614,[3]Sheet1!$C$3:$Q$3)))*(INDEX([3]Sheet1!$C$4:$Q$23,MATCH(K614,[3]Sheet1!$B$4:$B$23,1),MATCH(D614,[3]Sheet1!$C$3:$Q$3,1)+1)-INDEX([3]Sheet1!$C$4:$Q$23,MATCH(K614,[3]Sheet1!$B$4:$B$23,1),MATCH(D614,[3]Sheet1!$C$3:$Q$3,1))))</f>
        <v>0</v>
      </c>
      <c r="M614" cm="1">
        <f t="array" ref="M614" xml:space="preserve"> IF(E614*J614=0,0,(INDEX([2]Sheet1!$C$4:$Q$23,MATCH(K614,[2]Sheet1!$B$4:$B$23,1),MATCH(D614,[2]Sheet1!$C$3:$Q$3,1))
+ (K614 - INDEX([2]Sheet1!$B$4:$B$23,MATCH(K614,[2]Sheet1!$B$4:$B$23,1),1))/(INDEX([2]Sheet1!$B$4:$B$23,MATCH(K614,[2]Sheet1!$B$4:$B$23,1)+1,1) - INDEX([2]Sheet1!$B$4:$B$23,MATCH(K614,[2]Sheet1!$B$4:$B$23,1),1))*(INDEX([2]Sheet1!$C$4:$Q$23,MATCH(K614,[2]Sheet1!$B$4:$B$23,1)+1,MATCH(D614,[2]Sheet1!$C$3:$Q$3,1)) - INDEX([2]Sheet1!$C$4:$Q$23,MATCH(K614,[2]Sheet1!$B$4:$B$23,1),MATCH(D614,[2]Sheet1!$C$3:$Q$3,1)))
+ (D614 - INDEX([2]Sheet1!$C$3:$Q$3,1,MATCH(D614,[2]Sheet1!$C$3:$Q$3)))/(INDEX([2]Sheet1!$C$3:$Q$3,1,MATCH(D614,[2]Sheet1!$C$3:$Q$3)+1) - INDEX([2]Sheet1!$C$3:$Q$3,1,MATCH(D614,[2]Sheet1!$C$3:$Q$3)))*(
INDEX([2]Sheet1!$C$4:$Q$23,MATCH(K614,[2]Sheet1!$B$4:$B$23,1),MATCH(D614,[2]Sheet1!$C$3:$Q$3,1)+1) - INDEX([2]Sheet1!$C$4:$Q$23,MATCH(K614,[2]Sheet1!$B$4:$B$23,1),MATCH(D614,[2]Sheet1!$C$3:$Q$3,1)))))</f>
        <v>0</v>
      </c>
      <c r="N614">
        <f t="shared" ref="N614:N634" si="188">C$23+$C$26*(A615-A614)</f>
        <v>12</v>
      </c>
      <c r="O614">
        <v>8.4325642692362118E-2</v>
      </c>
      <c r="P614" t="e">
        <f t="shared" ref="P614:P634" si="189">SQRT(2*(M614^2)/(M614-1)*((2/(M614+1))^((M614+1)/(M614-1)))*(1-(O614/D614)^((M614-1)/M614)))+((O614-$C$22)/D614)*(($C$24^2)/($C$23^2))</f>
        <v>#DIV/0!</v>
      </c>
      <c r="Q614">
        <f t="shared" si="176"/>
        <v>0</v>
      </c>
      <c r="R614">
        <f t="shared" ref="R614:R634" si="190">R613+(Q614+Q613)*(A614-A613)/2</f>
        <v>741.9099431943954</v>
      </c>
      <c r="T614" t="e">
        <f t="shared" si="179"/>
        <v>#DIV/0!</v>
      </c>
      <c r="U614" t="e">
        <f t="shared" si="180"/>
        <v>#DIV/0!</v>
      </c>
      <c r="V614">
        <f t="shared" si="181"/>
        <v>0</v>
      </c>
      <c r="W614" t="e">
        <f t="shared" si="177"/>
        <v>#DIV/0!</v>
      </c>
    </row>
    <row r="615" spans="1:23" x14ac:dyDescent="0.55000000000000004">
      <c r="A615">
        <f t="shared" si="178"/>
        <v>58.100000000000556</v>
      </c>
      <c r="B615">
        <f t="shared" si="182"/>
        <v>0.316</v>
      </c>
      <c r="C615">
        <f t="shared" si="183"/>
        <v>-32.891304347826448</v>
      </c>
      <c r="D615">
        <v>2.4224724958751835</v>
      </c>
      <c r="E615">
        <f t="shared" si="173"/>
        <v>0</v>
      </c>
      <c r="F615">
        <f t="shared" si="184"/>
        <v>4.8605058816845369E-2</v>
      </c>
      <c r="G615">
        <f t="shared" si="185"/>
        <v>39.513748498891111</v>
      </c>
      <c r="H615">
        <f t="shared" si="186"/>
        <v>0</v>
      </c>
      <c r="I615" s="1">
        <f t="shared" si="174"/>
        <v>0</v>
      </c>
      <c r="J615">
        <f t="shared" si="187"/>
        <v>0</v>
      </c>
      <c r="K615">
        <f t="shared" si="175"/>
        <v>0</v>
      </c>
      <c r="L615" cm="1">
        <f t="array" ref="L615">IF(E615*J615=0,0,$C$21*INDEX([3]Sheet1!$C$4:$Q$23,MATCH(K615,[3]Sheet1!$B$4:$B$23,1),MATCH(D615,[3]Sheet1!$C$3:$Q$3,1))
+(K615-INDEX([3]Sheet1!$B$4:$B$23,MATCH(K615,[3]Sheet1!$B$4:$B$23,1),1))/(INDEX([3]Sheet1!$B$4:$B$23,MATCH(K615,[3]Sheet1!$B$4:$B$23,1)+1,1)-INDEX([3]Sheet1!$B$4:$B$23,
MATCH(K615,[3]Sheet1!$B$4:$B$23,1),1))*(INDEX([3]Sheet1!$C$4:$Q$23,MATCH(K615,[3]Sheet1!$B$4:$B$23,1)+1,MATCH(D615,[3]Sheet1!$C$3:$Q$3,1))-INDEX([3]Sheet1!$C$4:$Q$23,
MATCH(K615,[3]Sheet1!$B$4:$B$23,1),MATCH(D615,[3]Sheet1!$C$3:$Q$3,1)))
+(D615-INDEX([3]Sheet1!$C$3:$Q$3,1,MATCH(D615,[3]Sheet1!$C$3:$Q$3)))/(INDEX([3]Sheet1!$C$3:$Q$3,1,MATCH(D615,[3]Sheet1!$C$3:$Q$3)+1)-INDEX([3]Sheet1!$C$3:$Q$3,1,MATCH(
D615,[3]Sheet1!$C$3:$Q$3)))*(INDEX([3]Sheet1!$C$4:$Q$23,MATCH(K615,[3]Sheet1!$B$4:$B$23,1),MATCH(D615,[3]Sheet1!$C$3:$Q$3,1)+1)-INDEX([3]Sheet1!$C$4:$Q$23,MATCH(K615,[3]Sheet1!$B$4:$B$23,1),MATCH(D615,[3]Sheet1!$C$3:$Q$3,1))))</f>
        <v>0</v>
      </c>
      <c r="M615" cm="1">
        <f t="array" ref="M615" xml:space="preserve"> IF(E615*J615=0,0,(INDEX([2]Sheet1!$C$4:$Q$23,MATCH(K615,[2]Sheet1!$B$4:$B$23,1),MATCH(D615,[2]Sheet1!$C$3:$Q$3,1))
+ (K615 - INDEX([2]Sheet1!$B$4:$B$23,MATCH(K615,[2]Sheet1!$B$4:$B$23,1),1))/(INDEX([2]Sheet1!$B$4:$B$23,MATCH(K615,[2]Sheet1!$B$4:$B$23,1)+1,1) - INDEX([2]Sheet1!$B$4:$B$23,MATCH(K615,[2]Sheet1!$B$4:$B$23,1),1))*(INDEX([2]Sheet1!$C$4:$Q$23,MATCH(K615,[2]Sheet1!$B$4:$B$23,1)+1,MATCH(D615,[2]Sheet1!$C$3:$Q$3,1)) - INDEX([2]Sheet1!$C$4:$Q$23,MATCH(K615,[2]Sheet1!$B$4:$B$23,1),MATCH(D615,[2]Sheet1!$C$3:$Q$3,1)))
+ (D615 - INDEX([2]Sheet1!$C$3:$Q$3,1,MATCH(D615,[2]Sheet1!$C$3:$Q$3)))/(INDEX([2]Sheet1!$C$3:$Q$3,1,MATCH(D615,[2]Sheet1!$C$3:$Q$3)+1) - INDEX([2]Sheet1!$C$3:$Q$3,1,MATCH(D615,[2]Sheet1!$C$3:$Q$3)))*(
INDEX([2]Sheet1!$C$4:$Q$23,MATCH(K615,[2]Sheet1!$B$4:$B$23,1),MATCH(D615,[2]Sheet1!$C$3:$Q$3,1)+1) - INDEX([2]Sheet1!$C$4:$Q$23,MATCH(K615,[2]Sheet1!$B$4:$B$23,1),MATCH(D615,[2]Sheet1!$C$3:$Q$3,1)))))</f>
        <v>0</v>
      </c>
      <c r="N615">
        <f t="shared" si="188"/>
        <v>12</v>
      </c>
      <c r="O615">
        <v>8.4312886824597033E-2</v>
      </c>
      <c r="P615" t="e">
        <f t="shared" si="189"/>
        <v>#DIV/0!</v>
      </c>
      <c r="Q615">
        <f t="shared" si="176"/>
        <v>0</v>
      </c>
      <c r="R615">
        <f t="shared" si="190"/>
        <v>741.9099431943954</v>
      </c>
      <c r="T615" t="e">
        <f t="shared" si="179"/>
        <v>#DIV/0!</v>
      </c>
      <c r="U615" t="e">
        <f t="shared" si="180"/>
        <v>#DIV/0!</v>
      </c>
      <c r="V615">
        <f t="shared" si="181"/>
        <v>0</v>
      </c>
      <c r="W615" t="e">
        <f t="shared" si="177"/>
        <v>#DIV/0!</v>
      </c>
    </row>
    <row r="616" spans="1:23" x14ac:dyDescent="0.55000000000000004">
      <c r="A616">
        <f t="shared" si="178"/>
        <v>58.200000000000557</v>
      </c>
      <c r="B616">
        <f t="shared" si="182"/>
        <v>0.316</v>
      </c>
      <c r="C616">
        <f t="shared" si="183"/>
        <v>-32.9565217391308</v>
      </c>
      <c r="D616">
        <v>2.4224079670282683</v>
      </c>
      <c r="E616">
        <f t="shared" si="173"/>
        <v>0</v>
      </c>
      <c r="F616">
        <f t="shared" si="184"/>
        <v>4.8605058816845369E-2</v>
      </c>
      <c r="G616">
        <f t="shared" si="185"/>
        <v>39.513748498891111</v>
      </c>
      <c r="H616">
        <f t="shared" si="186"/>
        <v>0</v>
      </c>
      <c r="I616" s="1">
        <f t="shared" si="174"/>
        <v>0</v>
      </c>
      <c r="J616">
        <f t="shared" si="187"/>
        <v>0</v>
      </c>
      <c r="K616">
        <f t="shared" si="175"/>
        <v>0</v>
      </c>
      <c r="L616" cm="1">
        <f t="array" ref="L616">IF(E616*J616=0,0,$C$21*INDEX([3]Sheet1!$C$4:$Q$23,MATCH(K616,[3]Sheet1!$B$4:$B$23,1),MATCH(D616,[3]Sheet1!$C$3:$Q$3,1))
+(K616-INDEX([3]Sheet1!$B$4:$B$23,MATCH(K616,[3]Sheet1!$B$4:$B$23,1),1))/(INDEX([3]Sheet1!$B$4:$B$23,MATCH(K616,[3]Sheet1!$B$4:$B$23,1)+1,1)-INDEX([3]Sheet1!$B$4:$B$23,
MATCH(K616,[3]Sheet1!$B$4:$B$23,1),1))*(INDEX([3]Sheet1!$C$4:$Q$23,MATCH(K616,[3]Sheet1!$B$4:$B$23,1)+1,MATCH(D616,[3]Sheet1!$C$3:$Q$3,1))-INDEX([3]Sheet1!$C$4:$Q$23,
MATCH(K616,[3]Sheet1!$B$4:$B$23,1),MATCH(D616,[3]Sheet1!$C$3:$Q$3,1)))
+(D616-INDEX([3]Sheet1!$C$3:$Q$3,1,MATCH(D616,[3]Sheet1!$C$3:$Q$3)))/(INDEX([3]Sheet1!$C$3:$Q$3,1,MATCH(D616,[3]Sheet1!$C$3:$Q$3)+1)-INDEX([3]Sheet1!$C$3:$Q$3,1,MATCH(
D616,[3]Sheet1!$C$3:$Q$3)))*(INDEX([3]Sheet1!$C$4:$Q$23,MATCH(K616,[3]Sheet1!$B$4:$B$23,1),MATCH(D616,[3]Sheet1!$C$3:$Q$3,1)+1)-INDEX([3]Sheet1!$C$4:$Q$23,MATCH(K616,[3]Sheet1!$B$4:$B$23,1),MATCH(D616,[3]Sheet1!$C$3:$Q$3,1))))</f>
        <v>0</v>
      </c>
      <c r="M616" cm="1">
        <f t="array" ref="M616" xml:space="preserve"> IF(E616*J616=0,0,(INDEX([2]Sheet1!$C$4:$Q$23,MATCH(K616,[2]Sheet1!$B$4:$B$23,1),MATCH(D616,[2]Sheet1!$C$3:$Q$3,1))
+ (K616 - INDEX([2]Sheet1!$B$4:$B$23,MATCH(K616,[2]Sheet1!$B$4:$B$23,1),1))/(INDEX([2]Sheet1!$B$4:$B$23,MATCH(K616,[2]Sheet1!$B$4:$B$23,1)+1,1) - INDEX([2]Sheet1!$B$4:$B$23,MATCH(K616,[2]Sheet1!$B$4:$B$23,1),1))*(INDEX([2]Sheet1!$C$4:$Q$23,MATCH(K616,[2]Sheet1!$B$4:$B$23,1)+1,MATCH(D616,[2]Sheet1!$C$3:$Q$3,1)) - INDEX([2]Sheet1!$C$4:$Q$23,MATCH(K616,[2]Sheet1!$B$4:$B$23,1),MATCH(D616,[2]Sheet1!$C$3:$Q$3,1)))
+ (D616 - INDEX([2]Sheet1!$C$3:$Q$3,1,MATCH(D616,[2]Sheet1!$C$3:$Q$3)))/(INDEX([2]Sheet1!$C$3:$Q$3,1,MATCH(D616,[2]Sheet1!$C$3:$Q$3)+1) - INDEX([2]Sheet1!$C$3:$Q$3,1,MATCH(D616,[2]Sheet1!$C$3:$Q$3)))*(
INDEX([2]Sheet1!$C$4:$Q$23,MATCH(K616,[2]Sheet1!$B$4:$B$23,1),MATCH(D616,[2]Sheet1!$C$3:$Q$3,1)+1) - INDEX([2]Sheet1!$C$4:$Q$23,MATCH(K616,[2]Sheet1!$B$4:$B$23,1),MATCH(D616,[2]Sheet1!$C$3:$Q$3,1)))))</f>
        <v>0</v>
      </c>
      <c r="N616">
        <f t="shared" si="188"/>
        <v>12</v>
      </c>
      <c r="O616">
        <v>8.4300148415351717E-2</v>
      </c>
      <c r="P616" t="e">
        <f t="shared" si="189"/>
        <v>#DIV/0!</v>
      </c>
      <c r="Q616">
        <f t="shared" si="176"/>
        <v>0</v>
      </c>
      <c r="R616">
        <f t="shared" si="190"/>
        <v>741.9099431943954</v>
      </c>
      <c r="T616" t="e">
        <f t="shared" si="179"/>
        <v>#DIV/0!</v>
      </c>
      <c r="U616" t="e">
        <f t="shared" si="180"/>
        <v>#DIV/0!</v>
      </c>
      <c r="V616">
        <f t="shared" si="181"/>
        <v>0</v>
      </c>
      <c r="W616" t="e">
        <f t="shared" si="177"/>
        <v>#DIV/0!</v>
      </c>
    </row>
    <row r="617" spans="1:23" x14ac:dyDescent="0.55000000000000004">
      <c r="A617">
        <f t="shared" si="178"/>
        <v>58.300000000000558</v>
      </c>
      <c r="B617">
        <f t="shared" si="182"/>
        <v>0.316</v>
      </c>
      <c r="C617">
        <f t="shared" si="183"/>
        <v>-33.021739130435151</v>
      </c>
      <c r="D617">
        <v>2.4223435168232794</v>
      </c>
      <c r="E617">
        <f t="shared" si="173"/>
        <v>0</v>
      </c>
      <c r="F617">
        <f t="shared" si="184"/>
        <v>4.8605058816845369E-2</v>
      </c>
      <c r="G617">
        <f t="shared" si="185"/>
        <v>39.513748498891111</v>
      </c>
      <c r="H617">
        <f t="shared" si="186"/>
        <v>0</v>
      </c>
      <c r="I617" s="1">
        <f t="shared" si="174"/>
        <v>0</v>
      </c>
      <c r="J617">
        <f t="shared" si="187"/>
        <v>0</v>
      </c>
      <c r="K617">
        <f t="shared" si="175"/>
        <v>0</v>
      </c>
      <c r="L617" cm="1">
        <f t="array" ref="L617">IF(E617*J617=0,0,$C$21*INDEX([3]Sheet1!$C$4:$Q$23,MATCH(K617,[3]Sheet1!$B$4:$B$23,1),MATCH(D617,[3]Sheet1!$C$3:$Q$3,1))
+(K617-INDEX([3]Sheet1!$B$4:$B$23,MATCH(K617,[3]Sheet1!$B$4:$B$23,1),1))/(INDEX([3]Sheet1!$B$4:$B$23,MATCH(K617,[3]Sheet1!$B$4:$B$23,1)+1,1)-INDEX([3]Sheet1!$B$4:$B$23,
MATCH(K617,[3]Sheet1!$B$4:$B$23,1),1))*(INDEX([3]Sheet1!$C$4:$Q$23,MATCH(K617,[3]Sheet1!$B$4:$B$23,1)+1,MATCH(D617,[3]Sheet1!$C$3:$Q$3,1))-INDEX([3]Sheet1!$C$4:$Q$23,
MATCH(K617,[3]Sheet1!$B$4:$B$23,1),MATCH(D617,[3]Sheet1!$C$3:$Q$3,1)))
+(D617-INDEX([3]Sheet1!$C$3:$Q$3,1,MATCH(D617,[3]Sheet1!$C$3:$Q$3)))/(INDEX([3]Sheet1!$C$3:$Q$3,1,MATCH(D617,[3]Sheet1!$C$3:$Q$3)+1)-INDEX([3]Sheet1!$C$3:$Q$3,1,MATCH(
D617,[3]Sheet1!$C$3:$Q$3)))*(INDEX([3]Sheet1!$C$4:$Q$23,MATCH(K617,[3]Sheet1!$B$4:$B$23,1),MATCH(D617,[3]Sheet1!$C$3:$Q$3,1)+1)-INDEX([3]Sheet1!$C$4:$Q$23,MATCH(K617,[3]Sheet1!$B$4:$B$23,1),MATCH(D617,[3]Sheet1!$C$3:$Q$3,1))))</f>
        <v>0</v>
      </c>
      <c r="M617" cm="1">
        <f t="array" ref="M617" xml:space="preserve"> IF(E617*J617=0,0,(INDEX([2]Sheet1!$C$4:$Q$23,MATCH(K617,[2]Sheet1!$B$4:$B$23,1),MATCH(D617,[2]Sheet1!$C$3:$Q$3,1))
+ (K617 - INDEX([2]Sheet1!$B$4:$B$23,MATCH(K617,[2]Sheet1!$B$4:$B$23,1),1))/(INDEX([2]Sheet1!$B$4:$B$23,MATCH(K617,[2]Sheet1!$B$4:$B$23,1)+1,1) - INDEX([2]Sheet1!$B$4:$B$23,MATCH(K617,[2]Sheet1!$B$4:$B$23,1),1))*(INDEX([2]Sheet1!$C$4:$Q$23,MATCH(K617,[2]Sheet1!$B$4:$B$23,1)+1,MATCH(D617,[2]Sheet1!$C$3:$Q$3,1)) - INDEX([2]Sheet1!$C$4:$Q$23,MATCH(K617,[2]Sheet1!$B$4:$B$23,1),MATCH(D617,[2]Sheet1!$C$3:$Q$3,1)))
+ (D617 - INDEX([2]Sheet1!$C$3:$Q$3,1,MATCH(D617,[2]Sheet1!$C$3:$Q$3)))/(INDEX([2]Sheet1!$C$3:$Q$3,1,MATCH(D617,[2]Sheet1!$C$3:$Q$3)+1) - INDEX([2]Sheet1!$C$3:$Q$3,1,MATCH(D617,[2]Sheet1!$C$3:$Q$3)))*(
INDEX([2]Sheet1!$C$4:$Q$23,MATCH(K617,[2]Sheet1!$B$4:$B$23,1),MATCH(D617,[2]Sheet1!$C$3:$Q$3,1)+1) - INDEX([2]Sheet1!$C$4:$Q$23,MATCH(K617,[2]Sheet1!$B$4:$B$23,1),MATCH(D617,[2]Sheet1!$C$3:$Q$3,1)))))</f>
        <v>0</v>
      </c>
      <c r="N617">
        <f t="shared" si="188"/>
        <v>12</v>
      </c>
      <c r="O617">
        <v>8.4287427418335559E-2</v>
      </c>
      <c r="P617" t="e">
        <f t="shared" si="189"/>
        <v>#DIV/0!</v>
      </c>
      <c r="Q617">
        <f t="shared" si="176"/>
        <v>0</v>
      </c>
      <c r="R617">
        <f t="shared" si="190"/>
        <v>741.9099431943954</v>
      </c>
      <c r="T617" t="e">
        <f t="shared" si="179"/>
        <v>#DIV/0!</v>
      </c>
      <c r="U617" t="e">
        <f t="shared" si="180"/>
        <v>#DIV/0!</v>
      </c>
      <c r="V617">
        <f t="shared" si="181"/>
        <v>0</v>
      </c>
      <c r="W617" t="e">
        <f t="shared" si="177"/>
        <v>#DIV/0!</v>
      </c>
    </row>
    <row r="618" spans="1:23" x14ac:dyDescent="0.55000000000000004">
      <c r="A618">
        <f t="shared" si="178"/>
        <v>58.40000000000056</v>
      </c>
      <c r="B618">
        <f t="shared" si="182"/>
        <v>0.316</v>
      </c>
      <c r="C618">
        <f t="shared" si="183"/>
        <v>-33.086956521739502</v>
      </c>
      <c r="D618">
        <v>2.4222791450620846</v>
      </c>
      <c r="E618">
        <f t="shared" si="173"/>
        <v>0</v>
      </c>
      <c r="F618">
        <f t="shared" si="184"/>
        <v>4.8605058816845369E-2</v>
      </c>
      <c r="G618">
        <f t="shared" si="185"/>
        <v>39.513748498891111</v>
      </c>
      <c r="H618">
        <f t="shared" si="186"/>
        <v>0</v>
      </c>
      <c r="I618" s="1">
        <f t="shared" si="174"/>
        <v>0</v>
      </c>
      <c r="J618">
        <f t="shared" si="187"/>
        <v>0</v>
      </c>
      <c r="K618">
        <f t="shared" si="175"/>
        <v>0</v>
      </c>
      <c r="L618" cm="1">
        <f t="array" ref="L618">IF(E618*J618=0,0,$C$21*INDEX([3]Sheet1!$C$4:$Q$23,MATCH(K618,[3]Sheet1!$B$4:$B$23,1),MATCH(D618,[3]Sheet1!$C$3:$Q$3,1))
+(K618-INDEX([3]Sheet1!$B$4:$B$23,MATCH(K618,[3]Sheet1!$B$4:$B$23,1),1))/(INDEX([3]Sheet1!$B$4:$B$23,MATCH(K618,[3]Sheet1!$B$4:$B$23,1)+1,1)-INDEX([3]Sheet1!$B$4:$B$23,
MATCH(K618,[3]Sheet1!$B$4:$B$23,1),1))*(INDEX([3]Sheet1!$C$4:$Q$23,MATCH(K618,[3]Sheet1!$B$4:$B$23,1)+1,MATCH(D618,[3]Sheet1!$C$3:$Q$3,1))-INDEX([3]Sheet1!$C$4:$Q$23,
MATCH(K618,[3]Sheet1!$B$4:$B$23,1),MATCH(D618,[3]Sheet1!$C$3:$Q$3,1)))
+(D618-INDEX([3]Sheet1!$C$3:$Q$3,1,MATCH(D618,[3]Sheet1!$C$3:$Q$3)))/(INDEX([3]Sheet1!$C$3:$Q$3,1,MATCH(D618,[3]Sheet1!$C$3:$Q$3)+1)-INDEX([3]Sheet1!$C$3:$Q$3,1,MATCH(
D618,[3]Sheet1!$C$3:$Q$3)))*(INDEX([3]Sheet1!$C$4:$Q$23,MATCH(K618,[3]Sheet1!$B$4:$B$23,1),MATCH(D618,[3]Sheet1!$C$3:$Q$3,1)+1)-INDEX([3]Sheet1!$C$4:$Q$23,MATCH(K618,[3]Sheet1!$B$4:$B$23,1),MATCH(D618,[3]Sheet1!$C$3:$Q$3,1))))</f>
        <v>0</v>
      </c>
      <c r="M618" cm="1">
        <f t="array" ref="M618" xml:space="preserve"> IF(E618*J618=0,0,(INDEX([2]Sheet1!$C$4:$Q$23,MATCH(K618,[2]Sheet1!$B$4:$B$23,1),MATCH(D618,[2]Sheet1!$C$3:$Q$3,1))
+ (K618 - INDEX([2]Sheet1!$B$4:$B$23,MATCH(K618,[2]Sheet1!$B$4:$B$23,1),1))/(INDEX([2]Sheet1!$B$4:$B$23,MATCH(K618,[2]Sheet1!$B$4:$B$23,1)+1,1) - INDEX([2]Sheet1!$B$4:$B$23,MATCH(K618,[2]Sheet1!$B$4:$B$23,1),1))*(INDEX([2]Sheet1!$C$4:$Q$23,MATCH(K618,[2]Sheet1!$B$4:$B$23,1)+1,MATCH(D618,[2]Sheet1!$C$3:$Q$3,1)) - INDEX([2]Sheet1!$C$4:$Q$23,MATCH(K618,[2]Sheet1!$B$4:$B$23,1),MATCH(D618,[2]Sheet1!$C$3:$Q$3,1)))
+ (D618 - INDEX([2]Sheet1!$C$3:$Q$3,1,MATCH(D618,[2]Sheet1!$C$3:$Q$3)))/(INDEX([2]Sheet1!$C$3:$Q$3,1,MATCH(D618,[2]Sheet1!$C$3:$Q$3)+1) - INDEX([2]Sheet1!$C$3:$Q$3,1,MATCH(D618,[2]Sheet1!$C$3:$Q$3)))*(
INDEX([2]Sheet1!$C$4:$Q$23,MATCH(K618,[2]Sheet1!$B$4:$B$23,1),MATCH(D618,[2]Sheet1!$C$3:$Q$3,1)+1) - INDEX([2]Sheet1!$C$4:$Q$23,MATCH(K618,[2]Sheet1!$B$4:$B$23,1),MATCH(D618,[2]Sheet1!$C$3:$Q$3,1)))))</f>
        <v>0</v>
      </c>
      <c r="N618">
        <f t="shared" si="188"/>
        <v>12</v>
      </c>
      <c r="O618">
        <v>8.4274723787439818E-2</v>
      </c>
      <c r="P618" t="e">
        <f t="shared" si="189"/>
        <v>#DIV/0!</v>
      </c>
      <c r="Q618">
        <f t="shared" si="176"/>
        <v>0</v>
      </c>
      <c r="R618">
        <f t="shared" si="190"/>
        <v>741.9099431943954</v>
      </c>
      <c r="T618" t="e">
        <f t="shared" si="179"/>
        <v>#DIV/0!</v>
      </c>
      <c r="U618" t="e">
        <f t="shared" si="180"/>
        <v>#DIV/0!</v>
      </c>
      <c r="V618">
        <f t="shared" si="181"/>
        <v>0</v>
      </c>
      <c r="W618" t="e">
        <f t="shared" si="177"/>
        <v>#DIV/0!</v>
      </c>
    </row>
    <row r="619" spans="1:23" x14ac:dyDescent="0.55000000000000004">
      <c r="A619">
        <f t="shared" si="178"/>
        <v>58.500000000000561</v>
      </c>
      <c r="B619">
        <f t="shared" si="182"/>
        <v>0.316</v>
      </c>
      <c r="C619">
        <f t="shared" si="183"/>
        <v>-33.152173913043846</v>
      </c>
      <c r="D619">
        <v>2.4222148515473076</v>
      </c>
      <c r="E619">
        <f t="shared" si="173"/>
        <v>0</v>
      </c>
      <c r="F619">
        <f t="shared" si="184"/>
        <v>4.8605058816845369E-2</v>
      </c>
      <c r="G619">
        <f t="shared" si="185"/>
        <v>39.513748498891111</v>
      </c>
      <c r="H619">
        <f t="shared" si="186"/>
        <v>0</v>
      </c>
      <c r="I619" s="1">
        <f t="shared" si="174"/>
        <v>0</v>
      </c>
      <c r="J619">
        <f t="shared" si="187"/>
        <v>0</v>
      </c>
      <c r="K619">
        <f t="shared" si="175"/>
        <v>0</v>
      </c>
      <c r="L619" cm="1">
        <f t="array" ref="L619">IF(E619*J619=0,0,$C$21*INDEX([3]Sheet1!$C$4:$Q$23,MATCH(K619,[3]Sheet1!$B$4:$B$23,1),MATCH(D619,[3]Sheet1!$C$3:$Q$3,1))
+(K619-INDEX([3]Sheet1!$B$4:$B$23,MATCH(K619,[3]Sheet1!$B$4:$B$23,1),1))/(INDEX([3]Sheet1!$B$4:$B$23,MATCH(K619,[3]Sheet1!$B$4:$B$23,1)+1,1)-INDEX([3]Sheet1!$B$4:$B$23,
MATCH(K619,[3]Sheet1!$B$4:$B$23,1),1))*(INDEX([3]Sheet1!$C$4:$Q$23,MATCH(K619,[3]Sheet1!$B$4:$B$23,1)+1,MATCH(D619,[3]Sheet1!$C$3:$Q$3,1))-INDEX([3]Sheet1!$C$4:$Q$23,
MATCH(K619,[3]Sheet1!$B$4:$B$23,1),MATCH(D619,[3]Sheet1!$C$3:$Q$3,1)))
+(D619-INDEX([3]Sheet1!$C$3:$Q$3,1,MATCH(D619,[3]Sheet1!$C$3:$Q$3)))/(INDEX([3]Sheet1!$C$3:$Q$3,1,MATCH(D619,[3]Sheet1!$C$3:$Q$3)+1)-INDEX([3]Sheet1!$C$3:$Q$3,1,MATCH(
D619,[3]Sheet1!$C$3:$Q$3)))*(INDEX([3]Sheet1!$C$4:$Q$23,MATCH(K619,[3]Sheet1!$B$4:$B$23,1),MATCH(D619,[3]Sheet1!$C$3:$Q$3,1)+1)-INDEX([3]Sheet1!$C$4:$Q$23,MATCH(K619,[3]Sheet1!$B$4:$B$23,1),MATCH(D619,[3]Sheet1!$C$3:$Q$3,1))))</f>
        <v>0</v>
      </c>
      <c r="M619" cm="1">
        <f t="array" ref="M619" xml:space="preserve"> IF(E619*J619=0,0,(INDEX([2]Sheet1!$C$4:$Q$23,MATCH(K619,[2]Sheet1!$B$4:$B$23,1),MATCH(D619,[2]Sheet1!$C$3:$Q$3,1))
+ (K619 - INDEX([2]Sheet1!$B$4:$B$23,MATCH(K619,[2]Sheet1!$B$4:$B$23,1),1))/(INDEX([2]Sheet1!$B$4:$B$23,MATCH(K619,[2]Sheet1!$B$4:$B$23,1)+1,1) - INDEX([2]Sheet1!$B$4:$B$23,MATCH(K619,[2]Sheet1!$B$4:$B$23,1),1))*(INDEX([2]Sheet1!$C$4:$Q$23,MATCH(K619,[2]Sheet1!$B$4:$B$23,1)+1,MATCH(D619,[2]Sheet1!$C$3:$Q$3,1)) - INDEX([2]Sheet1!$C$4:$Q$23,MATCH(K619,[2]Sheet1!$B$4:$B$23,1),MATCH(D619,[2]Sheet1!$C$3:$Q$3,1)))
+ (D619 - INDEX([2]Sheet1!$C$3:$Q$3,1,MATCH(D619,[2]Sheet1!$C$3:$Q$3)))/(INDEX([2]Sheet1!$C$3:$Q$3,1,MATCH(D619,[2]Sheet1!$C$3:$Q$3)+1) - INDEX([2]Sheet1!$C$3:$Q$3,1,MATCH(D619,[2]Sheet1!$C$3:$Q$3)))*(
INDEX([2]Sheet1!$C$4:$Q$23,MATCH(K619,[2]Sheet1!$B$4:$B$23,1),MATCH(D619,[2]Sheet1!$C$3:$Q$3,1)+1) - INDEX([2]Sheet1!$C$4:$Q$23,MATCH(K619,[2]Sheet1!$B$4:$B$23,1),MATCH(D619,[2]Sheet1!$C$3:$Q$3,1)))))</f>
        <v>0</v>
      </c>
      <c r="N619">
        <f t="shared" si="188"/>
        <v>12</v>
      </c>
      <c r="O619">
        <v>8.42620374767378E-2</v>
      </c>
      <c r="P619" t="e">
        <f t="shared" si="189"/>
        <v>#DIV/0!</v>
      </c>
      <c r="Q619">
        <f t="shared" si="176"/>
        <v>0</v>
      </c>
      <c r="R619">
        <f t="shared" si="190"/>
        <v>741.9099431943954</v>
      </c>
      <c r="T619" t="e">
        <f t="shared" si="179"/>
        <v>#DIV/0!</v>
      </c>
      <c r="U619" t="e">
        <f t="shared" si="180"/>
        <v>#DIV/0!</v>
      </c>
      <c r="V619">
        <f t="shared" si="181"/>
        <v>0</v>
      </c>
      <c r="W619" t="e">
        <f t="shared" si="177"/>
        <v>#DIV/0!</v>
      </c>
    </row>
    <row r="620" spans="1:23" x14ac:dyDescent="0.55000000000000004">
      <c r="A620">
        <f t="shared" si="178"/>
        <v>58.600000000000563</v>
      </c>
      <c r="B620">
        <f t="shared" si="182"/>
        <v>0.316</v>
      </c>
      <c r="C620">
        <f t="shared" si="183"/>
        <v>-33.217391304348197</v>
      </c>
      <c r="D620">
        <v>2.42215063608232</v>
      </c>
      <c r="E620">
        <f t="shared" si="173"/>
        <v>0</v>
      </c>
      <c r="F620">
        <f t="shared" si="184"/>
        <v>4.8605058816845369E-2</v>
      </c>
      <c r="G620">
        <f t="shared" si="185"/>
        <v>39.513748498891111</v>
      </c>
      <c r="H620">
        <f t="shared" si="186"/>
        <v>0</v>
      </c>
      <c r="I620" s="1">
        <f t="shared" si="174"/>
        <v>0</v>
      </c>
      <c r="J620">
        <f t="shared" si="187"/>
        <v>0</v>
      </c>
      <c r="K620">
        <f t="shared" si="175"/>
        <v>0</v>
      </c>
      <c r="L620" cm="1">
        <f t="array" ref="L620">IF(E620*J620=0,0,$C$21*INDEX([3]Sheet1!$C$4:$Q$23,MATCH(K620,[3]Sheet1!$B$4:$B$23,1),MATCH(D620,[3]Sheet1!$C$3:$Q$3,1))
+(K620-INDEX([3]Sheet1!$B$4:$B$23,MATCH(K620,[3]Sheet1!$B$4:$B$23,1),1))/(INDEX([3]Sheet1!$B$4:$B$23,MATCH(K620,[3]Sheet1!$B$4:$B$23,1)+1,1)-INDEX([3]Sheet1!$B$4:$B$23,
MATCH(K620,[3]Sheet1!$B$4:$B$23,1),1))*(INDEX([3]Sheet1!$C$4:$Q$23,MATCH(K620,[3]Sheet1!$B$4:$B$23,1)+1,MATCH(D620,[3]Sheet1!$C$3:$Q$3,1))-INDEX([3]Sheet1!$C$4:$Q$23,
MATCH(K620,[3]Sheet1!$B$4:$B$23,1),MATCH(D620,[3]Sheet1!$C$3:$Q$3,1)))
+(D620-INDEX([3]Sheet1!$C$3:$Q$3,1,MATCH(D620,[3]Sheet1!$C$3:$Q$3)))/(INDEX([3]Sheet1!$C$3:$Q$3,1,MATCH(D620,[3]Sheet1!$C$3:$Q$3)+1)-INDEX([3]Sheet1!$C$3:$Q$3,1,MATCH(
D620,[3]Sheet1!$C$3:$Q$3)))*(INDEX([3]Sheet1!$C$4:$Q$23,MATCH(K620,[3]Sheet1!$B$4:$B$23,1),MATCH(D620,[3]Sheet1!$C$3:$Q$3,1)+1)-INDEX([3]Sheet1!$C$4:$Q$23,MATCH(K620,[3]Sheet1!$B$4:$B$23,1),MATCH(D620,[3]Sheet1!$C$3:$Q$3,1))))</f>
        <v>0</v>
      </c>
      <c r="M620" cm="1">
        <f t="array" ref="M620" xml:space="preserve"> IF(E620*J620=0,0,(INDEX([2]Sheet1!$C$4:$Q$23,MATCH(K620,[2]Sheet1!$B$4:$B$23,1),MATCH(D620,[2]Sheet1!$C$3:$Q$3,1))
+ (K620 - INDEX([2]Sheet1!$B$4:$B$23,MATCH(K620,[2]Sheet1!$B$4:$B$23,1),1))/(INDEX([2]Sheet1!$B$4:$B$23,MATCH(K620,[2]Sheet1!$B$4:$B$23,1)+1,1) - INDEX([2]Sheet1!$B$4:$B$23,MATCH(K620,[2]Sheet1!$B$4:$B$23,1),1))*(INDEX([2]Sheet1!$C$4:$Q$23,MATCH(K620,[2]Sheet1!$B$4:$B$23,1)+1,MATCH(D620,[2]Sheet1!$C$3:$Q$3,1)) - INDEX([2]Sheet1!$C$4:$Q$23,MATCH(K620,[2]Sheet1!$B$4:$B$23,1),MATCH(D620,[2]Sheet1!$C$3:$Q$3,1)))
+ (D620 - INDEX([2]Sheet1!$C$3:$Q$3,1,MATCH(D620,[2]Sheet1!$C$3:$Q$3)))/(INDEX([2]Sheet1!$C$3:$Q$3,1,MATCH(D620,[2]Sheet1!$C$3:$Q$3)+1) - INDEX([2]Sheet1!$C$3:$Q$3,1,MATCH(D620,[2]Sheet1!$C$3:$Q$3)))*(
INDEX([2]Sheet1!$C$4:$Q$23,MATCH(K620,[2]Sheet1!$B$4:$B$23,1),MATCH(D620,[2]Sheet1!$C$3:$Q$3,1)+1) - INDEX([2]Sheet1!$C$4:$Q$23,MATCH(K620,[2]Sheet1!$B$4:$B$23,1),MATCH(D620,[2]Sheet1!$C$3:$Q$3,1)))))</f>
        <v>0</v>
      </c>
      <c r="N620">
        <f t="shared" si="188"/>
        <v>12</v>
      </c>
      <c r="O620">
        <v>8.4249368440483113E-2</v>
      </c>
      <c r="P620" t="e">
        <f t="shared" si="189"/>
        <v>#DIV/0!</v>
      </c>
      <c r="Q620">
        <f t="shared" si="176"/>
        <v>0</v>
      </c>
      <c r="R620">
        <f t="shared" si="190"/>
        <v>741.9099431943954</v>
      </c>
      <c r="T620" t="e">
        <f t="shared" si="179"/>
        <v>#DIV/0!</v>
      </c>
      <c r="U620" t="e">
        <f t="shared" si="180"/>
        <v>#DIV/0!</v>
      </c>
      <c r="V620">
        <f t="shared" si="181"/>
        <v>0</v>
      </c>
      <c r="W620" t="e">
        <f t="shared" si="177"/>
        <v>#DIV/0!</v>
      </c>
    </row>
    <row r="621" spans="1:23" x14ac:dyDescent="0.55000000000000004">
      <c r="A621">
        <f t="shared" si="178"/>
        <v>58.700000000000564</v>
      </c>
      <c r="B621">
        <f t="shared" si="182"/>
        <v>0.316</v>
      </c>
      <c r="C621">
        <f t="shared" si="183"/>
        <v>-33.282608695652549</v>
      </c>
      <c r="D621">
        <v>2.4220864984712378</v>
      </c>
      <c r="E621">
        <f t="shared" si="173"/>
        <v>0</v>
      </c>
      <c r="F621">
        <f t="shared" si="184"/>
        <v>4.8605058816845369E-2</v>
      </c>
      <c r="G621">
        <f t="shared" si="185"/>
        <v>39.513748498891111</v>
      </c>
      <c r="H621">
        <f t="shared" si="186"/>
        <v>0</v>
      </c>
      <c r="I621" s="1">
        <f t="shared" si="174"/>
        <v>0</v>
      </c>
      <c r="J621">
        <f t="shared" si="187"/>
        <v>0</v>
      </c>
      <c r="K621">
        <f t="shared" si="175"/>
        <v>0</v>
      </c>
      <c r="L621" cm="1">
        <f t="array" ref="L621">IF(E621*J621=0,0,$C$21*INDEX([3]Sheet1!$C$4:$Q$23,MATCH(K621,[3]Sheet1!$B$4:$B$23,1),MATCH(D621,[3]Sheet1!$C$3:$Q$3,1))
+(K621-INDEX([3]Sheet1!$B$4:$B$23,MATCH(K621,[3]Sheet1!$B$4:$B$23,1),1))/(INDEX([3]Sheet1!$B$4:$B$23,MATCH(K621,[3]Sheet1!$B$4:$B$23,1)+1,1)-INDEX([3]Sheet1!$B$4:$B$23,
MATCH(K621,[3]Sheet1!$B$4:$B$23,1),1))*(INDEX([3]Sheet1!$C$4:$Q$23,MATCH(K621,[3]Sheet1!$B$4:$B$23,1)+1,MATCH(D621,[3]Sheet1!$C$3:$Q$3,1))-INDEX([3]Sheet1!$C$4:$Q$23,
MATCH(K621,[3]Sheet1!$B$4:$B$23,1),MATCH(D621,[3]Sheet1!$C$3:$Q$3,1)))
+(D621-INDEX([3]Sheet1!$C$3:$Q$3,1,MATCH(D621,[3]Sheet1!$C$3:$Q$3)))/(INDEX([3]Sheet1!$C$3:$Q$3,1,MATCH(D621,[3]Sheet1!$C$3:$Q$3)+1)-INDEX([3]Sheet1!$C$3:$Q$3,1,MATCH(
D621,[3]Sheet1!$C$3:$Q$3)))*(INDEX([3]Sheet1!$C$4:$Q$23,MATCH(K621,[3]Sheet1!$B$4:$B$23,1),MATCH(D621,[3]Sheet1!$C$3:$Q$3,1)+1)-INDEX([3]Sheet1!$C$4:$Q$23,MATCH(K621,[3]Sheet1!$B$4:$B$23,1),MATCH(D621,[3]Sheet1!$C$3:$Q$3,1))))</f>
        <v>0</v>
      </c>
      <c r="M621" cm="1">
        <f t="array" ref="M621" xml:space="preserve"> IF(E621*J621=0,0,(INDEX([2]Sheet1!$C$4:$Q$23,MATCH(K621,[2]Sheet1!$B$4:$B$23,1),MATCH(D621,[2]Sheet1!$C$3:$Q$3,1))
+ (K621 - INDEX([2]Sheet1!$B$4:$B$23,MATCH(K621,[2]Sheet1!$B$4:$B$23,1),1))/(INDEX([2]Sheet1!$B$4:$B$23,MATCH(K621,[2]Sheet1!$B$4:$B$23,1)+1,1) - INDEX([2]Sheet1!$B$4:$B$23,MATCH(K621,[2]Sheet1!$B$4:$B$23,1),1))*(INDEX([2]Sheet1!$C$4:$Q$23,MATCH(K621,[2]Sheet1!$B$4:$B$23,1)+1,MATCH(D621,[2]Sheet1!$C$3:$Q$3,1)) - INDEX([2]Sheet1!$C$4:$Q$23,MATCH(K621,[2]Sheet1!$B$4:$B$23,1),MATCH(D621,[2]Sheet1!$C$3:$Q$3,1)))
+ (D621 - INDEX([2]Sheet1!$C$3:$Q$3,1,MATCH(D621,[2]Sheet1!$C$3:$Q$3)))/(INDEX([2]Sheet1!$C$3:$Q$3,1,MATCH(D621,[2]Sheet1!$C$3:$Q$3)+1) - INDEX([2]Sheet1!$C$3:$Q$3,1,MATCH(D621,[2]Sheet1!$C$3:$Q$3)))*(
INDEX([2]Sheet1!$C$4:$Q$23,MATCH(K621,[2]Sheet1!$B$4:$B$23,1),MATCH(D621,[2]Sheet1!$C$3:$Q$3,1)+1) - INDEX([2]Sheet1!$C$4:$Q$23,MATCH(K621,[2]Sheet1!$B$4:$B$23,1),MATCH(D621,[2]Sheet1!$C$3:$Q$3,1)))))</f>
        <v>0</v>
      </c>
      <c r="N621">
        <f t="shared" si="188"/>
        <v>12</v>
      </c>
      <c r="O621">
        <v>8.4236716633108791E-2</v>
      </c>
      <c r="P621" t="e">
        <f t="shared" si="189"/>
        <v>#DIV/0!</v>
      </c>
      <c r="Q621">
        <f t="shared" si="176"/>
        <v>0</v>
      </c>
      <c r="R621">
        <f t="shared" si="190"/>
        <v>741.9099431943954</v>
      </c>
      <c r="T621" t="e">
        <f t="shared" si="179"/>
        <v>#DIV/0!</v>
      </c>
      <c r="U621" t="e">
        <f t="shared" si="180"/>
        <v>#DIV/0!</v>
      </c>
      <c r="V621">
        <f t="shared" si="181"/>
        <v>0</v>
      </c>
      <c r="W621" t="e">
        <f t="shared" si="177"/>
        <v>#DIV/0!</v>
      </c>
    </row>
    <row r="622" spans="1:23" x14ac:dyDescent="0.55000000000000004">
      <c r="A622">
        <f t="shared" si="178"/>
        <v>58.800000000000566</v>
      </c>
      <c r="B622">
        <f t="shared" si="182"/>
        <v>0.316</v>
      </c>
      <c r="C622">
        <f t="shared" si="183"/>
        <v>-33.347826086956893</v>
      </c>
      <c r="D622">
        <v>2.4220224385189209</v>
      </c>
      <c r="E622">
        <f t="shared" si="173"/>
        <v>0</v>
      </c>
      <c r="F622">
        <f t="shared" si="184"/>
        <v>4.8605058816845369E-2</v>
      </c>
      <c r="G622">
        <f t="shared" si="185"/>
        <v>39.513748498891111</v>
      </c>
      <c r="H622">
        <f t="shared" si="186"/>
        <v>0</v>
      </c>
      <c r="I622" s="1">
        <f t="shared" si="174"/>
        <v>0</v>
      </c>
      <c r="J622">
        <f t="shared" si="187"/>
        <v>0</v>
      </c>
      <c r="K622">
        <f t="shared" si="175"/>
        <v>0</v>
      </c>
      <c r="L622" cm="1">
        <f t="array" ref="L622">IF(E622*J622=0,0,$C$21*INDEX([3]Sheet1!$C$4:$Q$23,MATCH(K622,[3]Sheet1!$B$4:$B$23,1),MATCH(D622,[3]Sheet1!$C$3:$Q$3,1))
+(K622-INDEX([3]Sheet1!$B$4:$B$23,MATCH(K622,[3]Sheet1!$B$4:$B$23,1),1))/(INDEX([3]Sheet1!$B$4:$B$23,MATCH(K622,[3]Sheet1!$B$4:$B$23,1)+1,1)-INDEX([3]Sheet1!$B$4:$B$23,
MATCH(K622,[3]Sheet1!$B$4:$B$23,1),1))*(INDEX([3]Sheet1!$C$4:$Q$23,MATCH(K622,[3]Sheet1!$B$4:$B$23,1)+1,MATCH(D622,[3]Sheet1!$C$3:$Q$3,1))-INDEX([3]Sheet1!$C$4:$Q$23,
MATCH(K622,[3]Sheet1!$B$4:$B$23,1),MATCH(D622,[3]Sheet1!$C$3:$Q$3,1)))
+(D622-INDEX([3]Sheet1!$C$3:$Q$3,1,MATCH(D622,[3]Sheet1!$C$3:$Q$3)))/(INDEX([3]Sheet1!$C$3:$Q$3,1,MATCH(D622,[3]Sheet1!$C$3:$Q$3)+1)-INDEX([3]Sheet1!$C$3:$Q$3,1,MATCH(
D622,[3]Sheet1!$C$3:$Q$3)))*(INDEX([3]Sheet1!$C$4:$Q$23,MATCH(K622,[3]Sheet1!$B$4:$B$23,1),MATCH(D622,[3]Sheet1!$C$3:$Q$3,1)+1)-INDEX([3]Sheet1!$C$4:$Q$23,MATCH(K622,[3]Sheet1!$B$4:$B$23,1),MATCH(D622,[3]Sheet1!$C$3:$Q$3,1))))</f>
        <v>0</v>
      </c>
      <c r="M622" cm="1">
        <f t="array" ref="M622" xml:space="preserve"> IF(E622*J622=0,0,(INDEX([2]Sheet1!$C$4:$Q$23,MATCH(K622,[2]Sheet1!$B$4:$B$23,1),MATCH(D622,[2]Sheet1!$C$3:$Q$3,1))
+ (K622 - INDEX([2]Sheet1!$B$4:$B$23,MATCH(K622,[2]Sheet1!$B$4:$B$23,1),1))/(INDEX([2]Sheet1!$B$4:$B$23,MATCH(K622,[2]Sheet1!$B$4:$B$23,1)+1,1) - INDEX([2]Sheet1!$B$4:$B$23,MATCH(K622,[2]Sheet1!$B$4:$B$23,1),1))*(INDEX([2]Sheet1!$C$4:$Q$23,MATCH(K622,[2]Sheet1!$B$4:$B$23,1)+1,MATCH(D622,[2]Sheet1!$C$3:$Q$3,1)) - INDEX([2]Sheet1!$C$4:$Q$23,MATCH(K622,[2]Sheet1!$B$4:$B$23,1),MATCH(D622,[2]Sheet1!$C$3:$Q$3,1)))
+ (D622 - INDEX([2]Sheet1!$C$3:$Q$3,1,MATCH(D622,[2]Sheet1!$C$3:$Q$3)))/(INDEX([2]Sheet1!$C$3:$Q$3,1,MATCH(D622,[2]Sheet1!$C$3:$Q$3)+1) - INDEX([2]Sheet1!$C$3:$Q$3,1,MATCH(D622,[2]Sheet1!$C$3:$Q$3)))*(
INDEX([2]Sheet1!$C$4:$Q$23,MATCH(K622,[2]Sheet1!$B$4:$B$23,1),MATCH(D622,[2]Sheet1!$C$3:$Q$3,1)+1) - INDEX([2]Sheet1!$C$4:$Q$23,MATCH(K622,[2]Sheet1!$B$4:$B$23,1),MATCH(D622,[2]Sheet1!$C$3:$Q$3,1)))))</f>
        <v>0</v>
      </c>
      <c r="N622">
        <f t="shared" si="188"/>
        <v>12</v>
      </c>
      <c r="O622">
        <v>8.4224082009227194E-2</v>
      </c>
      <c r="P622" t="e">
        <f t="shared" si="189"/>
        <v>#DIV/0!</v>
      </c>
      <c r="Q622">
        <f t="shared" si="176"/>
        <v>0</v>
      </c>
      <c r="R622">
        <f t="shared" si="190"/>
        <v>741.9099431943954</v>
      </c>
      <c r="T622" t="e">
        <f t="shared" si="179"/>
        <v>#DIV/0!</v>
      </c>
      <c r="U622" t="e">
        <f t="shared" si="180"/>
        <v>#DIV/0!</v>
      </c>
      <c r="V622">
        <f t="shared" si="181"/>
        <v>0</v>
      </c>
      <c r="W622" t="e">
        <f t="shared" si="177"/>
        <v>#DIV/0!</v>
      </c>
    </row>
    <row r="623" spans="1:23" x14ac:dyDescent="0.55000000000000004">
      <c r="A623">
        <f t="shared" si="178"/>
        <v>58.900000000000567</v>
      </c>
      <c r="B623">
        <f t="shared" si="182"/>
        <v>0.316</v>
      </c>
      <c r="C623">
        <f t="shared" si="183"/>
        <v>-33.413043478261244</v>
      </c>
      <c r="D623">
        <v>2.4219584560309668</v>
      </c>
      <c r="E623">
        <f t="shared" si="173"/>
        <v>0</v>
      </c>
      <c r="F623">
        <f t="shared" si="184"/>
        <v>4.8605058816845369E-2</v>
      </c>
      <c r="G623">
        <f t="shared" si="185"/>
        <v>39.513748498891111</v>
      </c>
      <c r="H623">
        <f t="shared" si="186"/>
        <v>0</v>
      </c>
      <c r="I623" s="1">
        <f t="shared" si="174"/>
        <v>0</v>
      </c>
      <c r="J623">
        <f t="shared" si="187"/>
        <v>0</v>
      </c>
      <c r="K623">
        <f t="shared" si="175"/>
        <v>0</v>
      </c>
      <c r="L623" cm="1">
        <f t="array" ref="L623">IF(E623*J623=0,0,$C$21*INDEX([3]Sheet1!$C$4:$Q$23,MATCH(K623,[3]Sheet1!$B$4:$B$23,1),MATCH(D623,[3]Sheet1!$C$3:$Q$3,1))
+(K623-INDEX([3]Sheet1!$B$4:$B$23,MATCH(K623,[3]Sheet1!$B$4:$B$23,1),1))/(INDEX([3]Sheet1!$B$4:$B$23,MATCH(K623,[3]Sheet1!$B$4:$B$23,1)+1,1)-INDEX([3]Sheet1!$B$4:$B$23,
MATCH(K623,[3]Sheet1!$B$4:$B$23,1),1))*(INDEX([3]Sheet1!$C$4:$Q$23,MATCH(K623,[3]Sheet1!$B$4:$B$23,1)+1,MATCH(D623,[3]Sheet1!$C$3:$Q$3,1))-INDEX([3]Sheet1!$C$4:$Q$23,
MATCH(K623,[3]Sheet1!$B$4:$B$23,1),MATCH(D623,[3]Sheet1!$C$3:$Q$3,1)))
+(D623-INDEX([3]Sheet1!$C$3:$Q$3,1,MATCH(D623,[3]Sheet1!$C$3:$Q$3)))/(INDEX([3]Sheet1!$C$3:$Q$3,1,MATCH(D623,[3]Sheet1!$C$3:$Q$3)+1)-INDEX([3]Sheet1!$C$3:$Q$3,1,MATCH(
D623,[3]Sheet1!$C$3:$Q$3)))*(INDEX([3]Sheet1!$C$4:$Q$23,MATCH(K623,[3]Sheet1!$B$4:$B$23,1),MATCH(D623,[3]Sheet1!$C$3:$Q$3,1)+1)-INDEX([3]Sheet1!$C$4:$Q$23,MATCH(K623,[3]Sheet1!$B$4:$B$23,1),MATCH(D623,[3]Sheet1!$C$3:$Q$3,1))))</f>
        <v>0</v>
      </c>
      <c r="M623" cm="1">
        <f t="array" ref="M623" xml:space="preserve"> IF(E623*J623=0,0,(INDEX([2]Sheet1!$C$4:$Q$23,MATCH(K623,[2]Sheet1!$B$4:$B$23,1),MATCH(D623,[2]Sheet1!$C$3:$Q$3,1))
+ (K623 - INDEX([2]Sheet1!$B$4:$B$23,MATCH(K623,[2]Sheet1!$B$4:$B$23,1),1))/(INDEX([2]Sheet1!$B$4:$B$23,MATCH(K623,[2]Sheet1!$B$4:$B$23,1)+1,1) - INDEX([2]Sheet1!$B$4:$B$23,MATCH(K623,[2]Sheet1!$B$4:$B$23,1),1))*(INDEX([2]Sheet1!$C$4:$Q$23,MATCH(K623,[2]Sheet1!$B$4:$B$23,1)+1,MATCH(D623,[2]Sheet1!$C$3:$Q$3,1)) - INDEX([2]Sheet1!$C$4:$Q$23,MATCH(K623,[2]Sheet1!$B$4:$B$23,1),MATCH(D623,[2]Sheet1!$C$3:$Q$3,1)))
+ (D623 - INDEX([2]Sheet1!$C$3:$Q$3,1,MATCH(D623,[2]Sheet1!$C$3:$Q$3)))/(INDEX([2]Sheet1!$C$3:$Q$3,1,MATCH(D623,[2]Sheet1!$C$3:$Q$3)+1) - INDEX([2]Sheet1!$C$3:$Q$3,1,MATCH(D623,[2]Sheet1!$C$3:$Q$3)))*(
INDEX([2]Sheet1!$C$4:$Q$23,MATCH(K623,[2]Sheet1!$B$4:$B$23,1),MATCH(D623,[2]Sheet1!$C$3:$Q$3,1)+1) - INDEX([2]Sheet1!$C$4:$Q$23,MATCH(K623,[2]Sheet1!$B$4:$B$23,1),MATCH(D623,[2]Sheet1!$C$3:$Q$3,1)))))</f>
        <v>0</v>
      </c>
      <c r="N623">
        <f t="shared" si="188"/>
        <v>12</v>
      </c>
      <c r="O623">
        <v>8.4211464523627447E-2</v>
      </c>
      <c r="P623" t="e">
        <f t="shared" si="189"/>
        <v>#DIV/0!</v>
      </c>
      <c r="Q623">
        <f t="shared" si="176"/>
        <v>0</v>
      </c>
      <c r="R623">
        <f t="shared" si="190"/>
        <v>741.9099431943954</v>
      </c>
      <c r="T623" t="e">
        <f t="shared" si="179"/>
        <v>#DIV/0!</v>
      </c>
      <c r="U623" t="e">
        <f t="shared" si="180"/>
        <v>#DIV/0!</v>
      </c>
      <c r="V623">
        <f t="shared" si="181"/>
        <v>0</v>
      </c>
      <c r="W623" t="e">
        <f t="shared" si="177"/>
        <v>#DIV/0!</v>
      </c>
    </row>
    <row r="624" spans="1:23" x14ac:dyDescent="0.55000000000000004">
      <c r="A624">
        <f t="shared" si="178"/>
        <v>59.000000000000568</v>
      </c>
      <c r="B624">
        <f t="shared" si="182"/>
        <v>0.316</v>
      </c>
      <c r="C624">
        <f t="shared" si="183"/>
        <v>-33.478260869565588</v>
      </c>
      <c r="D624">
        <v>2.4218945508137053</v>
      </c>
      <c r="E624">
        <f t="shared" si="173"/>
        <v>0</v>
      </c>
      <c r="F624">
        <f t="shared" si="184"/>
        <v>4.8605058816845369E-2</v>
      </c>
      <c r="G624">
        <f t="shared" si="185"/>
        <v>39.513748498891111</v>
      </c>
      <c r="H624">
        <f t="shared" si="186"/>
        <v>0</v>
      </c>
      <c r="I624" s="1">
        <f t="shared" si="174"/>
        <v>0</v>
      </c>
      <c r="J624">
        <f t="shared" si="187"/>
        <v>0</v>
      </c>
      <c r="K624">
        <f t="shared" si="175"/>
        <v>0</v>
      </c>
      <c r="L624" cm="1">
        <f t="array" ref="L624">IF(E624*J624=0,0,$C$21*INDEX([3]Sheet1!$C$4:$Q$23,MATCH(K624,[3]Sheet1!$B$4:$B$23,1),MATCH(D624,[3]Sheet1!$C$3:$Q$3,1))
+(K624-INDEX([3]Sheet1!$B$4:$B$23,MATCH(K624,[3]Sheet1!$B$4:$B$23,1),1))/(INDEX([3]Sheet1!$B$4:$B$23,MATCH(K624,[3]Sheet1!$B$4:$B$23,1)+1,1)-INDEX([3]Sheet1!$B$4:$B$23,
MATCH(K624,[3]Sheet1!$B$4:$B$23,1),1))*(INDEX([3]Sheet1!$C$4:$Q$23,MATCH(K624,[3]Sheet1!$B$4:$B$23,1)+1,MATCH(D624,[3]Sheet1!$C$3:$Q$3,1))-INDEX([3]Sheet1!$C$4:$Q$23,
MATCH(K624,[3]Sheet1!$B$4:$B$23,1),MATCH(D624,[3]Sheet1!$C$3:$Q$3,1)))
+(D624-INDEX([3]Sheet1!$C$3:$Q$3,1,MATCH(D624,[3]Sheet1!$C$3:$Q$3)))/(INDEX([3]Sheet1!$C$3:$Q$3,1,MATCH(D624,[3]Sheet1!$C$3:$Q$3)+1)-INDEX([3]Sheet1!$C$3:$Q$3,1,MATCH(
D624,[3]Sheet1!$C$3:$Q$3)))*(INDEX([3]Sheet1!$C$4:$Q$23,MATCH(K624,[3]Sheet1!$B$4:$B$23,1),MATCH(D624,[3]Sheet1!$C$3:$Q$3,1)+1)-INDEX([3]Sheet1!$C$4:$Q$23,MATCH(K624,[3]Sheet1!$B$4:$B$23,1),MATCH(D624,[3]Sheet1!$C$3:$Q$3,1))))</f>
        <v>0</v>
      </c>
      <c r="M624" cm="1">
        <f t="array" ref="M624" xml:space="preserve"> IF(E624*J624=0,0,(INDEX([2]Sheet1!$C$4:$Q$23,MATCH(K624,[2]Sheet1!$B$4:$B$23,1),MATCH(D624,[2]Sheet1!$C$3:$Q$3,1))
+ (K624 - INDEX([2]Sheet1!$B$4:$B$23,MATCH(K624,[2]Sheet1!$B$4:$B$23,1),1))/(INDEX([2]Sheet1!$B$4:$B$23,MATCH(K624,[2]Sheet1!$B$4:$B$23,1)+1,1) - INDEX([2]Sheet1!$B$4:$B$23,MATCH(K624,[2]Sheet1!$B$4:$B$23,1),1))*(INDEX([2]Sheet1!$C$4:$Q$23,MATCH(K624,[2]Sheet1!$B$4:$B$23,1)+1,MATCH(D624,[2]Sheet1!$C$3:$Q$3,1)) - INDEX([2]Sheet1!$C$4:$Q$23,MATCH(K624,[2]Sheet1!$B$4:$B$23,1),MATCH(D624,[2]Sheet1!$C$3:$Q$3,1)))
+ (D624 - INDEX([2]Sheet1!$C$3:$Q$3,1,MATCH(D624,[2]Sheet1!$C$3:$Q$3)))/(INDEX([2]Sheet1!$C$3:$Q$3,1,MATCH(D624,[2]Sheet1!$C$3:$Q$3)+1) - INDEX([2]Sheet1!$C$3:$Q$3,1,MATCH(D624,[2]Sheet1!$C$3:$Q$3)))*(
INDEX([2]Sheet1!$C$4:$Q$23,MATCH(K624,[2]Sheet1!$B$4:$B$23,1),MATCH(D624,[2]Sheet1!$C$3:$Q$3,1)+1) - INDEX([2]Sheet1!$C$4:$Q$23,MATCH(K624,[2]Sheet1!$B$4:$B$23,1),MATCH(D624,[2]Sheet1!$C$3:$Q$3,1)))))</f>
        <v>0</v>
      </c>
      <c r="N624">
        <f t="shared" si="188"/>
        <v>12</v>
      </c>
      <c r="O624">
        <v>8.4198864131276058E-2</v>
      </c>
      <c r="P624" t="e">
        <f t="shared" si="189"/>
        <v>#DIV/0!</v>
      </c>
      <c r="Q624">
        <f t="shared" si="176"/>
        <v>0</v>
      </c>
      <c r="R624">
        <f t="shared" si="190"/>
        <v>741.9099431943954</v>
      </c>
      <c r="T624" t="e">
        <f t="shared" si="179"/>
        <v>#DIV/0!</v>
      </c>
      <c r="U624" t="e">
        <f t="shared" si="180"/>
        <v>#DIV/0!</v>
      </c>
      <c r="V624">
        <f t="shared" si="181"/>
        <v>0</v>
      </c>
      <c r="W624" t="e">
        <f t="shared" si="177"/>
        <v>#DIV/0!</v>
      </c>
    </row>
    <row r="625" spans="1:23" x14ac:dyDescent="0.55000000000000004">
      <c r="A625">
        <f t="shared" si="178"/>
        <v>59.10000000000057</v>
      </c>
      <c r="B625">
        <f t="shared" si="182"/>
        <v>0.316</v>
      </c>
      <c r="C625">
        <f t="shared" si="183"/>
        <v>-33.543478260869939</v>
      </c>
      <c r="D625">
        <v>2.4218307226741986</v>
      </c>
      <c r="E625">
        <f t="shared" si="173"/>
        <v>0</v>
      </c>
      <c r="F625">
        <f t="shared" si="184"/>
        <v>4.8605058816845369E-2</v>
      </c>
      <c r="G625">
        <f t="shared" si="185"/>
        <v>39.513748498891111</v>
      </c>
      <c r="H625">
        <f t="shared" si="186"/>
        <v>0</v>
      </c>
      <c r="I625" s="1">
        <f t="shared" si="174"/>
        <v>0</v>
      </c>
      <c r="J625">
        <f t="shared" si="187"/>
        <v>0</v>
      </c>
      <c r="K625">
        <f t="shared" si="175"/>
        <v>0</v>
      </c>
      <c r="L625" cm="1">
        <f t="array" ref="L625">IF(E625*J625=0,0,$C$21*INDEX([3]Sheet1!$C$4:$Q$23,MATCH(K625,[3]Sheet1!$B$4:$B$23,1),MATCH(D625,[3]Sheet1!$C$3:$Q$3,1))
+(K625-INDEX([3]Sheet1!$B$4:$B$23,MATCH(K625,[3]Sheet1!$B$4:$B$23,1),1))/(INDEX([3]Sheet1!$B$4:$B$23,MATCH(K625,[3]Sheet1!$B$4:$B$23,1)+1,1)-INDEX([3]Sheet1!$B$4:$B$23,
MATCH(K625,[3]Sheet1!$B$4:$B$23,1),1))*(INDEX([3]Sheet1!$C$4:$Q$23,MATCH(K625,[3]Sheet1!$B$4:$B$23,1)+1,MATCH(D625,[3]Sheet1!$C$3:$Q$3,1))-INDEX([3]Sheet1!$C$4:$Q$23,
MATCH(K625,[3]Sheet1!$B$4:$B$23,1),MATCH(D625,[3]Sheet1!$C$3:$Q$3,1)))
+(D625-INDEX([3]Sheet1!$C$3:$Q$3,1,MATCH(D625,[3]Sheet1!$C$3:$Q$3)))/(INDEX([3]Sheet1!$C$3:$Q$3,1,MATCH(D625,[3]Sheet1!$C$3:$Q$3)+1)-INDEX([3]Sheet1!$C$3:$Q$3,1,MATCH(
D625,[3]Sheet1!$C$3:$Q$3)))*(INDEX([3]Sheet1!$C$4:$Q$23,MATCH(K625,[3]Sheet1!$B$4:$B$23,1),MATCH(D625,[3]Sheet1!$C$3:$Q$3,1)+1)-INDEX([3]Sheet1!$C$4:$Q$23,MATCH(K625,[3]Sheet1!$B$4:$B$23,1),MATCH(D625,[3]Sheet1!$C$3:$Q$3,1))))</f>
        <v>0</v>
      </c>
      <c r="M625" cm="1">
        <f t="array" ref="M625" xml:space="preserve"> IF(E625*J625=0,0,(INDEX([2]Sheet1!$C$4:$Q$23,MATCH(K625,[2]Sheet1!$B$4:$B$23,1),MATCH(D625,[2]Sheet1!$C$3:$Q$3,1))
+ (K625 - INDEX([2]Sheet1!$B$4:$B$23,MATCH(K625,[2]Sheet1!$B$4:$B$23,1),1))/(INDEX([2]Sheet1!$B$4:$B$23,MATCH(K625,[2]Sheet1!$B$4:$B$23,1)+1,1) - INDEX([2]Sheet1!$B$4:$B$23,MATCH(K625,[2]Sheet1!$B$4:$B$23,1),1))*(INDEX([2]Sheet1!$C$4:$Q$23,MATCH(K625,[2]Sheet1!$B$4:$B$23,1)+1,MATCH(D625,[2]Sheet1!$C$3:$Q$3,1)) - INDEX([2]Sheet1!$C$4:$Q$23,MATCH(K625,[2]Sheet1!$B$4:$B$23,1),MATCH(D625,[2]Sheet1!$C$3:$Q$3,1)))
+ (D625 - INDEX([2]Sheet1!$C$3:$Q$3,1,MATCH(D625,[2]Sheet1!$C$3:$Q$3)))/(INDEX([2]Sheet1!$C$3:$Q$3,1,MATCH(D625,[2]Sheet1!$C$3:$Q$3)+1) - INDEX([2]Sheet1!$C$3:$Q$3,1,MATCH(D625,[2]Sheet1!$C$3:$Q$3)))*(
INDEX([2]Sheet1!$C$4:$Q$23,MATCH(K625,[2]Sheet1!$B$4:$B$23,1),MATCH(D625,[2]Sheet1!$C$3:$Q$3,1)+1) - INDEX([2]Sheet1!$C$4:$Q$23,MATCH(K625,[2]Sheet1!$B$4:$B$23,1),MATCH(D625,[2]Sheet1!$C$3:$Q$3,1)))))</f>
        <v>0</v>
      </c>
      <c r="N625">
        <f t="shared" si="188"/>
        <v>12</v>
      </c>
      <c r="O625">
        <v>8.418628078731559E-2</v>
      </c>
      <c r="P625" t="e">
        <f t="shared" si="189"/>
        <v>#DIV/0!</v>
      </c>
      <c r="Q625">
        <f t="shared" si="176"/>
        <v>0</v>
      </c>
      <c r="R625">
        <f t="shared" si="190"/>
        <v>741.9099431943954</v>
      </c>
      <c r="T625" t="e">
        <f t="shared" si="179"/>
        <v>#DIV/0!</v>
      </c>
      <c r="U625" t="e">
        <f t="shared" si="180"/>
        <v>#DIV/0!</v>
      </c>
      <c r="V625">
        <f t="shared" si="181"/>
        <v>0</v>
      </c>
      <c r="W625" t="e">
        <f t="shared" si="177"/>
        <v>#DIV/0!</v>
      </c>
    </row>
    <row r="626" spans="1:23" x14ac:dyDescent="0.55000000000000004">
      <c r="A626">
        <f t="shared" si="178"/>
        <v>59.200000000000571</v>
      </c>
      <c r="B626">
        <f t="shared" si="182"/>
        <v>0.316</v>
      </c>
      <c r="C626">
        <f t="shared" si="183"/>
        <v>-33.608695652174291</v>
      </c>
      <c r="D626">
        <v>2.4217669714202357</v>
      </c>
      <c r="E626">
        <f t="shared" si="173"/>
        <v>0</v>
      </c>
      <c r="F626">
        <f t="shared" si="184"/>
        <v>4.8605058816845369E-2</v>
      </c>
      <c r="G626">
        <f t="shared" si="185"/>
        <v>39.513748498891111</v>
      </c>
      <c r="H626">
        <f t="shared" si="186"/>
        <v>0</v>
      </c>
      <c r="I626" s="1">
        <f t="shared" si="174"/>
        <v>0</v>
      </c>
      <c r="J626">
        <f t="shared" si="187"/>
        <v>0</v>
      </c>
      <c r="K626">
        <f t="shared" si="175"/>
        <v>0</v>
      </c>
      <c r="L626" cm="1">
        <f t="array" ref="L626">IF(E626*J626=0,0,$C$21*INDEX([3]Sheet1!$C$4:$Q$23,MATCH(K626,[3]Sheet1!$B$4:$B$23,1),MATCH(D626,[3]Sheet1!$C$3:$Q$3,1))
+(K626-INDEX([3]Sheet1!$B$4:$B$23,MATCH(K626,[3]Sheet1!$B$4:$B$23,1),1))/(INDEX([3]Sheet1!$B$4:$B$23,MATCH(K626,[3]Sheet1!$B$4:$B$23,1)+1,1)-INDEX([3]Sheet1!$B$4:$B$23,
MATCH(K626,[3]Sheet1!$B$4:$B$23,1),1))*(INDEX([3]Sheet1!$C$4:$Q$23,MATCH(K626,[3]Sheet1!$B$4:$B$23,1)+1,MATCH(D626,[3]Sheet1!$C$3:$Q$3,1))-INDEX([3]Sheet1!$C$4:$Q$23,
MATCH(K626,[3]Sheet1!$B$4:$B$23,1),MATCH(D626,[3]Sheet1!$C$3:$Q$3,1)))
+(D626-INDEX([3]Sheet1!$C$3:$Q$3,1,MATCH(D626,[3]Sheet1!$C$3:$Q$3)))/(INDEX([3]Sheet1!$C$3:$Q$3,1,MATCH(D626,[3]Sheet1!$C$3:$Q$3)+1)-INDEX([3]Sheet1!$C$3:$Q$3,1,MATCH(
D626,[3]Sheet1!$C$3:$Q$3)))*(INDEX([3]Sheet1!$C$4:$Q$23,MATCH(K626,[3]Sheet1!$B$4:$B$23,1),MATCH(D626,[3]Sheet1!$C$3:$Q$3,1)+1)-INDEX([3]Sheet1!$C$4:$Q$23,MATCH(K626,[3]Sheet1!$B$4:$B$23,1),MATCH(D626,[3]Sheet1!$C$3:$Q$3,1))))</f>
        <v>0</v>
      </c>
      <c r="M626" cm="1">
        <f t="array" ref="M626" xml:space="preserve"> IF(E626*J626=0,0,(INDEX([2]Sheet1!$C$4:$Q$23,MATCH(K626,[2]Sheet1!$B$4:$B$23,1),MATCH(D626,[2]Sheet1!$C$3:$Q$3,1))
+ (K626 - INDEX([2]Sheet1!$B$4:$B$23,MATCH(K626,[2]Sheet1!$B$4:$B$23,1),1))/(INDEX([2]Sheet1!$B$4:$B$23,MATCH(K626,[2]Sheet1!$B$4:$B$23,1)+1,1) - INDEX([2]Sheet1!$B$4:$B$23,MATCH(K626,[2]Sheet1!$B$4:$B$23,1),1))*(INDEX([2]Sheet1!$C$4:$Q$23,MATCH(K626,[2]Sheet1!$B$4:$B$23,1)+1,MATCH(D626,[2]Sheet1!$C$3:$Q$3,1)) - INDEX([2]Sheet1!$C$4:$Q$23,MATCH(K626,[2]Sheet1!$B$4:$B$23,1),MATCH(D626,[2]Sheet1!$C$3:$Q$3,1)))
+ (D626 - INDEX([2]Sheet1!$C$3:$Q$3,1,MATCH(D626,[2]Sheet1!$C$3:$Q$3)))/(INDEX([2]Sheet1!$C$3:$Q$3,1,MATCH(D626,[2]Sheet1!$C$3:$Q$3)+1) - INDEX([2]Sheet1!$C$3:$Q$3,1,MATCH(D626,[2]Sheet1!$C$3:$Q$3)))*(
INDEX([2]Sheet1!$C$4:$Q$23,MATCH(K626,[2]Sheet1!$B$4:$B$23,1),MATCH(D626,[2]Sheet1!$C$3:$Q$3,1)+1) - INDEX([2]Sheet1!$C$4:$Q$23,MATCH(K626,[2]Sheet1!$B$4:$B$23,1),MATCH(D626,[2]Sheet1!$C$3:$Q$3,1)))))</f>
        <v>0</v>
      </c>
      <c r="N626">
        <f t="shared" si="188"/>
        <v>12</v>
      </c>
      <c r="O626">
        <v>8.4173714447063064E-2</v>
      </c>
      <c r="P626" t="e">
        <f t="shared" si="189"/>
        <v>#DIV/0!</v>
      </c>
      <c r="Q626">
        <f t="shared" si="176"/>
        <v>0</v>
      </c>
      <c r="R626">
        <f t="shared" si="190"/>
        <v>741.9099431943954</v>
      </c>
      <c r="T626" t="e">
        <f t="shared" si="179"/>
        <v>#DIV/0!</v>
      </c>
      <c r="U626" t="e">
        <f t="shared" si="180"/>
        <v>#DIV/0!</v>
      </c>
      <c r="V626">
        <f t="shared" si="181"/>
        <v>0</v>
      </c>
      <c r="W626" t="e">
        <f t="shared" si="177"/>
        <v>#DIV/0!</v>
      </c>
    </row>
    <row r="627" spans="1:23" x14ac:dyDescent="0.55000000000000004">
      <c r="A627">
        <f t="shared" si="178"/>
        <v>59.300000000000573</v>
      </c>
      <c r="B627">
        <f t="shared" si="182"/>
        <v>0.316</v>
      </c>
      <c r="C627">
        <f t="shared" si="183"/>
        <v>-33.673913043478635</v>
      </c>
      <c r="D627">
        <v>2.4217032968603274</v>
      </c>
      <c r="E627">
        <f t="shared" si="173"/>
        <v>0</v>
      </c>
      <c r="F627">
        <f t="shared" si="184"/>
        <v>4.8605058816845369E-2</v>
      </c>
      <c r="G627">
        <f t="shared" si="185"/>
        <v>39.513748498891111</v>
      </c>
      <c r="H627">
        <f t="shared" si="186"/>
        <v>0</v>
      </c>
      <c r="I627" s="1">
        <f t="shared" si="174"/>
        <v>0</v>
      </c>
      <c r="J627">
        <f t="shared" si="187"/>
        <v>0</v>
      </c>
      <c r="K627">
        <f t="shared" si="175"/>
        <v>0</v>
      </c>
      <c r="L627" cm="1">
        <f t="array" ref="L627">IF(E627*J627=0,0,$C$21*INDEX([3]Sheet1!$C$4:$Q$23,MATCH(K627,[3]Sheet1!$B$4:$B$23,1),MATCH(D627,[3]Sheet1!$C$3:$Q$3,1))
+(K627-INDEX([3]Sheet1!$B$4:$B$23,MATCH(K627,[3]Sheet1!$B$4:$B$23,1),1))/(INDEX([3]Sheet1!$B$4:$B$23,MATCH(K627,[3]Sheet1!$B$4:$B$23,1)+1,1)-INDEX([3]Sheet1!$B$4:$B$23,
MATCH(K627,[3]Sheet1!$B$4:$B$23,1),1))*(INDEX([3]Sheet1!$C$4:$Q$23,MATCH(K627,[3]Sheet1!$B$4:$B$23,1)+1,MATCH(D627,[3]Sheet1!$C$3:$Q$3,1))-INDEX([3]Sheet1!$C$4:$Q$23,
MATCH(K627,[3]Sheet1!$B$4:$B$23,1),MATCH(D627,[3]Sheet1!$C$3:$Q$3,1)))
+(D627-INDEX([3]Sheet1!$C$3:$Q$3,1,MATCH(D627,[3]Sheet1!$C$3:$Q$3)))/(INDEX([3]Sheet1!$C$3:$Q$3,1,MATCH(D627,[3]Sheet1!$C$3:$Q$3)+1)-INDEX([3]Sheet1!$C$3:$Q$3,1,MATCH(
D627,[3]Sheet1!$C$3:$Q$3)))*(INDEX([3]Sheet1!$C$4:$Q$23,MATCH(K627,[3]Sheet1!$B$4:$B$23,1),MATCH(D627,[3]Sheet1!$C$3:$Q$3,1)+1)-INDEX([3]Sheet1!$C$4:$Q$23,MATCH(K627,[3]Sheet1!$B$4:$B$23,1),MATCH(D627,[3]Sheet1!$C$3:$Q$3,1))))</f>
        <v>0</v>
      </c>
      <c r="M627" cm="1">
        <f t="array" ref="M627" xml:space="preserve"> IF(E627*J627=0,0,(INDEX([2]Sheet1!$C$4:$Q$23,MATCH(K627,[2]Sheet1!$B$4:$B$23,1),MATCH(D627,[2]Sheet1!$C$3:$Q$3,1))
+ (K627 - INDEX([2]Sheet1!$B$4:$B$23,MATCH(K627,[2]Sheet1!$B$4:$B$23,1),1))/(INDEX([2]Sheet1!$B$4:$B$23,MATCH(K627,[2]Sheet1!$B$4:$B$23,1)+1,1) - INDEX([2]Sheet1!$B$4:$B$23,MATCH(K627,[2]Sheet1!$B$4:$B$23,1),1))*(INDEX([2]Sheet1!$C$4:$Q$23,MATCH(K627,[2]Sheet1!$B$4:$B$23,1)+1,MATCH(D627,[2]Sheet1!$C$3:$Q$3,1)) - INDEX([2]Sheet1!$C$4:$Q$23,MATCH(K627,[2]Sheet1!$B$4:$B$23,1),MATCH(D627,[2]Sheet1!$C$3:$Q$3,1)))
+ (D627 - INDEX([2]Sheet1!$C$3:$Q$3,1,MATCH(D627,[2]Sheet1!$C$3:$Q$3)))/(INDEX([2]Sheet1!$C$3:$Q$3,1,MATCH(D627,[2]Sheet1!$C$3:$Q$3)+1) - INDEX([2]Sheet1!$C$3:$Q$3,1,MATCH(D627,[2]Sheet1!$C$3:$Q$3)))*(
INDEX([2]Sheet1!$C$4:$Q$23,MATCH(K627,[2]Sheet1!$B$4:$B$23,1),MATCH(D627,[2]Sheet1!$C$3:$Q$3,1)+1) - INDEX([2]Sheet1!$C$4:$Q$23,MATCH(K627,[2]Sheet1!$B$4:$B$23,1),MATCH(D627,[2]Sheet1!$C$3:$Q$3,1)))))</f>
        <v>0</v>
      </c>
      <c r="N627">
        <f t="shared" si="188"/>
        <v>12</v>
      </c>
      <c r="O627">
        <v>8.4161165066010041E-2</v>
      </c>
      <c r="P627" t="e">
        <f t="shared" si="189"/>
        <v>#DIV/0!</v>
      </c>
      <c r="Q627">
        <f t="shared" si="176"/>
        <v>0</v>
      </c>
      <c r="R627">
        <f t="shared" si="190"/>
        <v>741.9099431943954</v>
      </c>
      <c r="T627" t="e">
        <f t="shared" si="179"/>
        <v>#DIV/0!</v>
      </c>
      <c r="U627" t="e">
        <f t="shared" si="180"/>
        <v>#DIV/0!</v>
      </c>
      <c r="V627">
        <f t="shared" si="181"/>
        <v>0</v>
      </c>
      <c r="W627" t="e">
        <f t="shared" si="177"/>
        <v>#DIV/0!</v>
      </c>
    </row>
    <row r="628" spans="1:23" x14ac:dyDescent="0.55000000000000004">
      <c r="A628">
        <f t="shared" si="178"/>
        <v>59.400000000000574</v>
      </c>
      <c r="B628">
        <f t="shared" si="182"/>
        <v>0.316</v>
      </c>
      <c r="C628">
        <f t="shared" si="183"/>
        <v>-33.739130434782986</v>
      </c>
      <c r="D628">
        <v>2.4216396988037046</v>
      </c>
      <c r="E628">
        <f t="shared" si="173"/>
        <v>0</v>
      </c>
      <c r="F628">
        <f t="shared" si="184"/>
        <v>4.8605058816845369E-2</v>
      </c>
      <c r="G628">
        <f t="shared" si="185"/>
        <v>39.513748498891111</v>
      </c>
      <c r="H628">
        <f t="shared" si="186"/>
        <v>0</v>
      </c>
      <c r="I628" s="1">
        <f t="shared" si="174"/>
        <v>0</v>
      </c>
      <c r="J628">
        <f t="shared" si="187"/>
        <v>0</v>
      </c>
      <c r="K628">
        <f t="shared" si="175"/>
        <v>0</v>
      </c>
      <c r="L628" cm="1">
        <f t="array" ref="L628">IF(E628*J628=0,0,$C$21*INDEX([3]Sheet1!$C$4:$Q$23,MATCH(K628,[3]Sheet1!$B$4:$B$23,1),MATCH(D628,[3]Sheet1!$C$3:$Q$3,1))
+(K628-INDEX([3]Sheet1!$B$4:$B$23,MATCH(K628,[3]Sheet1!$B$4:$B$23,1),1))/(INDEX([3]Sheet1!$B$4:$B$23,MATCH(K628,[3]Sheet1!$B$4:$B$23,1)+1,1)-INDEX([3]Sheet1!$B$4:$B$23,
MATCH(K628,[3]Sheet1!$B$4:$B$23,1),1))*(INDEX([3]Sheet1!$C$4:$Q$23,MATCH(K628,[3]Sheet1!$B$4:$B$23,1)+1,MATCH(D628,[3]Sheet1!$C$3:$Q$3,1))-INDEX([3]Sheet1!$C$4:$Q$23,
MATCH(K628,[3]Sheet1!$B$4:$B$23,1),MATCH(D628,[3]Sheet1!$C$3:$Q$3,1)))
+(D628-INDEX([3]Sheet1!$C$3:$Q$3,1,MATCH(D628,[3]Sheet1!$C$3:$Q$3)))/(INDEX([3]Sheet1!$C$3:$Q$3,1,MATCH(D628,[3]Sheet1!$C$3:$Q$3)+1)-INDEX([3]Sheet1!$C$3:$Q$3,1,MATCH(
D628,[3]Sheet1!$C$3:$Q$3)))*(INDEX([3]Sheet1!$C$4:$Q$23,MATCH(K628,[3]Sheet1!$B$4:$B$23,1),MATCH(D628,[3]Sheet1!$C$3:$Q$3,1)+1)-INDEX([3]Sheet1!$C$4:$Q$23,MATCH(K628,[3]Sheet1!$B$4:$B$23,1),MATCH(D628,[3]Sheet1!$C$3:$Q$3,1))))</f>
        <v>0</v>
      </c>
      <c r="M628" cm="1">
        <f t="array" ref="M628" xml:space="preserve"> IF(E628*J628=0,0,(INDEX([2]Sheet1!$C$4:$Q$23,MATCH(K628,[2]Sheet1!$B$4:$B$23,1),MATCH(D628,[2]Sheet1!$C$3:$Q$3,1))
+ (K628 - INDEX([2]Sheet1!$B$4:$B$23,MATCH(K628,[2]Sheet1!$B$4:$B$23,1),1))/(INDEX([2]Sheet1!$B$4:$B$23,MATCH(K628,[2]Sheet1!$B$4:$B$23,1)+1,1) - INDEX([2]Sheet1!$B$4:$B$23,MATCH(K628,[2]Sheet1!$B$4:$B$23,1),1))*(INDEX([2]Sheet1!$C$4:$Q$23,MATCH(K628,[2]Sheet1!$B$4:$B$23,1)+1,MATCH(D628,[2]Sheet1!$C$3:$Q$3,1)) - INDEX([2]Sheet1!$C$4:$Q$23,MATCH(K628,[2]Sheet1!$B$4:$B$23,1),MATCH(D628,[2]Sheet1!$C$3:$Q$3,1)))
+ (D628 - INDEX([2]Sheet1!$C$3:$Q$3,1,MATCH(D628,[2]Sheet1!$C$3:$Q$3)))/(INDEX([2]Sheet1!$C$3:$Q$3,1,MATCH(D628,[2]Sheet1!$C$3:$Q$3)+1) - INDEX([2]Sheet1!$C$3:$Q$3,1,MATCH(D628,[2]Sheet1!$C$3:$Q$3)))*(
INDEX([2]Sheet1!$C$4:$Q$23,MATCH(K628,[2]Sheet1!$B$4:$B$23,1),MATCH(D628,[2]Sheet1!$C$3:$Q$3,1)+1) - INDEX([2]Sheet1!$C$4:$Q$23,MATCH(K628,[2]Sheet1!$B$4:$B$23,1),MATCH(D628,[2]Sheet1!$C$3:$Q$3,1)))))</f>
        <v>0</v>
      </c>
      <c r="N628">
        <f t="shared" si="188"/>
        <v>12</v>
      </c>
      <c r="O628">
        <v>8.4148632599820611E-2</v>
      </c>
      <c r="P628" t="e">
        <f t="shared" si="189"/>
        <v>#DIV/0!</v>
      </c>
      <c r="Q628">
        <f t="shared" si="176"/>
        <v>0</v>
      </c>
      <c r="R628">
        <f t="shared" si="190"/>
        <v>741.9099431943954</v>
      </c>
      <c r="T628" t="e">
        <f t="shared" si="179"/>
        <v>#DIV/0!</v>
      </c>
      <c r="U628" t="e">
        <f t="shared" si="180"/>
        <v>#DIV/0!</v>
      </c>
      <c r="V628">
        <f t="shared" si="181"/>
        <v>0</v>
      </c>
      <c r="W628" t="e">
        <f t="shared" si="177"/>
        <v>#DIV/0!</v>
      </c>
    </row>
    <row r="629" spans="1:23" x14ac:dyDescent="0.55000000000000004">
      <c r="A629">
        <f t="shared" si="178"/>
        <v>59.500000000000576</v>
      </c>
      <c r="B629">
        <f t="shared" si="182"/>
        <v>0.316</v>
      </c>
      <c r="C629">
        <f t="shared" si="183"/>
        <v>-33.804347826087337</v>
      </c>
      <c r="D629">
        <v>2.4215761770603152</v>
      </c>
      <c r="E629">
        <f t="shared" si="173"/>
        <v>0</v>
      </c>
      <c r="F629">
        <f t="shared" si="184"/>
        <v>4.8605058816845369E-2</v>
      </c>
      <c r="G629">
        <f t="shared" si="185"/>
        <v>39.513748498891111</v>
      </c>
      <c r="H629">
        <f t="shared" si="186"/>
        <v>0</v>
      </c>
      <c r="I629" s="1">
        <f t="shared" si="174"/>
        <v>0</v>
      </c>
      <c r="J629">
        <f t="shared" si="187"/>
        <v>0</v>
      </c>
      <c r="K629">
        <f t="shared" si="175"/>
        <v>0</v>
      </c>
      <c r="L629" cm="1">
        <f t="array" ref="L629">IF(E629*J629=0,0,$C$21*INDEX([3]Sheet1!$C$4:$Q$23,MATCH(K629,[3]Sheet1!$B$4:$B$23,1),MATCH(D629,[3]Sheet1!$C$3:$Q$3,1))
+(K629-INDEX([3]Sheet1!$B$4:$B$23,MATCH(K629,[3]Sheet1!$B$4:$B$23,1),1))/(INDEX([3]Sheet1!$B$4:$B$23,MATCH(K629,[3]Sheet1!$B$4:$B$23,1)+1,1)-INDEX([3]Sheet1!$B$4:$B$23,
MATCH(K629,[3]Sheet1!$B$4:$B$23,1),1))*(INDEX([3]Sheet1!$C$4:$Q$23,MATCH(K629,[3]Sheet1!$B$4:$B$23,1)+1,MATCH(D629,[3]Sheet1!$C$3:$Q$3,1))-INDEX([3]Sheet1!$C$4:$Q$23,
MATCH(K629,[3]Sheet1!$B$4:$B$23,1),MATCH(D629,[3]Sheet1!$C$3:$Q$3,1)))
+(D629-INDEX([3]Sheet1!$C$3:$Q$3,1,MATCH(D629,[3]Sheet1!$C$3:$Q$3)))/(INDEX([3]Sheet1!$C$3:$Q$3,1,MATCH(D629,[3]Sheet1!$C$3:$Q$3)+1)-INDEX([3]Sheet1!$C$3:$Q$3,1,MATCH(
D629,[3]Sheet1!$C$3:$Q$3)))*(INDEX([3]Sheet1!$C$4:$Q$23,MATCH(K629,[3]Sheet1!$B$4:$B$23,1),MATCH(D629,[3]Sheet1!$C$3:$Q$3,1)+1)-INDEX([3]Sheet1!$C$4:$Q$23,MATCH(K629,[3]Sheet1!$B$4:$B$23,1),MATCH(D629,[3]Sheet1!$C$3:$Q$3,1))))</f>
        <v>0</v>
      </c>
      <c r="M629" cm="1">
        <f t="array" ref="M629" xml:space="preserve"> IF(E629*J629=0,0,(INDEX([2]Sheet1!$C$4:$Q$23,MATCH(K629,[2]Sheet1!$B$4:$B$23,1),MATCH(D629,[2]Sheet1!$C$3:$Q$3,1))
+ (K629 - INDEX([2]Sheet1!$B$4:$B$23,MATCH(K629,[2]Sheet1!$B$4:$B$23,1),1))/(INDEX([2]Sheet1!$B$4:$B$23,MATCH(K629,[2]Sheet1!$B$4:$B$23,1)+1,1) - INDEX([2]Sheet1!$B$4:$B$23,MATCH(K629,[2]Sheet1!$B$4:$B$23,1),1))*(INDEX([2]Sheet1!$C$4:$Q$23,MATCH(K629,[2]Sheet1!$B$4:$B$23,1)+1,MATCH(D629,[2]Sheet1!$C$3:$Q$3,1)) - INDEX([2]Sheet1!$C$4:$Q$23,MATCH(K629,[2]Sheet1!$B$4:$B$23,1),MATCH(D629,[2]Sheet1!$C$3:$Q$3,1)))
+ (D629 - INDEX([2]Sheet1!$C$3:$Q$3,1,MATCH(D629,[2]Sheet1!$C$3:$Q$3)))/(INDEX([2]Sheet1!$C$3:$Q$3,1,MATCH(D629,[2]Sheet1!$C$3:$Q$3)+1) - INDEX([2]Sheet1!$C$3:$Q$3,1,MATCH(D629,[2]Sheet1!$C$3:$Q$3)))*(
INDEX([2]Sheet1!$C$4:$Q$23,MATCH(K629,[2]Sheet1!$B$4:$B$23,1),MATCH(D629,[2]Sheet1!$C$3:$Q$3,1)+1) - INDEX([2]Sheet1!$C$4:$Q$23,MATCH(K629,[2]Sheet1!$B$4:$B$23,1),MATCH(D629,[2]Sheet1!$C$3:$Q$3,1)))))</f>
        <v>0</v>
      </c>
      <c r="N629">
        <f t="shared" si="188"/>
        <v>12</v>
      </c>
      <c r="O629">
        <v>8.4136117004332156E-2</v>
      </c>
      <c r="P629" t="e">
        <f t="shared" si="189"/>
        <v>#DIV/0!</v>
      </c>
      <c r="Q629">
        <f t="shared" si="176"/>
        <v>0</v>
      </c>
      <c r="R629">
        <f t="shared" si="190"/>
        <v>741.9099431943954</v>
      </c>
      <c r="T629" t="e">
        <f t="shared" si="179"/>
        <v>#DIV/0!</v>
      </c>
      <c r="U629" t="e">
        <f t="shared" si="180"/>
        <v>#DIV/0!</v>
      </c>
      <c r="V629">
        <f t="shared" si="181"/>
        <v>0</v>
      </c>
      <c r="W629" t="e">
        <f t="shared" si="177"/>
        <v>#DIV/0!</v>
      </c>
    </row>
    <row r="630" spans="1:23" x14ac:dyDescent="0.55000000000000004">
      <c r="A630">
        <f t="shared" si="178"/>
        <v>59.600000000000577</v>
      </c>
      <c r="B630">
        <f t="shared" si="182"/>
        <v>0.316</v>
      </c>
      <c r="C630">
        <f t="shared" si="183"/>
        <v>-33.869565217391681</v>
      </c>
      <c r="D630">
        <v>2.4215127314408185</v>
      </c>
      <c r="E630">
        <f t="shared" si="173"/>
        <v>0</v>
      </c>
      <c r="F630">
        <f t="shared" si="184"/>
        <v>4.8605058816845369E-2</v>
      </c>
      <c r="G630">
        <f t="shared" si="185"/>
        <v>39.513748498891111</v>
      </c>
      <c r="H630">
        <f t="shared" si="186"/>
        <v>0</v>
      </c>
      <c r="I630" s="1">
        <f t="shared" si="174"/>
        <v>0</v>
      </c>
      <c r="J630">
        <f t="shared" si="187"/>
        <v>0</v>
      </c>
      <c r="K630">
        <f t="shared" si="175"/>
        <v>0</v>
      </c>
      <c r="L630" cm="1">
        <f t="array" ref="L630">IF(E630*J630=0,0,$C$21*INDEX([3]Sheet1!$C$4:$Q$23,MATCH(K630,[3]Sheet1!$B$4:$B$23,1),MATCH(D630,[3]Sheet1!$C$3:$Q$3,1))
+(K630-INDEX([3]Sheet1!$B$4:$B$23,MATCH(K630,[3]Sheet1!$B$4:$B$23,1),1))/(INDEX([3]Sheet1!$B$4:$B$23,MATCH(K630,[3]Sheet1!$B$4:$B$23,1)+1,1)-INDEX([3]Sheet1!$B$4:$B$23,
MATCH(K630,[3]Sheet1!$B$4:$B$23,1),1))*(INDEX([3]Sheet1!$C$4:$Q$23,MATCH(K630,[3]Sheet1!$B$4:$B$23,1)+1,MATCH(D630,[3]Sheet1!$C$3:$Q$3,1))-INDEX([3]Sheet1!$C$4:$Q$23,
MATCH(K630,[3]Sheet1!$B$4:$B$23,1),MATCH(D630,[3]Sheet1!$C$3:$Q$3,1)))
+(D630-INDEX([3]Sheet1!$C$3:$Q$3,1,MATCH(D630,[3]Sheet1!$C$3:$Q$3)))/(INDEX([3]Sheet1!$C$3:$Q$3,1,MATCH(D630,[3]Sheet1!$C$3:$Q$3)+1)-INDEX([3]Sheet1!$C$3:$Q$3,1,MATCH(
D630,[3]Sheet1!$C$3:$Q$3)))*(INDEX([3]Sheet1!$C$4:$Q$23,MATCH(K630,[3]Sheet1!$B$4:$B$23,1),MATCH(D630,[3]Sheet1!$C$3:$Q$3,1)+1)-INDEX([3]Sheet1!$C$4:$Q$23,MATCH(K630,[3]Sheet1!$B$4:$B$23,1),MATCH(D630,[3]Sheet1!$C$3:$Q$3,1))))</f>
        <v>0</v>
      </c>
      <c r="M630" cm="1">
        <f t="array" ref="M630" xml:space="preserve"> IF(E630*J630=0,0,(INDEX([2]Sheet1!$C$4:$Q$23,MATCH(K630,[2]Sheet1!$B$4:$B$23,1),MATCH(D630,[2]Sheet1!$C$3:$Q$3,1))
+ (K630 - INDEX([2]Sheet1!$B$4:$B$23,MATCH(K630,[2]Sheet1!$B$4:$B$23,1),1))/(INDEX([2]Sheet1!$B$4:$B$23,MATCH(K630,[2]Sheet1!$B$4:$B$23,1)+1,1) - INDEX([2]Sheet1!$B$4:$B$23,MATCH(K630,[2]Sheet1!$B$4:$B$23,1),1))*(INDEX([2]Sheet1!$C$4:$Q$23,MATCH(K630,[2]Sheet1!$B$4:$B$23,1)+1,MATCH(D630,[2]Sheet1!$C$3:$Q$3,1)) - INDEX([2]Sheet1!$C$4:$Q$23,MATCH(K630,[2]Sheet1!$B$4:$B$23,1),MATCH(D630,[2]Sheet1!$C$3:$Q$3,1)))
+ (D630 - INDEX([2]Sheet1!$C$3:$Q$3,1,MATCH(D630,[2]Sheet1!$C$3:$Q$3)))/(INDEX([2]Sheet1!$C$3:$Q$3,1,MATCH(D630,[2]Sheet1!$C$3:$Q$3)+1) - INDEX([2]Sheet1!$C$3:$Q$3,1,MATCH(D630,[2]Sheet1!$C$3:$Q$3)))*(
INDEX([2]Sheet1!$C$4:$Q$23,MATCH(K630,[2]Sheet1!$B$4:$B$23,1),MATCH(D630,[2]Sheet1!$C$3:$Q$3,1)+1) - INDEX([2]Sheet1!$C$4:$Q$23,MATCH(K630,[2]Sheet1!$B$4:$B$23,1),MATCH(D630,[2]Sheet1!$C$3:$Q$3,1)))))</f>
        <v>0</v>
      </c>
      <c r="N630">
        <f t="shared" si="188"/>
        <v>12</v>
      </c>
      <c r="O630">
        <v>8.4123618235552866E-2</v>
      </c>
      <c r="P630" t="e">
        <f t="shared" si="189"/>
        <v>#DIV/0!</v>
      </c>
      <c r="Q630">
        <f t="shared" si="176"/>
        <v>0</v>
      </c>
      <c r="R630">
        <f t="shared" si="190"/>
        <v>741.9099431943954</v>
      </c>
      <c r="T630" t="e">
        <f t="shared" si="179"/>
        <v>#DIV/0!</v>
      </c>
      <c r="U630" t="e">
        <f t="shared" si="180"/>
        <v>#DIV/0!</v>
      </c>
      <c r="V630">
        <f t="shared" si="181"/>
        <v>0</v>
      </c>
      <c r="W630" t="e">
        <f t="shared" si="177"/>
        <v>#DIV/0!</v>
      </c>
    </row>
    <row r="631" spans="1:23" x14ac:dyDescent="0.55000000000000004">
      <c r="A631">
        <f t="shared" si="178"/>
        <v>59.700000000000578</v>
      </c>
      <c r="B631">
        <f t="shared" si="182"/>
        <v>0.316</v>
      </c>
      <c r="C631">
        <f t="shared" si="183"/>
        <v>-33.934782608696032</v>
      </c>
      <c r="D631">
        <v>2.4214493617565829</v>
      </c>
      <c r="E631">
        <f t="shared" si="173"/>
        <v>0</v>
      </c>
      <c r="F631">
        <f t="shared" si="184"/>
        <v>4.8605058816845369E-2</v>
      </c>
      <c r="G631">
        <f t="shared" si="185"/>
        <v>39.513748498891111</v>
      </c>
      <c r="H631">
        <f t="shared" si="186"/>
        <v>0</v>
      </c>
      <c r="I631" s="1">
        <f t="shared" si="174"/>
        <v>0</v>
      </c>
      <c r="J631">
        <f t="shared" si="187"/>
        <v>0</v>
      </c>
      <c r="K631">
        <f t="shared" si="175"/>
        <v>0</v>
      </c>
      <c r="L631" cm="1">
        <f t="array" ref="L631">IF(E631*J631=0,0,$C$21*INDEX([3]Sheet1!$C$4:$Q$23,MATCH(K631,[3]Sheet1!$B$4:$B$23,1),MATCH(D631,[3]Sheet1!$C$3:$Q$3,1))
+(K631-INDEX([3]Sheet1!$B$4:$B$23,MATCH(K631,[3]Sheet1!$B$4:$B$23,1),1))/(INDEX([3]Sheet1!$B$4:$B$23,MATCH(K631,[3]Sheet1!$B$4:$B$23,1)+1,1)-INDEX([3]Sheet1!$B$4:$B$23,
MATCH(K631,[3]Sheet1!$B$4:$B$23,1),1))*(INDEX([3]Sheet1!$C$4:$Q$23,MATCH(K631,[3]Sheet1!$B$4:$B$23,1)+1,MATCH(D631,[3]Sheet1!$C$3:$Q$3,1))-INDEX([3]Sheet1!$C$4:$Q$23,
MATCH(K631,[3]Sheet1!$B$4:$B$23,1),MATCH(D631,[3]Sheet1!$C$3:$Q$3,1)))
+(D631-INDEX([3]Sheet1!$C$3:$Q$3,1,MATCH(D631,[3]Sheet1!$C$3:$Q$3)))/(INDEX([3]Sheet1!$C$3:$Q$3,1,MATCH(D631,[3]Sheet1!$C$3:$Q$3)+1)-INDEX([3]Sheet1!$C$3:$Q$3,1,MATCH(
D631,[3]Sheet1!$C$3:$Q$3)))*(INDEX([3]Sheet1!$C$4:$Q$23,MATCH(K631,[3]Sheet1!$B$4:$B$23,1),MATCH(D631,[3]Sheet1!$C$3:$Q$3,1)+1)-INDEX([3]Sheet1!$C$4:$Q$23,MATCH(K631,[3]Sheet1!$B$4:$B$23,1),MATCH(D631,[3]Sheet1!$C$3:$Q$3,1))))</f>
        <v>0</v>
      </c>
      <c r="M631" cm="1">
        <f t="array" ref="M631" xml:space="preserve"> IF(E631*J631=0,0,(INDEX([2]Sheet1!$C$4:$Q$23,MATCH(K631,[2]Sheet1!$B$4:$B$23,1),MATCH(D631,[2]Sheet1!$C$3:$Q$3,1))
+ (K631 - INDEX([2]Sheet1!$B$4:$B$23,MATCH(K631,[2]Sheet1!$B$4:$B$23,1),1))/(INDEX([2]Sheet1!$B$4:$B$23,MATCH(K631,[2]Sheet1!$B$4:$B$23,1)+1,1) - INDEX([2]Sheet1!$B$4:$B$23,MATCH(K631,[2]Sheet1!$B$4:$B$23,1),1))*(INDEX([2]Sheet1!$C$4:$Q$23,MATCH(K631,[2]Sheet1!$B$4:$B$23,1)+1,MATCH(D631,[2]Sheet1!$C$3:$Q$3,1)) - INDEX([2]Sheet1!$C$4:$Q$23,MATCH(K631,[2]Sheet1!$B$4:$B$23,1),MATCH(D631,[2]Sheet1!$C$3:$Q$3,1)))
+ (D631 - INDEX([2]Sheet1!$C$3:$Q$3,1,MATCH(D631,[2]Sheet1!$C$3:$Q$3)))/(INDEX([2]Sheet1!$C$3:$Q$3,1,MATCH(D631,[2]Sheet1!$C$3:$Q$3)+1) - INDEX([2]Sheet1!$C$3:$Q$3,1,MATCH(D631,[2]Sheet1!$C$3:$Q$3)))*(
INDEX([2]Sheet1!$C$4:$Q$23,MATCH(K631,[2]Sheet1!$B$4:$B$23,1),MATCH(D631,[2]Sheet1!$C$3:$Q$3,1)+1) - INDEX([2]Sheet1!$C$4:$Q$23,MATCH(K631,[2]Sheet1!$B$4:$B$23,1),MATCH(D631,[2]Sheet1!$C$3:$Q$3,1)))))</f>
        <v>0</v>
      </c>
      <c r="N631">
        <f t="shared" si="188"/>
        <v>12</v>
      </c>
      <c r="O631">
        <v>8.4111136249661128E-2</v>
      </c>
      <c r="P631" t="e">
        <f t="shared" si="189"/>
        <v>#DIV/0!</v>
      </c>
      <c r="Q631">
        <f t="shared" si="176"/>
        <v>0</v>
      </c>
      <c r="R631">
        <f t="shared" si="190"/>
        <v>741.9099431943954</v>
      </c>
      <c r="T631" t="e">
        <f>((2/(M631+1))^(1/(M631-1)))*((D631/O631)^(1/M631))/SQRT(((M631+1)/(M631-1))*(1-(O631/D631)^((M631-1)/M631)))</f>
        <v>#DIV/0!</v>
      </c>
      <c r="U631" t="e">
        <f t="shared" si="180"/>
        <v>#DIV/0!</v>
      </c>
      <c r="V631">
        <f t="shared" si="181"/>
        <v>0</v>
      </c>
      <c r="W631" t="e">
        <f t="shared" si="177"/>
        <v>#DIV/0!</v>
      </c>
    </row>
    <row r="632" spans="1:23" x14ac:dyDescent="0.55000000000000004">
      <c r="A632">
        <f t="shared" si="178"/>
        <v>59.80000000000058</v>
      </c>
      <c r="B632">
        <f t="shared" si="182"/>
        <v>0.316</v>
      </c>
      <c r="C632">
        <f t="shared" si="183"/>
        <v>-34.000000000000384</v>
      </c>
      <c r="D632">
        <v>2.4213860678196797</v>
      </c>
      <c r="E632">
        <f>IF(B632&lt;($C$5*$C$6*10^-6),$C$9*(PI()/4*($C$8*0.001)^2)*SQRT(2*$C$6*IF(C632&gt;D632,(C632-D632),0)*10^6),0)</f>
        <v>0</v>
      </c>
      <c r="F632">
        <f>F631+(J631+J630)*(A632-A631)/2</f>
        <v>4.8605058816845369E-2</v>
      </c>
      <c r="G632">
        <f>IF(SQRT(4*F632/($C$15*PI()*$C$11*$C$12*0.001)+($C$13*0.001)^2)*1000&lt;$C$14,SQRT(4*F632/($C$15*PI()*$C$11*$C$12*0.001)+($C$13*0.001)^2)*1000,$C$14)</f>
        <v>39.513748498891111</v>
      </c>
      <c r="H632">
        <f>4*E632/($C$15*PI()*(G632*0.001)^2)</f>
        <v>0</v>
      </c>
      <c r="I632" s="1">
        <f t="shared" si="174"/>
        <v>0</v>
      </c>
      <c r="J632" s="1">
        <f>($C$12*10^-3)*PI()*(G632*10^-3)*$C$11*(I632*10^-3)*$C$15</f>
        <v>0</v>
      </c>
      <c r="K632">
        <f>IF(E632*J632=0,0,E632/J632)</f>
        <v>0</v>
      </c>
      <c r="L632" cm="1">
        <f t="array" ref="L632">IF(E632*J632=0,0,$C$21*INDEX([3]Sheet1!$C$4:$Q$23,MATCH(K632,[3]Sheet1!$B$4:$B$23,1),MATCH(D632,[3]Sheet1!$C$3:$Q$3,1))
+(K632-INDEX([3]Sheet1!$B$4:$B$23,MATCH(K632,[3]Sheet1!$B$4:$B$23,1),1))/(INDEX([3]Sheet1!$B$4:$B$23,MATCH(K632,[3]Sheet1!$B$4:$B$23,1)+1,1)-INDEX([3]Sheet1!$B$4:$B$23,
MATCH(K632,[3]Sheet1!$B$4:$B$23,1),1))*(INDEX([3]Sheet1!$C$4:$Q$23,MATCH(K632,[3]Sheet1!$B$4:$B$23,1)+1,MATCH(D632,[3]Sheet1!$C$3:$Q$3,1))-INDEX([3]Sheet1!$C$4:$Q$23,
MATCH(K632,[3]Sheet1!$B$4:$B$23,1),MATCH(D632,[3]Sheet1!$C$3:$Q$3,1)))
+(D632-INDEX([3]Sheet1!$C$3:$Q$3,1,MATCH(D632,[3]Sheet1!$C$3:$Q$3)))/(INDEX([3]Sheet1!$C$3:$Q$3,1,MATCH(D632,[3]Sheet1!$C$3:$Q$3)+1)-INDEX([3]Sheet1!$C$3:$Q$3,1,MATCH(
D632,[3]Sheet1!$C$3:$Q$3)))*(INDEX([3]Sheet1!$C$4:$Q$23,MATCH(K632,[3]Sheet1!$B$4:$B$23,1),MATCH(D632,[3]Sheet1!$C$3:$Q$3,1)+1)-INDEX([3]Sheet1!$C$4:$Q$23,MATCH(K632,[3]Sheet1!$B$4:$B$23,1),MATCH(D632,[3]Sheet1!$C$3:$Q$3,1))))</f>
        <v>0</v>
      </c>
      <c r="M632" cm="1">
        <f t="array" ref="M632" xml:space="preserve"> IF(E632*J632=0,0,(INDEX([2]Sheet1!$C$4:$Q$23,MATCH(K632,[2]Sheet1!$B$4:$B$23,1),MATCH(D632,[2]Sheet1!$C$3:$Q$3,1))
+ (K632 - INDEX([2]Sheet1!$B$4:$B$23,MATCH(K632,[2]Sheet1!$B$4:$B$23,1),1))/(INDEX([2]Sheet1!$B$4:$B$23,MATCH(K632,[2]Sheet1!$B$4:$B$23,1)+1,1) - INDEX([2]Sheet1!$B$4:$B$23,MATCH(K632,[2]Sheet1!$B$4:$B$23,1),1))*(INDEX([2]Sheet1!$C$4:$Q$23,MATCH(K632,[2]Sheet1!$B$4:$B$23,1)+1,MATCH(D632,[2]Sheet1!$C$3:$Q$3,1)) - INDEX([2]Sheet1!$C$4:$Q$23,MATCH(K632,[2]Sheet1!$B$4:$B$23,1),MATCH(D632,[2]Sheet1!$C$3:$Q$3,1)))
+ (D632 - INDEX([2]Sheet1!$C$3:$Q$3,1,MATCH(D632,[2]Sheet1!$C$3:$Q$3)))/(INDEX([2]Sheet1!$C$3:$Q$3,1,MATCH(D632,[2]Sheet1!$C$3:$Q$3)+1) - INDEX([2]Sheet1!$C$3:$Q$3,1,MATCH(D632,[2]Sheet1!$C$3:$Q$3)))*(
INDEX([2]Sheet1!$C$4:$Q$23,MATCH(K632,[2]Sheet1!$B$4:$B$23,1),MATCH(D632,[2]Sheet1!$C$3:$Q$3,1)+1) - INDEX([2]Sheet1!$C$4:$Q$23,MATCH(K632,[2]Sheet1!$B$4:$B$23,1),MATCH(D632,[2]Sheet1!$C$3:$Q$3,1)))))</f>
        <v>0</v>
      </c>
      <c r="N632">
        <f t="shared" si="188"/>
        <v>12</v>
      </c>
      <c r="O632">
        <v>8.4098671003005693E-2</v>
      </c>
      <c r="P632" t="e">
        <f t="shared" si="189"/>
        <v>#DIV/0!</v>
      </c>
      <c r="Q632">
        <f t="shared" si="176"/>
        <v>0</v>
      </c>
      <c r="R632">
        <f t="shared" si="190"/>
        <v>741.9099431943954</v>
      </c>
      <c r="T632" t="e">
        <f t="shared" si="179"/>
        <v>#DIV/0!</v>
      </c>
      <c r="U632" t="e">
        <f t="shared" si="180"/>
        <v>#DIV/0!</v>
      </c>
      <c r="V632">
        <f t="shared" si="181"/>
        <v>0</v>
      </c>
      <c r="W632" t="e">
        <f t="shared" si="177"/>
        <v>#DIV/0!</v>
      </c>
    </row>
    <row r="633" spans="1:23" x14ac:dyDescent="0.55000000000000004">
      <c r="A633">
        <f t="shared" si="178"/>
        <v>59.900000000000581</v>
      </c>
      <c r="B633">
        <f t="shared" si="182"/>
        <v>0.316</v>
      </c>
      <c r="C633">
        <f t="shared" si="183"/>
        <v>-34.065217391304735</v>
      </c>
      <c r="D633">
        <v>2.4213228494428871</v>
      </c>
      <c r="E633">
        <f t="shared" si="173"/>
        <v>0</v>
      </c>
      <c r="F633">
        <f t="shared" si="184"/>
        <v>4.8605058816845369E-2</v>
      </c>
      <c r="G633">
        <f t="shared" si="185"/>
        <v>39.513748498891111</v>
      </c>
      <c r="H633">
        <f t="shared" si="186"/>
        <v>0</v>
      </c>
      <c r="I633" s="1">
        <f t="shared" si="174"/>
        <v>0</v>
      </c>
      <c r="J633">
        <f t="shared" si="187"/>
        <v>0</v>
      </c>
      <c r="K633">
        <f t="shared" si="175"/>
        <v>0</v>
      </c>
      <c r="L633" cm="1">
        <f t="array" ref="L633">IF(E633*J633=0,0,$C$21*INDEX([3]Sheet1!$C$4:$Q$23,MATCH(K633,[3]Sheet1!$B$4:$B$23,1),MATCH(D633,[3]Sheet1!$C$3:$Q$3,1))
+(K633-INDEX([3]Sheet1!$B$4:$B$23,MATCH(K633,[3]Sheet1!$B$4:$B$23,1),1))/(INDEX([3]Sheet1!$B$4:$B$23,MATCH(K633,[3]Sheet1!$B$4:$B$23,1)+1,1)-INDEX([3]Sheet1!$B$4:$B$23,
MATCH(K633,[3]Sheet1!$B$4:$B$23,1),1))*(INDEX([3]Sheet1!$C$4:$Q$23,MATCH(K633,[3]Sheet1!$B$4:$B$23,1)+1,MATCH(D633,[3]Sheet1!$C$3:$Q$3,1))-INDEX([3]Sheet1!$C$4:$Q$23,
MATCH(K633,[3]Sheet1!$B$4:$B$23,1),MATCH(D633,[3]Sheet1!$C$3:$Q$3,1)))
+(D633-INDEX([3]Sheet1!$C$3:$Q$3,1,MATCH(D633,[3]Sheet1!$C$3:$Q$3)))/(INDEX([3]Sheet1!$C$3:$Q$3,1,MATCH(D633,[3]Sheet1!$C$3:$Q$3)+1)-INDEX([3]Sheet1!$C$3:$Q$3,1,MATCH(
D633,[3]Sheet1!$C$3:$Q$3)))*(INDEX([3]Sheet1!$C$4:$Q$23,MATCH(K633,[3]Sheet1!$B$4:$B$23,1),MATCH(D633,[3]Sheet1!$C$3:$Q$3,1)+1)-INDEX([3]Sheet1!$C$4:$Q$23,MATCH(K633,[3]Sheet1!$B$4:$B$23,1),MATCH(D633,[3]Sheet1!$C$3:$Q$3,1))))</f>
        <v>0</v>
      </c>
      <c r="M633" cm="1">
        <f t="array" ref="M633" xml:space="preserve"> IF(E633*J633=0,0,(INDEX([2]Sheet1!$C$4:$Q$23,MATCH(K633,[2]Sheet1!$B$4:$B$23,1),MATCH(D633,[2]Sheet1!$C$3:$Q$3,1))
+ (K633 - INDEX([2]Sheet1!$B$4:$B$23,MATCH(K633,[2]Sheet1!$B$4:$B$23,1),1))/(INDEX([2]Sheet1!$B$4:$B$23,MATCH(K633,[2]Sheet1!$B$4:$B$23,1)+1,1) - INDEX([2]Sheet1!$B$4:$B$23,MATCH(K633,[2]Sheet1!$B$4:$B$23,1),1))*(INDEX([2]Sheet1!$C$4:$Q$23,MATCH(K633,[2]Sheet1!$B$4:$B$23,1)+1,MATCH(D633,[2]Sheet1!$C$3:$Q$3,1)) - INDEX([2]Sheet1!$C$4:$Q$23,MATCH(K633,[2]Sheet1!$B$4:$B$23,1),MATCH(D633,[2]Sheet1!$C$3:$Q$3,1)))
+ (D633 - INDEX([2]Sheet1!$C$3:$Q$3,1,MATCH(D633,[2]Sheet1!$C$3:$Q$3)))/(INDEX([2]Sheet1!$C$3:$Q$3,1,MATCH(D633,[2]Sheet1!$C$3:$Q$3)+1) - INDEX([2]Sheet1!$C$3:$Q$3,1,MATCH(D633,[2]Sheet1!$C$3:$Q$3)))*(
INDEX([2]Sheet1!$C$4:$Q$23,MATCH(K633,[2]Sheet1!$B$4:$B$23,1),MATCH(D633,[2]Sheet1!$C$3:$Q$3,1)+1) - INDEX([2]Sheet1!$C$4:$Q$23,MATCH(K633,[2]Sheet1!$B$4:$B$23,1),MATCH(D633,[2]Sheet1!$C$3:$Q$3,1)))))</f>
        <v>0</v>
      </c>
      <c r="N633">
        <f t="shared" si="188"/>
        <v>12</v>
      </c>
      <c r="O633">
        <v>8.4086222452103607E-2</v>
      </c>
      <c r="P633" t="e">
        <f t="shared" si="189"/>
        <v>#DIV/0!</v>
      </c>
      <c r="Q633">
        <f t="shared" si="176"/>
        <v>0</v>
      </c>
      <c r="R633">
        <f t="shared" si="190"/>
        <v>741.9099431943954</v>
      </c>
      <c r="T633" t="e">
        <f t="shared" si="179"/>
        <v>#DIV/0!</v>
      </c>
      <c r="U633" t="e">
        <f t="shared" si="180"/>
        <v>#DIV/0!</v>
      </c>
      <c r="V633">
        <f t="shared" si="181"/>
        <v>0</v>
      </c>
      <c r="W633" t="e">
        <f t="shared" si="177"/>
        <v>#DIV/0!</v>
      </c>
    </row>
    <row r="634" spans="1:23" x14ac:dyDescent="0.55000000000000004">
      <c r="A634">
        <f t="shared" si="178"/>
        <v>60.000000000000583</v>
      </c>
      <c r="B634">
        <f t="shared" si="182"/>
        <v>0.316</v>
      </c>
      <c r="C634">
        <f t="shared" si="183"/>
        <v>-34.130434782609079</v>
      </c>
      <c r="D634">
        <v>2.4212597064396761</v>
      </c>
      <c r="E634">
        <f t="shared" si="173"/>
        <v>0</v>
      </c>
      <c r="F634">
        <f t="shared" si="184"/>
        <v>4.8605058816845369E-2</v>
      </c>
      <c r="G634">
        <f t="shared" si="185"/>
        <v>39.513748498891111</v>
      </c>
      <c r="H634">
        <f t="shared" si="186"/>
        <v>0</v>
      </c>
      <c r="I634" s="1">
        <f t="shared" si="174"/>
        <v>0</v>
      </c>
      <c r="J634">
        <f t="shared" si="187"/>
        <v>0</v>
      </c>
      <c r="K634">
        <f t="shared" si="175"/>
        <v>0</v>
      </c>
      <c r="L634" cm="1">
        <f t="array" ref="L634">IF(E634*J634=0,0,$C$21*INDEX([3]Sheet1!$C$4:$Q$23,MATCH(K634,[3]Sheet1!$B$4:$B$23,1),MATCH(D634,[3]Sheet1!$C$3:$Q$3,1))
+(K634-INDEX([3]Sheet1!$B$4:$B$23,MATCH(K634,[3]Sheet1!$B$4:$B$23,1),1))/(INDEX([3]Sheet1!$B$4:$B$23,MATCH(K634,[3]Sheet1!$B$4:$B$23,1)+1,1)-INDEX([3]Sheet1!$B$4:$B$23,
MATCH(K634,[3]Sheet1!$B$4:$B$23,1),1))*(INDEX([3]Sheet1!$C$4:$Q$23,MATCH(K634,[3]Sheet1!$B$4:$B$23,1)+1,MATCH(D634,[3]Sheet1!$C$3:$Q$3,1))-INDEX([3]Sheet1!$C$4:$Q$23,
MATCH(K634,[3]Sheet1!$B$4:$B$23,1),MATCH(D634,[3]Sheet1!$C$3:$Q$3,1)))
+(D634-INDEX([3]Sheet1!$C$3:$Q$3,1,MATCH(D634,[3]Sheet1!$C$3:$Q$3)))/(INDEX([3]Sheet1!$C$3:$Q$3,1,MATCH(D634,[3]Sheet1!$C$3:$Q$3)+1)-INDEX([3]Sheet1!$C$3:$Q$3,1,MATCH(
D634,[3]Sheet1!$C$3:$Q$3)))*(INDEX([3]Sheet1!$C$4:$Q$23,MATCH(K634,[3]Sheet1!$B$4:$B$23,1),MATCH(D634,[3]Sheet1!$C$3:$Q$3,1)+1)-INDEX([3]Sheet1!$C$4:$Q$23,MATCH(K634,[3]Sheet1!$B$4:$B$23,1),MATCH(D634,[3]Sheet1!$C$3:$Q$3,1))))</f>
        <v>0</v>
      </c>
      <c r="M634" cm="1">
        <f t="array" ref="M634" xml:space="preserve"> IF(E634*J634=0,0,(INDEX([2]Sheet1!$C$4:$Q$23,MATCH(K634,[2]Sheet1!$B$4:$B$23,1),MATCH(D634,[2]Sheet1!$C$3:$Q$3,1))
+ (K634 - INDEX([2]Sheet1!$B$4:$B$23,MATCH(K634,[2]Sheet1!$B$4:$B$23,1),1))/(INDEX([2]Sheet1!$B$4:$B$23,MATCH(K634,[2]Sheet1!$B$4:$B$23,1)+1,1) - INDEX([2]Sheet1!$B$4:$B$23,MATCH(K634,[2]Sheet1!$B$4:$B$23,1),1))*(INDEX([2]Sheet1!$C$4:$Q$23,MATCH(K634,[2]Sheet1!$B$4:$B$23,1)+1,MATCH(D634,[2]Sheet1!$C$3:$Q$3,1)) - INDEX([2]Sheet1!$C$4:$Q$23,MATCH(K634,[2]Sheet1!$B$4:$B$23,1),MATCH(D634,[2]Sheet1!$C$3:$Q$3,1)))
+ (D634 - INDEX([2]Sheet1!$C$3:$Q$3,1,MATCH(D634,[2]Sheet1!$C$3:$Q$3)))/(INDEX([2]Sheet1!$C$3:$Q$3,1,MATCH(D634,[2]Sheet1!$C$3:$Q$3)+1) - INDEX([2]Sheet1!$C$3:$Q$3,1,MATCH(D634,[2]Sheet1!$C$3:$Q$3)))*(
INDEX([2]Sheet1!$C$4:$Q$23,MATCH(K634,[2]Sheet1!$B$4:$B$23,1),MATCH(D634,[2]Sheet1!$C$3:$Q$3,1)+1) - INDEX([2]Sheet1!$C$4:$Q$23,MATCH(K634,[2]Sheet1!$B$4:$B$23,1),MATCH(D634,[2]Sheet1!$C$3:$Q$3,1)))))</f>
        <v>0</v>
      </c>
      <c r="N634">
        <f t="shared" si="188"/>
        <v>12</v>
      </c>
      <c r="O634">
        <v>8.4073790553639921E-2</v>
      </c>
      <c r="P634" t="e">
        <f t="shared" si="189"/>
        <v>#DIV/0!</v>
      </c>
      <c r="Q634">
        <f t="shared" si="176"/>
        <v>0</v>
      </c>
      <c r="R634">
        <f t="shared" si="190"/>
        <v>741.9099431943954</v>
      </c>
      <c r="T634" t="e">
        <f t="shared" si="179"/>
        <v>#DIV/0!</v>
      </c>
      <c r="U634" t="e">
        <f>(T634-(($C$24^2)/(N634^2)))/(($C$24^2)/(N634^2))*100</f>
        <v>#DIV/0!</v>
      </c>
      <c r="V634">
        <f t="shared" si="181"/>
        <v>0</v>
      </c>
      <c r="W634" t="e">
        <f t="shared" si="177"/>
        <v>#DIV/0!</v>
      </c>
    </row>
    <row r="635" spans="1:23" x14ac:dyDescent="0.55000000000000004">
      <c r="A635">
        <f t="shared" si="178"/>
        <v>60.100000000000584</v>
      </c>
      <c r="B635">
        <f t="shared" si="182"/>
        <v>0.316</v>
      </c>
      <c r="C635">
        <f t="shared" ref="C635:C698" si="191">($C$3-$C$2)*A635/$C$4+$C$2</f>
        <v>-34.195652173913423</v>
      </c>
      <c r="D635">
        <v>2.4211966386242154</v>
      </c>
      <c r="E635">
        <f t="shared" ref="E635:E698" si="192">IF(B635&lt;($C$5*$C$6*10^-6),$C$9*(PI()/4*($C$8*0.001)^2)*SQRT(2*$C$6*IF(C635&gt;D635,(C635-D635),0)*10^6),0)</f>
        <v>0</v>
      </c>
      <c r="F635">
        <f t="shared" ref="F635:F698" si="193">F634+(J634+J633)*(A635-A634)/2</f>
        <v>4.8605058816845369E-2</v>
      </c>
      <c r="G635">
        <f t="shared" ref="G635:G698" si="194">IF(SQRT(4*F635/($C$15*PI()*$C$11*$C$12*0.001)+($C$13*0.001)^2)*1000&lt;$C$14,SQRT(4*F635/($C$15*PI()*$C$11*$C$12*0.001)+($C$13*0.001)^2)*1000,$C$14)</f>
        <v>39.513748498891111</v>
      </c>
      <c r="H635">
        <f t="shared" ref="H635:H698" si="195">4*E635/($C$15*PI()*(G635*0.001)^2)</f>
        <v>0</v>
      </c>
      <c r="I635" s="1">
        <f t="shared" si="174"/>
        <v>0</v>
      </c>
      <c r="J635">
        <f t="shared" ref="J635:J698" si="196">($C$12*10^-3)*PI()*(G635*10^-3)*$C$11*(I635*10^-3)*$C$15</f>
        <v>0</v>
      </c>
      <c r="K635">
        <f t="shared" ref="K635:K698" si="197">IF(E635*J635=0,0,E635/J635)</f>
        <v>0</v>
      </c>
      <c r="L635" cm="1">
        <f t="array" ref="L635">IF(E635*J635=0,0,$C$21*INDEX([3]Sheet1!$C$4:$Q$23,MATCH(K635,[3]Sheet1!$B$4:$B$23,1),MATCH(D635,[3]Sheet1!$C$3:$Q$3,1))
+(K635-INDEX([3]Sheet1!$B$4:$B$23,MATCH(K635,[3]Sheet1!$B$4:$B$23,1),1))/(INDEX([3]Sheet1!$B$4:$B$23,MATCH(K635,[3]Sheet1!$B$4:$B$23,1)+1,1)-INDEX([3]Sheet1!$B$4:$B$23,
MATCH(K635,[3]Sheet1!$B$4:$B$23,1),1))*(INDEX([3]Sheet1!$C$4:$Q$23,MATCH(K635,[3]Sheet1!$B$4:$B$23,1)+1,MATCH(D635,[3]Sheet1!$C$3:$Q$3,1))-INDEX([3]Sheet1!$C$4:$Q$23,
MATCH(K635,[3]Sheet1!$B$4:$B$23,1),MATCH(D635,[3]Sheet1!$C$3:$Q$3,1)))
+(D635-INDEX([3]Sheet1!$C$3:$Q$3,1,MATCH(D635,[3]Sheet1!$C$3:$Q$3)))/(INDEX([3]Sheet1!$C$3:$Q$3,1,MATCH(D635,[3]Sheet1!$C$3:$Q$3)+1)-INDEX([3]Sheet1!$C$3:$Q$3,1,MATCH(
D635,[3]Sheet1!$C$3:$Q$3)))*(INDEX([3]Sheet1!$C$4:$Q$23,MATCH(K635,[3]Sheet1!$B$4:$B$23,1),MATCH(D635,[3]Sheet1!$C$3:$Q$3,1)+1)-INDEX([3]Sheet1!$C$4:$Q$23,MATCH(K635,[3]Sheet1!$B$4:$B$23,1),MATCH(D635,[3]Sheet1!$C$3:$Q$3,1))))</f>
        <v>0</v>
      </c>
      <c r="M635" cm="1">
        <f t="array" ref="M635" xml:space="preserve"> IF(E635*J635=0,0,(INDEX([2]Sheet1!$C$4:$Q$23,MATCH(K635,[2]Sheet1!$B$4:$B$23,1),MATCH(D635,[2]Sheet1!$C$3:$Q$3,1))
+ (K635 - INDEX([2]Sheet1!$B$4:$B$23,MATCH(K635,[2]Sheet1!$B$4:$B$23,1),1))/(INDEX([2]Sheet1!$B$4:$B$23,MATCH(K635,[2]Sheet1!$B$4:$B$23,1)+1,1) - INDEX([2]Sheet1!$B$4:$B$23,MATCH(K635,[2]Sheet1!$B$4:$B$23,1),1))*(INDEX([2]Sheet1!$C$4:$Q$23,MATCH(K635,[2]Sheet1!$B$4:$B$23,1)+1,MATCH(D635,[2]Sheet1!$C$3:$Q$3,1)) - INDEX([2]Sheet1!$C$4:$Q$23,MATCH(K635,[2]Sheet1!$B$4:$B$23,1),MATCH(D635,[2]Sheet1!$C$3:$Q$3,1)))
+ (D635 - INDEX([2]Sheet1!$C$3:$Q$3,1,MATCH(D635,[2]Sheet1!$C$3:$Q$3)))/(INDEX([2]Sheet1!$C$3:$Q$3,1,MATCH(D635,[2]Sheet1!$C$3:$Q$3)+1) - INDEX([2]Sheet1!$C$3:$Q$3,1,MATCH(D635,[2]Sheet1!$C$3:$Q$3)))*(
INDEX([2]Sheet1!$C$4:$Q$23,MATCH(K635,[2]Sheet1!$B$4:$B$23,1),MATCH(D635,[2]Sheet1!$C$3:$Q$3,1)+1) - INDEX([2]Sheet1!$C$4:$Q$23,MATCH(K635,[2]Sheet1!$B$4:$B$23,1),MATCH(D635,[2]Sheet1!$C$3:$Q$3,1)))))</f>
        <v>0</v>
      </c>
      <c r="N635">
        <f t="shared" ref="N635:N698" si="198">C$23+$C$26*(A636-A635)</f>
        <v>12</v>
      </c>
      <c r="O635">
        <v>8.4061375264466762E-2</v>
      </c>
      <c r="P635" t="e">
        <f t="shared" ref="P635:P698" si="199">SQRT(2*(M635^2)/(M635-1)*((2/(M635+1))^((M635+1)/(M635-1)))*(1-(O635/D635)^((M635-1)/M635)))+((O635-$C$22)/D635)*(($C$24^2)/($C$23^2))</f>
        <v>#DIV/0!</v>
      </c>
      <c r="Q635">
        <f t="shared" ref="Q635:Q698" si="200">IF(E635*J635=0,0,((1+COS(RADIANS($C$25)))/2)*P635*D635*(PI()*($C$23^2)/4))</f>
        <v>0</v>
      </c>
      <c r="R635">
        <f t="shared" ref="R635:R698" si="201">R634+(Q635+Q634)*(A635-A634)/2</f>
        <v>741.9099431943954</v>
      </c>
      <c r="T635" t="e">
        <f t="shared" ref="T635:T698" si="202">((2/(M635+1))^(1/(M635-1)))*((D635/O635)^(1/M635))/SQRT(((M635+1)/(M635-1))*(1-(O635/D635)^((M635-1)/M635)))</f>
        <v>#DIV/0!</v>
      </c>
      <c r="U635" t="e">
        <f t="shared" ref="U635:U698" si="203">(T635-(($C$24^2)/(N635^2)))/(($C$24^2)/(N635^2))*100</f>
        <v>#DIV/0!</v>
      </c>
      <c r="V635">
        <f t="shared" ref="V635:V698" si="204">4*L635*(E635+J635)/(PI()*N635^2)</f>
        <v>0</v>
      </c>
      <c r="W635" t="e">
        <f t="shared" ref="W635:W698" si="205">(D635-V635)/V635*100</f>
        <v>#DIV/0!</v>
      </c>
    </row>
    <row r="636" spans="1:23" x14ac:dyDescent="0.55000000000000004">
      <c r="A636">
        <f t="shared" si="178"/>
        <v>60.200000000000585</v>
      </c>
      <c r="B636">
        <f t="shared" si="182"/>
        <v>0.316</v>
      </c>
      <c r="C636">
        <f t="shared" si="191"/>
        <v>-34.260869565217774</v>
      </c>
      <c r="D636">
        <v>2.421133645811365</v>
      </c>
      <c r="E636">
        <f t="shared" si="192"/>
        <v>0</v>
      </c>
      <c r="F636">
        <f t="shared" si="193"/>
        <v>4.8605058816845369E-2</v>
      </c>
      <c r="G636">
        <f t="shared" si="194"/>
        <v>39.513748498891111</v>
      </c>
      <c r="H636">
        <f t="shared" si="195"/>
        <v>0</v>
      </c>
      <c r="I636" s="1">
        <f t="shared" si="174"/>
        <v>0</v>
      </c>
      <c r="J636">
        <f t="shared" si="196"/>
        <v>0</v>
      </c>
      <c r="K636">
        <f t="shared" si="197"/>
        <v>0</v>
      </c>
      <c r="L636" cm="1">
        <f t="array" ref="L636">IF(E636*J636=0,0,$C$21*INDEX([3]Sheet1!$C$4:$Q$23,MATCH(K636,[3]Sheet1!$B$4:$B$23,1),MATCH(D636,[3]Sheet1!$C$3:$Q$3,1))
+(K636-INDEX([3]Sheet1!$B$4:$B$23,MATCH(K636,[3]Sheet1!$B$4:$B$23,1),1))/(INDEX([3]Sheet1!$B$4:$B$23,MATCH(K636,[3]Sheet1!$B$4:$B$23,1)+1,1)-INDEX([3]Sheet1!$B$4:$B$23,
MATCH(K636,[3]Sheet1!$B$4:$B$23,1),1))*(INDEX([3]Sheet1!$C$4:$Q$23,MATCH(K636,[3]Sheet1!$B$4:$B$23,1)+1,MATCH(D636,[3]Sheet1!$C$3:$Q$3,1))-INDEX([3]Sheet1!$C$4:$Q$23,
MATCH(K636,[3]Sheet1!$B$4:$B$23,1),MATCH(D636,[3]Sheet1!$C$3:$Q$3,1)))
+(D636-INDEX([3]Sheet1!$C$3:$Q$3,1,MATCH(D636,[3]Sheet1!$C$3:$Q$3)))/(INDEX([3]Sheet1!$C$3:$Q$3,1,MATCH(D636,[3]Sheet1!$C$3:$Q$3)+1)-INDEX([3]Sheet1!$C$3:$Q$3,1,MATCH(
D636,[3]Sheet1!$C$3:$Q$3)))*(INDEX([3]Sheet1!$C$4:$Q$23,MATCH(K636,[3]Sheet1!$B$4:$B$23,1),MATCH(D636,[3]Sheet1!$C$3:$Q$3,1)+1)-INDEX([3]Sheet1!$C$4:$Q$23,MATCH(K636,[3]Sheet1!$B$4:$B$23,1),MATCH(D636,[3]Sheet1!$C$3:$Q$3,1))))</f>
        <v>0</v>
      </c>
      <c r="M636" cm="1">
        <f t="array" ref="M636" xml:space="preserve"> IF(E636*J636=0,0,(INDEX([2]Sheet1!$C$4:$Q$23,MATCH(K636,[2]Sheet1!$B$4:$B$23,1),MATCH(D636,[2]Sheet1!$C$3:$Q$3,1))
+ (K636 - INDEX([2]Sheet1!$B$4:$B$23,MATCH(K636,[2]Sheet1!$B$4:$B$23,1),1))/(INDEX([2]Sheet1!$B$4:$B$23,MATCH(K636,[2]Sheet1!$B$4:$B$23,1)+1,1) - INDEX([2]Sheet1!$B$4:$B$23,MATCH(K636,[2]Sheet1!$B$4:$B$23,1),1))*(INDEX([2]Sheet1!$C$4:$Q$23,MATCH(K636,[2]Sheet1!$B$4:$B$23,1)+1,MATCH(D636,[2]Sheet1!$C$3:$Q$3,1)) - INDEX([2]Sheet1!$C$4:$Q$23,MATCH(K636,[2]Sheet1!$B$4:$B$23,1),MATCH(D636,[2]Sheet1!$C$3:$Q$3,1)))
+ (D636 - INDEX([2]Sheet1!$C$3:$Q$3,1,MATCH(D636,[2]Sheet1!$C$3:$Q$3)))/(INDEX([2]Sheet1!$C$3:$Q$3,1,MATCH(D636,[2]Sheet1!$C$3:$Q$3)+1) - INDEX([2]Sheet1!$C$3:$Q$3,1,MATCH(D636,[2]Sheet1!$C$3:$Q$3)))*(
INDEX([2]Sheet1!$C$4:$Q$23,MATCH(K636,[2]Sheet1!$B$4:$B$23,1),MATCH(D636,[2]Sheet1!$C$3:$Q$3,1)+1) - INDEX([2]Sheet1!$C$4:$Q$23,MATCH(K636,[2]Sheet1!$B$4:$B$23,1),MATCH(D636,[2]Sheet1!$C$3:$Q$3,1)))))</f>
        <v>0</v>
      </c>
      <c r="N636">
        <f t="shared" si="198"/>
        <v>12</v>
      </c>
      <c r="O636">
        <v>8.4048976541602843E-2</v>
      </c>
      <c r="P636" t="e">
        <f t="shared" si="199"/>
        <v>#DIV/0!</v>
      </c>
      <c r="Q636">
        <f t="shared" si="200"/>
        <v>0</v>
      </c>
      <c r="R636">
        <f t="shared" si="201"/>
        <v>741.9099431943954</v>
      </c>
      <c r="T636" t="e">
        <f t="shared" si="202"/>
        <v>#DIV/0!</v>
      </c>
      <c r="U636" t="e">
        <f t="shared" si="203"/>
        <v>#DIV/0!</v>
      </c>
      <c r="V636">
        <f t="shared" si="204"/>
        <v>0</v>
      </c>
      <c r="W636" t="e">
        <f t="shared" si="205"/>
        <v>#DIV/0!</v>
      </c>
    </row>
    <row r="637" spans="1:23" x14ac:dyDescent="0.55000000000000004">
      <c r="A637">
        <f t="shared" si="178"/>
        <v>60.300000000000587</v>
      </c>
      <c r="B637">
        <f t="shared" si="182"/>
        <v>0.316</v>
      </c>
      <c r="C637">
        <f t="shared" si="191"/>
        <v>-34.326086956522126</v>
      </c>
      <c r="D637">
        <v>2.4210707278166717</v>
      </c>
      <c r="E637">
        <f t="shared" si="192"/>
        <v>0</v>
      </c>
      <c r="F637">
        <f t="shared" si="193"/>
        <v>4.8605058816845369E-2</v>
      </c>
      <c r="G637">
        <f t="shared" si="194"/>
        <v>39.513748498891111</v>
      </c>
      <c r="H637">
        <f t="shared" si="195"/>
        <v>0</v>
      </c>
      <c r="I637" s="1">
        <f t="shared" si="174"/>
        <v>0</v>
      </c>
      <c r="J637">
        <f t="shared" si="196"/>
        <v>0</v>
      </c>
      <c r="K637">
        <f t="shared" si="197"/>
        <v>0</v>
      </c>
      <c r="L637" cm="1">
        <f t="array" ref="L637">IF(E637*J637=0,0,$C$21*INDEX([3]Sheet1!$C$4:$Q$23,MATCH(K637,[3]Sheet1!$B$4:$B$23,1),MATCH(D637,[3]Sheet1!$C$3:$Q$3,1))
+(K637-INDEX([3]Sheet1!$B$4:$B$23,MATCH(K637,[3]Sheet1!$B$4:$B$23,1),1))/(INDEX([3]Sheet1!$B$4:$B$23,MATCH(K637,[3]Sheet1!$B$4:$B$23,1)+1,1)-INDEX([3]Sheet1!$B$4:$B$23,
MATCH(K637,[3]Sheet1!$B$4:$B$23,1),1))*(INDEX([3]Sheet1!$C$4:$Q$23,MATCH(K637,[3]Sheet1!$B$4:$B$23,1)+1,MATCH(D637,[3]Sheet1!$C$3:$Q$3,1))-INDEX([3]Sheet1!$C$4:$Q$23,
MATCH(K637,[3]Sheet1!$B$4:$B$23,1),MATCH(D637,[3]Sheet1!$C$3:$Q$3,1)))
+(D637-INDEX([3]Sheet1!$C$3:$Q$3,1,MATCH(D637,[3]Sheet1!$C$3:$Q$3)))/(INDEX([3]Sheet1!$C$3:$Q$3,1,MATCH(D637,[3]Sheet1!$C$3:$Q$3)+1)-INDEX([3]Sheet1!$C$3:$Q$3,1,MATCH(
D637,[3]Sheet1!$C$3:$Q$3)))*(INDEX([3]Sheet1!$C$4:$Q$23,MATCH(K637,[3]Sheet1!$B$4:$B$23,1),MATCH(D637,[3]Sheet1!$C$3:$Q$3,1)+1)-INDEX([3]Sheet1!$C$4:$Q$23,MATCH(K637,[3]Sheet1!$B$4:$B$23,1),MATCH(D637,[3]Sheet1!$C$3:$Q$3,1))))</f>
        <v>0</v>
      </c>
      <c r="M637" cm="1">
        <f t="array" ref="M637" xml:space="preserve"> IF(E637*J637=0,0,(INDEX([2]Sheet1!$C$4:$Q$23,MATCH(K637,[2]Sheet1!$B$4:$B$23,1),MATCH(D637,[2]Sheet1!$C$3:$Q$3,1))
+ (K637 - INDEX([2]Sheet1!$B$4:$B$23,MATCH(K637,[2]Sheet1!$B$4:$B$23,1),1))/(INDEX([2]Sheet1!$B$4:$B$23,MATCH(K637,[2]Sheet1!$B$4:$B$23,1)+1,1) - INDEX([2]Sheet1!$B$4:$B$23,MATCH(K637,[2]Sheet1!$B$4:$B$23,1),1))*(INDEX([2]Sheet1!$C$4:$Q$23,MATCH(K637,[2]Sheet1!$B$4:$B$23,1)+1,MATCH(D637,[2]Sheet1!$C$3:$Q$3,1)) - INDEX([2]Sheet1!$C$4:$Q$23,MATCH(K637,[2]Sheet1!$B$4:$B$23,1),MATCH(D637,[2]Sheet1!$C$3:$Q$3,1)))
+ (D637 - INDEX([2]Sheet1!$C$3:$Q$3,1,MATCH(D637,[2]Sheet1!$C$3:$Q$3)))/(INDEX([2]Sheet1!$C$3:$Q$3,1,MATCH(D637,[2]Sheet1!$C$3:$Q$3)+1) - INDEX([2]Sheet1!$C$3:$Q$3,1,MATCH(D637,[2]Sheet1!$C$3:$Q$3)))*(
INDEX([2]Sheet1!$C$4:$Q$23,MATCH(K637,[2]Sheet1!$B$4:$B$23,1),MATCH(D637,[2]Sheet1!$C$3:$Q$3,1)+1) - INDEX([2]Sheet1!$C$4:$Q$23,MATCH(K637,[2]Sheet1!$B$4:$B$23,1),MATCH(D637,[2]Sheet1!$C$3:$Q$3,1)))))</f>
        <v>0</v>
      </c>
      <c r="N637">
        <f t="shared" si="198"/>
        <v>12</v>
      </c>
      <c r="O637">
        <v>8.4036594342231388E-2</v>
      </c>
      <c r="P637" t="e">
        <f t="shared" si="199"/>
        <v>#DIV/0!</v>
      </c>
      <c r="Q637">
        <f t="shared" si="200"/>
        <v>0</v>
      </c>
      <c r="R637">
        <f t="shared" si="201"/>
        <v>741.9099431943954</v>
      </c>
      <c r="T637" t="e">
        <f t="shared" si="202"/>
        <v>#DIV/0!</v>
      </c>
      <c r="U637" t="e">
        <f t="shared" si="203"/>
        <v>#DIV/0!</v>
      </c>
      <c r="V637">
        <f t="shared" si="204"/>
        <v>0</v>
      </c>
      <c r="W637" t="e">
        <f t="shared" si="205"/>
        <v>#DIV/0!</v>
      </c>
    </row>
    <row r="638" spans="1:23" x14ac:dyDescent="0.55000000000000004">
      <c r="A638">
        <f t="shared" si="178"/>
        <v>60.400000000000588</v>
      </c>
      <c r="B638">
        <f t="shared" si="182"/>
        <v>0.316</v>
      </c>
      <c r="C638">
        <f t="shared" si="191"/>
        <v>-34.39130434782647</v>
      </c>
      <c r="D638">
        <v>2.4210078844563667</v>
      </c>
      <c r="E638">
        <f t="shared" si="192"/>
        <v>0</v>
      </c>
      <c r="F638">
        <f t="shared" si="193"/>
        <v>4.8605058816845369E-2</v>
      </c>
      <c r="G638">
        <f t="shared" si="194"/>
        <v>39.513748498891111</v>
      </c>
      <c r="H638">
        <f t="shared" si="195"/>
        <v>0</v>
      </c>
      <c r="I638" s="1">
        <f t="shared" si="174"/>
        <v>0</v>
      </c>
      <c r="J638">
        <f t="shared" si="196"/>
        <v>0</v>
      </c>
      <c r="K638">
        <f t="shared" si="197"/>
        <v>0</v>
      </c>
      <c r="L638" cm="1">
        <f t="array" ref="L638">IF(E638*J638=0,0,$C$21*INDEX([3]Sheet1!$C$4:$Q$23,MATCH(K638,[3]Sheet1!$B$4:$B$23,1),MATCH(D638,[3]Sheet1!$C$3:$Q$3,1))
+(K638-INDEX([3]Sheet1!$B$4:$B$23,MATCH(K638,[3]Sheet1!$B$4:$B$23,1),1))/(INDEX([3]Sheet1!$B$4:$B$23,MATCH(K638,[3]Sheet1!$B$4:$B$23,1)+1,1)-INDEX([3]Sheet1!$B$4:$B$23,
MATCH(K638,[3]Sheet1!$B$4:$B$23,1),1))*(INDEX([3]Sheet1!$C$4:$Q$23,MATCH(K638,[3]Sheet1!$B$4:$B$23,1)+1,MATCH(D638,[3]Sheet1!$C$3:$Q$3,1))-INDEX([3]Sheet1!$C$4:$Q$23,
MATCH(K638,[3]Sheet1!$B$4:$B$23,1),MATCH(D638,[3]Sheet1!$C$3:$Q$3,1)))
+(D638-INDEX([3]Sheet1!$C$3:$Q$3,1,MATCH(D638,[3]Sheet1!$C$3:$Q$3)))/(INDEX([3]Sheet1!$C$3:$Q$3,1,MATCH(D638,[3]Sheet1!$C$3:$Q$3)+1)-INDEX([3]Sheet1!$C$3:$Q$3,1,MATCH(
D638,[3]Sheet1!$C$3:$Q$3)))*(INDEX([3]Sheet1!$C$4:$Q$23,MATCH(K638,[3]Sheet1!$B$4:$B$23,1),MATCH(D638,[3]Sheet1!$C$3:$Q$3,1)+1)-INDEX([3]Sheet1!$C$4:$Q$23,MATCH(K638,[3]Sheet1!$B$4:$B$23,1),MATCH(D638,[3]Sheet1!$C$3:$Q$3,1))))</f>
        <v>0</v>
      </c>
      <c r="M638" cm="1">
        <f t="array" ref="M638" xml:space="preserve"> IF(E638*J638=0,0,(INDEX([2]Sheet1!$C$4:$Q$23,MATCH(K638,[2]Sheet1!$B$4:$B$23,1),MATCH(D638,[2]Sheet1!$C$3:$Q$3,1))
+ (K638 - INDEX([2]Sheet1!$B$4:$B$23,MATCH(K638,[2]Sheet1!$B$4:$B$23,1),1))/(INDEX([2]Sheet1!$B$4:$B$23,MATCH(K638,[2]Sheet1!$B$4:$B$23,1)+1,1) - INDEX([2]Sheet1!$B$4:$B$23,MATCH(K638,[2]Sheet1!$B$4:$B$23,1),1))*(INDEX([2]Sheet1!$C$4:$Q$23,MATCH(K638,[2]Sheet1!$B$4:$B$23,1)+1,MATCH(D638,[2]Sheet1!$C$3:$Q$3,1)) - INDEX([2]Sheet1!$C$4:$Q$23,MATCH(K638,[2]Sheet1!$B$4:$B$23,1),MATCH(D638,[2]Sheet1!$C$3:$Q$3,1)))
+ (D638 - INDEX([2]Sheet1!$C$3:$Q$3,1,MATCH(D638,[2]Sheet1!$C$3:$Q$3)))/(INDEX([2]Sheet1!$C$3:$Q$3,1,MATCH(D638,[2]Sheet1!$C$3:$Q$3)+1) - INDEX([2]Sheet1!$C$3:$Q$3,1,MATCH(D638,[2]Sheet1!$C$3:$Q$3)))*(
INDEX([2]Sheet1!$C$4:$Q$23,MATCH(K638,[2]Sheet1!$B$4:$B$23,1),MATCH(D638,[2]Sheet1!$C$3:$Q$3,1)+1) - INDEX([2]Sheet1!$C$4:$Q$23,MATCH(K638,[2]Sheet1!$B$4:$B$23,1),MATCH(D638,[2]Sheet1!$C$3:$Q$3,1)))))</f>
        <v>0</v>
      </c>
      <c r="N638">
        <f t="shared" si="198"/>
        <v>12</v>
      </c>
      <c r="O638">
        <v>8.4024228623701278E-2</v>
      </c>
      <c r="P638" t="e">
        <f t="shared" si="199"/>
        <v>#DIV/0!</v>
      </c>
      <c r="Q638">
        <f t="shared" si="200"/>
        <v>0</v>
      </c>
      <c r="R638">
        <f t="shared" si="201"/>
        <v>741.9099431943954</v>
      </c>
      <c r="T638" t="e">
        <f t="shared" si="202"/>
        <v>#DIV/0!</v>
      </c>
      <c r="U638" t="e">
        <f t="shared" si="203"/>
        <v>#DIV/0!</v>
      </c>
      <c r="V638">
        <f t="shared" si="204"/>
        <v>0</v>
      </c>
      <c r="W638" t="e">
        <f t="shared" si="205"/>
        <v>#DIV/0!</v>
      </c>
    </row>
    <row r="639" spans="1:23" x14ac:dyDescent="0.55000000000000004">
      <c r="A639">
        <f t="shared" si="178"/>
        <v>60.50000000000059</v>
      </c>
      <c r="B639">
        <f t="shared" si="182"/>
        <v>0.316</v>
      </c>
      <c r="C639">
        <f t="shared" si="191"/>
        <v>-34.456521739130821</v>
      </c>
      <c r="D639">
        <v>2.4209451155473642</v>
      </c>
      <c r="E639">
        <f t="shared" si="192"/>
        <v>0</v>
      </c>
      <c r="F639">
        <f t="shared" si="193"/>
        <v>4.8605058816845369E-2</v>
      </c>
      <c r="G639">
        <f t="shared" si="194"/>
        <v>39.513748498891111</v>
      </c>
      <c r="H639">
        <f t="shared" si="195"/>
        <v>0</v>
      </c>
      <c r="I639" s="1">
        <f t="shared" si="174"/>
        <v>0</v>
      </c>
      <c r="J639">
        <f t="shared" si="196"/>
        <v>0</v>
      </c>
      <c r="K639">
        <f t="shared" si="197"/>
        <v>0</v>
      </c>
      <c r="L639" cm="1">
        <f t="array" ref="L639">IF(E639*J639=0,0,$C$21*INDEX([3]Sheet1!$C$4:$Q$23,MATCH(K639,[3]Sheet1!$B$4:$B$23,1),MATCH(D639,[3]Sheet1!$C$3:$Q$3,1))
+(K639-INDEX([3]Sheet1!$B$4:$B$23,MATCH(K639,[3]Sheet1!$B$4:$B$23,1),1))/(INDEX([3]Sheet1!$B$4:$B$23,MATCH(K639,[3]Sheet1!$B$4:$B$23,1)+1,1)-INDEX([3]Sheet1!$B$4:$B$23,
MATCH(K639,[3]Sheet1!$B$4:$B$23,1),1))*(INDEX([3]Sheet1!$C$4:$Q$23,MATCH(K639,[3]Sheet1!$B$4:$B$23,1)+1,MATCH(D639,[3]Sheet1!$C$3:$Q$3,1))-INDEX([3]Sheet1!$C$4:$Q$23,
MATCH(K639,[3]Sheet1!$B$4:$B$23,1),MATCH(D639,[3]Sheet1!$C$3:$Q$3,1)))
+(D639-INDEX([3]Sheet1!$C$3:$Q$3,1,MATCH(D639,[3]Sheet1!$C$3:$Q$3)))/(INDEX([3]Sheet1!$C$3:$Q$3,1,MATCH(D639,[3]Sheet1!$C$3:$Q$3)+1)-INDEX([3]Sheet1!$C$3:$Q$3,1,MATCH(
D639,[3]Sheet1!$C$3:$Q$3)))*(INDEX([3]Sheet1!$C$4:$Q$23,MATCH(K639,[3]Sheet1!$B$4:$B$23,1),MATCH(D639,[3]Sheet1!$C$3:$Q$3,1)+1)-INDEX([3]Sheet1!$C$4:$Q$23,MATCH(K639,[3]Sheet1!$B$4:$B$23,1),MATCH(D639,[3]Sheet1!$C$3:$Q$3,1))))</f>
        <v>0</v>
      </c>
      <c r="M639" cm="1">
        <f t="array" ref="M639" xml:space="preserve"> IF(E639*J639=0,0,(INDEX([2]Sheet1!$C$4:$Q$23,MATCH(K639,[2]Sheet1!$B$4:$B$23,1),MATCH(D639,[2]Sheet1!$C$3:$Q$3,1))
+ (K639 - INDEX([2]Sheet1!$B$4:$B$23,MATCH(K639,[2]Sheet1!$B$4:$B$23,1),1))/(INDEX([2]Sheet1!$B$4:$B$23,MATCH(K639,[2]Sheet1!$B$4:$B$23,1)+1,1) - INDEX([2]Sheet1!$B$4:$B$23,MATCH(K639,[2]Sheet1!$B$4:$B$23,1),1))*(INDEX([2]Sheet1!$C$4:$Q$23,MATCH(K639,[2]Sheet1!$B$4:$B$23,1)+1,MATCH(D639,[2]Sheet1!$C$3:$Q$3,1)) - INDEX([2]Sheet1!$C$4:$Q$23,MATCH(K639,[2]Sheet1!$B$4:$B$23,1),MATCH(D639,[2]Sheet1!$C$3:$Q$3,1)))
+ (D639 - INDEX([2]Sheet1!$C$3:$Q$3,1,MATCH(D639,[2]Sheet1!$C$3:$Q$3)))/(INDEX([2]Sheet1!$C$3:$Q$3,1,MATCH(D639,[2]Sheet1!$C$3:$Q$3)+1) - INDEX([2]Sheet1!$C$3:$Q$3,1,MATCH(D639,[2]Sheet1!$C$3:$Q$3)))*(
INDEX([2]Sheet1!$C$4:$Q$23,MATCH(K639,[2]Sheet1!$B$4:$B$23,1),MATCH(D639,[2]Sheet1!$C$3:$Q$3,1)+1) - INDEX([2]Sheet1!$C$4:$Q$23,MATCH(K639,[2]Sheet1!$B$4:$B$23,1),MATCH(D639,[2]Sheet1!$C$3:$Q$3,1)))))</f>
        <v>0</v>
      </c>
      <c r="N639">
        <f t="shared" si="198"/>
        <v>12</v>
      </c>
      <c r="O639">
        <v>8.4011879343523679E-2</v>
      </c>
      <c r="P639" t="e">
        <f t="shared" si="199"/>
        <v>#DIV/0!</v>
      </c>
      <c r="Q639">
        <f t="shared" si="200"/>
        <v>0</v>
      </c>
      <c r="R639">
        <f t="shared" si="201"/>
        <v>741.9099431943954</v>
      </c>
      <c r="T639" t="e">
        <f t="shared" si="202"/>
        <v>#DIV/0!</v>
      </c>
      <c r="U639" t="e">
        <f t="shared" si="203"/>
        <v>#DIV/0!</v>
      </c>
      <c r="V639">
        <f t="shared" si="204"/>
        <v>0</v>
      </c>
      <c r="W639" t="e">
        <f t="shared" si="205"/>
        <v>#DIV/0!</v>
      </c>
    </row>
    <row r="640" spans="1:23" x14ac:dyDescent="0.55000000000000004">
      <c r="A640">
        <f t="shared" si="178"/>
        <v>60.600000000000591</v>
      </c>
      <c r="B640">
        <f t="shared" si="182"/>
        <v>0.316</v>
      </c>
      <c r="C640">
        <f t="shared" si="191"/>
        <v>-34.521739130435172</v>
      </c>
      <c r="D640">
        <v>2.4208824209072533</v>
      </c>
      <c r="E640">
        <f t="shared" si="192"/>
        <v>0</v>
      </c>
      <c r="F640">
        <f t="shared" si="193"/>
        <v>4.8605058816845369E-2</v>
      </c>
      <c r="G640">
        <f t="shared" si="194"/>
        <v>39.513748498891111</v>
      </c>
      <c r="H640">
        <f t="shared" si="195"/>
        <v>0</v>
      </c>
      <c r="I640" s="1">
        <f t="shared" si="174"/>
        <v>0</v>
      </c>
      <c r="J640">
        <f t="shared" si="196"/>
        <v>0</v>
      </c>
      <c r="K640">
        <f t="shared" si="197"/>
        <v>0</v>
      </c>
      <c r="L640" cm="1">
        <f t="array" ref="L640">IF(E640*J640=0,0,$C$21*INDEX([3]Sheet1!$C$4:$Q$23,MATCH(K640,[3]Sheet1!$B$4:$B$23,1),MATCH(D640,[3]Sheet1!$C$3:$Q$3,1))
+(K640-INDEX([3]Sheet1!$B$4:$B$23,MATCH(K640,[3]Sheet1!$B$4:$B$23,1),1))/(INDEX([3]Sheet1!$B$4:$B$23,MATCH(K640,[3]Sheet1!$B$4:$B$23,1)+1,1)-INDEX([3]Sheet1!$B$4:$B$23,
MATCH(K640,[3]Sheet1!$B$4:$B$23,1),1))*(INDEX([3]Sheet1!$C$4:$Q$23,MATCH(K640,[3]Sheet1!$B$4:$B$23,1)+1,MATCH(D640,[3]Sheet1!$C$3:$Q$3,1))-INDEX([3]Sheet1!$C$4:$Q$23,
MATCH(K640,[3]Sheet1!$B$4:$B$23,1),MATCH(D640,[3]Sheet1!$C$3:$Q$3,1)))
+(D640-INDEX([3]Sheet1!$C$3:$Q$3,1,MATCH(D640,[3]Sheet1!$C$3:$Q$3)))/(INDEX([3]Sheet1!$C$3:$Q$3,1,MATCH(D640,[3]Sheet1!$C$3:$Q$3)+1)-INDEX([3]Sheet1!$C$3:$Q$3,1,MATCH(
D640,[3]Sheet1!$C$3:$Q$3)))*(INDEX([3]Sheet1!$C$4:$Q$23,MATCH(K640,[3]Sheet1!$B$4:$B$23,1),MATCH(D640,[3]Sheet1!$C$3:$Q$3,1)+1)-INDEX([3]Sheet1!$C$4:$Q$23,MATCH(K640,[3]Sheet1!$B$4:$B$23,1),MATCH(D640,[3]Sheet1!$C$3:$Q$3,1))))</f>
        <v>0</v>
      </c>
      <c r="M640" cm="1">
        <f t="array" ref="M640" xml:space="preserve"> IF(E640*J640=0,0,(INDEX([2]Sheet1!$C$4:$Q$23,MATCH(K640,[2]Sheet1!$B$4:$B$23,1),MATCH(D640,[2]Sheet1!$C$3:$Q$3,1))
+ (K640 - INDEX([2]Sheet1!$B$4:$B$23,MATCH(K640,[2]Sheet1!$B$4:$B$23,1),1))/(INDEX([2]Sheet1!$B$4:$B$23,MATCH(K640,[2]Sheet1!$B$4:$B$23,1)+1,1) - INDEX([2]Sheet1!$B$4:$B$23,MATCH(K640,[2]Sheet1!$B$4:$B$23,1),1))*(INDEX([2]Sheet1!$C$4:$Q$23,MATCH(K640,[2]Sheet1!$B$4:$B$23,1)+1,MATCH(D640,[2]Sheet1!$C$3:$Q$3,1)) - INDEX([2]Sheet1!$C$4:$Q$23,MATCH(K640,[2]Sheet1!$B$4:$B$23,1),MATCH(D640,[2]Sheet1!$C$3:$Q$3,1)))
+ (D640 - INDEX([2]Sheet1!$C$3:$Q$3,1,MATCH(D640,[2]Sheet1!$C$3:$Q$3)))/(INDEX([2]Sheet1!$C$3:$Q$3,1,MATCH(D640,[2]Sheet1!$C$3:$Q$3)+1) - INDEX([2]Sheet1!$C$3:$Q$3,1,MATCH(D640,[2]Sheet1!$C$3:$Q$3)))*(
INDEX([2]Sheet1!$C$4:$Q$23,MATCH(K640,[2]Sheet1!$B$4:$B$23,1),MATCH(D640,[2]Sheet1!$C$3:$Q$3,1)+1) - INDEX([2]Sheet1!$C$4:$Q$23,MATCH(K640,[2]Sheet1!$B$4:$B$23,1),MATCH(D640,[2]Sheet1!$C$3:$Q$3,1)))))</f>
        <v>0</v>
      </c>
      <c r="N640">
        <f t="shared" si="198"/>
        <v>12</v>
      </c>
      <c r="O640">
        <v>8.3999546459373811E-2</v>
      </c>
      <c r="P640" t="e">
        <f t="shared" si="199"/>
        <v>#DIV/0!</v>
      </c>
      <c r="Q640">
        <f t="shared" si="200"/>
        <v>0</v>
      </c>
      <c r="R640">
        <f t="shared" si="201"/>
        <v>741.9099431943954</v>
      </c>
      <c r="T640" t="e">
        <f t="shared" si="202"/>
        <v>#DIV/0!</v>
      </c>
      <c r="U640" t="e">
        <f t="shared" si="203"/>
        <v>#DIV/0!</v>
      </c>
      <c r="V640">
        <f t="shared" si="204"/>
        <v>0</v>
      </c>
      <c r="W640" t="e">
        <f t="shared" si="205"/>
        <v>#DIV/0!</v>
      </c>
    </row>
    <row r="641" spans="1:23" x14ac:dyDescent="0.55000000000000004">
      <c r="A641">
        <f t="shared" si="178"/>
        <v>60.700000000000593</v>
      </c>
      <c r="B641">
        <f t="shared" si="182"/>
        <v>0.316</v>
      </c>
      <c r="C641">
        <f t="shared" si="191"/>
        <v>-34.586956521739523</v>
      </c>
      <c r="D641">
        <v>2.4208198003542982</v>
      </c>
      <c r="E641">
        <f t="shared" si="192"/>
        <v>0</v>
      </c>
      <c r="F641">
        <f t="shared" si="193"/>
        <v>4.8605058816845369E-2</v>
      </c>
      <c r="G641">
        <f t="shared" si="194"/>
        <v>39.513748498891111</v>
      </c>
      <c r="H641">
        <f t="shared" si="195"/>
        <v>0</v>
      </c>
      <c r="I641" s="1">
        <f t="shared" si="174"/>
        <v>0</v>
      </c>
      <c r="J641">
        <f t="shared" si="196"/>
        <v>0</v>
      </c>
      <c r="K641">
        <f t="shared" si="197"/>
        <v>0</v>
      </c>
      <c r="L641" cm="1">
        <f t="array" ref="L641">IF(E641*J641=0,0,$C$21*INDEX([3]Sheet1!$C$4:$Q$23,MATCH(K641,[3]Sheet1!$B$4:$B$23,1),MATCH(D641,[3]Sheet1!$C$3:$Q$3,1))
+(K641-INDEX([3]Sheet1!$B$4:$B$23,MATCH(K641,[3]Sheet1!$B$4:$B$23,1),1))/(INDEX([3]Sheet1!$B$4:$B$23,MATCH(K641,[3]Sheet1!$B$4:$B$23,1)+1,1)-INDEX([3]Sheet1!$B$4:$B$23,
MATCH(K641,[3]Sheet1!$B$4:$B$23,1),1))*(INDEX([3]Sheet1!$C$4:$Q$23,MATCH(K641,[3]Sheet1!$B$4:$B$23,1)+1,MATCH(D641,[3]Sheet1!$C$3:$Q$3,1))-INDEX([3]Sheet1!$C$4:$Q$23,
MATCH(K641,[3]Sheet1!$B$4:$B$23,1),MATCH(D641,[3]Sheet1!$C$3:$Q$3,1)))
+(D641-INDEX([3]Sheet1!$C$3:$Q$3,1,MATCH(D641,[3]Sheet1!$C$3:$Q$3)))/(INDEX([3]Sheet1!$C$3:$Q$3,1,MATCH(D641,[3]Sheet1!$C$3:$Q$3)+1)-INDEX([3]Sheet1!$C$3:$Q$3,1,MATCH(
D641,[3]Sheet1!$C$3:$Q$3)))*(INDEX([3]Sheet1!$C$4:$Q$23,MATCH(K641,[3]Sheet1!$B$4:$B$23,1),MATCH(D641,[3]Sheet1!$C$3:$Q$3,1)+1)-INDEX([3]Sheet1!$C$4:$Q$23,MATCH(K641,[3]Sheet1!$B$4:$B$23,1),MATCH(D641,[3]Sheet1!$C$3:$Q$3,1))))</f>
        <v>0</v>
      </c>
      <c r="M641" cm="1">
        <f t="array" ref="M641" xml:space="preserve"> IF(E641*J641=0,0,(INDEX([2]Sheet1!$C$4:$Q$23,MATCH(K641,[2]Sheet1!$B$4:$B$23,1),MATCH(D641,[2]Sheet1!$C$3:$Q$3,1))
+ (K641 - INDEX([2]Sheet1!$B$4:$B$23,MATCH(K641,[2]Sheet1!$B$4:$B$23,1),1))/(INDEX([2]Sheet1!$B$4:$B$23,MATCH(K641,[2]Sheet1!$B$4:$B$23,1)+1,1) - INDEX([2]Sheet1!$B$4:$B$23,MATCH(K641,[2]Sheet1!$B$4:$B$23,1),1))*(INDEX([2]Sheet1!$C$4:$Q$23,MATCH(K641,[2]Sheet1!$B$4:$B$23,1)+1,MATCH(D641,[2]Sheet1!$C$3:$Q$3,1)) - INDEX([2]Sheet1!$C$4:$Q$23,MATCH(K641,[2]Sheet1!$B$4:$B$23,1),MATCH(D641,[2]Sheet1!$C$3:$Q$3,1)))
+ (D641 - INDEX([2]Sheet1!$C$3:$Q$3,1,MATCH(D641,[2]Sheet1!$C$3:$Q$3)))/(INDEX([2]Sheet1!$C$3:$Q$3,1,MATCH(D641,[2]Sheet1!$C$3:$Q$3)+1) - INDEX([2]Sheet1!$C$3:$Q$3,1,MATCH(D641,[2]Sheet1!$C$3:$Q$3)))*(
INDEX([2]Sheet1!$C$4:$Q$23,MATCH(K641,[2]Sheet1!$B$4:$B$23,1),MATCH(D641,[2]Sheet1!$C$3:$Q$3,1)+1) - INDEX([2]Sheet1!$C$4:$Q$23,MATCH(K641,[2]Sheet1!$B$4:$B$23,1),MATCH(D641,[2]Sheet1!$C$3:$Q$3,1)))))</f>
        <v>0</v>
      </c>
      <c r="N641">
        <f t="shared" si="198"/>
        <v>12</v>
      </c>
      <c r="O641">
        <v>8.3987229929088553E-2</v>
      </c>
      <c r="P641" t="e">
        <f t="shared" si="199"/>
        <v>#DIV/0!</v>
      </c>
      <c r="Q641">
        <f t="shared" si="200"/>
        <v>0</v>
      </c>
      <c r="R641">
        <f t="shared" si="201"/>
        <v>741.9099431943954</v>
      </c>
      <c r="T641" t="e">
        <f t="shared" si="202"/>
        <v>#DIV/0!</v>
      </c>
      <c r="U641" t="e">
        <f t="shared" si="203"/>
        <v>#DIV/0!</v>
      </c>
      <c r="V641">
        <f t="shared" si="204"/>
        <v>0</v>
      </c>
      <c r="W641" t="e">
        <f t="shared" si="205"/>
        <v>#DIV/0!</v>
      </c>
    </row>
    <row r="642" spans="1:23" x14ac:dyDescent="0.55000000000000004">
      <c r="A642">
        <f t="shared" si="178"/>
        <v>60.800000000000594</v>
      </c>
      <c r="B642">
        <f t="shared" si="182"/>
        <v>0.316</v>
      </c>
      <c r="C642">
        <f t="shared" si="191"/>
        <v>-34.652173913043875</v>
      </c>
      <c r="D642">
        <v>2.420757253707436</v>
      </c>
      <c r="E642">
        <f t="shared" si="192"/>
        <v>0</v>
      </c>
      <c r="F642">
        <f t="shared" si="193"/>
        <v>4.8605058816845369E-2</v>
      </c>
      <c r="G642">
        <f t="shared" si="194"/>
        <v>39.513748498891111</v>
      </c>
      <c r="H642">
        <f t="shared" si="195"/>
        <v>0</v>
      </c>
      <c r="I642" s="1">
        <f t="shared" si="174"/>
        <v>0</v>
      </c>
      <c r="J642">
        <f t="shared" si="196"/>
        <v>0</v>
      </c>
      <c r="K642">
        <f t="shared" si="197"/>
        <v>0</v>
      </c>
      <c r="L642" cm="1">
        <f t="array" ref="L642">IF(E642*J642=0,0,$C$21*INDEX([3]Sheet1!$C$4:$Q$23,MATCH(K642,[3]Sheet1!$B$4:$B$23,1),MATCH(D642,[3]Sheet1!$C$3:$Q$3,1))
+(K642-INDEX([3]Sheet1!$B$4:$B$23,MATCH(K642,[3]Sheet1!$B$4:$B$23,1),1))/(INDEX([3]Sheet1!$B$4:$B$23,MATCH(K642,[3]Sheet1!$B$4:$B$23,1)+1,1)-INDEX([3]Sheet1!$B$4:$B$23,
MATCH(K642,[3]Sheet1!$B$4:$B$23,1),1))*(INDEX([3]Sheet1!$C$4:$Q$23,MATCH(K642,[3]Sheet1!$B$4:$B$23,1)+1,MATCH(D642,[3]Sheet1!$C$3:$Q$3,1))-INDEX([3]Sheet1!$C$4:$Q$23,
MATCH(K642,[3]Sheet1!$B$4:$B$23,1),MATCH(D642,[3]Sheet1!$C$3:$Q$3,1)))
+(D642-INDEX([3]Sheet1!$C$3:$Q$3,1,MATCH(D642,[3]Sheet1!$C$3:$Q$3)))/(INDEX([3]Sheet1!$C$3:$Q$3,1,MATCH(D642,[3]Sheet1!$C$3:$Q$3)+1)-INDEX([3]Sheet1!$C$3:$Q$3,1,MATCH(
D642,[3]Sheet1!$C$3:$Q$3)))*(INDEX([3]Sheet1!$C$4:$Q$23,MATCH(K642,[3]Sheet1!$B$4:$B$23,1),MATCH(D642,[3]Sheet1!$C$3:$Q$3,1)+1)-INDEX([3]Sheet1!$C$4:$Q$23,MATCH(K642,[3]Sheet1!$B$4:$B$23,1),MATCH(D642,[3]Sheet1!$C$3:$Q$3,1))))</f>
        <v>0</v>
      </c>
      <c r="M642" cm="1">
        <f t="array" ref="M642" xml:space="preserve"> IF(E642*J642=0,0,(INDEX([2]Sheet1!$C$4:$Q$23,MATCH(K642,[2]Sheet1!$B$4:$B$23,1),MATCH(D642,[2]Sheet1!$C$3:$Q$3,1))
+ (K642 - INDEX([2]Sheet1!$B$4:$B$23,MATCH(K642,[2]Sheet1!$B$4:$B$23,1),1))/(INDEX([2]Sheet1!$B$4:$B$23,MATCH(K642,[2]Sheet1!$B$4:$B$23,1)+1,1) - INDEX([2]Sheet1!$B$4:$B$23,MATCH(K642,[2]Sheet1!$B$4:$B$23,1),1))*(INDEX([2]Sheet1!$C$4:$Q$23,MATCH(K642,[2]Sheet1!$B$4:$B$23,1)+1,MATCH(D642,[2]Sheet1!$C$3:$Q$3,1)) - INDEX([2]Sheet1!$C$4:$Q$23,MATCH(K642,[2]Sheet1!$B$4:$B$23,1),MATCH(D642,[2]Sheet1!$C$3:$Q$3,1)))
+ (D642 - INDEX([2]Sheet1!$C$3:$Q$3,1,MATCH(D642,[2]Sheet1!$C$3:$Q$3)))/(INDEX([2]Sheet1!$C$3:$Q$3,1,MATCH(D642,[2]Sheet1!$C$3:$Q$3)+1) - INDEX([2]Sheet1!$C$3:$Q$3,1,MATCH(D642,[2]Sheet1!$C$3:$Q$3)))*(
INDEX([2]Sheet1!$C$4:$Q$23,MATCH(K642,[2]Sheet1!$B$4:$B$23,1),MATCH(D642,[2]Sheet1!$C$3:$Q$3,1)+1) - INDEX([2]Sheet1!$C$4:$Q$23,MATCH(K642,[2]Sheet1!$B$4:$B$23,1),MATCH(D642,[2]Sheet1!$C$3:$Q$3,1)))))</f>
        <v>0</v>
      </c>
      <c r="N642">
        <f t="shared" si="198"/>
        <v>12</v>
      </c>
      <c r="O642">
        <v>8.3974929710665377E-2</v>
      </c>
      <c r="P642" t="e">
        <f t="shared" si="199"/>
        <v>#DIV/0!</v>
      </c>
      <c r="Q642">
        <f t="shared" si="200"/>
        <v>0</v>
      </c>
      <c r="R642">
        <f t="shared" si="201"/>
        <v>741.9099431943954</v>
      </c>
      <c r="T642" t="e">
        <f t="shared" si="202"/>
        <v>#DIV/0!</v>
      </c>
      <c r="U642" t="e">
        <f t="shared" si="203"/>
        <v>#DIV/0!</v>
      </c>
      <c r="V642">
        <f t="shared" si="204"/>
        <v>0</v>
      </c>
      <c r="W642" t="e">
        <f t="shared" si="205"/>
        <v>#DIV/0!</v>
      </c>
    </row>
    <row r="643" spans="1:23" x14ac:dyDescent="0.55000000000000004">
      <c r="A643">
        <f t="shared" si="178"/>
        <v>60.900000000000595</v>
      </c>
      <c r="B643">
        <f t="shared" si="182"/>
        <v>0.316</v>
      </c>
      <c r="C643">
        <f t="shared" si="191"/>
        <v>-34.717391304348219</v>
      </c>
      <c r="D643">
        <v>2.4206947807862691</v>
      </c>
      <c r="E643">
        <f t="shared" si="192"/>
        <v>0</v>
      </c>
      <c r="F643">
        <f t="shared" si="193"/>
        <v>4.8605058816845369E-2</v>
      </c>
      <c r="G643">
        <f t="shared" si="194"/>
        <v>39.513748498891111</v>
      </c>
      <c r="H643">
        <f t="shared" si="195"/>
        <v>0</v>
      </c>
      <c r="I643" s="1">
        <f t="shared" si="174"/>
        <v>0</v>
      </c>
      <c r="J643">
        <f t="shared" si="196"/>
        <v>0</v>
      </c>
      <c r="K643">
        <f t="shared" si="197"/>
        <v>0</v>
      </c>
      <c r="L643" cm="1">
        <f t="array" ref="L643">IF(E643*J643=0,0,$C$21*INDEX([3]Sheet1!$C$4:$Q$23,MATCH(K643,[3]Sheet1!$B$4:$B$23,1),MATCH(D643,[3]Sheet1!$C$3:$Q$3,1))
+(K643-INDEX([3]Sheet1!$B$4:$B$23,MATCH(K643,[3]Sheet1!$B$4:$B$23,1),1))/(INDEX([3]Sheet1!$B$4:$B$23,MATCH(K643,[3]Sheet1!$B$4:$B$23,1)+1,1)-INDEX([3]Sheet1!$B$4:$B$23,
MATCH(K643,[3]Sheet1!$B$4:$B$23,1),1))*(INDEX([3]Sheet1!$C$4:$Q$23,MATCH(K643,[3]Sheet1!$B$4:$B$23,1)+1,MATCH(D643,[3]Sheet1!$C$3:$Q$3,1))-INDEX([3]Sheet1!$C$4:$Q$23,
MATCH(K643,[3]Sheet1!$B$4:$B$23,1),MATCH(D643,[3]Sheet1!$C$3:$Q$3,1)))
+(D643-INDEX([3]Sheet1!$C$3:$Q$3,1,MATCH(D643,[3]Sheet1!$C$3:$Q$3)))/(INDEX([3]Sheet1!$C$3:$Q$3,1,MATCH(D643,[3]Sheet1!$C$3:$Q$3)+1)-INDEX([3]Sheet1!$C$3:$Q$3,1,MATCH(
D643,[3]Sheet1!$C$3:$Q$3)))*(INDEX([3]Sheet1!$C$4:$Q$23,MATCH(K643,[3]Sheet1!$B$4:$B$23,1),MATCH(D643,[3]Sheet1!$C$3:$Q$3,1)+1)-INDEX([3]Sheet1!$C$4:$Q$23,MATCH(K643,[3]Sheet1!$B$4:$B$23,1),MATCH(D643,[3]Sheet1!$C$3:$Q$3,1))))</f>
        <v>0</v>
      </c>
      <c r="M643" cm="1">
        <f t="array" ref="M643" xml:space="preserve"> IF(E643*J643=0,0,(INDEX([2]Sheet1!$C$4:$Q$23,MATCH(K643,[2]Sheet1!$B$4:$B$23,1),MATCH(D643,[2]Sheet1!$C$3:$Q$3,1))
+ (K643 - INDEX([2]Sheet1!$B$4:$B$23,MATCH(K643,[2]Sheet1!$B$4:$B$23,1),1))/(INDEX([2]Sheet1!$B$4:$B$23,MATCH(K643,[2]Sheet1!$B$4:$B$23,1)+1,1) - INDEX([2]Sheet1!$B$4:$B$23,MATCH(K643,[2]Sheet1!$B$4:$B$23,1),1))*(INDEX([2]Sheet1!$C$4:$Q$23,MATCH(K643,[2]Sheet1!$B$4:$B$23,1)+1,MATCH(D643,[2]Sheet1!$C$3:$Q$3,1)) - INDEX([2]Sheet1!$C$4:$Q$23,MATCH(K643,[2]Sheet1!$B$4:$B$23,1),MATCH(D643,[2]Sheet1!$C$3:$Q$3,1)))
+ (D643 - INDEX([2]Sheet1!$C$3:$Q$3,1,MATCH(D643,[2]Sheet1!$C$3:$Q$3)))/(INDEX([2]Sheet1!$C$3:$Q$3,1,MATCH(D643,[2]Sheet1!$C$3:$Q$3)+1) - INDEX([2]Sheet1!$C$3:$Q$3,1,MATCH(D643,[2]Sheet1!$C$3:$Q$3)))*(
INDEX([2]Sheet1!$C$4:$Q$23,MATCH(K643,[2]Sheet1!$B$4:$B$23,1),MATCH(D643,[2]Sheet1!$C$3:$Q$3,1)+1) - INDEX([2]Sheet1!$C$4:$Q$23,MATCH(K643,[2]Sheet1!$B$4:$B$23,1),MATCH(D643,[2]Sheet1!$C$3:$Q$3,1)))))</f>
        <v>0</v>
      </c>
      <c r="N643">
        <f t="shared" si="198"/>
        <v>12</v>
      </c>
      <c r="O643">
        <v>8.3962645762263158E-2</v>
      </c>
      <c r="P643" t="e">
        <f t="shared" si="199"/>
        <v>#DIV/0!</v>
      </c>
      <c r="Q643">
        <f t="shared" si="200"/>
        <v>0</v>
      </c>
      <c r="R643">
        <f t="shared" si="201"/>
        <v>741.9099431943954</v>
      </c>
      <c r="T643" t="e">
        <f t="shared" si="202"/>
        <v>#DIV/0!</v>
      </c>
      <c r="U643" t="e">
        <f t="shared" si="203"/>
        <v>#DIV/0!</v>
      </c>
      <c r="V643">
        <f t="shared" si="204"/>
        <v>0</v>
      </c>
      <c r="W643" t="e">
        <f t="shared" si="205"/>
        <v>#DIV/0!</v>
      </c>
    </row>
    <row r="644" spans="1:23" x14ac:dyDescent="0.55000000000000004">
      <c r="A644">
        <f t="shared" si="178"/>
        <v>61.000000000000597</v>
      </c>
      <c r="B644">
        <f t="shared" si="182"/>
        <v>0.316</v>
      </c>
      <c r="C644">
        <f t="shared" si="191"/>
        <v>-34.782608695652563</v>
      </c>
      <c r="D644">
        <v>2.4206323814110657</v>
      </c>
      <c r="E644">
        <f t="shared" si="192"/>
        <v>0</v>
      </c>
      <c r="F644">
        <f t="shared" si="193"/>
        <v>4.8605058816845369E-2</v>
      </c>
      <c r="G644">
        <f t="shared" si="194"/>
        <v>39.513748498891111</v>
      </c>
      <c r="H644">
        <f t="shared" si="195"/>
        <v>0</v>
      </c>
      <c r="I644" s="1">
        <f t="shared" si="174"/>
        <v>0</v>
      </c>
      <c r="J644">
        <f t="shared" si="196"/>
        <v>0</v>
      </c>
      <c r="K644">
        <f t="shared" si="197"/>
        <v>0</v>
      </c>
      <c r="L644" cm="1">
        <f t="array" ref="L644">IF(E644*J644=0,0,$C$21*INDEX([3]Sheet1!$C$4:$Q$23,MATCH(K644,[3]Sheet1!$B$4:$B$23,1),MATCH(D644,[3]Sheet1!$C$3:$Q$3,1))
+(K644-INDEX([3]Sheet1!$B$4:$B$23,MATCH(K644,[3]Sheet1!$B$4:$B$23,1),1))/(INDEX([3]Sheet1!$B$4:$B$23,MATCH(K644,[3]Sheet1!$B$4:$B$23,1)+1,1)-INDEX([3]Sheet1!$B$4:$B$23,
MATCH(K644,[3]Sheet1!$B$4:$B$23,1),1))*(INDEX([3]Sheet1!$C$4:$Q$23,MATCH(K644,[3]Sheet1!$B$4:$B$23,1)+1,MATCH(D644,[3]Sheet1!$C$3:$Q$3,1))-INDEX([3]Sheet1!$C$4:$Q$23,
MATCH(K644,[3]Sheet1!$B$4:$B$23,1),MATCH(D644,[3]Sheet1!$C$3:$Q$3,1)))
+(D644-INDEX([3]Sheet1!$C$3:$Q$3,1,MATCH(D644,[3]Sheet1!$C$3:$Q$3)))/(INDEX([3]Sheet1!$C$3:$Q$3,1,MATCH(D644,[3]Sheet1!$C$3:$Q$3)+1)-INDEX([3]Sheet1!$C$3:$Q$3,1,MATCH(
D644,[3]Sheet1!$C$3:$Q$3)))*(INDEX([3]Sheet1!$C$4:$Q$23,MATCH(K644,[3]Sheet1!$B$4:$B$23,1),MATCH(D644,[3]Sheet1!$C$3:$Q$3,1)+1)-INDEX([3]Sheet1!$C$4:$Q$23,MATCH(K644,[3]Sheet1!$B$4:$B$23,1),MATCH(D644,[3]Sheet1!$C$3:$Q$3,1))))</f>
        <v>0</v>
      </c>
      <c r="M644" cm="1">
        <f t="array" ref="M644" xml:space="preserve"> IF(E644*J644=0,0,(INDEX([2]Sheet1!$C$4:$Q$23,MATCH(K644,[2]Sheet1!$B$4:$B$23,1),MATCH(D644,[2]Sheet1!$C$3:$Q$3,1))
+ (K644 - INDEX([2]Sheet1!$B$4:$B$23,MATCH(K644,[2]Sheet1!$B$4:$B$23,1),1))/(INDEX([2]Sheet1!$B$4:$B$23,MATCH(K644,[2]Sheet1!$B$4:$B$23,1)+1,1) - INDEX([2]Sheet1!$B$4:$B$23,MATCH(K644,[2]Sheet1!$B$4:$B$23,1),1))*(INDEX([2]Sheet1!$C$4:$Q$23,MATCH(K644,[2]Sheet1!$B$4:$B$23,1)+1,MATCH(D644,[2]Sheet1!$C$3:$Q$3,1)) - INDEX([2]Sheet1!$C$4:$Q$23,MATCH(K644,[2]Sheet1!$B$4:$B$23,1),MATCH(D644,[2]Sheet1!$C$3:$Q$3,1)))
+ (D644 - INDEX([2]Sheet1!$C$3:$Q$3,1,MATCH(D644,[2]Sheet1!$C$3:$Q$3)))/(INDEX([2]Sheet1!$C$3:$Q$3,1,MATCH(D644,[2]Sheet1!$C$3:$Q$3)+1) - INDEX([2]Sheet1!$C$3:$Q$3,1,MATCH(D644,[2]Sheet1!$C$3:$Q$3)))*(
INDEX([2]Sheet1!$C$4:$Q$23,MATCH(K644,[2]Sheet1!$B$4:$B$23,1),MATCH(D644,[2]Sheet1!$C$3:$Q$3,1)+1) - INDEX([2]Sheet1!$C$4:$Q$23,MATCH(K644,[2]Sheet1!$B$4:$B$23,1),MATCH(D644,[2]Sheet1!$C$3:$Q$3,1)))))</f>
        <v>0</v>
      </c>
      <c r="N644">
        <f t="shared" si="198"/>
        <v>12</v>
      </c>
      <c r="O644">
        <v>8.3950378042199264E-2</v>
      </c>
      <c r="P644" t="e">
        <f t="shared" si="199"/>
        <v>#DIV/0!</v>
      </c>
      <c r="Q644">
        <f t="shared" si="200"/>
        <v>0</v>
      </c>
      <c r="R644">
        <f t="shared" si="201"/>
        <v>741.9099431943954</v>
      </c>
      <c r="T644" t="e">
        <f t="shared" si="202"/>
        <v>#DIV/0!</v>
      </c>
      <c r="U644" t="e">
        <f t="shared" si="203"/>
        <v>#DIV/0!</v>
      </c>
      <c r="V644">
        <f t="shared" si="204"/>
        <v>0</v>
      </c>
      <c r="W644" t="e">
        <f t="shared" si="205"/>
        <v>#DIV/0!</v>
      </c>
    </row>
    <row r="645" spans="1:23" x14ac:dyDescent="0.55000000000000004">
      <c r="A645">
        <f t="shared" si="178"/>
        <v>61.100000000000598</v>
      </c>
      <c r="B645">
        <f t="shared" si="182"/>
        <v>0.316</v>
      </c>
      <c r="C645">
        <f t="shared" si="191"/>
        <v>-34.847826086956914</v>
      </c>
      <c r="D645">
        <v>2.4205700554027549</v>
      </c>
      <c r="E645">
        <f t="shared" si="192"/>
        <v>0</v>
      </c>
      <c r="F645">
        <f t="shared" si="193"/>
        <v>4.8605058816845369E-2</v>
      </c>
      <c r="G645">
        <f t="shared" si="194"/>
        <v>39.513748498891111</v>
      </c>
      <c r="H645">
        <f t="shared" si="195"/>
        <v>0</v>
      </c>
      <c r="I645" s="1">
        <f t="shared" si="174"/>
        <v>0</v>
      </c>
      <c r="J645">
        <f t="shared" si="196"/>
        <v>0</v>
      </c>
      <c r="K645">
        <f t="shared" si="197"/>
        <v>0</v>
      </c>
      <c r="L645" cm="1">
        <f t="array" ref="L645">IF(E645*J645=0,0,$C$21*INDEX([3]Sheet1!$C$4:$Q$23,MATCH(K645,[3]Sheet1!$B$4:$B$23,1),MATCH(D645,[3]Sheet1!$C$3:$Q$3,1))
+(K645-INDEX([3]Sheet1!$B$4:$B$23,MATCH(K645,[3]Sheet1!$B$4:$B$23,1),1))/(INDEX([3]Sheet1!$B$4:$B$23,MATCH(K645,[3]Sheet1!$B$4:$B$23,1)+1,1)-INDEX([3]Sheet1!$B$4:$B$23,
MATCH(K645,[3]Sheet1!$B$4:$B$23,1),1))*(INDEX([3]Sheet1!$C$4:$Q$23,MATCH(K645,[3]Sheet1!$B$4:$B$23,1)+1,MATCH(D645,[3]Sheet1!$C$3:$Q$3,1))-INDEX([3]Sheet1!$C$4:$Q$23,
MATCH(K645,[3]Sheet1!$B$4:$B$23,1),MATCH(D645,[3]Sheet1!$C$3:$Q$3,1)))
+(D645-INDEX([3]Sheet1!$C$3:$Q$3,1,MATCH(D645,[3]Sheet1!$C$3:$Q$3)))/(INDEX([3]Sheet1!$C$3:$Q$3,1,MATCH(D645,[3]Sheet1!$C$3:$Q$3)+1)-INDEX([3]Sheet1!$C$3:$Q$3,1,MATCH(
D645,[3]Sheet1!$C$3:$Q$3)))*(INDEX([3]Sheet1!$C$4:$Q$23,MATCH(K645,[3]Sheet1!$B$4:$B$23,1),MATCH(D645,[3]Sheet1!$C$3:$Q$3,1)+1)-INDEX([3]Sheet1!$C$4:$Q$23,MATCH(K645,[3]Sheet1!$B$4:$B$23,1),MATCH(D645,[3]Sheet1!$C$3:$Q$3,1))))</f>
        <v>0</v>
      </c>
      <c r="M645" cm="1">
        <f t="array" ref="M645" xml:space="preserve"> IF(E645*J645=0,0,(INDEX([2]Sheet1!$C$4:$Q$23,MATCH(K645,[2]Sheet1!$B$4:$B$23,1),MATCH(D645,[2]Sheet1!$C$3:$Q$3,1))
+ (K645 - INDEX([2]Sheet1!$B$4:$B$23,MATCH(K645,[2]Sheet1!$B$4:$B$23,1),1))/(INDEX([2]Sheet1!$B$4:$B$23,MATCH(K645,[2]Sheet1!$B$4:$B$23,1)+1,1) - INDEX([2]Sheet1!$B$4:$B$23,MATCH(K645,[2]Sheet1!$B$4:$B$23,1),1))*(INDEX([2]Sheet1!$C$4:$Q$23,MATCH(K645,[2]Sheet1!$B$4:$B$23,1)+1,MATCH(D645,[2]Sheet1!$C$3:$Q$3,1)) - INDEX([2]Sheet1!$C$4:$Q$23,MATCH(K645,[2]Sheet1!$B$4:$B$23,1),MATCH(D645,[2]Sheet1!$C$3:$Q$3,1)))
+ (D645 - INDEX([2]Sheet1!$C$3:$Q$3,1,MATCH(D645,[2]Sheet1!$C$3:$Q$3)))/(INDEX([2]Sheet1!$C$3:$Q$3,1,MATCH(D645,[2]Sheet1!$C$3:$Q$3)+1) - INDEX([2]Sheet1!$C$3:$Q$3,1,MATCH(D645,[2]Sheet1!$C$3:$Q$3)))*(
INDEX([2]Sheet1!$C$4:$Q$23,MATCH(K645,[2]Sheet1!$B$4:$B$23,1),MATCH(D645,[2]Sheet1!$C$3:$Q$3,1)+1) - INDEX([2]Sheet1!$C$4:$Q$23,MATCH(K645,[2]Sheet1!$B$4:$B$23,1),MATCH(D645,[2]Sheet1!$C$3:$Q$3,1)))))</f>
        <v>0</v>
      </c>
      <c r="N645">
        <f t="shared" si="198"/>
        <v>12</v>
      </c>
      <c r="O645">
        <v>8.3938126508950869E-2</v>
      </c>
      <c r="P645" t="e">
        <f t="shared" si="199"/>
        <v>#DIV/0!</v>
      </c>
      <c r="Q645">
        <f t="shared" si="200"/>
        <v>0</v>
      </c>
      <c r="R645">
        <f t="shared" si="201"/>
        <v>741.9099431943954</v>
      </c>
      <c r="T645" t="e">
        <f t="shared" si="202"/>
        <v>#DIV/0!</v>
      </c>
      <c r="U645" t="e">
        <f t="shared" si="203"/>
        <v>#DIV/0!</v>
      </c>
      <c r="V645">
        <f t="shared" si="204"/>
        <v>0</v>
      </c>
      <c r="W645" t="e">
        <f t="shared" si="205"/>
        <v>#DIV/0!</v>
      </c>
    </row>
    <row r="646" spans="1:23" x14ac:dyDescent="0.55000000000000004">
      <c r="A646">
        <f t="shared" si="178"/>
        <v>61.2000000000006</v>
      </c>
      <c r="B646">
        <f t="shared" si="182"/>
        <v>0.316</v>
      </c>
      <c r="C646">
        <f t="shared" si="191"/>
        <v>-34.913043478261258</v>
      </c>
      <c r="D646">
        <v>2.4205078025829234</v>
      </c>
      <c r="E646">
        <f t="shared" si="192"/>
        <v>0</v>
      </c>
      <c r="F646">
        <f t="shared" si="193"/>
        <v>4.8605058816845369E-2</v>
      </c>
      <c r="G646">
        <f t="shared" si="194"/>
        <v>39.513748498891111</v>
      </c>
      <c r="H646">
        <f t="shared" si="195"/>
        <v>0</v>
      </c>
      <c r="I646" s="1">
        <f t="shared" si="174"/>
        <v>0</v>
      </c>
      <c r="J646">
        <f t="shared" si="196"/>
        <v>0</v>
      </c>
      <c r="K646">
        <f t="shared" si="197"/>
        <v>0</v>
      </c>
      <c r="L646" cm="1">
        <f t="array" ref="L646">IF(E646*J646=0,0,$C$21*INDEX([3]Sheet1!$C$4:$Q$23,MATCH(K646,[3]Sheet1!$B$4:$B$23,1),MATCH(D646,[3]Sheet1!$C$3:$Q$3,1))
+(K646-INDEX([3]Sheet1!$B$4:$B$23,MATCH(K646,[3]Sheet1!$B$4:$B$23,1),1))/(INDEX([3]Sheet1!$B$4:$B$23,MATCH(K646,[3]Sheet1!$B$4:$B$23,1)+1,1)-INDEX([3]Sheet1!$B$4:$B$23,
MATCH(K646,[3]Sheet1!$B$4:$B$23,1),1))*(INDEX([3]Sheet1!$C$4:$Q$23,MATCH(K646,[3]Sheet1!$B$4:$B$23,1)+1,MATCH(D646,[3]Sheet1!$C$3:$Q$3,1))-INDEX([3]Sheet1!$C$4:$Q$23,
MATCH(K646,[3]Sheet1!$B$4:$B$23,1),MATCH(D646,[3]Sheet1!$C$3:$Q$3,1)))
+(D646-INDEX([3]Sheet1!$C$3:$Q$3,1,MATCH(D646,[3]Sheet1!$C$3:$Q$3)))/(INDEX([3]Sheet1!$C$3:$Q$3,1,MATCH(D646,[3]Sheet1!$C$3:$Q$3)+1)-INDEX([3]Sheet1!$C$3:$Q$3,1,MATCH(
D646,[3]Sheet1!$C$3:$Q$3)))*(INDEX([3]Sheet1!$C$4:$Q$23,MATCH(K646,[3]Sheet1!$B$4:$B$23,1),MATCH(D646,[3]Sheet1!$C$3:$Q$3,1)+1)-INDEX([3]Sheet1!$C$4:$Q$23,MATCH(K646,[3]Sheet1!$B$4:$B$23,1),MATCH(D646,[3]Sheet1!$C$3:$Q$3,1))))</f>
        <v>0</v>
      </c>
      <c r="M646" cm="1">
        <f t="array" ref="M646" xml:space="preserve"> IF(E646*J646=0,0,(INDEX([2]Sheet1!$C$4:$Q$23,MATCH(K646,[2]Sheet1!$B$4:$B$23,1),MATCH(D646,[2]Sheet1!$C$3:$Q$3,1))
+ (K646 - INDEX([2]Sheet1!$B$4:$B$23,MATCH(K646,[2]Sheet1!$B$4:$B$23,1),1))/(INDEX([2]Sheet1!$B$4:$B$23,MATCH(K646,[2]Sheet1!$B$4:$B$23,1)+1,1) - INDEX([2]Sheet1!$B$4:$B$23,MATCH(K646,[2]Sheet1!$B$4:$B$23,1),1))*(INDEX([2]Sheet1!$C$4:$Q$23,MATCH(K646,[2]Sheet1!$B$4:$B$23,1)+1,MATCH(D646,[2]Sheet1!$C$3:$Q$3,1)) - INDEX([2]Sheet1!$C$4:$Q$23,MATCH(K646,[2]Sheet1!$B$4:$B$23,1),MATCH(D646,[2]Sheet1!$C$3:$Q$3,1)))
+ (D646 - INDEX([2]Sheet1!$C$3:$Q$3,1,MATCH(D646,[2]Sheet1!$C$3:$Q$3)))/(INDEX([2]Sheet1!$C$3:$Q$3,1,MATCH(D646,[2]Sheet1!$C$3:$Q$3)+1) - INDEX([2]Sheet1!$C$3:$Q$3,1,MATCH(D646,[2]Sheet1!$C$3:$Q$3)))*(
INDEX([2]Sheet1!$C$4:$Q$23,MATCH(K646,[2]Sheet1!$B$4:$B$23,1),MATCH(D646,[2]Sheet1!$C$3:$Q$3,1)+1) - INDEX([2]Sheet1!$C$4:$Q$23,MATCH(K646,[2]Sheet1!$B$4:$B$23,1),MATCH(D646,[2]Sheet1!$C$3:$Q$3,1)))))</f>
        <v>0</v>
      </c>
      <c r="N646">
        <f t="shared" si="198"/>
        <v>12</v>
      </c>
      <c r="O646">
        <v>8.392589112115259E-2</v>
      </c>
      <c r="P646" t="e">
        <f t="shared" si="199"/>
        <v>#DIV/0!</v>
      </c>
      <c r="Q646">
        <f t="shared" si="200"/>
        <v>0</v>
      </c>
      <c r="R646">
        <f t="shared" si="201"/>
        <v>741.9099431943954</v>
      </c>
      <c r="T646" t="e">
        <f t="shared" si="202"/>
        <v>#DIV/0!</v>
      </c>
      <c r="U646" t="e">
        <f t="shared" si="203"/>
        <v>#DIV/0!</v>
      </c>
      <c r="V646">
        <f t="shared" si="204"/>
        <v>0</v>
      </c>
      <c r="W646" t="e">
        <f t="shared" si="205"/>
        <v>#DIV/0!</v>
      </c>
    </row>
    <row r="647" spans="1:23" x14ac:dyDescent="0.55000000000000004">
      <c r="A647">
        <f t="shared" si="178"/>
        <v>61.300000000000601</v>
      </c>
      <c r="B647">
        <f t="shared" si="182"/>
        <v>0.316</v>
      </c>
      <c r="C647">
        <f t="shared" si="191"/>
        <v>-34.978260869565609</v>
      </c>
      <c r="D647">
        <v>2.4204456227738129</v>
      </c>
      <c r="E647">
        <f t="shared" si="192"/>
        <v>0</v>
      </c>
      <c r="F647">
        <f t="shared" si="193"/>
        <v>4.8605058816845369E-2</v>
      </c>
      <c r="G647">
        <f t="shared" si="194"/>
        <v>39.513748498891111</v>
      </c>
      <c r="H647">
        <f t="shared" si="195"/>
        <v>0</v>
      </c>
      <c r="I647" s="1">
        <f t="shared" si="174"/>
        <v>0</v>
      </c>
      <c r="J647">
        <f t="shared" si="196"/>
        <v>0</v>
      </c>
      <c r="K647">
        <f t="shared" si="197"/>
        <v>0</v>
      </c>
      <c r="L647" cm="1">
        <f t="array" ref="L647">IF(E647*J647=0,0,$C$21*INDEX([3]Sheet1!$C$4:$Q$23,MATCH(K647,[3]Sheet1!$B$4:$B$23,1),MATCH(D647,[3]Sheet1!$C$3:$Q$3,1))
+(K647-INDEX([3]Sheet1!$B$4:$B$23,MATCH(K647,[3]Sheet1!$B$4:$B$23,1),1))/(INDEX([3]Sheet1!$B$4:$B$23,MATCH(K647,[3]Sheet1!$B$4:$B$23,1)+1,1)-INDEX([3]Sheet1!$B$4:$B$23,
MATCH(K647,[3]Sheet1!$B$4:$B$23,1),1))*(INDEX([3]Sheet1!$C$4:$Q$23,MATCH(K647,[3]Sheet1!$B$4:$B$23,1)+1,MATCH(D647,[3]Sheet1!$C$3:$Q$3,1))-INDEX([3]Sheet1!$C$4:$Q$23,
MATCH(K647,[3]Sheet1!$B$4:$B$23,1),MATCH(D647,[3]Sheet1!$C$3:$Q$3,1)))
+(D647-INDEX([3]Sheet1!$C$3:$Q$3,1,MATCH(D647,[3]Sheet1!$C$3:$Q$3)))/(INDEX([3]Sheet1!$C$3:$Q$3,1,MATCH(D647,[3]Sheet1!$C$3:$Q$3)+1)-INDEX([3]Sheet1!$C$3:$Q$3,1,MATCH(
D647,[3]Sheet1!$C$3:$Q$3)))*(INDEX([3]Sheet1!$C$4:$Q$23,MATCH(K647,[3]Sheet1!$B$4:$B$23,1),MATCH(D647,[3]Sheet1!$C$3:$Q$3,1)+1)-INDEX([3]Sheet1!$C$4:$Q$23,MATCH(K647,[3]Sheet1!$B$4:$B$23,1),MATCH(D647,[3]Sheet1!$C$3:$Q$3,1))))</f>
        <v>0</v>
      </c>
      <c r="M647" cm="1">
        <f t="array" ref="M647" xml:space="preserve"> IF(E647*J647=0,0,(INDEX([2]Sheet1!$C$4:$Q$23,MATCH(K647,[2]Sheet1!$B$4:$B$23,1),MATCH(D647,[2]Sheet1!$C$3:$Q$3,1))
+ (K647 - INDEX([2]Sheet1!$B$4:$B$23,MATCH(K647,[2]Sheet1!$B$4:$B$23,1),1))/(INDEX([2]Sheet1!$B$4:$B$23,MATCH(K647,[2]Sheet1!$B$4:$B$23,1)+1,1) - INDEX([2]Sheet1!$B$4:$B$23,MATCH(K647,[2]Sheet1!$B$4:$B$23,1),1))*(INDEX([2]Sheet1!$C$4:$Q$23,MATCH(K647,[2]Sheet1!$B$4:$B$23,1)+1,MATCH(D647,[2]Sheet1!$C$3:$Q$3,1)) - INDEX([2]Sheet1!$C$4:$Q$23,MATCH(K647,[2]Sheet1!$B$4:$B$23,1),MATCH(D647,[2]Sheet1!$C$3:$Q$3,1)))
+ (D647 - INDEX([2]Sheet1!$C$3:$Q$3,1,MATCH(D647,[2]Sheet1!$C$3:$Q$3)))/(INDEX([2]Sheet1!$C$3:$Q$3,1,MATCH(D647,[2]Sheet1!$C$3:$Q$3)+1) - INDEX([2]Sheet1!$C$3:$Q$3,1,MATCH(D647,[2]Sheet1!$C$3:$Q$3)))*(
INDEX([2]Sheet1!$C$4:$Q$23,MATCH(K647,[2]Sheet1!$B$4:$B$23,1),MATCH(D647,[2]Sheet1!$C$3:$Q$3,1)+1) - INDEX([2]Sheet1!$C$4:$Q$23,MATCH(K647,[2]Sheet1!$B$4:$B$23,1),MATCH(D647,[2]Sheet1!$C$3:$Q$3,1)))))</f>
        <v>0</v>
      </c>
      <c r="N647">
        <f t="shared" si="198"/>
        <v>12</v>
      </c>
      <c r="O647">
        <v>8.3913671837596043E-2</v>
      </c>
      <c r="P647" t="e">
        <f t="shared" si="199"/>
        <v>#DIV/0!</v>
      </c>
      <c r="Q647">
        <f t="shared" si="200"/>
        <v>0</v>
      </c>
      <c r="R647">
        <f t="shared" si="201"/>
        <v>741.9099431943954</v>
      </c>
      <c r="T647" t="e">
        <f t="shared" si="202"/>
        <v>#DIV/0!</v>
      </c>
      <c r="U647" t="e">
        <f t="shared" si="203"/>
        <v>#DIV/0!</v>
      </c>
      <c r="V647">
        <f t="shared" si="204"/>
        <v>0</v>
      </c>
      <c r="W647" t="e">
        <f t="shared" si="205"/>
        <v>#DIV/0!</v>
      </c>
    </row>
    <row r="648" spans="1:23" x14ac:dyDescent="0.55000000000000004">
      <c r="A648">
        <f t="shared" si="178"/>
        <v>61.400000000000603</v>
      </c>
      <c r="B648">
        <f t="shared" si="182"/>
        <v>0.316</v>
      </c>
      <c r="C648">
        <f t="shared" si="191"/>
        <v>-35.043478260869961</v>
      </c>
      <c r="D648">
        <v>2.4203835157983162</v>
      </c>
      <c r="E648">
        <f t="shared" si="192"/>
        <v>0</v>
      </c>
      <c r="F648">
        <f t="shared" si="193"/>
        <v>4.8605058816845369E-2</v>
      </c>
      <c r="G648">
        <f t="shared" si="194"/>
        <v>39.513748498891111</v>
      </c>
      <c r="H648">
        <f t="shared" si="195"/>
        <v>0</v>
      </c>
      <c r="I648" s="1">
        <f t="shared" si="174"/>
        <v>0</v>
      </c>
      <c r="J648">
        <f t="shared" si="196"/>
        <v>0</v>
      </c>
      <c r="K648">
        <f t="shared" si="197"/>
        <v>0</v>
      </c>
      <c r="L648" cm="1">
        <f t="array" ref="L648">IF(E648*J648=0,0,$C$21*INDEX([3]Sheet1!$C$4:$Q$23,MATCH(K648,[3]Sheet1!$B$4:$B$23,1),MATCH(D648,[3]Sheet1!$C$3:$Q$3,1))
+(K648-INDEX([3]Sheet1!$B$4:$B$23,MATCH(K648,[3]Sheet1!$B$4:$B$23,1),1))/(INDEX([3]Sheet1!$B$4:$B$23,MATCH(K648,[3]Sheet1!$B$4:$B$23,1)+1,1)-INDEX([3]Sheet1!$B$4:$B$23,
MATCH(K648,[3]Sheet1!$B$4:$B$23,1),1))*(INDEX([3]Sheet1!$C$4:$Q$23,MATCH(K648,[3]Sheet1!$B$4:$B$23,1)+1,MATCH(D648,[3]Sheet1!$C$3:$Q$3,1))-INDEX([3]Sheet1!$C$4:$Q$23,
MATCH(K648,[3]Sheet1!$B$4:$B$23,1),MATCH(D648,[3]Sheet1!$C$3:$Q$3,1)))
+(D648-INDEX([3]Sheet1!$C$3:$Q$3,1,MATCH(D648,[3]Sheet1!$C$3:$Q$3)))/(INDEX([3]Sheet1!$C$3:$Q$3,1,MATCH(D648,[3]Sheet1!$C$3:$Q$3)+1)-INDEX([3]Sheet1!$C$3:$Q$3,1,MATCH(
D648,[3]Sheet1!$C$3:$Q$3)))*(INDEX([3]Sheet1!$C$4:$Q$23,MATCH(K648,[3]Sheet1!$B$4:$B$23,1),MATCH(D648,[3]Sheet1!$C$3:$Q$3,1)+1)-INDEX([3]Sheet1!$C$4:$Q$23,MATCH(K648,[3]Sheet1!$B$4:$B$23,1),MATCH(D648,[3]Sheet1!$C$3:$Q$3,1))))</f>
        <v>0</v>
      </c>
      <c r="M648" cm="1">
        <f t="array" ref="M648" xml:space="preserve"> IF(E648*J648=0,0,(INDEX([2]Sheet1!$C$4:$Q$23,MATCH(K648,[2]Sheet1!$B$4:$B$23,1),MATCH(D648,[2]Sheet1!$C$3:$Q$3,1))
+ (K648 - INDEX([2]Sheet1!$B$4:$B$23,MATCH(K648,[2]Sheet1!$B$4:$B$23,1),1))/(INDEX([2]Sheet1!$B$4:$B$23,MATCH(K648,[2]Sheet1!$B$4:$B$23,1)+1,1) - INDEX([2]Sheet1!$B$4:$B$23,MATCH(K648,[2]Sheet1!$B$4:$B$23,1),1))*(INDEX([2]Sheet1!$C$4:$Q$23,MATCH(K648,[2]Sheet1!$B$4:$B$23,1)+1,MATCH(D648,[2]Sheet1!$C$3:$Q$3,1)) - INDEX([2]Sheet1!$C$4:$Q$23,MATCH(K648,[2]Sheet1!$B$4:$B$23,1),MATCH(D648,[2]Sheet1!$C$3:$Q$3,1)))
+ (D648 - INDEX([2]Sheet1!$C$3:$Q$3,1,MATCH(D648,[2]Sheet1!$C$3:$Q$3)))/(INDEX([2]Sheet1!$C$3:$Q$3,1,MATCH(D648,[2]Sheet1!$C$3:$Q$3)+1) - INDEX([2]Sheet1!$C$3:$Q$3,1,MATCH(D648,[2]Sheet1!$C$3:$Q$3)))*(
INDEX([2]Sheet1!$C$4:$Q$23,MATCH(K648,[2]Sheet1!$B$4:$B$23,1),MATCH(D648,[2]Sheet1!$C$3:$Q$3,1)+1) - INDEX([2]Sheet1!$C$4:$Q$23,MATCH(K648,[2]Sheet1!$B$4:$B$23,1),MATCH(D648,[2]Sheet1!$C$3:$Q$3,1)))))</f>
        <v>0</v>
      </c>
      <c r="N648">
        <f t="shared" si="198"/>
        <v>12</v>
      </c>
      <c r="O648">
        <v>8.3901468617229732E-2</v>
      </c>
      <c r="P648" t="e">
        <f t="shared" si="199"/>
        <v>#DIV/0!</v>
      </c>
      <c r="Q648">
        <f t="shared" si="200"/>
        <v>0</v>
      </c>
      <c r="R648">
        <f t="shared" si="201"/>
        <v>741.9099431943954</v>
      </c>
      <c r="T648" t="e">
        <f t="shared" si="202"/>
        <v>#DIV/0!</v>
      </c>
      <c r="U648" t="e">
        <f t="shared" si="203"/>
        <v>#DIV/0!</v>
      </c>
      <c r="V648">
        <f t="shared" si="204"/>
        <v>0</v>
      </c>
      <c r="W648" t="e">
        <f t="shared" si="205"/>
        <v>#DIV/0!</v>
      </c>
    </row>
    <row r="649" spans="1:23" x14ac:dyDescent="0.55000000000000004">
      <c r="A649">
        <f t="shared" si="178"/>
        <v>61.500000000000604</v>
      </c>
      <c r="B649">
        <f t="shared" si="182"/>
        <v>0.316</v>
      </c>
      <c r="C649">
        <f t="shared" si="191"/>
        <v>-35.108695652174312</v>
      </c>
      <c r="D649">
        <v>2.4203214814799741</v>
      </c>
      <c r="E649">
        <f t="shared" si="192"/>
        <v>0</v>
      </c>
      <c r="F649">
        <f t="shared" si="193"/>
        <v>4.8605058816845369E-2</v>
      </c>
      <c r="G649">
        <f t="shared" si="194"/>
        <v>39.513748498891111</v>
      </c>
      <c r="H649">
        <f t="shared" si="195"/>
        <v>0</v>
      </c>
      <c r="I649" s="1">
        <f t="shared" si="174"/>
        <v>0</v>
      </c>
      <c r="J649">
        <f t="shared" si="196"/>
        <v>0</v>
      </c>
      <c r="K649">
        <f t="shared" si="197"/>
        <v>0</v>
      </c>
      <c r="L649" cm="1">
        <f t="array" ref="L649">IF(E649*J649=0,0,$C$21*INDEX([3]Sheet1!$C$4:$Q$23,MATCH(K649,[3]Sheet1!$B$4:$B$23,1),MATCH(D649,[3]Sheet1!$C$3:$Q$3,1))
+(K649-INDEX([3]Sheet1!$B$4:$B$23,MATCH(K649,[3]Sheet1!$B$4:$B$23,1),1))/(INDEX([3]Sheet1!$B$4:$B$23,MATCH(K649,[3]Sheet1!$B$4:$B$23,1)+1,1)-INDEX([3]Sheet1!$B$4:$B$23,
MATCH(K649,[3]Sheet1!$B$4:$B$23,1),1))*(INDEX([3]Sheet1!$C$4:$Q$23,MATCH(K649,[3]Sheet1!$B$4:$B$23,1)+1,MATCH(D649,[3]Sheet1!$C$3:$Q$3,1))-INDEX([3]Sheet1!$C$4:$Q$23,
MATCH(K649,[3]Sheet1!$B$4:$B$23,1),MATCH(D649,[3]Sheet1!$C$3:$Q$3,1)))
+(D649-INDEX([3]Sheet1!$C$3:$Q$3,1,MATCH(D649,[3]Sheet1!$C$3:$Q$3)))/(INDEX([3]Sheet1!$C$3:$Q$3,1,MATCH(D649,[3]Sheet1!$C$3:$Q$3)+1)-INDEX([3]Sheet1!$C$3:$Q$3,1,MATCH(
D649,[3]Sheet1!$C$3:$Q$3)))*(INDEX([3]Sheet1!$C$4:$Q$23,MATCH(K649,[3]Sheet1!$B$4:$B$23,1),MATCH(D649,[3]Sheet1!$C$3:$Q$3,1)+1)-INDEX([3]Sheet1!$C$4:$Q$23,MATCH(K649,[3]Sheet1!$B$4:$B$23,1),MATCH(D649,[3]Sheet1!$C$3:$Q$3,1))))</f>
        <v>0</v>
      </c>
      <c r="M649" cm="1">
        <f t="array" ref="M649" xml:space="preserve"> IF(E649*J649=0,0,(INDEX([2]Sheet1!$C$4:$Q$23,MATCH(K649,[2]Sheet1!$B$4:$B$23,1),MATCH(D649,[2]Sheet1!$C$3:$Q$3,1))
+ (K649 - INDEX([2]Sheet1!$B$4:$B$23,MATCH(K649,[2]Sheet1!$B$4:$B$23,1),1))/(INDEX([2]Sheet1!$B$4:$B$23,MATCH(K649,[2]Sheet1!$B$4:$B$23,1)+1,1) - INDEX([2]Sheet1!$B$4:$B$23,MATCH(K649,[2]Sheet1!$B$4:$B$23,1),1))*(INDEX([2]Sheet1!$C$4:$Q$23,MATCH(K649,[2]Sheet1!$B$4:$B$23,1)+1,MATCH(D649,[2]Sheet1!$C$3:$Q$3,1)) - INDEX([2]Sheet1!$C$4:$Q$23,MATCH(K649,[2]Sheet1!$B$4:$B$23,1),MATCH(D649,[2]Sheet1!$C$3:$Q$3,1)))
+ (D649 - INDEX([2]Sheet1!$C$3:$Q$3,1,MATCH(D649,[2]Sheet1!$C$3:$Q$3)))/(INDEX([2]Sheet1!$C$3:$Q$3,1,MATCH(D649,[2]Sheet1!$C$3:$Q$3)+1) - INDEX([2]Sheet1!$C$3:$Q$3,1,MATCH(D649,[2]Sheet1!$C$3:$Q$3)))*(
INDEX([2]Sheet1!$C$4:$Q$23,MATCH(K649,[2]Sheet1!$B$4:$B$23,1),MATCH(D649,[2]Sheet1!$C$3:$Q$3,1)+1) - INDEX([2]Sheet1!$C$4:$Q$23,MATCH(K649,[2]Sheet1!$B$4:$B$23,1),MATCH(D649,[2]Sheet1!$C$3:$Q$3,1)))))</f>
        <v>0</v>
      </c>
      <c r="N649">
        <f t="shared" si="198"/>
        <v>12</v>
      </c>
      <c r="O649">
        <v>8.3889281419157066E-2</v>
      </c>
      <c r="P649" t="e">
        <f t="shared" si="199"/>
        <v>#DIV/0!</v>
      </c>
      <c r="Q649">
        <f t="shared" si="200"/>
        <v>0</v>
      </c>
      <c r="R649">
        <f t="shared" si="201"/>
        <v>741.9099431943954</v>
      </c>
      <c r="T649" t="e">
        <f t="shared" si="202"/>
        <v>#DIV/0!</v>
      </c>
      <c r="U649" t="e">
        <f t="shared" si="203"/>
        <v>#DIV/0!</v>
      </c>
      <c r="V649">
        <f t="shared" si="204"/>
        <v>0</v>
      </c>
      <c r="W649" t="e">
        <f t="shared" si="205"/>
        <v>#DIV/0!</v>
      </c>
    </row>
    <row r="650" spans="1:23" x14ac:dyDescent="0.55000000000000004">
      <c r="A650">
        <f t="shared" si="178"/>
        <v>61.600000000000605</v>
      </c>
      <c r="B650">
        <f t="shared" si="182"/>
        <v>0.316</v>
      </c>
      <c r="C650">
        <f t="shared" si="191"/>
        <v>-35.173913043478663</v>
      </c>
      <c r="D650">
        <v>2.4202595196429741</v>
      </c>
      <c r="E650">
        <f t="shared" si="192"/>
        <v>0</v>
      </c>
      <c r="F650">
        <f t="shared" si="193"/>
        <v>4.8605058816845369E-2</v>
      </c>
      <c r="G650">
        <f t="shared" si="194"/>
        <v>39.513748498891111</v>
      </c>
      <c r="H650">
        <f t="shared" si="195"/>
        <v>0</v>
      </c>
      <c r="I650" s="1">
        <f t="shared" si="174"/>
        <v>0</v>
      </c>
      <c r="J650">
        <f t="shared" si="196"/>
        <v>0</v>
      </c>
      <c r="K650">
        <f t="shared" si="197"/>
        <v>0</v>
      </c>
      <c r="L650" cm="1">
        <f t="array" ref="L650">IF(E650*J650=0,0,$C$21*INDEX([3]Sheet1!$C$4:$Q$23,MATCH(K650,[3]Sheet1!$B$4:$B$23,1),MATCH(D650,[3]Sheet1!$C$3:$Q$3,1))
+(K650-INDEX([3]Sheet1!$B$4:$B$23,MATCH(K650,[3]Sheet1!$B$4:$B$23,1),1))/(INDEX([3]Sheet1!$B$4:$B$23,MATCH(K650,[3]Sheet1!$B$4:$B$23,1)+1,1)-INDEX([3]Sheet1!$B$4:$B$23,
MATCH(K650,[3]Sheet1!$B$4:$B$23,1),1))*(INDEX([3]Sheet1!$C$4:$Q$23,MATCH(K650,[3]Sheet1!$B$4:$B$23,1)+1,MATCH(D650,[3]Sheet1!$C$3:$Q$3,1))-INDEX([3]Sheet1!$C$4:$Q$23,
MATCH(K650,[3]Sheet1!$B$4:$B$23,1),MATCH(D650,[3]Sheet1!$C$3:$Q$3,1)))
+(D650-INDEX([3]Sheet1!$C$3:$Q$3,1,MATCH(D650,[3]Sheet1!$C$3:$Q$3)))/(INDEX([3]Sheet1!$C$3:$Q$3,1,MATCH(D650,[3]Sheet1!$C$3:$Q$3)+1)-INDEX([3]Sheet1!$C$3:$Q$3,1,MATCH(
D650,[3]Sheet1!$C$3:$Q$3)))*(INDEX([3]Sheet1!$C$4:$Q$23,MATCH(K650,[3]Sheet1!$B$4:$B$23,1),MATCH(D650,[3]Sheet1!$C$3:$Q$3,1)+1)-INDEX([3]Sheet1!$C$4:$Q$23,MATCH(K650,[3]Sheet1!$B$4:$B$23,1),MATCH(D650,[3]Sheet1!$C$3:$Q$3,1))))</f>
        <v>0</v>
      </c>
      <c r="M650" cm="1">
        <f t="array" ref="M650" xml:space="preserve"> IF(E650*J650=0,0,(INDEX([2]Sheet1!$C$4:$Q$23,MATCH(K650,[2]Sheet1!$B$4:$B$23,1),MATCH(D650,[2]Sheet1!$C$3:$Q$3,1))
+ (K650 - INDEX([2]Sheet1!$B$4:$B$23,MATCH(K650,[2]Sheet1!$B$4:$B$23,1),1))/(INDEX([2]Sheet1!$B$4:$B$23,MATCH(K650,[2]Sheet1!$B$4:$B$23,1)+1,1) - INDEX([2]Sheet1!$B$4:$B$23,MATCH(K650,[2]Sheet1!$B$4:$B$23,1),1))*(INDEX([2]Sheet1!$C$4:$Q$23,MATCH(K650,[2]Sheet1!$B$4:$B$23,1)+1,MATCH(D650,[2]Sheet1!$C$3:$Q$3,1)) - INDEX([2]Sheet1!$C$4:$Q$23,MATCH(K650,[2]Sheet1!$B$4:$B$23,1),MATCH(D650,[2]Sheet1!$C$3:$Q$3,1)))
+ (D650 - INDEX([2]Sheet1!$C$3:$Q$3,1,MATCH(D650,[2]Sheet1!$C$3:$Q$3)))/(INDEX([2]Sheet1!$C$3:$Q$3,1,MATCH(D650,[2]Sheet1!$C$3:$Q$3)+1) - INDEX([2]Sheet1!$C$3:$Q$3,1,MATCH(D650,[2]Sheet1!$C$3:$Q$3)))*(
INDEX([2]Sheet1!$C$4:$Q$23,MATCH(K650,[2]Sheet1!$B$4:$B$23,1),MATCH(D650,[2]Sheet1!$C$3:$Q$3,1)+1) - INDEX([2]Sheet1!$C$4:$Q$23,MATCH(K650,[2]Sheet1!$B$4:$B$23,1),MATCH(D650,[2]Sheet1!$C$3:$Q$3,1)))))</f>
        <v>0</v>
      </c>
      <c r="N650">
        <f t="shared" si="198"/>
        <v>12</v>
      </c>
      <c r="O650">
        <v>8.387711020263694E-2</v>
      </c>
      <c r="P650" t="e">
        <f t="shared" si="199"/>
        <v>#DIV/0!</v>
      </c>
      <c r="Q650">
        <f t="shared" si="200"/>
        <v>0</v>
      </c>
      <c r="R650">
        <f t="shared" si="201"/>
        <v>741.9099431943954</v>
      </c>
      <c r="T650" t="e">
        <f t="shared" si="202"/>
        <v>#DIV/0!</v>
      </c>
      <c r="U650" t="e">
        <f t="shared" si="203"/>
        <v>#DIV/0!</v>
      </c>
      <c r="V650">
        <f t="shared" si="204"/>
        <v>0</v>
      </c>
      <c r="W650" t="e">
        <f t="shared" si="205"/>
        <v>#DIV/0!</v>
      </c>
    </row>
    <row r="651" spans="1:23" x14ac:dyDescent="0.55000000000000004">
      <c r="A651">
        <f t="shared" si="178"/>
        <v>61.700000000000607</v>
      </c>
      <c r="B651">
        <f t="shared" si="182"/>
        <v>0.316</v>
      </c>
      <c r="C651">
        <f t="shared" si="191"/>
        <v>-35.239130434783007</v>
      </c>
      <c r="D651">
        <v>2.4201976301121437</v>
      </c>
      <c r="E651">
        <f t="shared" si="192"/>
        <v>0</v>
      </c>
      <c r="F651">
        <f t="shared" si="193"/>
        <v>4.8605058816845369E-2</v>
      </c>
      <c r="G651">
        <f t="shared" si="194"/>
        <v>39.513748498891111</v>
      </c>
      <c r="H651">
        <f t="shared" si="195"/>
        <v>0</v>
      </c>
      <c r="I651" s="1">
        <f t="shared" si="174"/>
        <v>0</v>
      </c>
      <c r="J651">
        <f t="shared" si="196"/>
        <v>0</v>
      </c>
      <c r="K651">
        <f t="shared" si="197"/>
        <v>0</v>
      </c>
      <c r="L651" cm="1">
        <f t="array" ref="L651">IF(E651*J651=0,0,$C$21*INDEX([3]Sheet1!$C$4:$Q$23,MATCH(K651,[3]Sheet1!$B$4:$B$23,1),MATCH(D651,[3]Sheet1!$C$3:$Q$3,1))
+(K651-INDEX([3]Sheet1!$B$4:$B$23,MATCH(K651,[3]Sheet1!$B$4:$B$23,1),1))/(INDEX([3]Sheet1!$B$4:$B$23,MATCH(K651,[3]Sheet1!$B$4:$B$23,1)+1,1)-INDEX([3]Sheet1!$B$4:$B$23,
MATCH(K651,[3]Sheet1!$B$4:$B$23,1),1))*(INDEX([3]Sheet1!$C$4:$Q$23,MATCH(K651,[3]Sheet1!$B$4:$B$23,1)+1,MATCH(D651,[3]Sheet1!$C$3:$Q$3,1))-INDEX([3]Sheet1!$C$4:$Q$23,
MATCH(K651,[3]Sheet1!$B$4:$B$23,1),MATCH(D651,[3]Sheet1!$C$3:$Q$3,1)))
+(D651-INDEX([3]Sheet1!$C$3:$Q$3,1,MATCH(D651,[3]Sheet1!$C$3:$Q$3)))/(INDEX([3]Sheet1!$C$3:$Q$3,1,MATCH(D651,[3]Sheet1!$C$3:$Q$3)+1)-INDEX([3]Sheet1!$C$3:$Q$3,1,MATCH(
D651,[3]Sheet1!$C$3:$Q$3)))*(INDEX([3]Sheet1!$C$4:$Q$23,MATCH(K651,[3]Sheet1!$B$4:$B$23,1),MATCH(D651,[3]Sheet1!$C$3:$Q$3,1)+1)-INDEX([3]Sheet1!$C$4:$Q$23,MATCH(K651,[3]Sheet1!$B$4:$B$23,1),MATCH(D651,[3]Sheet1!$C$3:$Q$3,1))))</f>
        <v>0</v>
      </c>
      <c r="M651" cm="1">
        <f t="array" ref="M651" xml:space="preserve"> IF(E651*J651=0,0,(INDEX([2]Sheet1!$C$4:$Q$23,MATCH(K651,[2]Sheet1!$B$4:$B$23,1),MATCH(D651,[2]Sheet1!$C$3:$Q$3,1))
+ (K651 - INDEX([2]Sheet1!$B$4:$B$23,MATCH(K651,[2]Sheet1!$B$4:$B$23,1),1))/(INDEX([2]Sheet1!$B$4:$B$23,MATCH(K651,[2]Sheet1!$B$4:$B$23,1)+1,1) - INDEX([2]Sheet1!$B$4:$B$23,MATCH(K651,[2]Sheet1!$B$4:$B$23,1),1))*(INDEX([2]Sheet1!$C$4:$Q$23,MATCH(K651,[2]Sheet1!$B$4:$B$23,1)+1,MATCH(D651,[2]Sheet1!$C$3:$Q$3,1)) - INDEX([2]Sheet1!$C$4:$Q$23,MATCH(K651,[2]Sheet1!$B$4:$B$23,1),MATCH(D651,[2]Sheet1!$C$3:$Q$3,1)))
+ (D651 - INDEX([2]Sheet1!$C$3:$Q$3,1,MATCH(D651,[2]Sheet1!$C$3:$Q$3)))/(INDEX([2]Sheet1!$C$3:$Q$3,1,MATCH(D651,[2]Sheet1!$C$3:$Q$3)+1) - INDEX([2]Sheet1!$C$3:$Q$3,1,MATCH(D651,[2]Sheet1!$C$3:$Q$3)))*(
INDEX([2]Sheet1!$C$4:$Q$23,MATCH(K651,[2]Sheet1!$B$4:$B$23,1),MATCH(D651,[2]Sheet1!$C$3:$Q$3,1)+1) - INDEX([2]Sheet1!$C$4:$Q$23,MATCH(K651,[2]Sheet1!$B$4:$B$23,1),MATCH(D651,[2]Sheet1!$C$3:$Q$3,1)))))</f>
        <v>0</v>
      </c>
      <c r="N651">
        <f t="shared" si="198"/>
        <v>12</v>
      </c>
      <c r="O651">
        <v>8.3864954927082014E-2</v>
      </c>
      <c r="P651" t="e">
        <f t="shared" si="199"/>
        <v>#DIV/0!</v>
      </c>
      <c r="Q651">
        <f t="shared" si="200"/>
        <v>0</v>
      </c>
      <c r="R651">
        <f t="shared" si="201"/>
        <v>741.9099431943954</v>
      </c>
      <c r="T651" t="e">
        <f t="shared" si="202"/>
        <v>#DIV/0!</v>
      </c>
      <c r="U651" t="e">
        <f t="shared" si="203"/>
        <v>#DIV/0!</v>
      </c>
      <c r="V651">
        <f t="shared" si="204"/>
        <v>0</v>
      </c>
      <c r="W651" t="e">
        <f t="shared" si="205"/>
        <v>#DIV/0!</v>
      </c>
    </row>
    <row r="652" spans="1:23" x14ac:dyDescent="0.55000000000000004">
      <c r="A652">
        <f t="shared" si="178"/>
        <v>61.800000000000608</v>
      </c>
      <c r="B652">
        <f t="shared" si="182"/>
        <v>0.316</v>
      </c>
      <c r="C652">
        <f t="shared" si="191"/>
        <v>-35.304347826087358</v>
      </c>
      <c r="D652">
        <v>2.42013581271295</v>
      </c>
      <c r="E652">
        <f t="shared" si="192"/>
        <v>0</v>
      </c>
      <c r="F652">
        <f t="shared" si="193"/>
        <v>4.8605058816845369E-2</v>
      </c>
      <c r="G652">
        <f t="shared" si="194"/>
        <v>39.513748498891111</v>
      </c>
      <c r="H652">
        <f t="shared" si="195"/>
        <v>0</v>
      </c>
      <c r="I652" s="1">
        <f t="shared" si="174"/>
        <v>0</v>
      </c>
      <c r="J652">
        <f t="shared" si="196"/>
        <v>0</v>
      </c>
      <c r="K652">
        <f t="shared" si="197"/>
        <v>0</v>
      </c>
      <c r="L652" cm="1">
        <f t="array" ref="L652">IF(E652*J652=0,0,$C$21*INDEX([3]Sheet1!$C$4:$Q$23,MATCH(K652,[3]Sheet1!$B$4:$B$23,1),MATCH(D652,[3]Sheet1!$C$3:$Q$3,1))
+(K652-INDEX([3]Sheet1!$B$4:$B$23,MATCH(K652,[3]Sheet1!$B$4:$B$23,1),1))/(INDEX([3]Sheet1!$B$4:$B$23,MATCH(K652,[3]Sheet1!$B$4:$B$23,1)+1,1)-INDEX([3]Sheet1!$B$4:$B$23,
MATCH(K652,[3]Sheet1!$B$4:$B$23,1),1))*(INDEX([3]Sheet1!$C$4:$Q$23,MATCH(K652,[3]Sheet1!$B$4:$B$23,1)+1,MATCH(D652,[3]Sheet1!$C$3:$Q$3,1))-INDEX([3]Sheet1!$C$4:$Q$23,
MATCH(K652,[3]Sheet1!$B$4:$B$23,1),MATCH(D652,[3]Sheet1!$C$3:$Q$3,1)))
+(D652-INDEX([3]Sheet1!$C$3:$Q$3,1,MATCH(D652,[3]Sheet1!$C$3:$Q$3)))/(INDEX([3]Sheet1!$C$3:$Q$3,1,MATCH(D652,[3]Sheet1!$C$3:$Q$3)+1)-INDEX([3]Sheet1!$C$3:$Q$3,1,MATCH(
D652,[3]Sheet1!$C$3:$Q$3)))*(INDEX([3]Sheet1!$C$4:$Q$23,MATCH(K652,[3]Sheet1!$B$4:$B$23,1),MATCH(D652,[3]Sheet1!$C$3:$Q$3,1)+1)-INDEX([3]Sheet1!$C$4:$Q$23,MATCH(K652,[3]Sheet1!$B$4:$B$23,1),MATCH(D652,[3]Sheet1!$C$3:$Q$3,1))))</f>
        <v>0</v>
      </c>
      <c r="M652" cm="1">
        <f t="array" ref="M652" xml:space="preserve"> IF(E652*J652=0,0,(INDEX([2]Sheet1!$C$4:$Q$23,MATCH(K652,[2]Sheet1!$B$4:$B$23,1),MATCH(D652,[2]Sheet1!$C$3:$Q$3,1))
+ (K652 - INDEX([2]Sheet1!$B$4:$B$23,MATCH(K652,[2]Sheet1!$B$4:$B$23,1),1))/(INDEX([2]Sheet1!$B$4:$B$23,MATCH(K652,[2]Sheet1!$B$4:$B$23,1)+1,1) - INDEX([2]Sheet1!$B$4:$B$23,MATCH(K652,[2]Sheet1!$B$4:$B$23,1),1))*(INDEX([2]Sheet1!$C$4:$Q$23,MATCH(K652,[2]Sheet1!$B$4:$B$23,1)+1,MATCH(D652,[2]Sheet1!$C$3:$Q$3,1)) - INDEX([2]Sheet1!$C$4:$Q$23,MATCH(K652,[2]Sheet1!$B$4:$B$23,1),MATCH(D652,[2]Sheet1!$C$3:$Q$3,1)))
+ (D652 - INDEX([2]Sheet1!$C$3:$Q$3,1,MATCH(D652,[2]Sheet1!$C$3:$Q$3)))/(INDEX([2]Sheet1!$C$3:$Q$3,1,MATCH(D652,[2]Sheet1!$C$3:$Q$3)+1) - INDEX([2]Sheet1!$C$3:$Q$3,1,MATCH(D652,[2]Sheet1!$C$3:$Q$3)))*(
INDEX([2]Sheet1!$C$4:$Q$23,MATCH(K652,[2]Sheet1!$B$4:$B$23,1),MATCH(D652,[2]Sheet1!$C$3:$Q$3,1)+1) - INDEX([2]Sheet1!$C$4:$Q$23,MATCH(K652,[2]Sheet1!$B$4:$B$23,1),MATCH(D652,[2]Sheet1!$C$3:$Q$3,1)))))</f>
        <v>0</v>
      </c>
      <c r="N652">
        <f t="shared" si="198"/>
        <v>12</v>
      </c>
      <c r="O652">
        <v>8.3852815552058146E-2</v>
      </c>
      <c r="P652" t="e">
        <f t="shared" si="199"/>
        <v>#DIV/0!</v>
      </c>
      <c r="Q652">
        <f t="shared" si="200"/>
        <v>0</v>
      </c>
      <c r="R652">
        <f t="shared" si="201"/>
        <v>741.9099431943954</v>
      </c>
      <c r="T652" t="e">
        <f t="shared" si="202"/>
        <v>#DIV/0!</v>
      </c>
      <c r="U652" t="e">
        <f t="shared" si="203"/>
        <v>#DIV/0!</v>
      </c>
      <c r="V652">
        <f t="shared" si="204"/>
        <v>0</v>
      </c>
      <c r="W652" t="e">
        <f t="shared" si="205"/>
        <v>#DIV/0!</v>
      </c>
    </row>
    <row r="653" spans="1:23" x14ac:dyDescent="0.55000000000000004">
      <c r="A653">
        <f t="shared" si="178"/>
        <v>61.90000000000061</v>
      </c>
      <c r="B653">
        <f t="shared" si="182"/>
        <v>0.316</v>
      </c>
      <c r="C653">
        <f t="shared" si="191"/>
        <v>-35.36956521739171</v>
      </c>
      <c r="D653">
        <v>2.4200740672714955</v>
      </c>
      <c r="E653">
        <f t="shared" si="192"/>
        <v>0</v>
      </c>
      <c r="F653">
        <f t="shared" si="193"/>
        <v>4.8605058816845369E-2</v>
      </c>
      <c r="G653">
        <f t="shared" si="194"/>
        <v>39.513748498891111</v>
      </c>
      <c r="H653">
        <f t="shared" si="195"/>
        <v>0</v>
      </c>
      <c r="I653" s="1">
        <f t="shared" si="174"/>
        <v>0</v>
      </c>
      <c r="J653">
        <f t="shared" si="196"/>
        <v>0</v>
      </c>
      <c r="K653">
        <f t="shared" si="197"/>
        <v>0</v>
      </c>
      <c r="L653" cm="1">
        <f t="array" ref="L653">IF(E653*J653=0,0,$C$21*INDEX([3]Sheet1!$C$4:$Q$23,MATCH(K653,[3]Sheet1!$B$4:$B$23,1),MATCH(D653,[3]Sheet1!$C$3:$Q$3,1))
+(K653-INDEX([3]Sheet1!$B$4:$B$23,MATCH(K653,[3]Sheet1!$B$4:$B$23,1),1))/(INDEX([3]Sheet1!$B$4:$B$23,MATCH(K653,[3]Sheet1!$B$4:$B$23,1)+1,1)-INDEX([3]Sheet1!$B$4:$B$23,
MATCH(K653,[3]Sheet1!$B$4:$B$23,1),1))*(INDEX([3]Sheet1!$C$4:$Q$23,MATCH(K653,[3]Sheet1!$B$4:$B$23,1)+1,MATCH(D653,[3]Sheet1!$C$3:$Q$3,1))-INDEX([3]Sheet1!$C$4:$Q$23,
MATCH(K653,[3]Sheet1!$B$4:$B$23,1),MATCH(D653,[3]Sheet1!$C$3:$Q$3,1)))
+(D653-INDEX([3]Sheet1!$C$3:$Q$3,1,MATCH(D653,[3]Sheet1!$C$3:$Q$3)))/(INDEX([3]Sheet1!$C$3:$Q$3,1,MATCH(D653,[3]Sheet1!$C$3:$Q$3)+1)-INDEX([3]Sheet1!$C$3:$Q$3,1,MATCH(
D653,[3]Sheet1!$C$3:$Q$3)))*(INDEX([3]Sheet1!$C$4:$Q$23,MATCH(K653,[3]Sheet1!$B$4:$B$23,1),MATCH(D653,[3]Sheet1!$C$3:$Q$3,1)+1)-INDEX([3]Sheet1!$C$4:$Q$23,MATCH(K653,[3]Sheet1!$B$4:$B$23,1),MATCH(D653,[3]Sheet1!$C$3:$Q$3,1))))</f>
        <v>0</v>
      </c>
      <c r="M653" cm="1">
        <f t="array" ref="M653" xml:space="preserve"> IF(E653*J653=0,0,(INDEX([2]Sheet1!$C$4:$Q$23,MATCH(K653,[2]Sheet1!$B$4:$B$23,1),MATCH(D653,[2]Sheet1!$C$3:$Q$3,1))
+ (K653 - INDEX([2]Sheet1!$B$4:$B$23,MATCH(K653,[2]Sheet1!$B$4:$B$23,1),1))/(INDEX([2]Sheet1!$B$4:$B$23,MATCH(K653,[2]Sheet1!$B$4:$B$23,1)+1,1) - INDEX([2]Sheet1!$B$4:$B$23,MATCH(K653,[2]Sheet1!$B$4:$B$23,1),1))*(INDEX([2]Sheet1!$C$4:$Q$23,MATCH(K653,[2]Sheet1!$B$4:$B$23,1)+1,MATCH(D653,[2]Sheet1!$C$3:$Q$3,1)) - INDEX([2]Sheet1!$C$4:$Q$23,MATCH(K653,[2]Sheet1!$B$4:$B$23,1),MATCH(D653,[2]Sheet1!$C$3:$Q$3,1)))
+ (D653 - INDEX([2]Sheet1!$C$3:$Q$3,1,MATCH(D653,[2]Sheet1!$C$3:$Q$3)))/(INDEX([2]Sheet1!$C$3:$Q$3,1,MATCH(D653,[2]Sheet1!$C$3:$Q$3)+1) - INDEX([2]Sheet1!$C$3:$Q$3,1,MATCH(D653,[2]Sheet1!$C$3:$Q$3)))*(
INDEX([2]Sheet1!$C$4:$Q$23,MATCH(K653,[2]Sheet1!$B$4:$B$23,1),MATCH(D653,[2]Sheet1!$C$3:$Q$3,1)+1) - INDEX([2]Sheet1!$C$4:$Q$23,MATCH(K653,[2]Sheet1!$B$4:$B$23,1),MATCH(D653,[2]Sheet1!$C$3:$Q$3,1)))))</f>
        <v>0</v>
      </c>
      <c r="N653">
        <f t="shared" si="198"/>
        <v>12</v>
      </c>
      <c r="O653">
        <v>8.3840692037283601E-2</v>
      </c>
      <c r="P653" t="e">
        <f t="shared" si="199"/>
        <v>#DIV/0!</v>
      </c>
      <c r="Q653">
        <f t="shared" si="200"/>
        <v>0</v>
      </c>
      <c r="R653">
        <f t="shared" si="201"/>
        <v>741.9099431943954</v>
      </c>
      <c r="T653" t="e">
        <f t="shared" si="202"/>
        <v>#DIV/0!</v>
      </c>
      <c r="U653" t="e">
        <f t="shared" si="203"/>
        <v>#DIV/0!</v>
      </c>
      <c r="V653">
        <f t="shared" si="204"/>
        <v>0</v>
      </c>
      <c r="W653" t="e">
        <f t="shared" si="205"/>
        <v>#DIV/0!</v>
      </c>
    </row>
    <row r="654" spans="1:23" x14ac:dyDescent="0.55000000000000004">
      <c r="A654">
        <f t="shared" si="178"/>
        <v>62.000000000000611</v>
      </c>
      <c r="B654">
        <f t="shared" si="182"/>
        <v>0.316</v>
      </c>
      <c r="C654">
        <f t="shared" si="191"/>
        <v>-35.434782608696054</v>
      </c>
      <c r="D654">
        <v>2.4200123936145173</v>
      </c>
      <c r="E654">
        <f t="shared" si="192"/>
        <v>0</v>
      </c>
      <c r="F654">
        <f t="shared" si="193"/>
        <v>4.8605058816845369E-2</v>
      </c>
      <c r="G654">
        <f t="shared" si="194"/>
        <v>39.513748498891111</v>
      </c>
      <c r="H654">
        <f t="shared" si="195"/>
        <v>0</v>
      </c>
      <c r="I654" s="1">
        <f t="shared" si="174"/>
        <v>0</v>
      </c>
      <c r="J654">
        <f t="shared" si="196"/>
        <v>0</v>
      </c>
      <c r="K654">
        <f t="shared" si="197"/>
        <v>0</v>
      </c>
      <c r="L654" cm="1">
        <f t="array" ref="L654">IF(E654*J654=0,0,$C$21*INDEX([3]Sheet1!$C$4:$Q$23,MATCH(K654,[3]Sheet1!$B$4:$B$23,1),MATCH(D654,[3]Sheet1!$C$3:$Q$3,1))
+(K654-INDEX([3]Sheet1!$B$4:$B$23,MATCH(K654,[3]Sheet1!$B$4:$B$23,1),1))/(INDEX([3]Sheet1!$B$4:$B$23,MATCH(K654,[3]Sheet1!$B$4:$B$23,1)+1,1)-INDEX([3]Sheet1!$B$4:$B$23,
MATCH(K654,[3]Sheet1!$B$4:$B$23,1),1))*(INDEX([3]Sheet1!$C$4:$Q$23,MATCH(K654,[3]Sheet1!$B$4:$B$23,1)+1,MATCH(D654,[3]Sheet1!$C$3:$Q$3,1))-INDEX([3]Sheet1!$C$4:$Q$23,
MATCH(K654,[3]Sheet1!$B$4:$B$23,1),MATCH(D654,[3]Sheet1!$C$3:$Q$3,1)))
+(D654-INDEX([3]Sheet1!$C$3:$Q$3,1,MATCH(D654,[3]Sheet1!$C$3:$Q$3)))/(INDEX([3]Sheet1!$C$3:$Q$3,1,MATCH(D654,[3]Sheet1!$C$3:$Q$3)+1)-INDEX([3]Sheet1!$C$3:$Q$3,1,MATCH(
D654,[3]Sheet1!$C$3:$Q$3)))*(INDEX([3]Sheet1!$C$4:$Q$23,MATCH(K654,[3]Sheet1!$B$4:$B$23,1),MATCH(D654,[3]Sheet1!$C$3:$Q$3,1)+1)-INDEX([3]Sheet1!$C$4:$Q$23,MATCH(K654,[3]Sheet1!$B$4:$B$23,1),MATCH(D654,[3]Sheet1!$C$3:$Q$3,1))))</f>
        <v>0</v>
      </c>
      <c r="M654" cm="1">
        <f t="array" ref="M654" xml:space="preserve"> IF(E654*J654=0,0,(INDEX([2]Sheet1!$C$4:$Q$23,MATCH(K654,[2]Sheet1!$B$4:$B$23,1),MATCH(D654,[2]Sheet1!$C$3:$Q$3,1))
+ (K654 - INDEX([2]Sheet1!$B$4:$B$23,MATCH(K654,[2]Sheet1!$B$4:$B$23,1),1))/(INDEX([2]Sheet1!$B$4:$B$23,MATCH(K654,[2]Sheet1!$B$4:$B$23,1)+1,1) - INDEX([2]Sheet1!$B$4:$B$23,MATCH(K654,[2]Sheet1!$B$4:$B$23,1),1))*(INDEX([2]Sheet1!$C$4:$Q$23,MATCH(K654,[2]Sheet1!$B$4:$B$23,1)+1,MATCH(D654,[2]Sheet1!$C$3:$Q$3,1)) - INDEX([2]Sheet1!$C$4:$Q$23,MATCH(K654,[2]Sheet1!$B$4:$B$23,1),MATCH(D654,[2]Sheet1!$C$3:$Q$3,1)))
+ (D654 - INDEX([2]Sheet1!$C$3:$Q$3,1,MATCH(D654,[2]Sheet1!$C$3:$Q$3)))/(INDEX([2]Sheet1!$C$3:$Q$3,1,MATCH(D654,[2]Sheet1!$C$3:$Q$3)+1) - INDEX([2]Sheet1!$C$3:$Q$3,1,MATCH(D654,[2]Sheet1!$C$3:$Q$3)))*(
INDEX([2]Sheet1!$C$4:$Q$23,MATCH(K654,[2]Sheet1!$B$4:$B$23,1),MATCH(D654,[2]Sheet1!$C$3:$Q$3,1)+1) - INDEX([2]Sheet1!$C$4:$Q$23,MATCH(K654,[2]Sheet1!$B$4:$B$23,1),MATCH(D654,[2]Sheet1!$C$3:$Q$3,1)))))</f>
        <v>0</v>
      </c>
      <c r="N654">
        <f t="shared" si="198"/>
        <v>12</v>
      </c>
      <c r="O654">
        <v>8.3828584342628965E-2</v>
      </c>
      <c r="P654" t="e">
        <f t="shared" si="199"/>
        <v>#DIV/0!</v>
      </c>
      <c r="Q654">
        <f t="shared" si="200"/>
        <v>0</v>
      </c>
      <c r="R654">
        <f t="shared" si="201"/>
        <v>741.9099431943954</v>
      </c>
      <c r="T654" t="e">
        <f t="shared" si="202"/>
        <v>#DIV/0!</v>
      </c>
      <c r="U654" t="e">
        <f t="shared" si="203"/>
        <v>#DIV/0!</v>
      </c>
      <c r="V654">
        <f t="shared" si="204"/>
        <v>0</v>
      </c>
      <c r="W654" t="e">
        <f t="shared" si="205"/>
        <v>#DIV/0!</v>
      </c>
    </row>
    <row r="655" spans="1:23" x14ac:dyDescent="0.55000000000000004">
      <c r="A655">
        <f t="shared" si="178"/>
        <v>62.100000000000612</v>
      </c>
      <c r="B655">
        <f t="shared" si="182"/>
        <v>0.316</v>
      </c>
      <c r="C655">
        <f t="shared" si="191"/>
        <v>-35.500000000000398</v>
      </c>
      <c r="D655">
        <v>2.4199507915693785</v>
      </c>
      <c r="E655">
        <f t="shared" si="192"/>
        <v>0</v>
      </c>
      <c r="F655">
        <f t="shared" si="193"/>
        <v>4.8605058816845369E-2</v>
      </c>
      <c r="G655">
        <f t="shared" si="194"/>
        <v>39.513748498891111</v>
      </c>
      <c r="H655">
        <f t="shared" si="195"/>
        <v>0</v>
      </c>
      <c r="I655" s="1">
        <f t="shared" si="174"/>
        <v>0</v>
      </c>
      <c r="J655">
        <f t="shared" si="196"/>
        <v>0</v>
      </c>
      <c r="K655">
        <f t="shared" si="197"/>
        <v>0</v>
      </c>
      <c r="L655" cm="1">
        <f t="array" ref="L655">IF(E655*J655=0,0,$C$21*INDEX([3]Sheet1!$C$4:$Q$23,MATCH(K655,[3]Sheet1!$B$4:$B$23,1),MATCH(D655,[3]Sheet1!$C$3:$Q$3,1))
+(K655-INDEX([3]Sheet1!$B$4:$B$23,MATCH(K655,[3]Sheet1!$B$4:$B$23,1),1))/(INDEX([3]Sheet1!$B$4:$B$23,MATCH(K655,[3]Sheet1!$B$4:$B$23,1)+1,1)-INDEX([3]Sheet1!$B$4:$B$23,
MATCH(K655,[3]Sheet1!$B$4:$B$23,1),1))*(INDEX([3]Sheet1!$C$4:$Q$23,MATCH(K655,[3]Sheet1!$B$4:$B$23,1)+1,MATCH(D655,[3]Sheet1!$C$3:$Q$3,1))-INDEX([3]Sheet1!$C$4:$Q$23,
MATCH(K655,[3]Sheet1!$B$4:$B$23,1),MATCH(D655,[3]Sheet1!$C$3:$Q$3,1)))
+(D655-INDEX([3]Sheet1!$C$3:$Q$3,1,MATCH(D655,[3]Sheet1!$C$3:$Q$3)))/(INDEX([3]Sheet1!$C$3:$Q$3,1,MATCH(D655,[3]Sheet1!$C$3:$Q$3)+1)-INDEX([3]Sheet1!$C$3:$Q$3,1,MATCH(
D655,[3]Sheet1!$C$3:$Q$3)))*(INDEX([3]Sheet1!$C$4:$Q$23,MATCH(K655,[3]Sheet1!$B$4:$B$23,1),MATCH(D655,[3]Sheet1!$C$3:$Q$3,1)+1)-INDEX([3]Sheet1!$C$4:$Q$23,MATCH(K655,[3]Sheet1!$B$4:$B$23,1),MATCH(D655,[3]Sheet1!$C$3:$Q$3,1))))</f>
        <v>0</v>
      </c>
      <c r="M655" cm="1">
        <f t="array" ref="M655" xml:space="preserve"> IF(E655*J655=0,0,(INDEX([2]Sheet1!$C$4:$Q$23,MATCH(K655,[2]Sheet1!$B$4:$B$23,1),MATCH(D655,[2]Sheet1!$C$3:$Q$3,1))
+ (K655 - INDEX([2]Sheet1!$B$4:$B$23,MATCH(K655,[2]Sheet1!$B$4:$B$23,1),1))/(INDEX([2]Sheet1!$B$4:$B$23,MATCH(K655,[2]Sheet1!$B$4:$B$23,1)+1,1) - INDEX([2]Sheet1!$B$4:$B$23,MATCH(K655,[2]Sheet1!$B$4:$B$23,1),1))*(INDEX([2]Sheet1!$C$4:$Q$23,MATCH(K655,[2]Sheet1!$B$4:$B$23,1)+1,MATCH(D655,[2]Sheet1!$C$3:$Q$3,1)) - INDEX([2]Sheet1!$C$4:$Q$23,MATCH(K655,[2]Sheet1!$B$4:$B$23,1),MATCH(D655,[2]Sheet1!$C$3:$Q$3,1)))
+ (D655 - INDEX([2]Sheet1!$C$3:$Q$3,1,MATCH(D655,[2]Sheet1!$C$3:$Q$3)))/(INDEX([2]Sheet1!$C$3:$Q$3,1,MATCH(D655,[2]Sheet1!$C$3:$Q$3)+1) - INDEX([2]Sheet1!$C$3:$Q$3,1,MATCH(D655,[2]Sheet1!$C$3:$Q$3)))*(
INDEX([2]Sheet1!$C$4:$Q$23,MATCH(K655,[2]Sheet1!$B$4:$B$23,1),MATCH(D655,[2]Sheet1!$C$3:$Q$3,1)+1) - INDEX([2]Sheet1!$C$4:$Q$23,MATCH(K655,[2]Sheet1!$B$4:$B$23,1),MATCH(D655,[2]Sheet1!$C$3:$Q$3,1)))))</f>
        <v>0</v>
      </c>
      <c r="N655">
        <f t="shared" si="198"/>
        <v>12</v>
      </c>
      <c r="O655">
        <v>8.3816492428114925E-2</v>
      </c>
      <c r="P655" t="e">
        <f t="shared" si="199"/>
        <v>#DIV/0!</v>
      </c>
      <c r="Q655">
        <f t="shared" si="200"/>
        <v>0</v>
      </c>
      <c r="R655">
        <f t="shared" si="201"/>
        <v>741.9099431943954</v>
      </c>
      <c r="T655" t="e">
        <f t="shared" si="202"/>
        <v>#DIV/0!</v>
      </c>
      <c r="U655" t="e">
        <f t="shared" si="203"/>
        <v>#DIV/0!</v>
      </c>
      <c r="V655">
        <f t="shared" si="204"/>
        <v>0</v>
      </c>
      <c r="W655" t="e">
        <f t="shared" si="205"/>
        <v>#DIV/0!</v>
      </c>
    </row>
    <row r="656" spans="1:23" x14ac:dyDescent="0.55000000000000004">
      <c r="A656">
        <f t="shared" si="178"/>
        <v>62.200000000000614</v>
      </c>
      <c r="B656">
        <f t="shared" si="182"/>
        <v>0.316</v>
      </c>
      <c r="C656">
        <f t="shared" si="191"/>
        <v>-35.565217391304749</v>
      </c>
      <c r="D656">
        <v>2.4198892609640721</v>
      </c>
      <c r="E656">
        <f t="shared" si="192"/>
        <v>0</v>
      </c>
      <c r="F656">
        <f t="shared" si="193"/>
        <v>4.8605058816845369E-2</v>
      </c>
      <c r="G656">
        <f t="shared" si="194"/>
        <v>39.513748498891111</v>
      </c>
      <c r="H656">
        <f t="shared" si="195"/>
        <v>0</v>
      </c>
      <c r="I656" s="1">
        <f t="shared" si="174"/>
        <v>0</v>
      </c>
      <c r="J656">
        <f t="shared" si="196"/>
        <v>0</v>
      </c>
      <c r="K656">
        <f t="shared" si="197"/>
        <v>0</v>
      </c>
      <c r="L656" cm="1">
        <f t="array" ref="L656">IF(E656*J656=0,0,$C$21*INDEX([3]Sheet1!$C$4:$Q$23,MATCH(K656,[3]Sheet1!$B$4:$B$23,1),MATCH(D656,[3]Sheet1!$C$3:$Q$3,1))
+(K656-INDEX([3]Sheet1!$B$4:$B$23,MATCH(K656,[3]Sheet1!$B$4:$B$23,1),1))/(INDEX([3]Sheet1!$B$4:$B$23,MATCH(K656,[3]Sheet1!$B$4:$B$23,1)+1,1)-INDEX([3]Sheet1!$B$4:$B$23,
MATCH(K656,[3]Sheet1!$B$4:$B$23,1),1))*(INDEX([3]Sheet1!$C$4:$Q$23,MATCH(K656,[3]Sheet1!$B$4:$B$23,1)+1,MATCH(D656,[3]Sheet1!$C$3:$Q$3,1))-INDEX([3]Sheet1!$C$4:$Q$23,
MATCH(K656,[3]Sheet1!$B$4:$B$23,1),MATCH(D656,[3]Sheet1!$C$3:$Q$3,1)))
+(D656-INDEX([3]Sheet1!$C$3:$Q$3,1,MATCH(D656,[3]Sheet1!$C$3:$Q$3)))/(INDEX([3]Sheet1!$C$3:$Q$3,1,MATCH(D656,[3]Sheet1!$C$3:$Q$3)+1)-INDEX([3]Sheet1!$C$3:$Q$3,1,MATCH(
D656,[3]Sheet1!$C$3:$Q$3)))*(INDEX([3]Sheet1!$C$4:$Q$23,MATCH(K656,[3]Sheet1!$B$4:$B$23,1),MATCH(D656,[3]Sheet1!$C$3:$Q$3,1)+1)-INDEX([3]Sheet1!$C$4:$Q$23,MATCH(K656,[3]Sheet1!$B$4:$B$23,1),MATCH(D656,[3]Sheet1!$C$3:$Q$3,1))))</f>
        <v>0</v>
      </c>
      <c r="M656" cm="1">
        <f t="array" ref="M656" xml:space="preserve"> IF(E656*J656=0,0,(INDEX([2]Sheet1!$C$4:$Q$23,MATCH(K656,[2]Sheet1!$B$4:$B$23,1),MATCH(D656,[2]Sheet1!$C$3:$Q$3,1))
+ (K656 - INDEX([2]Sheet1!$B$4:$B$23,MATCH(K656,[2]Sheet1!$B$4:$B$23,1),1))/(INDEX([2]Sheet1!$B$4:$B$23,MATCH(K656,[2]Sheet1!$B$4:$B$23,1)+1,1) - INDEX([2]Sheet1!$B$4:$B$23,MATCH(K656,[2]Sheet1!$B$4:$B$23,1),1))*(INDEX([2]Sheet1!$C$4:$Q$23,MATCH(K656,[2]Sheet1!$B$4:$B$23,1)+1,MATCH(D656,[2]Sheet1!$C$3:$Q$3,1)) - INDEX([2]Sheet1!$C$4:$Q$23,MATCH(K656,[2]Sheet1!$B$4:$B$23,1),MATCH(D656,[2]Sheet1!$C$3:$Q$3,1)))
+ (D656 - INDEX([2]Sheet1!$C$3:$Q$3,1,MATCH(D656,[2]Sheet1!$C$3:$Q$3)))/(INDEX([2]Sheet1!$C$3:$Q$3,1,MATCH(D656,[2]Sheet1!$C$3:$Q$3)+1) - INDEX([2]Sheet1!$C$3:$Q$3,1,MATCH(D656,[2]Sheet1!$C$3:$Q$3)))*(
INDEX([2]Sheet1!$C$4:$Q$23,MATCH(K656,[2]Sheet1!$B$4:$B$23,1),MATCH(D656,[2]Sheet1!$C$3:$Q$3,1)+1) - INDEX([2]Sheet1!$C$4:$Q$23,MATCH(K656,[2]Sheet1!$B$4:$B$23,1),MATCH(D656,[2]Sheet1!$C$3:$Q$3,1)))))</f>
        <v>0</v>
      </c>
      <c r="N656">
        <f t="shared" si="198"/>
        <v>12</v>
      </c>
      <c r="O656">
        <v>8.3804416253912994E-2</v>
      </c>
      <c r="P656" t="e">
        <f t="shared" si="199"/>
        <v>#DIV/0!</v>
      </c>
      <c r="Q656">
        <f t="shared" si="200"/>
        <v>0</v>
      </c>
      <c r="R656">
        <f t="shared" si="201"/>
        <v>741.9099431943954</v>
      </c>
      <c r="T656" t="e">
        <f t="shared" si="202"/>
        <v>#DIV/0!</v>
      </c>
      <c r="U656" t="e">
        <f t="shared" si="203"/>
        <v>#DIV/0!</v>
      </c>
      <c r="V656">
        <f t="shared" si="204"/>
        <v>0</v>
      </c>
      <c r="W656" t="e">
        <f t="shared" si="205"/>
        <v>#DIV/0!</v>
      </c>
    </row>
    <row r="657" spans="1:23" x14ac:dyDescent="0.55000000000000004">
      <c r="A657">
        <f t="shared" si="178"/>
        <v>62.300000000000615</v>
      </c>
      <c r="B657">
        <f t="shared" si="182"/>
        <v>0.316</v>
      </c>
      <c r="C657">
        <f t="shared" si="191"/>
        <v>-35.6304347826091</v>
      </c>
      <c r="D657">
        <v>2.4198278016272114</v>
      </c>
      <c r="E657">
        <f t="shared" si="192"/>
        <v>0</v>
      </c>
      <c r="F657">
        <f t="shared" si="193"/>
        <v>4.8605058816845369E-2</v>
      </c>
      <c r="G657">
        <f t="shared" si="194"/>
        <v>39.513748498891111</v>
      </c>
      <c r="H657">
        <f t="shared" si="195"/>
        <v>0</v>
      </c>
      <c r="I657" s="1">
        <f t="shared" si="174"/>
        <v>0</v>
      </c>
      <c r="J657">
        <f t="shared" si="196"/>
        <v>0</v>
      </c>
      <c r="K657">
        <f t="shared" si="197"/>
        <v>0</v>
      </c>
      <c r="L657" cm="1">
        <f t="array" ref="L657">IF(E657*J657=0,0,$C$21*INDEX([3]Sheet1!$C$4:$Q$23,MATCH(K657,[3]Sheet1!$B$4:$B$23,1),MATCH(D657,[3]Sheet1!$C$3:$Q$3,1))
+(K657-INDEX([3]Sheet1!$B$4:$B$23,MATCH(K657,[3]Sheet1!$B$4:$B$23,1),1))/(INDEX([3]Sheet1!$B$4:$B$23,MATCH(K657,[3]Sheet1!$B$4:$B$23,1)+1,1)-INDEX([3]Sheet1!$B$4:$B$23,
MATCH(K657,[3]Sheet1!$B$4:$B$23,1),1))*(INDEX([3]Sheet1!$C$4:$Q$23,MATCH(K657,[3]Sheet1!$B$4:$B$23,1)+1,MATCH(D657,[3]Sheet1!$C$3:$Q$3,1))-INDEX([3]Sheet1!$C$4:$Q$23,
MATCH(K657,[3]Sheet1!$B$4:$B$23,1),MATCH(D657,[3]Sheet1!$C$3:$Q$3,1)))
+(D657-INDEX([3]Sheet1!$C$3:$Q$3,1,MATCH(D657,[3]Sheet1!$C$3:$Q$3)))/(INDEX([3]Sheet1!$C$3:$Q$3,1,MATCH(D657,[3]Sheet1!$C$3:$Q$3)+1)-INDEX([3]Sheet1!$C$3:$Q$3,1,MATCH(
D657,[3]Sheet1!$C$3:$Q$3)))*(INDEX([3]Sheet1!$C$4:$Q$23,MATCH(K657,[3]Sheet1!$B$4:$B$23,1),MATCH(D657,[3]Sheet1!$C$3:$Q$3,1)+1)-INDEX([3]Sheet1!$C$4:$Q$23,MATCH(K657,[3]Sheet1!$B$4:$B$23,1),MATCH(D657,[3]Sheet1!$C$3:$Q$3,1))))</f>
        <v>0</v>
      </c>
      <c r="M657" cm="1">
        <f t="array" ref="M657" xml:space="preserve"> IF(E657*J657=0,0,(INDEX([2]Sheet1!$C$4:$Q$23,MATCH(K657,[2]Sheet1!$B$4:$B$23,1),MATCH(D657,[2]Sheet1!$C$3:$Q$3,1))
+ (K657 - INDEX([2]Sheet1!$B$4:$B$23,MATCH(K657,[2]Sheet1!$B$4:$B$23,1),1))/(INDEX([2]Sheet1!$B$4:$B$23,MATCH(K657,[2]Sheet1!$B$4:$B$23,1)+1,1) - INDEX([2]Sheet1!$B$4:$B$23,MATCH(K657,[2]Sheet1!$B$4:$B$23,1),1))*(INDEX([2]Sheet1!$C$4:$Q$23,MATCH(K657,[2]Sheet1!$B$4:$B$23,1)+1,MATCH(D657,[2]Sheet1!$C$3:$Q$3,1)) - INDEX([2]Sheet1!$C$4:$Q$23,MATCH(K657,[2]Sheet1!$B$4:$B$23,1),MATCH(D657,[2]Sheet1!$C$3:$Q$3,1)))
+ (D657 - INDEX([2]Sheet1!$C$3:$Q$3,1,MATCH(D657,[2]Sheet1!$C$3:$Q$3)))/(INDEX([2]Sheet1!$C$3:$Q$3,1,MATCH(D657,[2]Sheet1!$C$3:$Q$3)+1) - INDEX([2]Sheet1!$C$3:$Q$3,1,MATCH(D657,[2]Sheet1!$C$3:$Q$3)))*(
INDEX([2]Sheet1!$C$4:$Q$23,MATCH(K657,[2]Sheet1!$B$4:$B$23,1),MATCH(D657,[2]Sheet1!$C$3:$Q$3,1)+1) - INDEX([2]Sheet1!$C$4:$Q$23,MATCH(K657,[2]Sheet1!$B$4:$B$23,1),MATCH(D657,[2]Sheet1!$C$3:$Q$3,1)))))</f>
        <v>0</v>
      </c>
      <c r="N657">
        <f t="shared" si="198"/>
        <v>12</v>
      </c>
      <c r="O657">
        <v>8.379235578034408E-2</v>
      </c>
      <c r="P657" t="e">
        <f t="shared" si="199"/>
        <v>#DIV/0!</v>
      </c>
      <c r="Q657">
        <f t="shared" si="200"/>
        <v>0</v>
      </c>
      <c r="R657">
        <f t="shared" si="201"/>
        <v>741.9099431943954</v>
      </c>
      <c r="T657" t="e">
        <f t="shared" si="202"/>
        <v>#DIV/0!</v>
      </c>
      <c r="U657" t="e">
        <f t="shared" si="203"/>
        <v>#DIV/0!</v>
      </c>
      <c r="V657">
        <f t="shared" si="204"/>
        <v>0</v>
      </c>
      <c r="W657" t="e">
        <f t="shared" si="205"/>
        <v>#DIV/0!</v>
      </c>
    </row>
    <row r="658" spans="1:23" x14ac:dyDescent="0.55000000000000004">
      <c r="A658">
        <f t="shared" si="178"/>
        <v>62.400000000000617</v>
      </c>
      <c r="B658">
        <f t="shared" si="182"/>
        <v>0.316</v>
      </c>
      <c r="C658">
        <f t="shared" si="191"/>
        <v>-35.695652173913452</v>
      </c>
      <c r="D658">
        <v>2.4197664133880341</v>
      </c>
      <c r="E658">
        <f t="shared" si="192"/>
        <v>0</v>
      </c>
      <c r="F658">
        <f t="shared" si="193"/>
        <v>4.8605058816845369E-2</v>
      </c>
      <c r="G658">
        <f t="shared" si="194"/>
        <v>39.513748498891111</v>
      </c>
      <c r="H658">
        <f t="shared" si="195"/>
        <v>0</v>
      </c>
      <c r="I658" s="1">
        <f t="shared" si="174"/>
        <v>0</v>
      </c>
      <c r="J658">
        <f t="shared" si="196"/>
        <v>0</v>
      </c>
      <c r="K658">
        <f t="shared" si="197"/>
        <v>0</v>
      </c>
      <c r="L658" cm="1">
        <f t="array" ref="L658">IF(E658*J658=0,0,$C$21*INDEX([3]Sheet1!$C$4:$Q$23,MATCH(K658,[3]Sheet1!$B$4:$B$23,1),MATCH(D658,[3]Sheet1!$C$3:$Q$3,1))
+(K658-INDEX([3]Sheet1!$B$4:$B$23,MATCH(K658,[3]Sheet1!$B$4:$B$23,1),1))/(INDEX([3]Sheet1!$B$4:$B$23,MATCH(K658,[3]Sheet1!$B$4:$B$23,1)+1,1)-INDEX([3]Sheet1!$B$4:$B$23,
MATCH(K658,[3]Sheet1!$B$4:$B$23,1),1))*(INDEX([3]Sheet1!$C$4:$Q$23,MATCH(K658,[3]Sheet1!$B$4:$B$23,1)+1,MATCH(D658,[3]Sheet1!$C$3:$Q$3,1))-INDEX([3]Sheet1!$C$4:$Q$23,
MATCH(K658,[3]Sheet1!$B$4:$B$23,1),MATCH(D658,[3]Sheet1!$C$3:$Q$3,1)))
+(D658-INDEX([3]Sheet1!$C$3:$Q$3,1,MATCH(D658,[3]Sheet1!$C$3:$Q$3)))/(INDEX([3]Sheet1!$C$3:$Q$3,1,MATCH(D658,[3]Sheet1!$C$3:$Q$3)+1)-INDEX([3]Sheet1!$C$3:$Q$3,1,MATCH(
D658,[3]Sheet1!$C$3:$Q$3)))*(INDEX([3]Sheet1!$C$4:$Q$23,MATCH(K658,[3]Sheet1!$B$4:$B$23,1),MATCH(D658,[3]Sheet1!$C$3:$Q$3,1)+1)-INDEX([3]Sheet1!$C$4:$Q$23,MATCH(K658,[3]Sheet1!$B$4:$B$23,1),MATCH(D658,[3]Sheet1!$C$3:$Q$3,1))))</f>
        <v>0</v>
      </c>
      <c r="M658" cm="1">
        <f t="array" ref="M658" xml:space="preserve"> IF(E658*J658=0,0,(INDEX([2]Sheet1!$C$4:$Q$23,MATCH(K658,[2]Sheet1!$B$4:$B$23,1),MATCH(D658,[2]Sheet1!$C$3:$Q$3,1))
+ (K658 - INDEX([2]Sheet1!$B$4:$B$23,MATCH(K658,[2]Sheet1!$B$4:$B$23,1),1))/(INDEX([2]Sheet1!$B$4:$B$23,MATCH(K658,[2]Sheet1!$B$4:$B$23,1)+1,1) - INDEX([2]Sheet1!$B$4:$B$23,MATCH(K658,[2]Sheet1!$B$4:$B$23,1),1))*(INDEX([2]Sheet1!$C$4:$Q$23,MATCH(K658,[2]Sheet1!$B$4:$B$23,1)+1,MATCH(D658,[2]Sheet1!$C$3:$Q$3,1)) - INDEX([2]Sheet1!$C$4:$Q$23,MATCH(K658,[2]Sheet1!$B$4:$B$23,1),MATCH(D658,[2]Sheet1!$C$3:$Q$3,1)))
+ (D658 - INDEX([2]Sheet1!$C$3:$Q$3,1,MATCH(D658,[2]Sheet1!$C$3:$Q$3)))/(INDEX([2]Sheet1!$C$3:$Q$3,1,MATCH(D658,[2]Sheet1!$C$3:$Q$3)+1) - INDEX([2]Sheet1!$C$3:$Q$3,1,MATCH(D658,[2]Sheet1!$C$3:$Q$3)))*(
INDEX([2]Sheet1!$C$4:$Q$23,MATCH(K658,[2]Sheet1!$B$4:$B$23,1),MATCH(D658,[2]Sheet1!$C$3:$Q$3,1)+1) - INDEX([2]Sheet1!$C$4:$Q$23,MATCH(K658,[2]Sheet1!$B$4:$B$23,1),MATCH(D658,[2]Sheet1!$C$3:$Q$3,1)))))</f>
        <v>0</v>
      </c>
      <c r="N658">
        <f t="shared" si="198"/>
        <v>12</v>
      </c>
      <c r="O658">
        <v>8.3780310967877886E-2</v>
      </c>
      <c r="P658" t="e">
        <f t="shared" si="199"/>
        <v>#DIV/0!</v>
      </c>
      <c r="Q658">
        <f t="shared" si="200"/>
        <v>0</v>
      </c>
      <c r="R658">
        <f t="shared" si="201"/>
        <v>741.9099431943954</v>
      </c>
      <c r="T658" t="e">
        <f t="shared" si="202"/>
        <v>#DIV/0!</v>
      </c>
      <c r="U658" t="e">
        <f t="shared" si="203"/>
        <v>#DIV/0!</v>
      </c>
      <c r="V658">
        <f t="shared" si="204"/>
        <v>0</v>
      </c>
      <c r="W658" t="e">
        <f t="shared" si="205"/>
        <v>#DIV/0!</v>
      </c>
    </row>
    <row r="659" spans="1:23" x14ac:dyDescent="0.55000000000000004">
      <c r="A659">
        <f t="shared" si="178"/>
        <v>62.500000000000618</v>
      </c>
      <c r="B659">
        <f t="shared" si="182"/>
        <v>0.316</v>
      </c>
      <c r="C659">
        <f t="shared" si="191"/>
        <v>-35.760869565217796</v>
      </c>
      <c r="D659">
        <v>2.4197050960763908</v>
      </c>
      <c r="E659">
        <f t="shared" si="192"/>
        <v>0</v>
      </c>
      <c r="F659">
        <f t="shared" si="193"/>
        <v>4.8605058816845369E-2</v>
      </c>
      <c r="G659">
        <f t="shared" si="194"/>
        <v>39.513748498891111</v>
      </c>
      <c r="H659">
        <f t="shared" si="195"/>
        <v>0</v>
      </c>
      <c r="I659" s="1">
        <f t="shared" si="174"/>
        <v>0</v>
      </c>
      <c r="J659">
        <f t="shared" si="196"/>
        <v>0</v>
      </c>
      <c r="K659">
        <f t="shared" si="197"/>
        <v>0</v>
      </c>
      <c r="L659" cm="1">
        <f t="array" ref="L659">IF(E659*J659=0,0,$C$21*INDEX([3]Sheet1!$C$4:$Q$23,MATCH(K659,[3]Sheet1!$B$4:$B$23,1),MATCH(D659,[3]Sheet1!$C$3:$Q$3,1))
+(K659-INDEX([3]Sheet1!$B$4:$B$23,MATCH(K659,[3]Sheet1!$B$4:$B$23,1),1))/(INDEX([3]Sheet1!$B$4:$B$23,MATCH(K659,[3]Sheet1!$B$4:$B$23,1)+1,1)-INDEX([3]Sheet1!$B$4:$B$23,
MATCH(K659,[3]Sheet1!$B$4:$B$23,1),1))*(INDEX([3]Sheet1!$C$4:$Q$23,MATCH(K659,[3]Sheet1!$B$4:$B$23,1)+1,MATCH(D659,[3]Sheet1!$C$3:$Q$3,1))-INDEX([3]Sheet1!$C$4:$Q$23,
MATCH(K659,[3]Sheet1!$B$4:$B$23,1),MATCH(D659,[3]Sheet1!$C$3:$Q$3,1)))
+(D659-INDEX([3]Sheet1!$C$3:$Q$3,1,MATCH(D659,[3]Sheet1!$C$3:$Q$3)))/(INDEX([3]Sheet1!$C$3:$Q$3,1,MATCH(D659,[3]Sheet1!$C$3:$Q$3)+1)-INDEX([3]Sheet1!$C$3:$Q$3,1,MATCH(
D659,[3]Sheet1!$C$3:$Q$3)))*(INDEX([3]Sheet1!$C$4:$Q$23,MATCH(K659,[3]Sheet1!$B$4:$B$23,1),MATCH(D659,[3]Sheet1!$C$3:$Q$3,1)+1)-INDEX([3]Sheet1!$C$4:$Q$23,MATCH(K659,[3]Sheet1!$B$4:$B$23,1),MATCH(D659,[3]Sheet1!$C$3:$Q$3,1))))</f>
        <v>0</v>
      </c>
      <c r="M659" cm="1">
        <f t="array" ref="M659" xml:space="preserve"> IF(E659*J659=0,0,(INDEX([2]Sheet1!$C$4:$Q$23,MATCH(K659,[2]Sheet1!$B$4:$B$23,1),MATCH(D659,[2]Sheet1!$C$3:$Q$3,1))
+ (K659 - INDEX([2]Sheet1!$B$4:$B$23,MATCH(K659,[2]Sheet1!$B$4:$B$23,1),1))/(INDEX([2]Sheet1!$B$4:$B$23,MATCH(K659,[2]Sheet1!$B$4:$B$23,1)+1,1) - INDEX([2]Sheet1!$B$4:$B$23,MATCH(K659,[2]Sheet1!$B$4:$B$23,1),1))*(INDEX([2]Sheet1!$C$4:$Q$23,MATCH(K659,[2]Sheet1!$B$4:$B$23,1)+1,MATCH(D659,[2]Sheet1!$C$3:$Q$3,1)) - INDEX([2]Sheet1!$C$4:$Q$23,MATCH(K659,[2]Sheet1!$B$4:$B$23,1),MATCH(D659,[2]Sheet1!$C$3:$Q$3,1)))
+ (D659 - INDEX([2]Sheet1!$C$3:$Q$3,1,MATCH(D659,[2]Sheet1!$C$3:$Q$3)))/(INDEX([2]Sheet1!$C$3:$Q$3,1,MATCH(D659,[2]Sheet1!$C$3:$Q$3)+1) - INDEX([2]Sheet1!$C$3:$Q$3,1,MATCH(D659,[2]Sheet1!$C$3:$Q$3)))*(
INDEX([2]Sheet1!$C$4:$Q$23,MATCH(K659,[2]Sheet1!$B$4:$B$23,1),MATCH(D659,[2]Sheet1!$C$3:$Q$3,1)+1) - INDEX([2]Sheet1!$C$4:$Q$23,MATCH(K659,[2]Sheet1!$B$4:$B$23,1),MATCH(D659,[2]Sheet1!$C$3:$Q$3,1)))))</f>
        <v>0</v>
      </c>
      <c r="N659">
        <f t="shared" si="198"/>
        <v>12</v>
      </c>
      <c r="O659">
        <v>8.3768281777131887E-2</v>
      </c>
      <c r="P659" t="e">
        <f t="shared" si="199"/>
        <v>#DIV/0!</v>
      </c>
      <c r="Q659">
        <f t="shared" si="200"/>
        <v>0</v>
      </c>
      <c r="R659">
        <f t="shared" si="201"/>
        <v>741.9099431943954</v>
      </c>
      <c r="T659" t="e">
        <f t="shared" si="202"/>
        <v>#DIV/0!</v>
      </c>
      <c r="U659" t="e">
        <f t="shared" si="203"/>
        <v>#DIV/0!</v>
      </c>
      <c r="V659">
        <f t="shared" si="204"/>
        <v>0</v>
      </c>
      <c r="W659" t="e">
        <f t="shared" si="205"/>
        <v>#DIV/0!</v>
      </c>
    </row>
    <row r="660" spans="1:23" x14ac:dyDescent="0.55000000000000004">
      <c r="A660">
        <f t="shared" si="178"/>
        <v>62.60000000000062</v>
      </c>
      <c r="B660">
        <f t="shared" si="182"/>
        <v>0.316</v>
      </c>
      <c r="C660">
        <f t="shared" si="191"/>
        <v>-35.826086956522147</v>
      </c>
      <c r="D660">
        <v>2.4196438495227501</v>
      </c>
      <c r="E660">
        <f t="shared" si="192"/>
        <v>0</v>
      </c>
      <c r="F660">
        <f t="shared" si="193"/>
        <v>4.8605058816845369E-2</v>
      </c>
      <c r="G660">
        <f t="shared" si="194"/>
        <v>39.513748498891111</v>
      </c>
      <c r="H660">
        <f t="shared" si="195"/>
        <v>0</v>
      </c>
      <c r="I660" s="1">
        <f t="shared" si="174"/>
        <v>0</v>
      </c>
      <c r="J660">
        <f t="shared" si="196"/>
        <v>0</v>
      </c>
      <c r="K660">
        <f t="shared" si="197"/>
        <v>0</v>
      </c>
      <c r="L660" cm="1">
        <f t="array" ref="L660">IF(E660*J660=0,0,$C$21*INDEX([3]Sheet1!$C$4:$Q$23,MATCH(K660,[3]Sheet1!$B$4:$B$23,1),MATCH(D660,[3]Sheet1!$C$3:$Q$3,1))
+(K660-INDEX([3]Sheet1!$B$4:$B$23,MATCH(K660,[3]Sheet1!$B$4:$B$23,1),1))/(INDEX([3]Sheet1!$B$4:$B$23,MATCH(K660,[3]Sheet1!$B$4:$B$23,1)+1,1)-INDEX([3]Sheet1!$B$4:$B$23,
MATCH(K660,[3]Sheet1!$B$4:$B$23,1),1))*(INDEX([3]Sheet1!$C$4:$Q$23,MATCH(K660,[3]Sheet1!$B$4:$B$23,1)+1,MATCH(D660,[3]Sheet1!$C$3:$Q$3,1))-INDEX([3]Sheet1!$C$4:$Q$23,
MATCH(K660,[3]Sheet1!$B$4:$B$23,1),MATCH(D660,[3]Sheet1!$C$3:$Q$3,1)))
+(D660-INDEX([3]Sheet1!$C$3:$Q$3,1,MATCH(D660,[3]Sheet1!$C$3:$Q$3)))/(INDEX([3]Sheet1!$C$3:$Q$3,1,MATCH(D660,[3]Sheet1!$C$3:$Q$3)+1)-INDEX([3]Sheet1!$C$3:$Q$3,1,MATCH(
D660,[3]Sheet1!$C$3:$Q$3)))*(INDEX([3]Sheet1!$C$4:$Q$23,MATCH(K660,[3]Sheet1!$B$4:$B$23,1),MATCH(D660,[3]Sheet1!$C$3:$Q$3,1)+1)-INDEX([3]Sheet1!$C$4:$Q$23,MATCH(K660,[3]Sheet1!$B$4:$B$23,1),MATCH(D660,[3]Sheet1!$C$3:$Q$3,1))))</f>
        <v>0</v>
      </c>
      <c r="M660" cm="1">
        <f t="array" ref="M660" xml:space="preserve"> IF(E660*J660=0,0,(INDEX([2]Sheet1!$C$4:$Q$23,MATCH(K660,[2]Sheet1!$B$4:$B$23,1),MATCH(D660,[2]Sheet1!$C$3:$Q$3,1))
+ (K660 - INDEX([2]Sheet1!$B$4:$B$23,MATCH(K660,[2]Sheet1!$B$4:$B$23,1),1))/(INDEX([2]Sheet1!$B$4:$B$23,MATCH(K660,[2]Sheet1!$B$4:$B$23,1)+1,1) - INDEX([2]Sheet1!$B$4:$B$23,MATCH(K660,[2]Sheet1!$B$4:$B$23,1),1))*(INDEX([2]Sheet1!$C$4:$Q$23,MATCH(K660,[2]Sheet1!$B$4:$B$23,1)+1,MATCH(D660,[2]Sheet1!$C$3:$Q$3,1)) - INDEX([2]Sheet1!$C$4:$Q$23,MATCH(K660,[2]Sheet1!$B$4:$B$23,1),MATCH(D660,[2]Sheet1!$C$3:$Q$3,1)))
+ (D660 - INDEX([2]Sheet1!$C$3:$Q$3,1,MATCH(D660,[2]Sheet1!$C$3:$Q$3)))/(INDEX([2]Sheet1!$C$3:$Q$3,1,MATCH(D660,[2]Sheet1!$C$3:$Q$3)+1) - INDEX([2]Sheet1!$C$3:$Q$3,1,MATCH(D660,[2]Sheet1!$C$3:$Q$3)))*(
INDEX([2]Sheet1!$C$4:$Q$23,MATCH(K660,[2]Sheet1!$B$4:$B$23,1),MATCH(D660,[2]Sheet1!$C$3:$Q$3,1)+1) - INDEX([2]Sheet1!$C$4:$Q$23,MATCH(K660,[2]Sheet1!$B$4:$B$23,1),MATCH(D660,[2]Sheet1!$C$3:$Q$3,1)))))</f>
        <v>0</v>
      </c>
      <c r="N660">
        <f t="shared" si="198"/>
        <v>12</v>
      </c>
      <c r="O660">
        <v>8.375626816887094E-2</v>
      </c>
      <c r="P660" t="e">
        <f t="shared" si="199"/>
        <v>#DIV/0!</v>
      </c>
      <c r="Q660">
        <f t="shared" si="200"/>
        <v>0</v>
      </c>
      <c r="R660">
        <f t="shared" si="201"/>
        <v>741.9099431943954</v>
      </c>
      <c r="T660" t="e">
        <f t="shared" si="202"/>
        <v>#DIV/0!</v>
      </c>
      <c r="U660" t="e">
        <f t="shared" si="203"/>
        <v>#DIV/0!</v>
      </c>
      <c r="V660">
        <f t="shared" si="204"/>
        <v>0</v>
      </c>
      <c r="W660" t="e">
        <f t="shared" si="205"/>
        <v>#DIV/0!</v>
      </c>
    </row>
    <row r="661" spans="1:23" x14ac:dyDescent="0.55000000000000004">
      <c r="A661">
        <f t="shared" si="178"/>
        <v>62.700000000000621</v>
      </c>
      <c r="B661">
        <f t="shared" si="182"/>
        <v>0.316</v>
      </c>
      <c r="C661">
        <f t="shared" si="191"/>
        <v>-35.891304347826498</v>
      </c>
      <c r="D661">
        <v>2.4195826735581911</v>
      </c>
      <c r="E661">
        <f t="shared" si="192"/>
        <v>0</v>
      </c>
      <c r="F661">
        <f t="shared" si="193"/>
        <v>4.8605058816845369E-2</v>
      </c>
      <c r="G661">
        <f t="shared" si="194"/>
        <v>39.513748498891111</v>
      </c>
      <c r="H661">
        <f t="shared" si="195"/>
        <v>0</v>
      </c>
      <c r="I661" s="1">
        <f t="shared" si="174"/>
        <v>0</v>
      </c>
      <c r="J661">
        <f t="shared" si="196"/>
        <v>0</v>
      </c>
      <c r="K661">
        <f t="shared" si="197"/>
        <v>0</v>
      </c>
      <c r="L661" cm="1">
        <f t="array" ref="L661">IF(E661*J661=0,0,$C$21*INDEX([3]Sheet1!$C$4:$Q$23,MATCH(K661,[3]Sheet1!$B$4:$B$23,1),MATCH(D661,[3]Sheet1!$C$3:$Q$3,1))
+(K661-INDEX([3]Sheet1!$B$4:$B$23,MATCH(K661,[3]Sheet1!$B$4:$B$23,1),1))/(INDEX([3]Sheet1!$B$4:$B$23,MATCH(K661,[3]Sheet1!$B$4:$B$23,1)+1,1)-INDEX([3]Sheet1!$B$4:$B$23,
MATCH(K661,[3]Sheet1!$B$4:$B$23,1),1))*(INDEX([3]Sheet1!$C$4:$Q$23,MATCH(K661,[3]Sheet1!$B$4:$B$23,1)+1,MATCH(D661,[3]Sheet1!$C$3:$Q$3,1))-INDEX([3]Sheet1!$C$4:$Q$23,
MATCH(K661,[3]Sheet1!$B$4:$B$23,1),MATCH(D661,[3]Sheet1!$C$3:$Q$3,1)))
+(D661-INDEX([3]Sheet1!$C$3:$Q$3,1,MATCH(D661,[3]Sheet1!$C$3:$Q$3)))/(INDEX([3]Sheet1!$C$3:$Q$3,1,MATCH(D661,[3]Sheet1!$C$3:$Q$3)+1)-INDEX([3]Sheet1!$C$3:$Q$3,1,MATCH(
D661,[3]Sheet1!$C$3:$Q$3)))*(INDEX([3]Sheet1!$C$4:$Q$23,MATCH(K661,[3]Sheet1!$B$4:$B$23,1),MATCH(D661,[3]Sheet1!$C$3:$Q$3,1)+1)-INDEX([3]Sheet1!$C$4:$Q$23,MATCH(K661,[3]Sheet1!$B$4:$B$23,1),MATCH(D661,[3]Sheet1!$C$3:$Q$3,1))))</f>
        <v>0</v>
      </c>
      <c r="M661" cm="1">
        <f t="array" ref="M661" xml:space="preserve"> IF(E661*J661=0,0,(INDEX([2]Sheet1!$C$4:$Q$23,MATCH(K661,[2]Sheet1!$B$4:$B$23,1),MATCH(D661,[2]Sheet1!$C$3:$Q$3,1))
+ (K661 - INDEX([2]Sheet1!$B$4:$B$23,MATCH(K661,[2]Sheet1!$B$4:$B$23,1),1))/(INDEX([2]Sheet1!$B$4:$B$23,MATCH(K661,[2]Sheet1!$B$4:$B$23,1)+1,1) - INDEX([2]Sheet1!$B$4:$B$23,MATCH(K661,[2]Sheet1!$B$4:$B$23,1),1))*(INDEX([2]Sheet1!$C$4:$Q$23,MATCH(K661,[2]Sheet1!$B$4:$B$23,1)+1,MATCH(D661,[2]Sheet1!$C$3:$Q$3,1)) - INDEX([2]Sheet1!$C$4:$Q$23,MATCH(K661,[2]Sheet1!$B$4:$B$23,1),MATCH(D661,[2]Sheet1!$C$3:$Q$3,1)))
+ (D661 - INDEX([2]Sheet1!$C$3:$Q$3,1,MATCH(D661,[2]Sheet1!$C$3:$Q$3)))/(INDEX([2]Sheet1!$C$3:$Q$3,1,MATCH(D661,[2]Sheet1!$C$3:$Q$3)+1) - INDEX([2]Sheet1!$C$3:$Q$3,1,MATCH(D661,[2]Sheet1!$C$3:$Q$3)))*(
INDEX([2]Sheet1!$C$4:$Q$23,MATCH(K661,[2]Sheet1!$B$4:$B$23,1),MATCH(D661,[2]Sheet1!$C$3:$Q$3,1)+1) - INDEX([2]Sheet1!$C$4:$Q$23,MATCH(K661,[2]Sheet1!$B$4:$B$23,1),MATCH(D661,[2]Sheet1!$C$3:$Q$3,1)))))</f>
        <v>0</v>
      </c>
      <c r="N661">
        <f t="shared" si="198"/>
        <v>12</v>
      </c>
      <c r="O661">
        <v>8.3744270104006355E-2</v>
      </c>
      <c r="P661" t="e">
        <f t="shared" si="199"/>
        <v>#DIV/0!</v>
      </c>
      <c r="Q661">
        <f t="shared" si="200"/>
        <v>0</v>
      </c>
      <c r="R661">
        <f t="shared" si="201"/>
        <v>741.9099431943954</v>
      </c>
      <c r="T661" t="e">
        <f t="shared" si="202"/>
        <v>#DIV/0!</v>
      </c>
      <c r="U661" t="e">
        <f t="shared" si="203"/>
        <v>#DIV/0!</v>
      </c>
      <c r="V661">
        <f t="shared" si="204"/>
        <v>0</v>
      </c>
      <c r="W661" t="e">
        <f t="shared" si="205"/>
        <v>#DIV/0!</v>
      </c>
    </row>
    <row r="662" spans="1:23" x14ac:dyDescent="0.55000000000000004">
      <c r="A662">
        <f t="shared" si="178"/>
        <v>62.800000000000622</v>
      </c>
      <c r="B662">
        <f t="shared" si="182"/>
        <v>0.316</v>
      </c>
      <c r="C662">
        <f t="shared" si="191"/>
        <v>-35.956521739130842</v>
      </c>
      <c r="D662">
        <v>2.4195215680144004</v>
      </c>
      <c r="E662">
        <f t="shared" si="192"/>
        <v>0</v>
      </c>
      <c r="F662">
        <f t="shared" si="193"/>
        <v>4.8605058816845369E-2</v>
      </c>
      <c r="G662">
        <f t="shared" si="194"/>
        <v>39.513748498891111</v>
      </c>
      <c r="H662">
        <f t="shared" si="195"/>
        <v>0</v>
      </c>
      <c r="I662" s="1">
        <f t="shared" si="174"/>
        <v>0</v>
      </c>
      <c r="J662">
        <f t="shared" si="196"/>
        <v>0</v>
      </c>
      <c r="K662">
        <f t="shared" si="197"/>
        <v>0</v>
      </c>
      <c r="L662" cm="1">
        <f t="array" ref="L662">IF(E662*J662=0,0,$C$21*INDEX([3]Sheet1!$C$4:$Q$23,MATCH(K662,[3]Sheet1!$B$4:$B$23,1),MATCH(D662,[3]Sheet1!$C$3:$Q$3,1))
+(K662-INDEX([3]Sheet1!$B$4:$B$23,MATCH(K662,[3]Sheet1!$B$4:$B$23,1),1))/(INDEX([3]Sheet1!$B$4:$B$23,MATCH(K662,[3]Sheet1!$B$4:$B$23,1)+1,1)-INDEX([3]Sheet1!$B$4:$B$23,
MATCH(K662,[3]Sheet1!$B$4:$B$23,1),1))*(INDEX([3]Sheet1!$C$4:$Q$23,MATCH(K662,[3]Sheet1!$B$4:$B$23,1)+1,MATCH(D662,[3]Sheet1!$C$3:$Q$3,1))-INDEX([3]Sheet1!$C$4:$Q$23,
MATCH(K662,[3]Sheet1!$B$4:$B$23,1),MATCH(D662,[3]Sheet1!$C$3:$Q$3,1)))
+(D662-INDEX([3]Sheet1!$C$3:$Q$3,1,MATCH(D662,[3]Sheet1!$C$3:$Q$3)))/(INDEX([3]Sheet1!$C$3:$Q$3,1,MATCH(D662,[3]Sheet1!$C$3:$Q$3)+1)-INDEX([3]Sheet1!$C$3:$Q$3,1,MATCH(
D662,[3]Sheet1!$C$3:$Q$3)))*(INDEX([3]Sheet1!$C$4:$Q$23,MATCH(K662,[3]Sheet1!$B$4:$B$23,1),MATCH(D662,[3]Sheet1!$C$3:$Q$3,1)+1)-INDEX([3]Sheet1!$C$4:$Q$23,MATCH(K662,[3]Sheet1!$B$4:$B$23,1),MATCH(D662,[3]Sheet1!$C$3:$Q$3,1))))</f>
        <v>0</v>
      </c>
      <c r="M662" cm="1">
        <f t="array" ref="M662" xml:space="preserve"> IF(E662*J662=0,0,(INDEX([2]Sheet1!$C$4:$Q$23,MATCH(K662,[2]Sheet1!$B$4:$B$23,1),MATCH(D662,[2]Sheet1!$C$3:$Q$3,1))
+ (K662 - INDEX([2]Sheet1!$B$4:$B$23,MATCH(K662,[2]Sheet1!$B$4:$B$23,1),1))/(INDEX([2]Sheet1!$B$4:$B$23,MATCH(K662,[2]Sheet1!$B$4:$B$23,1)+1,1) - INDEX([2]Sheet1!$B$4:$B$23,MATCH(K662,[2]Sheet1!$B$4:$B$23,1),1))*(INDEX([2]Sheet1!$C$4:$Q$23,MATCH(K662,[2]Sheet1!$B$4:$B$23,1)+1,MATCH(D662,[2]Sheet1!$C$3:$Q$3,1)) - INDEX([2]Sheet1!$C$4:$Q$23,MATCH(K662,[2]Sheet1!$B$4:$B$23,1),MATCH(D662,[2]Sheet1!$C$3:$Q$3,1)))
+ (D662 - INDEX([2]Sheet1!$C$3:$Q$3,1,MATCH(D662,[2]Sheet1!$C$3:$Q$3)))/(INDEX([2]Sheet1!$C$3:$Q$3,1,MATCH(D662,[2]Sheet1!$C$3:$Q$3)+1) - INDEX([2]Sheet1!$C$3:$Q$3,1,MATCH(D662,[2]Sheet1!$C$3:$Q$3)))*(
INDEX([2]Sheet1!$C$4:$Q$23,MATCH(K662,[2]Sheet1!$B$4:$B$23,1),MATCH(D662,[2]Sheet1!$C$3:$Q$3,1)+1) - INDEX([2]Sheet1!$C$4:$Q$23,MATCH(K662,[2]Sheet1!$B$4:$B$23,1),MATCH(D662,[2]Sheet1!$C$3:$Q$3,1)))))</f>
        <v>0</v>
      </c>
      <c r="N662">
        <f t="shared" si="198"/>
        <v>12</v>
      </c>
      <c r="O662">
        <v>8.3732287543595657E-2</v>
      </c>
      <c r="P662" t="e">
        <f t="shared" si="199"/>
        <v>#DIV/0!</v>
      </c>
      <c r="Q662">
        <f t="shared" si="200"/>
        <v>0</v>
      </c>
      <c r="R662">
        <f t="shared" si="201"/>
        <v>741.9099431943954</v>
      </c>
      <c r="T662" t="e">
        <f t="shared" si="202"/>
        <v>#DIV/0!</v>
      </c>
      <c r="U662" t="e">
        <f t="shared" si="203"/>
        <v>#DIV/0!</v>
      </c>
      <c r="V662">
        <f t="shared" si="204"/>
        <v>0</v>
      </c>
      <c r="W662" t="e">
        <f t="shared" si="205"/>
        <v>#DIV/0!</v>
      </c>
    </row>
    <row r="663" spans="1:23" x14ac:dyDescent="0.55000000000000004">
      <c r="A663">
        <f t="shared" si="178"/>
        <v>62.900000000000624</v>
      </c>
      <c r="B663">
        <f t="shared" si="182"/>
        <v>0.316</v>
      </c>
      <c r="C663">
        <f t="shared" si="191"/>
        <v>-36.021739130435193</v>
      </c>
      <c r="D663">
        <v>2.4194605327236713</v>
      </c>
      <c r="E663">
        <f t="shared" si="192"/>
        <v>0</v>
      </c>
      <c r="F663">
        <f t="shared" si="193"/>
        <v>4.8605058816845369E-2</v>
      </c>
      <c r="G663">
        <f t="shared" si="194"/>
        <v>39.513748498891111</v>
      </c>
      <c r="H663">
        <f t="shared" si="195"/>
        <v>0</v>
      </c>
      <c r="I663" s="1">
        <f t="shared" si="174"/>
        <v>0</v>
      </c>
      <c r="J663">
        <f t="shared" si="196"/>
        <v>0</v>
      </c>
      <c r="K663">
        <f t="shared" si="197"/>
        <v>0</v>
      </c>
      <c r="L663" cm="1">
        <f t="array" ref="L663">IF(E663*J663=0,0,$C$21*INDEX([3]Sheet1!$C$4:$Q$23,MATCH(K663,[3]Sheet1!$B$4:$B$23,1),MATCH(D663,[3]Sheet1!$C$3:$Q$3,1))
+(K663-INDEX([3]Sheet1!$B$4:$B$23,MATCH(K663,[3]Sheet1!$B$4:$B$23,1),1))/(INDEX([3]Sheet1!$B$4:$B$23,MATCH(K663,[3]Sheet1!$B$4:$B$23,1)+1,1)-INDEX([3]Sheet1!$B$4:$B$23,
MATCH(K663,[3]Sheet1!$B$4:$B$23,1),1))*(INDEX([3]Sheet1!$C$4:$Q$23,MATCH(K663,[3]Sheet1!$B$4:$B$23,1)+1,MATCH(D663,[3]Sheet1!$C$3:$Q$3,1))-INDEX([3]Sheet1!$C$4:$Q$23,
MATCH(K663,[3]Sheet1!$B$4:$B$23,1),MATCH(D663,[3]Sheet1!$C$3:$Q$3,1)))
+(D663-INDEX([3]Sheet1!$C$3:$Q$3,1,MATCH(D663,[3]Sheet1!$C$3:$Q$3)))/(INDEX([3]Sheet1!$C$3:$Q$3,1,MATCH(D663,[3]Sheet1!$C$3:$Q$3)+1)-INDEX([3]Sheet1!$C$3:$Q$3,1,MATCH(
D663,[3]Sheet1!$C$3:$Q$3)))*(INDEX([3]Sheet1!$C$4:$Q$23,MATCH(K663,[3]Sheet1!$B$4:$B$23,1),MATCH(D663,[3]Sheet1!$C$3:$Q$3,1)+1)-INDEX([3]Sheet1!$C$4:$Q$23,MATCH(K663,[3]Sheet1!$B$4:$B$23,1),MATCH(D663,[3]Sheet1!$C$3:$Q$3,1))))</f>
        <v>0</v>
      </c>
      <c r="M663" cm="1">
        <f t="array" ref="M663" xml:space="preserve"> IF(E663*J663=0,0,(INDEX([2]Sheet1!$C$4:$Q$23,MATCH(K663,[2]Sheet1!$B$4:$B$23,1),MATCH(D663,[2]Sheet1!$C$3:$Q$3,1))
+ (K663 - INDEX([2]Sheet1!$B$4:$B$23,MATCH(K663,[2]Sheet1!$B$4:$B$23,1),1))/(INDEX([2]Sheet1!$B$4:$B$23,MATCH(K663,[2]Sheet1!$B$4:$B$23,1)+1,1) - INDEX([2]Sheet1!$B$4:$B$23,MATCH(K663,[2]Sheet1!$B$4:$B$23,1),1))*(INDEX([2]Sheet1!$C$4:$Q$23,MATCH(K663,[2]Sheet1!$B$4:$B$23,1)+1,MATCH(D663,[2]Sheet1!$C$3:$Q$3,1)) - INDEX([2]Sheet1!$C$4:$Q$23,MATCH(K663,[2]Sheet1!$B$4:$B$23,1),MATCH(D663,[2]Sheet1!$C$3:$Q$3,1)))
+ (D663 - INDEX([2]Sheet1!$C$3:$Q$3,1,MATCH(D663,[2]Sheet1!$C$3:$Q$3)))/(INDEX([2]Sheet1!$C$3:$Q$3,1,MATCH(D663,[2]Sheet1!$C$3:$Q$3)+1) - INDEX([2]Sheet1!$C$3:$Q$3,1,MATCH(D663,[2]Sheet1!$C$3:$Q$3)))*(
INDEX([2]Sheet1!$C$4:$Q$23,MATCH(K663,[2]Sheet1!$B$4:$B$23,1),MATCH(D663,[2]Sheet1!$C$3:$Q$3,1)+1) - INDEX([2]Sheet1!$C$4:$Q$23,MATCH(K663,[2]Sheet1!$B$4:$B$23,1),MATCH(D663,[2]Sheet1!$C$3:$Q$3,1)))))</f>
        <v>0</v>
      </c>
      <c r="N663">
        <f t="shared" si="198"/>
        <v>12</v>
      </c>
      <c r="O663">
        <v>8.3720320448840799E-2</v>
      </c>
      <c r="P663" t="e">
        <f t="shared" si="199"/>
        <v>#DIV/0!</v>
      </c>
      <c r="Q663">
        <f t="shared" si="200"/>
        <v>0</v>
      </c>
      <c r="R663">
        <f t="shared" si="201"/>
        <v>741.9099431943954</v>
      </c>
      <c r="T663" t="e">
        <f t="shared" si="202"/>
        <v>#DIV/0!</v>
      </c>
      <c r="U663" t="e">
        <f t="shared" si="203"/>
        <v>#DIV/0!</v>
      </c>
      <c r="V663">
        <f t="shared" si="204"/>
        <v>0</v>
      </c>
      <c r="W663" t="e">
        <f t="shared" si="205"/>
        <v>#DIV/0!</v>
      </c>
    </row>
    <row r="664" spans="1:23" x14ac:dyDescent="0.55000000000000004">
      <c r="A664">
        <f t="shared" si="178"/>
        <v>63.000000000000625</v>
      </c>
      <c r="B664">
        <f t="shared" si="182"/>
        <v>0.316</v>
      </c>
      <c r="C664">
        <f t="shared" si="191"/>
        <v>-36.086956521739545</v>
      </c>
      <c r="D664">
        <v>2.4193995675188997</v>
      </c>
      <c r="E664">
        <f t="shared" si="192"/>
        <v>0</v>
      </c>
      <c r="F664">
        <f t="shared" si="193"/>
        <v>4.8605058816845369E-2</v>
      </c>
      <c r="G664">
        <f t="shared" si="194"/>
        <v>39.513748498891111</v>
      </c>
      <c r="H664">
        <f t="shared" si="195"/>
        <v>0</v>
      </c>
      <c r="I664" s="1">
        <f t="shared" si="174"/>
        <v>0</v>
      </c>
      <c r="J664">
        <f t="shared" si="196"/>
        <v>0</v>
      </c>
      <c r="K664">
        <f t="shared" si="197"/>
        <v>0</v>
      </c>
      <c r="L664" cm="1">
        <f t="array" ref="L664">IF(E664*J664=0,0,$C$21*INDEX([3]Sheet1!$C$4:$Q$23,MATCH(K664,[3]Sheet1!$B$4:$B$23,1),MATCH(D664,[3]Sheet1!$C$3:$Q$3,1))
+(K664-INDEX([3]Sheet1!$B$4:$B$23,MATCH(K664,[3]Sheet1!$B$4:$B$23,1),1))/(INDEX([3]Sheet1!$B$4:$B$23,MATCH(K664,[3]Sheet1!$B$4:$B$23,1)+1,1)-INDEX([3]Sheet1!$B$4:$B$23,
MATCH(K664,[3]Sheet1!$B$4:$B$23,1),1))*(INDEX([3]Sheet1!$C$4:$Q$23,MATCH(K664,[3]Sheet1!$B$4:$B$23,1)+1,MATCH(D664,[3]Sheet1!$C$3:$Q$3,1))-INDEX([3]Sheet1!$C$4:$Q$23,
MATCH(K664,[3]Sheet1!$B$4:$B$23,1),MATCH(D664,[3]Sheet1!$C$3:$Q$3,1)))
+(D664-INDEX([3]Sheet1!$C$3:$Q$3,1,MATCH(D664,[3]Sheet1!$C$3:$Q$3)))/(INDEX([3]Sheet1!$C$3:$Q$3,1,MATCH(D664,[3]Sheet1!$C$3:$Q$3)+1)-INDEX([3]Sheet1!$C$3:$Q$3,1,MATCH(
D664,[3]Sheet1!$C$3:$Q$3)))*(INDEX([3]Sheet1!$C$4:$Q$23,MATCH(K664,[3]Sheet1!$B$4:$B$23,1),MATCH(D664,[3]Sheet1!$C$3:$Q$3,1)+1)-INDEX([3]Sheet1!$C$4:$Q$23,MATCH(K664,[3]Sheet1!$B$4:$B$23,1),MATCH(D664,[3]Sheet1!$C$3:$Q$3,1))))</f>
        <v>0</v>
      </c>
      <c r="M664" cm="1">
        <f t="array" ref="M664" xml:space="preserve"> IF(E664*J664=0,0,(INDEX([2]Sheet1!$C$4:$Q$23,MATCH(K664,[2]Sheet1!$B$4:$B$23,1),MATCH(D664,[2]Sheet1!$C$3:$Q$3,1))
+ (K664 - INDEX([2]Sheet1!$B$4:$B$23,MATCH(K664,[2]Sheet1!$B$4:$B$23,1),1))/(INDEX([2]Sheet1!$B$4:$B$23,MATCH(K664,[2]Sheet1!$B$4:$B$23,1)+1,1) - INDEX([2]Sheet1!$B$4:$B$23,MATCH(K664,[2]Sheet1!$B$4:$B$23,1),1))*(INDEX([2]Sheet1!$C$4:$Q$23,MATCH(K664,[2]Sheet1!$B$4:$B$23,1)+1,MATCH(D664,[2]Sheet1!$C$3:$Q$3,1)) - INDEX([2]Sheet1!$C$4:$Q$23,MATCH(K664,[2]Sheet1!$B$4:$B$23,1),MATCH(D664,[2]Sheet1!$C$3:$Q$3,1)))
+ (D664 - INDEX([2]Sheet1!$C$3:$Q$3,1,MATCH(D664,[2]Sheet1!$C$3:$Q$3)))/(INDEX([2]Sheet1!$C$3:$Q$3,1,MATCH(D664,[2]Sheet1!$C$3:$Q$3)+1) - INDEX([2]Sheet1!$C$3:$Q$3,1,MATCH(D664,[2]Sheet1!$C$3:$Q$3)))*(
INDEX([2]Sheet1!$C$4:$Q$23,MATCH(K664,[2]Sheet1!$B$4:$B$23,1),MATCH(D664,[2]Sheet1!$C$3:$Q$3,1)+1) - INDEX([2]Sheet1!$C$4:$Q$23,MATCH(K664,[2]Sheet1!$B$4:$B$23,1),MATCH(D664,[2]Sheet1!$C$3:$Q$3,1)))))</f>
        <v>0</v>
      </c>
      <c r="N664">
        <f t="shared" si="198"/>
        <v>12</v>
      </c>
      <c r="O664">
        <v>8.3708368781088838E-2</v>
      </c>
      <c r="P664" t="e">
        <f t="shared" si="199"/>
        <v>#DIV/0!</v>
      </c>
      <c r="Q664">
        <f t="shared" si="200"/>
        <v>0</v>
      </c>
      <c r="R664">
        <f t="shared" si="201"/>
        <v>741.9099431943954</v>
      </c>
      <c r="T664" t="e">
        <f t="shared" si="202"/>
        <v>#DIV/0!</v>
      </c>
      <c r="U664" t="e">
        <f t="shared" si="203"/>
        <v>#DIV/0!</v>
      </c>
      <c r="V664">
        <f t="shared" si="204"/>
        <v>0</v>
      </c>
      <c r="W664" t="e">
        <f t="shared" si="205"/>
        <v>#DIV/0!</v>
      </c>
    </row>
    <row r="665" spans="1:23" x14ac:dyDescent="0.55000000000000004">
      <c r="A665">
        <f t="shared" si="178"/>
        <v>63.100000000000627</v>
      </c>
      <c r="B665">
        <f t="shared" si="182"/>
        <v>0.316</v>
      </c>
      <c r="C665">
        <f t="shared" si="191"/>
        <v>-36.152173913043889</v>
      </c>
      <c r="D665">
        <v>2.4193386722335806</v>
      </c>
      <c r="E665">
        <f t="shared" si="192"/>
        <v>0</v>
      </c>
      <c r="F665">
        <f t="shared" si="193"/>
        <v>4.8605058816845369E-2</v>
      </c>
      <c r="G665">
        <f t="shared" si="194"/>
        <v>39.513748498891111</v>
      </c>
      <c r="H665">
        <f t="shared" si="195"/>
        <v>0</v>
      </c>
      <c r="I665" s="1">
        <f t="shared" si="174"/>
        <v>0</v>
      </c>
      <c r="J665">
        <f t="shared" si="196"/>
        <v>0</v>
      </c>
      <c r="K665">
        <f t="shared" si="197"/>
        <v>0</v>
      </c>
      <c r="L665" cm="1">
        <f t="array" ref="L665">IF(E665*J665=0,0,$C$21*INDEX([3]Sheet1!$C$4:$Q$23,MATCH(K665,[3]Sheet1!$B$4:$B$23,1),MATCH(D665,[3]Sheet1!$C$3:$Q$3,1))
+(K665-INDEX([3]Sheet1!$B$4:$B$23,MATCH(K665,[3]Sheet1!$B$4:$B$23,1),1))/(INDEX([3]Sheet1!$B$4:$B$23,MATCH(K665,[3]Sheet1!$B$4:$B$23,1)+1,1)-INDEX([3]Sheet1!$B$4:$B$23,
MATCH(K665,[3]Sheet1!$B$4:$B$23,1),1))*(INDEX([3]Sheet1!$C$4:$Q$23,MATCH(K665,[3]Sheet1!$B$4:$B$23,1)+1,MATCH(D665,[3]Sheet1!$C$3:$Q$3,1))-INDEX([3]Sheet1!$C$4:$Q$23,
MATCH(K665,[3]Sheet1!$B$4:$B$23,1),MATCH(D665,[3]Sheet1!$C$3:$Q$3,1)))
+(D665-INDEX([3]Sheet1!$C$3:$Q$3,1,MATCH(D665,[3]Sheet1!$C$3:$Q$3)))/(INDEX([3]Sheet1!$C$3:$Q$3,1,MATCH(D665,[3]Sheet1!$C$3:$Q$3)+1)-INDEX([3]Sheet1!$C$3:$Q$3,1,MATCH(
D665,[3]Sheet1!$C$3:$Q$3)))*(INDEX([3]Sheet1!$C$4:$Q$23,MATCH(K665,[3]Sheet1!$B$4:$B$23,1),MATCH(D665,[3]Sheet1!$C$3:$Q$3,1)+1)-INDEX([3]Sheet1!$C$4:$Q$23,MATCH(K665,[3]Sheet1!$B$4:$B$23,1),MATCH(D665,[3]Sheet1!$C$3:$Q$3,1))))</f>
        <v>0</v>
      </c>
      <c r="M665" cm="1">
        <f t="array" ref="M665" xml:space="preserve"> IF(E665*J665=0,0,(INDEX([2]Sheet1!$C$4:$Q$23,MATCH(K665,[2]Sheet1!$B$4:$B$23,1),MATCH(D665,[2]Sheet1!$C$3:$Q$3,1))
+ (K665 - INDEX([2]Sheet1!$B$4:$B$23,MATCH(K665,[2]Sheet1!$B$4:$B$23,1),1))/(INDEX([2]Sheet1!$B$4:$B$23,MATCH(K665,[2]Sheet1!$B$4:$B$23,1)+1,1) - INDEX([2]Sheet1!$B$4:$B$23,MATCH(K665,[2]Sheet1!$B$4:$B$23,1),1))*(INDEX([2]Sheet1!$C$4:$Q$23,MATCH(K665,[2]Sheet1!$B$4:$B$23,1)+1,MATCH(D665,[2]Sheet1!$C$3:$Q$3,1)) - INDEX([2]Sheet1!$C$4:$Q$23,MATCH(K665,[2]Sheet1!$B$4:$B$23,1),MATCH(D665,[2]Sheet1!$C$3:$Q$3,1)))
+ (D665 - INDEX([2]Sheet1!$C$3:$Q$3,1,MATCH(D665,[2]Sheet1!$C$3:$Q$3)))/(INDEX([2]Sheet1!$C$3:$Q$3,1,MATCH(D665,[2]Sheet1!$C$3:$Q$3)+1) - INDEX([2]Sheet1!$C$3:$Q$3,1,MATCH(D665,[2]Sheet1!$C$3:$Q$3)))*(
INDEX([2]Sheet1!$C$4:$Q$23,MATCH(K665,[2]Sheet1!$B$4:$B$23,1),MATCH(D665,[2]Sheet1!$C$3:$Q$3,1)+1) - INDEX([2]Sheet1!$C$4:$Q$23,MATCH(K665,[2]Sheet1!$B$4:$B$23,1),MATCH(D665,[2]Sheet1!$C$3:$Q$3,1)))))</f>
        <v>0</v>
      </c>
      <c r="N665">
        <f t="shared" si="198"/>
        <v>12</v>
      </c>
      <c r="O665">
        <v>8.3696432501829857E-2</v>
      </c>
      <c r="P665" t="e">
        <f t="shared" si="199"/>
        <v>#DIV/0!</v>
      </c>
      <c r="Q665">
        <f t="shared" si="200"/>
        <v>0</v>
      </c>
      <c r="R665">
        <f t="shared" si="201"/>
        <v>741.9099431943954</v>
      </c>
      <c r="T665" t="e">
        <f t="shared" si="202"/>
        <v>#DIV/0!</v>
      </c>
      <c r="U665" t="e">
        <f t="shared" si="203"/>
        <v>#DIV/0!</v>
      </c>
      <c r="V665">
        <f t="shared" si="204"/>
        <v>0</v>
      </c>
      <c r="W665" t="e">
        <f t="shared" si="205"/>
        <v>#DIV/0!</v>
      </c>
    </row>
    <row r="666" spans="1:23" x14ac:dyDescent="0.55000000000000004">
      <c r="A666">
        <f t="shared" si="178"/>
        <v>63.200000000000628</v>
      </c>
      <c r="B666">
        <f t="shared" si="182"/>
        <v>0.316</v>
      </c>
      <c r="C666">
        <f t="shared" si="191"/>
        <v>-36.21739130434824</v>
      </c>
      <c r="D666">
        <v>2.419277846701807</v>
      </c>
      <c r="E666">
        <f t="shared" si="192"/>
        <v>0</v>
      </c>
      <c r="F666">
        <f t="shared" si="193"/>
        <v>4.8605058816845369E-2</v>
      </c>
      <c r="G666">
        <f t="shared" si="194"/>
        <v>39.513748498891111</v>
      </c>
      <c r="H666">
        <f t="shared" si="195"/>
        <v>0</v>
      </c>
      <c r="I666" s="1">
        <f t="shared" si="174"/>
        <v>0</v>
      </c>
      <c r="J666">
        <f t="shared" si="196"/>
        <v>0</v>
      </c>
      <c r="K666">
        <f t="shared" si="197"/>
        <v>0</v>
      </c>
      <c r="L666" cm="1">
        <f t="array" ref="L666">IF(E666*J666=0,0,$C$21*INDEX([3]Sheet1!$C$4:$Q$23,MATCH(K666,[3]Sheet1!$B$4:$B$23,1),MATCH(D666,[3]Sheet1!$C$3:$Q$3,1))
+(K666-INDEX([3]Sheet1!$B$4:$B$23,MATCH(K666,[3]Sheet1!$B$4:$B$23,1),1))/(INDEX([3]Sheet1!$B$4:$B$23,MATCH(K666,[3]Sheet1!$B$4:$B$23,1)+1,1)-INDEX([3]Sheet1!$B$4:$B$23,
MATCH(K666,[3]Sheet1!$B$4:$B$23,1),1))*(INDEX([3]Sheet1!$C$4:$Q$23,MATCH(K666,[3]Sheet1!$B$4:$B$23,1)+1,MATCH(D666,[3]Sheet1!$C$3:$Q$3,1))-INDEX([3]Sheet1!$C$4:$Q$23,
MATCH(K666,[3]Sheet1!$B$4:$B$23,1),MATCH(D666,[3]Sheet1!$C$3:$Q$3,1)))
+(D666-INDEX([3]Sheet1!$C$3:$Q$3,1,MATCH(D666,[3]Sheet1!$C$3:$Q$3)))/(INDEX([3]Sheet1!$C$3:$Q$3,1,MATCH(D666,[3]Sheet1!$C$3:$Q$3)+1)-INDEX([3]Sheet1!$C$3:$Q$3,1,MATCH(
D666,[3]Sheet1!$C$3:$Q$3)))*(INDEX([3]Sheet1!$C$4:$Q$23,MATCH(K666,[3]Sheet1!$B$4:$B$23,1),MATCH(D666,[3]Sheet1!$C$3:$Q$3,1)+1)-INDEX([3]Sheet1!$C$4:$Q$23,MATCH(K666,[3]Sheet1!$B$4:$B$23,1),MATCH(D666,[3]Sheet1!$C$3:$Q$3,1))))</f>
        <v>0</v>
      </c>
      <c r="M666" cm="1">
        <f t="array" ref="M666" xml:space="preserve"> IF(E666*J666=0,0,(INDEX([2]Sheet1!$C$4:$Q$23,MATCH(K666,[2]Sheet1!$B$4:$B$23,1),MATCH(D666,[2]Sheet1!$C$3:$Q$3,1))
+ (K666 - INDEX([2]Sheet1!$B$4:$B$23,MATCH(K666,[2]Sheet1!$B$4:$B$23,1),1))/(INDEX([2]Sheet1!$B$4:$B$23,MATCH(K666,[2]Sheet1!$B$4:$B$23,1)+1,1) - INDEX([2]Sheet1!$B$4:$B$23,MATCH(K666,[2]Sheet1!$B$4:$B$23,1),1))*(INDEX([2]Sheet1!$C$4:$Q$23,MATCH(K666,[2]Sheet1!$B$4:$B$23,1)+1,MATCH(D666,[2]Sheet1!$C$3:$Q$3,1)) - INDEX([2]Sheet1!$C$4:$Q$23,MATCH(K666,[2]Sheet1!$B$4:$B$23,1),MATCH(D666,[2]Sheet1!$C$3:$Q$3,1)))
+ (D666 - INDEX([2]Sheet1!$C$3:$Q$3,1,MATCH(D666,[2]Sheet1!$C$3:$Q$3)))/(INDEX([2]Sheet1!$C$3:$Q$3,1,MATCH(D666,[2]Sheet1!$C$3:$Q$3)+1) - INDEX([2]Sheet1!$C$3:$Q$3,1,MATCH(D666,[2]Sheet1!$C$3:$Q$3)))*(
INDEX([2]Sheet1!$C$4:$Q$23,MATCH(K666,[2]Sheet1!$B$4:$B$23,1),MATCH(D666,[2]Sheet1!$C$3:$Q$3,1)+1) - INDEX([2]Sheet1!$C$4:$Q$23,MATCH(K666,[2]Sheet1!$B$4:$B$23,1),MATCH(D666,[2]Sheet1!$C$3:$Q$3,1)))))</f>
        <v>0</v>
      </c>
      <c r="N666">
        <f t="shared" si="198"/>
        <v>12</v>
      </c>
      <c r="O666">
        <v>8.3684511572697295E-2</v>
      </c>
      <c r="P666" t="e">
        <f t="shared" si="199"/>
        <v>#DIV/0!</v>
      </c>
      <c r="Q666">
        <f t="shared" si="200"/>
        <v>0</v>
      </c>
      <c r="R666">
        <f t="shared" si="201"/>
        <v>741.9099431943954</v>
      </c>
      <c r="T666" t="e">
        <f t="shared" si="202"/>
        <v>#DIV/0!</v>
      </c>
      <c r="U666" t="e">
        <f t="shared" si="203"/>
        <v>#DIV/0!</v>
      </c>
      <c r="V666">
        <f t="shared" si="204"/>
        <v>0</v>
      </c>
      <c r="W666" t="e">
        <f t="shared" si="205"/>
        <v>#DIV/0!</v>
      </c>
    </row>
    <row r="667" spans="1:23" x14ac:dyDescent="0.55000000000000004">
      <c r="A667">
        <f t="shared" si="178"/>
        <v>63.30000000000063</v>
      </c>
      <c r="B667">
        <f t="shared" si="182"/>
        <v>0.316</v>
      </c>
      <c r="C667">
        <f t="shared" si="191"/>
        <v>-36.282608695652584</v>
      </c>
      <c r="D667">
        <v>2.4192170907582655</v>
      </c>
      <c r="E667">
        <f t="shared" si="192"/>
        <v>0</v>
      </c>
      <c r="F667">
        <f t="shared" si="193"/>
        <v>4.8605058816845369E-2</v>
      </c>
      <c r="G667">
        <f t="shared" si="194"/>
        <v>39.513748498891111</v>
      </c>
      <c r="H667">
        <f t="shared" si="195"/>
        <v>0</v>
      </c>
      <c r="I667" s="1">
        <f t="shared" si="174"/>
        <v>0</v>
      </c>
      <c r="J667">
        <f t="shared" si="196"/>
        <v>0</v>
      </c>
      <c r="K667">
        <f t="shared" si="197"/>
        <v>0</v>
      </c>
      <c r="L667" cm="1">
        <f t="array" ref="L667">IF(E667*J667=0,0,$C$21*INDEX([3]Sheet1!$C$4:$Q$23,MATCH(K667,[3]Sheet1!$B$4:$B$23,1),MATCH(D667,[3]Sheet1!$C$3:$Q$3,1))
+(K667-INDEX([3]Sheet1!$B$4:$B$23,MATCH(K667,[3]Sheet1!$B$4:$B$23,1),1))/(INDEX([3]Sheet1!$B$4:$B$23,MATCH(K667,[3]Sheet1!$B$4:$B$23,1)+1,1)-INDEX([3]Sheet1!$B$4:$B$23,
MATCH(K667,[3]Sheet1!$B$4:$B$23,1),1))*(INDEX([3]Sheet1!$C$4:$Q$23,MATCH(K667,[3]Sheet1!$B$4:$B$23,1)+1,MATCH(D667,[3]Sheet1!$C$3:$Q$3,1))-INDEX([3]Sheet1!$C$4:$Q$23,
MATCH(K667,[3]Sheet1!$B$4:$B$23,1),MATCH(D667,[3]Sheet1!$C$3:$Q$3,1)))
+(D667-INDEX([3]Sheet1!$C$3:$Q$3,1,MATCH(D667,[3]Sheet1!$C$3:$Q$3)))/(INDEX([3]Sheet1!$C$3:$Q$3,1,MATCH(D667,[3]Sheet1!$C$3:$Q$3)+1)-INDEX([3]Sheet1!$C$3:$Q$3,1,MATCH(
D667,[3]Sheet1!$C$3:$Q$3)))*(INDEX([3]Sheet1!$C$4:$Q$23,MATCH(K667,[3]Sheet1!$B$4:$B$23,1),MATCH(D667,[3]Sheet1!$C$3:$Q$3,1)+1)-INDEX([3]Sheet1!$C$4:$Q$23,MATCH(K667,[3]Sheet1!$B$4:$B$23,1),MATCH(D667,[3]Sheet1!$C$3:$Q$3,1))))</f>
        <v>0</v>
      </c>
      <c r="M667" cm="1">
        <f t="array" ref="M667" xml:space="preserve"> IF(E667*J667=0,0,(INDEX([2]Sheet1!$C$4:$Q$23,MATCH(K667,[2]Sheet1!$B$4:$B$23,1),MATCH(D667,[2]Sheet1!$C$3:$Q$3,1))
+ (K667 - INDEX([2]Sheet1!$B$4:$B$23,MATCH(K667,[2]Sheet1!$B$4:$B$23,1),1))/(INDEX([2]Sheet1!$B$4:$B$23,MATCH(K667,[2]Sheet1!$B$4:$B$23,1)+1,1) - INDEX([2]Sheet1!$B$4:$B$23,MATCH(K667,[2]Sheet1!$B$4:$B$23,1),1))*(INDEX([2]Sheet1!$C$4:$Q$23,MATCH(K667,[2]Sheet1!$B$4:$B$23,1)+1,MATCH(D667,[2]Sheet1!$C$3:$Q$3,1)) - INDEX([2]Sheet1!$C$4:$Q$23,MATCH(K667,[2]Sheet1!$B$4:$B$23,1),MATCH(D667,[2]Sheet1!$C$3:$Q$3,1)))
+ (D667 - INDEX([2]Sheet1!$C$3:$Q$3,1,MATCH(D667,[2]Sheet1!$C$3:$Q$3)))/(INDEX([2]Sheet1!$C$3:$Q$3,1,MATCH(D667,[2]Sheet1!$C$3:$Q$3)+1) - INDEX([2]Sheet1!$C$3:$Q$3,1,MATCH(D667,[2]Sheet1!$C$3:$Q$3)))*(
INDEX([2]Sheet1!$C$4:$Q$23,MATCH(K667,[2]Sheet1!$B$4:$B$23,1),MATCH(D667,[2]Sheet1!$C$3:$Q$3,1)+1) - INDEX([2]Sheet1!$C$4:$Q$23,MATCH(K667,[2]Sheet1!$B$4:$B$23,1),MATCH(D667,[2]Sheet1!$C$3:$Q$3,1)))))</f>
        <v>0</v>
      </c>
      <c r="N667">
        <f t="shared" si="198"/>
        <v>12</v>
      </c>
      <c r="O667">
        <v>8.3672605955466633E-2</v>
      </c>
      <c r="P667" t="e">
        <f t="shared" si="199"/>
        <v>#DIV/0!</v>
      </c>
      <c r="Q667">
        <f t="shared" si="200"/>
        <v>0</v>
      </c>
      <c r="R667">
        <f t="shared" si="201"/>
        <v>741.9099431943954</v>
      </c>
      <c r="T667" t="e">
        <f t="shared" si="202"/>
        <v>#DIV/0!</v>
      </c>
      <c r="U667" t="e">
        <f t="shared" si="203"/>
        <v>#DIV/0!</v>
      </c>
      <c r="V667">
        <f t="shared" si="204"/>
        <v>0</v>
      </c>
      <c r="W667" t="e">
        <f t="shared" si="205"/>
        <v>#DIV/0!</v>
      </c>
    </row>
    <row r="668" spans="1:23" x14ac:dyDescent="0.55000000000000004">
      <c r="A668">
        <f t="shared" si="178"/>
        <v>63.400000000000631</v>
      </c>
      <c r="B668">
        <f t="shared" si="182"/>
        <v>0.316</v>
      </c>
      <c r="C668">
        <f t="shared" si="191"/>
        <v>-36.347826086956935</v>
      </c>
      <c r="D668">
        <v>2.4191564042382341</v>
      </c>
      <c r="E668">
        <f t="shared" si="192"/>
        <v>0</v>
      </c>
      <c r="F668">
        <f t="shared" si="193"/>
        <v>4.8605058816845369E-2</v>
      </c>
      <c r="G668">
        <f t="shared" si="194"/>
        <v>39.513748498891111</v>
      </c>
      <c r="H668">
        <f t="shared" si="195"/>
        <v>0</v>
      </c>
      <c r="I668" s="1">
        <f t="shared" si="174"/>
        <v>0</v>
      </c>
      <c r="J668">
        <f t="shared" si="196"/>
        <v>0</v>
      </c>
      <c r="K668">
        <f t="shared" si="197"/>
        <v>0</v>
      </c>
      <c r="L668" cm="1">
        <f t="array" ref="L668">IF(E668*J668=0,0,$C$21*INDEX([3]Sheet1!$C$4:$Q$23,MATCH(K668,[3]Sheet1!$B$4:$B$23,1),MATCH(D668,[3]Sheet1!$C$3:$Q$3,1))
+(K668-INDEX([3]Sheet1!$B$4:$B$23,MATCH(K668,[3]Sheet1!$B$4:$B$23,1),1))/(INDEX([3]Sheet1!$B$4:$B$23,MATCH(K668,[3]Sheet1!$B$4:$B$23,1)+1,1)-INDEX([3]Sheet1!$B$4:$B$23,
MATCH(K668,[3]Sheet1!$B$4:$B$23,1),1))*(INDEX([3]Sheet1!$C$4:$Q$23,MATCH(K668,[3]Sheet1!$B$4:$B$23,1)+1,MATCH(D668,[3]Sheet1!$C$3:$Q$3,1))-INDEX([3]Sheet1!$C$4:$Q$23,
MATCH(K668,[3]Sheet1!$B$4:$B$23,1),MATCH(D668,[3]Sheet1!$C$3:$Q$3,1)))
+(D668-INDEX([3]Sheet1!$C$3:$Q$3,1,MATCH(D668,[3]Sheet1!$C$3:$Q$3)))/(INDEX([3]Sheet1!$C$3:$Q$3,1,MATCH(D668,[3]Sheet1!$C$3:$Q$3)+1)-INDEX([3]Sheet1!$C$3:$Q$3,1,MATCH(
D668,[3]Sheet1!$C$3:$Q$3)))*(INDEX([3]Sheet1!$C$4:$Q$23,MATCH(K668,[3]Sheet1!$B$4:$B$23,1),MATCH(D668,[3]Sheet1!$C$3:$Q$3,1)+1)-INDEX([3]Sheet1!$C$4:$Q$23,MATCH(K668,[3]Sheet1!$B$4:$B$23,1),MATCH(D668,[3]Sheet1!$C$3:$Q$3,1))))</f>
        <v>0</v>
      </c>
      <c r="M668" cm="1">
        <f t="array" ref="M668" xml:space="preserve"> IF(E668*J668=0,0,(INDEX([2]Sheet1!$C$4:$Q$23,MATCH(K668,[2]Sheet1!$B$4:$B$23,1),MATCH(D668,[2]Sheet1!$C$3:$Q$3,1))
+ (K668 - INDEX([2]Sheet1!$B$4:$B$23,MATCH(K668,[2]Sheet1!$B$4:$B$23,1),1))/(INDEX([2]Sheet1!$B$4:$B$23,MATCH(K668,[2]Sheet1!$B$4:$B$23,1)+1,1) - INDEX([2]Sheet1!$B$4:$B$23,MATCH(K668,[2]Sheet1!$B$4:$B$23,1),1))*(INDEX([2]Sheet1!$C$4:$Q$23,MATCH(K668,[2]Sheet1!$B$4:$B$23,1)+1,MATCH(D668,[2]Sheet1!$C$3:$Q$3,1)) - INDEX([2]Sheet1!$C$4:$Q$23,MATCH(K668,[2]Sheet1!$B$4:$B$23,1),MATCH(D668,[2]Sheet1!$C$3:$Q$3,1)))
+ (D668 - INDEX([2]Sheet1!$C$3:$Q$3,1,MATCH(D668,[2]Sheet1!$C$3:$Q$3)))/(INDEX([2]Sheet1!$C$3:$Q$3,1,MATCH(D668,[2]Sheet1!$C$3:$Q$3)+1) - INDEX([2]Sheet1!$C$3:$Q$3,1,MATCH(D668,[2]Sheet1!$C$3:$Q$3)))*(
INDEX([2]Sheet1!$C$4:$Q$23,MATCH(K668,[2]Sheet1!$B$4:$B$23,1),MATCH(D668,[2]Sheet1!$C$3:$Q$3,1)+1) - INDEX([2]Sheet1!$C$4:$Q$23,MATCH(K668,[2]Sheet1!$B$4:$B$23,1),MATCH(D668,[2]Sheet1!$C$3:$Q$3,1)))))</f>
        <v>0</v>
      </c>
      <c r="N668">
        <f t="shared" si="198"/>
        <v>12</v>
      </c>
      <c r="O668">
        <v>8.3660715612055014E-2</v>
      </c>
      <c r="P668" t="e">
        <f t="shared" si="199"/>
        <v>#DIV/0!</v>
      </c>
      <c r="Q668">
        <f t="shared" si="200"/>
        <v>0</v>
      </c>
      <c r="R668">
        <f t="shared" si="201"/>
        <v>741.9099431943954</v>
      </c>
      <c r="T668" t="e">
        <f t="shared" si="202"/>
        <v>#DIV/0!</v>
      </c>
      <c r="U668" t="e">
        <f t="shared" si="203"/>
        <v>#DIV/0!</v>
      </c>
      <c r="V668">
        <f t="shared" si="204"/>
        <v>0</v>
      </c>
      <c r="W668" t="e">
        <f t="shared" si="205"/>
        <v>#DIV/0!</v>
      </c>
    </row>
    <row r="669" spans="1:23" x14ac:dyDescent="0.55000000000000004">
      <c r="A669">
        <f t="shared" si="178"/>
        <v>63.500000000000632</v>
      </c>
      <c r="B669">
        <f t="shared" si="182"/>
        <v>0.316</v>
      </c>
      <c r="C669">
        <f t="shared" si="191"/>
        <v>-36.413043478261287</v>
      </c>
      <c r="D669">
        <v>2.4190957869775787</v>
      </c>
      <c r="E669">
        <f t="shared" si="192"/>
        <v>0</v>
      </c>
      <c r="F669">
        <f t="shared" si="193"/>
        <v>4.8605058816845369E-2</v>
      </c>
      <c r="G669">
        <f t="shared" si="194"/>
        <v>39.513748498891111</v>
      </c>
      <c r="H669">
        <f t="shared" si="195"/>
        <v>0</v>
      </c>
      <c r="I669" s="1">
        <f t="shared" si="174"/>
        <v>0</v>
      </c>
      <c r="J669">
        <f t="shared" si="196"/>
        <v>0</v>
      </c>
      <c r="K669">
        <f t="shared" si="197"/>
        <v>0</v>
      </c>
      <c r="L669" cm="1">
        <f t="array" ref="L669">IF(E669*J669=0,0,$C$21*INDEX([3]Sheet1!$C$4:$Q$23,MATCH(K669,[3]Sheet1!$B$4:$B$23,1),MATCH(D669,[3]Sheet1!$C$3:$Q$3,1))
+(K669-INDEX([3]Sheet1!$B$4:$B$23,MATCH(K669,[3]Sheet1!$B$4:$B$23,1),1))/(INDEX([3]Sheet1!$B$4:$B$23,MATCH(K669,[3]Sheet1!$B$4:$B$23,1)+1,1)-INDEX([3]Sheet1!$B$4:$B$23,
MATCH(K669,[3]Sheet1!$B$4:$B$23,1),1))*(INDEX([3]Sheet1!$C$4:$Q$23,MATCH(K669,[3]Sheet1!$B$4:$B$23,1)+1,MATCH(D669,[3]Sheet1!$C$3:$Q$3,1))-INDEX([3]Sheet1!$C$4:$Q$23,
MATCH(K669,[3]Sheet1!$B$4:$B$23,1),MATCH(D669,[3]Sheet1!$C$3:$Q$3,1)))
+(D669-INDEX([3]Sheet1!$C$3:$Q$3,1,MATCH(D669,[3]Sheet1!$C$3:$Q$3)))/(INDEX([3]Sheet1!$C$3:$Q$3,1,MATCH(D669,[3]Sheet1!$C$3:$Q$3)+1)-INDEX([3]Sheet1!$C$3:$Q$3,1,MATCH(
D669,[3]Sheet1!$C$3:$Q$3)))*(INDEX([3]Sheet1!$C$4:$Q$23,MATCH(K669,[3]Sheet1!$B$4:$B$23,1),MATCH(D669,[3]Sheet1!$C$3:$Q$3,1)+1)-INDEX([3]Sheet1!$C$4:$Q$23,MATCH(K669,[3]Sheet1!$B$4:$B$23,1),MATCH(D669,[3]Sheet1!$C$3:$Q$3,1))))</f>
        <v>0</v>
      </c>
      <c r="M669" cm="1">
        <f t="array" ref="M669" xml:space="preserve"> IF(E669*J669=0,0,(INDEX([2]Sheet1!$C$4:$Q$23,MATCH(K669,[2]Sheet1!$B$4:$B$23,1),MATCH(D669,[2]Sheet1!$C$3:$Q$3,1))
+ (K669 - INDEX([2]Sheet1!$B$4:$B$23,MATCH(K669,[2]Sheet1!$B$4:$B$23,1),1))/(INDEX([2]Sheet1!$B$4:$B$23,MATCH(K669,[2]Sheet1!$B$4:$B$23,1)+1,1) - INDEX([2]Sheet1!$B$4:$B$23,MATCH(K669,[2]Sheet1!$B$4:$B$23,1),1))*(INDEX([2]Sheet1!$C$4:$Q$23,MATCH(K669,[2]Sheet1!$B$4:$B$23,1)+1,MATCH(D669,[2]Sheet1!$C$3:$Q$3,1)) - INDEX([2]Sheet1!$C$4:$Q$23,MATCH(K669,[2]Sheet1!$B$4:$B$23,1),MATCH(D669,[2]Sheet1!$C$3:$Q$3,1)))
+ (D669 - INDEX([2]Sheet1!$C$3:$Q$3,1,MATCH(D669,[2]Sheet1!$C$3:$Q$3)))/(INDEX([2]Sheet1!$C$3:$Q$3,1,MATCH(D669,[2]Sheet1!$C$3:$Q$3)+1) - INDEX([2]Sheet1!$C$3:$Q$3,1,MATCH(D669,[2]Sheet1!$C$3:$Q$3)))*(
INDEX([2]Sheet1!$C$4:$Q$23,MATCH(K669,[2]Sheet1!$B$4:$B$23,1),MATCH(D669,[2]Sheet1!$C$3:$Q$3,1)+1) - INDEX([2]Sheet1!$C$4:$Q$23,MATCH(K669,[2]Sheet1!$B$4:$B$23,1),MATCH(D669,[2]Sheet1!$C$3:$Q$3,1)))))</f>
        <v>0</v>
      </c>
      <c r="N669">
        <f t="shared" si="198"/>
        <v>12</v>
      </c>
      <c r="O669">
        <v>8.3648840504520622E-2</v>
      </c>
      <c r="P669" t="e">
        <f t="shared" si="199"/>
        <v>#DIV/0!</v>
      </c>
      <c r="Q669">
        <f t="shared" si="200"/>
        <v>0</v>
      </c>
      <c r="R669">
        <f t="shared" si="201"/>
        <v>741.9099431943954</v>
      </c>
      <c r="T669" t="e">
        <f t="shared" si="202"/>
        <v>#DIV/0!</v>
      </c>
      <c r="U669" t="e">
        <f t="shared" si="203"/>
        <v>#DIV/0!</v>
      </c>
      <c r="V669">
        <f t="shared" si="204"/>
        <v>0</v>
      </c>
      <c r="W669" t="e">
        <f t="shared" si="205"/>
        <v>#DIV/0!</v>
      </c>
    </row>
    <row r="670" spans="1:23" x14ac:dyDescent="0.55000000000000004">
      <c r="A670">
        <f t="shared" si="178"/>
        <v>63.600000000000634</v>
      </c>
      <c r="B670">
        <f t="shared" si="182"/>
        <v>0.316</v>
      </c>
      <c r="C670">
        <f t="shared" si="191"/>
        <v>-36.478260869565631</v>
      </c>
      <c r="D670">
        <v>2.4190352388127514</v>
      </c>
      <c r="E670">
        <f t="shared" si="192"/>
        <v>0</v>
      </c>
      <c r="F670">
        <f t="shared" si="193"/>
        <v>4.8605058816845369E-2</v>
      </c>
      <c r="G670">
        <f t="shared" si="194"/>
        <v>39.513748498891111</v>
      </c>
      <c r="H670">
        <f t="shared" si="195"/>
        <v>0</v>
      </c>
      <c r="I670" s="1">
        <f t="shared" si="174"/>
        <v>0</v>
      </c>
      <c r="J670">
        <f t="shared" si="196"/>
        <v>0</v>
      </c>
      <c r="K670">
        <f t="shared" si="197"/>
        <v>0</v>
      </c>
      <c r="L670" cm="1">
        <f t="array" ref="L670">IF(E670*J670=0,0,$C$21*INDEX([3]Sheet1!$C$4:$Q$23,MATCH(K670,[3]Sheet1!$B$4:$B$23,1),MATCH(D670,[3]Sheet1!$C$3:$Q$3,1))
+(K670-INDEX([3]Sheet1!$B$4:$B$23,MATCH(K670,[3]Sheet1!$B$4:$B$23,1),1))/(INDEX([3]Sheet1!$B$4:$B$23,MATCH(K670,[3]Sheet1!$B$4:$B$23,1)+1,1)-INDEX([3]Sheet1!$B$4:$B$23,
MATCH(K670,[3]Sheet1!$B$4:$B$23,1),1))*(INDEX([3]Sheet1!$C$4:$Q$23,MATCH(K670,[3]Sheet1!$B$4:$B$23,1)+1,MATCH(D670,[3]Sheet1!$C$3:$Q$3,1))-INDEX([3]Sheet1!$C$4:$Q$23,
MATCH(K670,[3]Sheet1!$B$4:$B$23,1),MATCH(D670,[3]Sheet1!$C$3:$Q$3,1)))
+(D670-INDEX([3]Sheet1!$C$3:$Q$3,1,MATCH(D670,[3]Sheet1!$C$3:$Q$3)))/(INDEX([3]Sheet1!$C$3:$Q$3,1,MATCH(D670,[3]Sheet1!$C$3:$Q$3)+1)-INDEX([3]Sheet1!$C$3:$Q$3,1,MATCH(
D670,[3]Sheet1!$C$3:$Q$3)))*(INDEX([3]Sheet1!$C$4:$Q$23,MATCH(K670,[3]Sheet1!$B$4:$B$23,1),MATCH(D670,[3]Sheet1!$C$3:$Q$3,1)+1)-INDEX([3]Sheet1!$C$4:$Q$23,MATCH(K670,[3]Sheet1!$B$4:$B$23,1),MATCH(D670,[3]Sheet1!$C$3:$Q$3,1))))</f>
        <v>0</v>
      </c>
      <c r="M670" cm="1">
        <f t="array" ref="M670" xml:space="preserve"> IF(E670*J670=0,0,(INDEX([2]Sheet1!$C$4:$Q$23,MATCH(K670,[2]Sheet1!$B$4:$B$23,1),MATCH(D670,[2]Sheet1!$C$3:$Q$3,1))
+ (K670 - INDEX([2]Sheet1!$B$4:$B$23,MATCH(K670,[2]Sheet1!$B$4:$B$23,1),1))/(INDEX([2]Sheet1!$B$4:$B$23,MATCH(K670,[2]Sheet1!$B$4:$B$23,1)+1,1) - INDEX([2]Sheet1!$B$4:$B$23,MATCH(K670,[2]Sheet1!$B$4:$B$23,1),1))*(INDEX([2]Sheet1!$C$4:$Q$23,MATCH(K670,[2]Sheet1!$B$4:$B$23,1)+1,MATCH(D670,[2]Sheet1!$C$3:$Q$3,1)) - INDEX([2]Sheet1!$C$4:$Q$23,MATCH(K670,[2]Sheet1!$B$4:$B$23,1),MATCH(D670,[2]Sheet1!$C$3:$Q$3,1)))
+ (D670 - INDEX([2]Sheet1!$C$3:$Q$3,1,MATCH(D670,[2]Sheet1!$C$3:$Q$3)))/(INDEX([2]Sheet1!$C$3:$Q$3,1,MATCH(D670,[2]Sheet1!$C$3:$Q$3)+1) - INDEX([2]Sheet1!$C$3:$Q$3,1,MATCH(D670,[2]Sheet1!$C$3:$Q$3)))*(
INDEX([2]Sheet1!$C$4:$Q$23,MATCH(K670,[2]Sheet1!$B$4:$B$23,1),MATCH(D670,[2]Sheet1!$C$3:$Q$3,1)+1) - INDEX([2]Sheet1!$C$4:$Q$23,MATCH(K670,[2]Sheet1!$B$4:$B$23,1),MATCH(D670,[2]Sheet1!$C$3:$Q$3,1)))))</f>
        <v>0</v>
      </c>
      <c r="N670">
        <f t="shared" si="198"/>
        <v>12</v>
      </c>
      <c r="O670">
        <v>8.3636980595061458E-2</v>
      </c>
      <c r="P670" t="e">
        <f t="shared" si="199"/>
        <v>#DIV/0!</v>
      </c>
      <c r="Q670">
        <f t="shared" si="200"/>
        <v>0</v>
      </c>
      <c r="R670">
        <f t="shared" si="201"/>
        <v>741.9099431943954</v>
      </c>
      <c r="T670" t="e">
        <f t="shared" si="202"/>
        <v>#DIV/0!</v>
      </c>
      <c r="U670" t="e">
        <f t="shared" si="203"/>
        <v>#DIV/0!</v>
      </c>
      <c r="V670">
        <f t="shared" si="204"/>
        <v>0</v>
      </c>
      <c r="W670" t="e">
        <f t="shared" si="205"/>
        <v>#DIV/0!</v>
      </c>
    </row>
    <row r="671" spans="1:23" x14ac:dyDescent="0.55000000000000004">
      <c r="A671">
        <f t="shared" si="178"/>
        <v>63.700000000000635</v>
      </c>
      <c r="B671">
        <f t="shared" si="182"/>
        <v>0.316</v>
      </c>
      <c r="C671">
        <f t="shared" si="191"/>
        <v>-36.543478260869982</v>
      </c>
      <c r="D671">
        <v>2.4189747595807867</v>
      </c>
      <c r="E671">
        <f t="shared" si="192"/>
        <v>0</v>
      </c>
      <c r="F671">
        <f t="shared" si="193"/>
        <v>4.8605058816845369E-2</v>
      </c>
      <c r="G671">
        <f t="shared" si="194"/>
        <v>39.513748498891111</v>
      </c>
      <c r="H671">
        <f t="shared" si="195"/>
        <v>0</v>
      </c>
      <c r="I671" s="1">
        <f t="shared" si="174"/>
        <v>0</v>
      </c>
      <c r="J671">
        <f t="shared" si="196"/>
        <v>0</v>
      </c>
      <c r="K671">
        <f t="shared" si="197"/>
        <v>0</v>
      </c>
      <c r="L671" cm="1">
        <f t="array" ref="L671">IF(E671*J671=0,0,$C$21*INDEX([3]Sheet1!$C$4:$Q$23,MATCH(K671,[3]Sheet1!$B$4:$B$23,1),MATCH(D671,[3]Sheet1!$C$3:$Q$3,1))
+(K671-INDEX([3]Sheet1!$B$4:$B$23,MATCH(K671,[3]Sheet1!$B$4:$B$23,1),1))/(INDEX([3]Sheet1!$B$4:$B$23,MATCH(K671,[3]Sheet1!$B$4:$B$23,1)+1,1)-INDEX([3]Sheet1!$B$4:$B$23,
MATCH(K671,[3]Sheet1!$B$4:$B$23,1),1))*(INDEX([3]Sheet1!$C$4:$Q$23,MATCH(K671,[3]Sheet1!$B$4:$B$23,1)+1,MATCH(D671,[3]Sheet1!$C$3:$Q$3,1))-INDEX([3]Sheet1!$C$4:$Q$23,
MATCH(K671,[3]Sheet1!$B$4:$B$23,1),MATCH(D671,[3]Sheet1!$C$3:$Q$3,1)))
+(D671-INDEX([3]Sheet1!$C$3:$Q$3,1,MATCH(D671,[3]Sheet1!$C$3:$Q$3)))/(INDEX([3]Sheet1!$C$3:$Q$3,1,MATCH(D671,[3]Sheet1!$C$3:$Q$3)+1)-INDEX([3]Sheet1!$C$3:$Q$3,1,MATCH(
D671,[3]Sheet1!$C$3:$Q$3)))*(INDEX([3]Sheet1!$C$4:$Q$23,MATCH(K671,[3]Sheet1!$B$4:$B$23,1),MATCH(D671,[3]Sheet1!$C$3:$Q$3,1)+1)-INDEX([3]Sheet1!$C$4:$Q$23,MATCH(K671,[3]Sheet1!$B$4:$B$23,1),MATCH(D671,[3]Sheet1!$C$3:$Q$3,1))))</f>
        <v>0</v>
      </c>
      <c r="M671" cm="1">
        <f t="array" ref="M671" xml:space="preserve"> IF(E671*J671=0,0,(INDEX([2]Sheet1!$C$4:$Q$23,MATCH(K671,[2]Sheet1!$B$4:$B$23,1),MATCH(D671,[2]Sheet1!$C$3:$Q$3,1))
+ (K671 - INDEX([2]Sheet1!$B$4:$B$23,MATCH(K671,[2]Sheet1!$B$4:$B$23,1),1))/(INDEX([2]Sheet1!$B$4:$B$23,MATCH(K671,[2]Sheet1!$B$4:$B$23,1)+1,1) - INDEX([2]Sheet1!$B$4:$B$23,MATCH(K671,[2]Sheet1!$B$4:$B$23,1),1))*(INDEX([2]Sheet1!$C$4:$Q$23,MATCH(K671,[2]Sheet1!$B$4:$B$23,1)+1,MATCH(D671,[2]Sheet1!$C$3:$Q$3,1)) - INDEX([2]Sheet1!$C$4:$Q$23,MATCH(K671,[2]Sheet1!$B$4:$B$23,1),MATCH(D671,[2]Sheet1!$C$3:$Q$3,1)))
+ (D671 - INDEX([2]Sheet1!$C$3:$Q$3,1,MATCH(D671,[2]Sheet1!$C$3:$Q$3)))/(INDEX([2]Sheet1!$C$3:$Q$3,1,MATCH(D671,[2]Sheet1!$C$3:$Q$3)+1) - INDEX([2]Sheet1!$C$3:$Q$3,1,MATCH(D671,[2]Sheet1!$C$3:$Q$3)))*(
INDEX([2]Sheet1!$C$4:$Q$23,MATCH(K671,[2]Sheet1!$B$4:$B$23,1),MATCH(D671,[2]Sheet1!$C$3:$Q$3,1)+1) - INDEX([2]Sheet1!$C$4:$Q$23,MATCH(K671,[2]Sheet1!$B$4:$B$23,1),MATCH(D671,[2]Sheet1!$C$3:$Q$3,1)))))</f>
        <v>0</v>
      </c>
      <c r="N671">
        <f t="shared" si="198"/>
        <v>12</v>
      </c>
      <c r="O671">
        <v>8.3625135846015164E-2</v>
      </c>
      <c r="P671" t="e">
        <f t="shared" si="199"/>
        <v>#DIV/0!</v>
      </c>
      <c r="Q671">
        <f t="shared" si="200"/>
        <v>0</v>
      </c>
      <c r="R671">
        <f t="shared" si="201"/>
        <v>741.9099431943954</v>
      </c>
      <c r="T671" t="e">
        <f t="shared" si="202"/>
        <v>#DIV/0!</v>
      </c>
      <c r="U671" t="e">
        <f t="shared" si="203"/>
        <v>#DIV/0!</v>
      </c>
      <c r="V671">
        <f t="shared" si="204"/>
        <v>0</v>
      </c>
      <c r="W671" t="e">
        <f t="shared" si="205"/>
        <v>#DIV/0!</v>
      </c>
    </row>
    <row r="672" spans="1:23" x14ac:dyDescent="0.55000000000000004">
      <c r="A672">
        <f t="shared" si="178"/>
        <v>63.800000000000637</v>
      </c>
      <c r="B672">
        <f t="shared" si="182"/>
        <v>0.316</v>
      </c>
      <c r="C672">
        <f t="shared" si="191"/>
        <v>-36.608695652174333</v>
      </c>
      <c r="D672">
        <v>2.4189143491192997</v>
      </c>
      <c r="E672">
        <f t="shared" si="192"/>
        <v>0</v>
      </c>
      <c r="F672">
        <f t="shared" si="193"/>
        <v>4.8605058816845369E-2</v>
      </c>
      <c r="G672">
        <f t="shared" si="194"/>
        <v>39.513748498891111</v>
      </c>
      <c r="H672">
        <f t="shared" si="195"/>
        <v>0</v>
      </c>
      <c r="I672" s="1">
        <f t="shared" si="174"/>
        <v>0</v>
      </c>
      <c r="J672">
        <f t="shared" si="196"/>
        <v>0</v>
      </c>
      <c r="K672">
        <f t="shared" si="197"/>
        <v>0</v>
      </c>
      <c r="L672" cm="1">
        <f t="array" ref="L672">IF(E672*J672=0,0,$C$21*INDEX([3]Sheet1!$C$4:$Q$23,MATCH(K672,[3]Sheet1!$B$4:$B$23,1),MATCH(D672,[3]Sheet1!$C$3:$Q$3,1))
+(K672-INDEX([3]Sheet1!$B$4:$B$23,MATCH(K672,[3]Sheet1!$B$4:$B$23,1),1))/(INDEX([3]Sheet1!$B$4:$B$23,MATCH(K672,[3]Sheet1!$B$4:$B$23,1)+1,1)-INDEX([3]Sheet1!$B$4:$B$23,
MATCH(K672,[3]Sheet1!$B$4:$B$23,1),1))*(INDEX([3]Sheet1!$C$4:$Q$23,MATCH(K672,[3]Sheet1!$B$4:$B$23,1)+1,MATCH(D672,[3]Sheet1!$C$3:$Q$3,1))-INDEX([3]Sheet1!$C$4:$Q$23,
MATCH(K672,[3]Sheet1!$B$4:$B$23,1),MATCH(D672,[3]Sheet1!$C$3:$Q$3,1)))
+(D672-INDEX([3]Sheet1!$C$3:$Q$3,1,MATCH(D672,[3]Sheet1!$C$3:$Q$3)))/(INDEX([3]Sheet1!$C$3:$Q$3,1,MATCH(D672,[3]Sheet1!$C$3:$Q$3)+1)-INDEX([3]Sheet1!$C$3:$Q$3,1,MATCH(
D672,[3]Sheet1!$C$3:$Q$3)))*(INDEX([3]Sheet1!$C$4:$Q$23,MATCH(K672,[3]Sheet1!$B$4:$B$23,1),MATCH(D672,[3]Sheet1!$C$3:$Q$3,1)+1)-INDEX([3]Sheet1!$C$4:$Q$23,MATCH(K672,[3]Sheet1!$B$4:$B$23,1),MATCH(D672,[3]Sheet1!$C$3:$Q$3,1))))</f>
        <v>0</v>
      </c>
      <c r="M672" cm="1">
        <f t="array" ref="M672" xml:space="preserve"> IF(E672*J672=0,0,(INDEX([2]Sheet1!$C$4:$Q$23,MATCH(K672,[2]Sheet1!$B$4:$B$23,1),MATCH(D672,[2]Sheet1!$C$3:$Q$3,1))
+ (K672 - INDEX([2]Sheet1!$B$4:$B$23,MATCH(K672,[2]Sheet1!$B$4:$B$23,1),1))/(INDEX([2]Sheet1!$B$4:$B$23,MATCH(K672,[2]Sheet1!$B$4:$B$23,1)+1,1) - INDEX([2]Sheet1!$B$4:$B$23,MATCH(K672,[2]Sheet1!$B$4:$B$23,1),1))*(INDEX([2]Sheet1!$C$4:$Q$23,MATCH(K672,[2]Sheet1!$B$4:$B$23,1)+1,MATCH(D672,[2]Sheet1!$C$3:$Q$3,1)) - INDEX([2]Sheet1!$C$4:$Q$23,MATCH(K672,[2]Sheet1!$B$4:$B$23,1),MATCH(D672,[2]Sheet1!$C$3:$Q$3,1)))
+ (D672 - INDEX([2]Sheet1!$C$3:$Q$3,1,MATCH(D672,[2]Sheet1!$C$3:$Q$3)))/(INDEX([2]Sheet1!$C$3:$Q$3,1,MATCH(D672,[2]Sheet1!$C$3:$Q$3)+1) - INDEX([2]Sheet1!$C$3:$Q$3,1,MATCH(D672,[2]Sheet1!$C$3:$Q$3)))*(
INDEX([2]Sheet1!$C$4:$Q$23,MATCH(K672,[2]Sheet1!$B$4:$B$23,1),MATCH(D672,[2]Sheet1!$C$3:$Q$3,1)+1) - INDEX([2]Sheet1!$C$4:$Q$23,MATCH(K672,[2]Sheet1!$B$4:$B$23,1),MATCH(D672,[2]Sheet1!$C$3:$Q$3,1)))))</f>
        <v>0</v>
      </c>
      <c r="N672">
        <f t="shared" si="198"/>
        <v>12</v>
      </c>
      <c r="O672">
        <v>8.3613306219858186E-2</v>
      </c>
      <c r="P672" t="e">
        <f t="shared" si="199"/>
        <v>#DIV/0!</v>
      </c>
      <c r="Q672">
        <f t="shared" si="200"/>
        <v>0</v>
      </c>
      <c r="R672">
        <f t="shared" si="201"/>
        <v>741.9099431943954</v>
      </c>
      <c r="T672" t="e">
        <f t="shared" si="202"/>
        <v>#DIV/0!</v>
      </c>
      <c r="U672" t="e">
        <f t="shared" si="203"/>
        <v>#DIV/0!</v>
      </c>
      <c r="V672">
        <f t="shared" si="204"/>
        <v>0</v>
      </c>
      <c r="W672" t="e">
        <f t="shared" si="205"/>
        <v>#DIV/0!</v>
      </c>
    </row>
    <row r="673" spans="1:23" x14ac:dyDescent="0.55000000000000004">
      <c r="A673">
        <f t="shared" si="178"/>
        <v>63.900000000000638</v>
      </c>
      <c r="B673">
        <f t="shared" si="182"/>
        <v>0.316</v>
      </c>
      <c r="C673">
        <f t="shared" si="191"/>
        <v>-36.673913043478684</v>
      </c>
      <c r="D673">
        <v>2.4188540072664835</v>
      </c>
      <c r="E673">
        <f t="shared" si="192"/>
        <v>0</v>
      </c>
      <c r="F673">
        <f t="shared" si="193"/>
        <v>4.8605058816845369E-2</v>
      </c>
      <c r="G673">
        <f t="shared" si="194"/>
        <v>39.513748498891111</v>
      </c>
      <c r="H673">
        <f t="shared" si="195"/>
        <v>0</v>
      </c>
      <c r="I673" s="1">
        <f t="shared" si="174"/>
        <v>0</v>
      </c>
      <c r="J673">
        <f t="shared" si="196"/>
        <v>0</v>
      </c>
      <c r="K673">
        <f t="shared" si="197"/>
        <v>0</v>
      </c>
      <c r="L673" cm="1">
        <f t="array" ref="L673">IF(E673*J673=0,0,$C$21*INDEX([3]Sheet1!$C$4:$Q$23,MATCH(K673,[3]Sheet1!$B$4:$B$23,1),MATCH(D673,[3]Sheet1!$C$3:$Q$3,1))
+(K673-INDEX([3]Sheet1!$B$4:$B$23,MATCH(K673,[3]Sheet1!$B$4:$B$23,1),1))/(INDEX([3]Sheet1!$B$4:$B$23,MATCH(K673,[3]Sheet1!$B$4:$B$23,1)+1,1)-INDEX([3]Sheet1!$B$4:$B$23,
MATCH(K673,[3]Sheet1!$B$4:$B$23,1),1))*(INDEX([3]Sheet1!$C$4:$Q$23,MATCH(K673,[3]Sheet1!$B$4:$B$23,1)+1,MATCH(D673,[3]Sheet1!$C$3:$Q$3,1))-INDEX([3]Sheet1!$C$4:$Q$23,
MATCH(K673,[3]Sheet1!$B$4:$B$23,1),MATCH(D673,[3]Sheet1!$C$3:$Q$3,1)))
+(D673-INDEX([3]Sheet1!$C$3:$Q$3,1,MATCH(D673,[3]Sheet1!$C$3:$Q$3)))/(INDEX([3]Sheet1!$C$3:$Q$3,1,MATCH(D673,[3]Sheet1!$C$3:$Q$3)+1)-INDEX([3]Sheet1!$C$3:$Q$3,1,MATCH(
D673,[3]Sheet1!$C$3:$Q$3)))*(INDEX([3]Sheet1!$C$4:$Q$23,MATCH(K673,[3]Sheet1!$B$4:$B$23,1),MATCH(D673,[3]Sheet1!$C$3:$Q$3,1)+1)-INDEX([3]Sheet1!$C$4:$Q$23,MATCH(K673,[3]Sheet1!$B$4:$B$23,1),MATCH(D673,[3]Sheet1!$C$3:$Q$3,1))))</f>
        <v>0</v>
      </c>
      <c r="M673" cm="1">
        <f t="array" ref="M673" xml:space="preserve"> IF(E673*J673=0,0,(INDEX([2]Sheet1!$C$4:$Q$23,MATCH(K673,[2]Sheet1!$B$4:$B$23,1),MATCH(D673,[2]Sheet1!$C$3:$Q$3,1))
+ (K673 - INDEX([2]Sheet1!$B$4:$B$23,MATCH(K673,[2]Sheet1!$B$4:$B$23,1),1))/(INDEX([2]Sheet1!$B$4:$B$23,MATCH(K673,[2]Sheet1!$B$4:$B$23,1)+1,1) - INDEX([2]Sheet1!$B$4:$B$23,MATCH(K673,[2]Sheet1!$B$4:$B$23,1),1))*(INDEX([2]Sheet1!$C$4:$Q$23,MATCH(K673,[2]Sheet1!$B$4:$B$23,1)+1,MATCH(D673,[2]Sheet1!$C$3:$Q$3,1)) - INDEX([2]Sheet1!$C$4:$Q$23,MATCH(K673,[2]Sheet1!$B$4:$B$23,1),MATCH(D673,[2]Sheet1!$C$3:$Q$3,1)))
+ (D673 - INDEX([2]Sheet1!$C$3:$Q$3,1,MATCH(D673,[2]Sheet1!$C$3:$Q$3)))/(INDEX([2]Sheet1!$C$3:$Q$3,1,MATCH(D673,[2]Sheet1!$C$3:$Q$3)+1) - INDEX([2]Sheet1!$C$3:$Q$3,1,MATCH(D673,[2]Sheet1!$C$3:$Q$3)))*(
INDEX([2]Sheet1!$C$4:$Q$23,MATCH(K673,[2]Sheet1!$B$4:$B$23,1),MATCH(D673,[2]Sheet1!$C$3:$Q$3,1)+1) - INDEX([2]Sheet1!$C$4:$Q$23,MATCH(K673,[2]Sheet1!$B$4:$B$23,1),MATCH(D673,[2]Sheet1!$C$3:$Q$3,1)))))</f>
        <v>0</v>
      </c>
      <c r="N673">
        <f t="shared" si="198"/>
        <v>12</v>
      </c>
      <c r="O673">
        <v>8.3601491679205636E-2</v>
      </c>
      <c r="P673" t="e">
        <f t="shared" si="199"/>
        <v>#DIV/0!</v>
      </c>
      <c r="Q673">
        <f t="shared" si="200"/>
        <v>0</v>
      </c>
      <c r="R673">
        <f t="shared" si="201"/>
        <v>741.9099431943954</v>
      </c>
      <c r="T673" t="e">
        <f t="shared" si="202"/>
        <v>#DIV/0!</v>
      </c>
      <c r="U673" t="e">
        <f t="shared" si="203"/>
        <v>#DIV/0!</v>
      </c>
      <c r="V673">
        <f t="shared" si="204"/>
        <v>0</v>
      </c>
      <c r="W673" t="e">
        <f t="shared" si="205"/>
        <v>#DIV/0!</v>
      </c>
    </row>
    <row r="674" spans="1:23" x14ac:dyDescent="0.55000000000000004">
      <c r="A674">
        <f t="shared" si="178"/>
        <v>64.000000000000639</v>
      </c>
      <c r="B674">
        <f t="shared" si="182"/>
        <v>0.316</v>
      </c>
      <c r="C674">
        <f t="shared" si="191"/>
        <v>-36.739130434783029</v>
      </c>
      <c r="D674">
        <v>2.418793733861103</v>
      </c>
      <c r="E674">
        <f t="shared" si="192"/>
        <v>0</v>
      </c>
      <c r="F674">
        <f t="shared" si="193"/>
        <v>4.8605058816845369E-2</v>
      </c>
      <c r="G674">
        <f t="shared" si="194"/>
        <v>39.513748498891111</v>
      </c>
      <c r="H674">
        <f t="shared" si="195"/>
        <v>0</v>
      </c>
      <c r="I674" s="1">
        <f t="shared" si="174"/>
        <v>0</v>
      </c>
      <c r="J674">
        <f t="shared" si="196"/>
        <v>0</v>
      </c>
      <c r="K674">
        <f t="shared" si="197"/>
        <v>0</v>
      </c>
      <c r="L674" cm="1">
        <f t="array" ref="L674">IF(E674*J674=0,0,$C$21*INDEX([3]Sheet1!$C$4:$Q$23,MATCH(K674,[3]Sheet1!$B$4:$B$23,1),MATCH(D674,[3]Sheet1!$C$3:$Q$3,1))
+(K674-INDEX([3]Sheet1!$B$4:$B$23,MATCH(K674,[3]Sheet1!$B$4:$B$23,1),1))/(INDEX([3]Sheet1!$B$4:$B$23,MATCH(K674,[3]Sheet1!$B$4:$B$23,1)+1,1)-INDEX([3]Sheet1!$B$4:$B$23,
MATCH(K674,[3]Sheet1!$B$4:$B$23,1),1))*(INDEX([3]Sheet1!$C$4:$Q$23,MATCH(K674,[3]Sheet1!$B$4:$B$23,1)+1,MATCH(D674,[3]Sheet1!$C$3:$Q$3,1))-INDEX([3]Sheet1!$C$4:$Q$23,
MATCH(K674,[3]Sheet1!$B$4:$B$23,1),MATCH(D674,[3]Sheet1!$C$3:$Q$3,1)))
+(D674-INDEX([3]Sheet1!$C$3:$Q$3,1,MATCH(D674,[3]Sheet1!$C$3:$Q$3)))/(INDEX([3]Sheet1!$C$3:$Q$3,1,MATCH(D674,[3]Sheet1!$C$3:$Q$3)+1)-INDEX([3]Sheet1!$C$3:$Q$3,1,MATCH(
D674,[3]Sheet1!$C$3:$Q$3)))*(INDEX([3]Sheet1!$C$4:$Q$23,MATCH(K674,[3]Sheet1!$B$4:$B$23,1),MATCH(D674,[3]Sheet1!$C$3:$Q$3,1)+1)-INDEX([3]Sheet1!$C$4:$Q$23,MATCH(K674,[3]Sheet1!$B$4:$B$23,1),MATCH(D674,[3]Sheet1!$C$3:$Q$3,1))))</f>
        <v>0</v>
      </c>
      <c r="M674" cm="1">
        <f t="array" ref="M674" xml:space="preserve"> IF(E674*J674=0,0,(INDEX([2]Sheet1!$C$4:$Q$23,MATCH(K674,[2]Sheet1!$B$4:$B$23,1),MATCH(D674,[2]Sheet1!$C$3:$Q$3,1))
+ (K674 - INDEX([2]Sheet1!$B$4:$B$23,MATCH(K674,[2]Sheet1!$B$4:$B$23,1),1))/(INDEX([2]Sheet1!$B$4:$B$23,MATCH(K674,[2]Sheet1!$B$4:$B$23,1)+1,1) - INDEX([2]Sheet1!$B$4:$B$23,MATCH(K674,[2]Sheet1!$B$4:$B$23,1),1))*(INDEX([2]Sheet1!$C$4:$Q$23,MATCH(K674,[2]Sheet1!$B$4:$B$23,1)+1,MATCH(D674,[2]Sheet1!$C$3:$Q$3,1)) - INDEX([2]Sheet1!$C$4:$Q$23,MATCH(K674,[2]Sheet1!$B$4:$B$23,1),MATCH(D674,[2]Sheet1!$C$3:$Q$3,1)))
+ (D674 - INDEX([2]Sheet1!$C$3:$Q$3,1,MATCH(D674,[2]Sheet1!$C$3:$Q$3)))/(INDEX([2]Sheet1!$C$3:$Q$3,1,MATCH(D674,[2]Sheet1!$C$3:$Q$3)+1) - INDEX([2]Sheet1!$C$3:$Q$3,1,MATCH(D674,[2]Sheet1!$C$3:$Q$3)))*(
INDEX([2]Sheet1!$C$4:$Q$23,MATCH(K674,[2]Sheet1!$B$4:$B$23,1),MATCH(D674,[2]Sheet1!$C$3:$Q$3,1)+1) - INDEX([2]Sheet1!$C$4:$Q$23,MATCH(K674,[2]Sheet1!$B$4:$B$23,1),MATCH(D674,[2]Sheet1!$C$3:$Q$3,1)))))</f>
        <v>0</v>
      </c>
      <c r="N674">
        <f t="shared" si="198"/>
        <v>12</v>
      </c>
      <c r="O674">
        <v>8.3589692186809103E-2</v>
      </c>
      <c r="P674" t="e">
        <f t="shared" si="199"/>
        <v>#DIV/0!</v>
      </c>
      <c r="Q674">
        <f t="shared" si="200"/>
        <v>0</v>
      </c>
      <c r="R674">
        <f t="shared" si="201"/>
        <v>741.9099431943954</v>
      </c>
      <c r="T674" t="e">
        <f t="shared" si="202"/>
        <v>#DIV/0!</v>
      </c>
      <c r="U674" t="e">
        <f t="shared" si="203"/>
        <v>#DIV/0!</v>
      </c>
      <c r="V674">
        <f t="shared" si="204"/>
        <v>0</v>
      </c>
      <c r="W674" t="e">
        <f t="shared" si="205"/>
        <v>#DIV/0!</v>
      </c>
    </row>
    <row r="675" spans="1:23" x14ac:dyDescent="0.55000000000000004">
      <c r="A675">
        <f t="shared" si="178"/>
        <v>64.100000000000634</v>
      </c>
      <c r="B675">
        <f t="shared" si="182"/>
        <v>0.316</v>
      </c>
      <c r="C675">
        <f t="shared" si="191"/>
        <v>-36.804347826087373</v>
      </c>
      <c r="D675">
        <v>2.4187335287424974</v>
      </c>
      <c r="E675">
        <f t="shared" si="192"/>
        <v>0</v>
      </c>
      <c r="F675">
        <f t="shared" si="193"/>
        <v>4.8605058816845369E-2</v>
      </c>
      <c r="G675">
        <f t="shared" si="194"/>
        <v>39.513748498891111</v>
      </c>
      <c r="H675">
        <f t="shared" si="195"/>
        <v>0</v>
      </c>
      <c r="I675" s="1">
        <f t="shared" ref="I675:I738" si="206">IF(G675=$C$14,0,$C$16*(H675)^$C$17)</f>
        <v>0</v>
      </c>
      <c r="J675">
        <f t="shared" si="196"/>
        <v>0</v>
      </c>
      <c r="K675">
        <f t="shared" si="197"/>
        <v>0</v>
      </c>
      <c r="L675" cm="1">
        <f t="array" ref="L675">IF(E675*J675=0,0,$C$21*INDEX([3]Sheet1!$C$4:$Q$23,MATCH(K675,[3]Sheet1!$B$4:$B$23,1),MATCH(D675,[3]Sheet1!$C$3:$Q$3,1))
+(K675-INDEX([3]Sheet1!$B$4:$B$23,MATCH(K675,[3]Sheet1!$B$4:$B$23,1),1))/(INDEX([3]Sheet1!$B$4:$B$23,MATCH(K675,[3]Sheet1!$B$4:$B$23,1)+1,1)-INDEX([3]Sheet1!$B$4:$B$23,
MATCH(K675,[3]Sheet1!$B$4:$B$23,1),1))*(INDEX([3]Sheet1!$C$4:$Q$23,MATCH(K675,[3]Sheet1!$B$4:$B$23,1)+1,MATCH(D675,[3]Sheet1!$C$3:$Q$3,1))-INDEX([3]Sheet1!$C$4:$Q$23,
MATCH(K675,[3]Sheet1!$B$4:$B$23,1),MATCH(D675,[3]Sheet1!$C$3:$Q$3,1)))
+(D675-INDEX([3]Sheet1!$C$3:$Q$3,1,MATCH(D675,[3]Sheet1!$C$3:$Q$3)))/(INDEX([3]Sheet1!$C$3:$Q$3,1,MATCH(D675,[3]Sheet1!$C$3:$Q$3)+1)-INDEX([3]Sheet1!$C$3:$Q$3,1,MATCH(
D675,[3]Sheet1!$C$3:$Q$3)))*(INDEX([3]Sheet1!$C$4:$Q$23,MATCH(K675,[3]Sheet1!$B$4:$B$23,1),MATCH(D675,[3]Sheet1!$C$3:$Q$3,1)+1)-INDEX([3]Sheet1!$C$4:$Q$23,MATCH(K675,[3]Sheet1!$B$4:$B$23,1),MATCH(D675,[3]Sheet1!$C$3:$Q$3,1))))</f>
        <v>0</v>
      </c>
      <c r="M675" cm="1">
        <f t="array" ref="M675" xml:space="preserve"> IF(E675*J675=0,0,(INDEX([2]Sheet1!$C$4:$Q$23,MATCH(K675,[2]Sheet1!$B$4:$B$23,1),MATCH(D675,[2]Sheet1!$C$3:$Q$3,1))
+ (K675 - INDEX([2]Sheet1!$B$4:$B$23,MATCH(K675,[2]Sheet1!$B$4:$B$23,1),1))/(INDEX([2]Sheet1!$B$4:$B$23,MATCH(K675,[2]Sheet1!$B$4:$B$23,1)+1,1) - INDEX([2]Sheet1!$B$4:$B$23,MATCH(K675,[2]Sheet1!$B$4:$B$23,1),1))*(INDEX([2]Sheet1!$C$4:$Q$23,MATCH(K675,[2]Sheet1!$B$4:$B$23,1)+1,MATCH(D675,[2]Sheet1!$C$3:$Q$3,1)) - INDEX([2]Sheet1!$C$4:$Q$23,MATCH(K675,[2]Sheet1!$B$4:$B$23,1),MATCH(D675,[2]Sheet1!$C$3:$Q$3,1)))
+ (D675 - INDEX([2]Sheet1!$C$3:$Q$3,1,MATCH(D675,[2]Sheet1!$C$3:$Q$3)))/(INDEX([2]Sheet1!$C$3:$Q$3,1,MATCH(D675,[2]Sheet1!$C$3:$Q$3)+1) - INDEX([2]Sheet1!$C$3:$Q$3,1,MATCH(D675,[2]Sheet1!$C$3:$Q$3)))*(
INDEX([2]Sheet1!$C$4:$Q$23,MATCH(K675,[2]Sheet1!$B$4:$B$23,1),MATCH(D675,[2]Sheet1!$C$3:$Q$3,1)+1) - INDEX([2]Sheet1!$C$4:$Q$23,MATCH(K675,[2]Sheet1!$B$4:$B$23,1),MATCH(D675,[2]Sheet1!$C$3:$Q$3,1)))))</f>
        <v>0</v>
      </c>
      <c r="N675">
        <f t="shared" si="198"/>
        <v>12</v>
      </c>
      <c r="O675">
        <v>8.3577907705557536E-2</v>
      </c>
      <c r="P675" t="e">
        <f t="shared" si="199"/>
        <v>#DIV/0!</v>
      </c>
      <c r="Q675">
        <f t="shared" si="200"/>
        <v>0</v>
      </c>
      <c r="R675">
        <f t="shared" si="201"/>
        <v>741.9099431943954</v>
      </c>
      <c r="T675" t="e">
        <f t="shared" si="202"/>
        <v>#DIV/0!</v>
      </c>
      <c r="U675" t="e">
        <f t="shared" si="203"/>
        <v>#DIV/0!</v>
      </c>
      <c r="V675">
        <f t="shared" si="204"/>
        <v>0</v>
      </c>
      <c r="W675" t="e">
        <f t="shared" si="205"/>
        <v>#DIV/0!</v>
      </c>
    </row>
    <row r="676" spans="1:23" x14ac:dyDescent="0.55000000000000004">
      <c r="A676">
        <f t="shared" ref="A676:A739" si="207">A675+$C$29</f>
        <v>64.200000000000628</v>
      </c>
      <c r="B676">
        <f t="shared" si="182"/>
        <v>0.316</v>
      </c>
      <c r="C676">
        <f t="shared" si="191"/>
        <v>-36.869565217391717</v>
      </c>
      <c r="D676">
        <v>2.4186733917505747</v>
      </c>
      <c r="E676">
        <f t="shared" si="192"/>
        <v>0</v>
      </c>
      <c r="F676">
        <f t="shared" si="193"/>
        <v>4.8605058816845369E-2</v>
      </c>
      <c r="G676">
        <f t="shared" si="194"/>
        <v>39.513748498891111</v>
      </c>
      <c r="H676">
        <f t="shared" si="195"/>
        <v>0</v>
      </c>
      <c r="I676" s="1">
        <f t="shared" si="206"/>
        <v>0</v>
      </c>
      <c r="J676">
        <f t="shared" si="196"/>
        <v>0</v>
      </c>
      <c r="K676">
        <f t="shared" si="197"/>
        <v>0</v>
      </c>
      <c r="L676" cm="1">
        <f t="array" ref="L676">IF(E676*J676=0,0,$C$21*INDEX([3]Sheet1!$C$4:$Q$23,MATCH(K676,[3]Sheet1!$B$4:$B$23,1),MATCH(D676,[3]Sheet1!$C$3:$Q$3,1))
+(K676-INDEX([3]Sheet1!$B$4:$B$23,MATCH(K676,[3]Sheet1!$B$4:$B$23,1),1))/(INDEX([3]Sheet1!$B$4:$B$23,MATCH(K676,[3]Sheet1!$B$4:$B$23,1)+1,1)-INDEX([3]Sheet1!$B$4:$B$23,
MATCH(K676,[3]Sheet1!$B$4:$B$23,1),1))*(INDEX([3]Sheet1!$C$4:$Q$23,MATCH(K676,[3]Sheet1!$B$4:$B$23,1)+1,MATCH(D676,[3]Sheet1!$C$3:$Q$3,1))-INDEX([3]Sheet1!$C$4:$Q$23,
MATCH(K676,[3]Sheet1!$B$4:$B$23,1),MATCH(D676,[3]Sheet1!$C$3:$Q$3,1)))
+(D676-INDEX([3]Sheet1!$C$3:$Q$3,1,MATCH(D676,[3]Sheet1!$C$3:$Q$3)))/(INDEX([3]Sheet1!$C$3:$Q$3,1,MATCH(D676,[3]Sheet1!$C$3:$Q$3)+1)-INDEX([3]Sheet1!$C$3:$Q$3,1,MATCH(
D676,[3]Sheet1!$C$3:$Q$3)))*(INDEX([3]Sheet1!$C$4:$Q$23,MATCH(K676,[3]Sheet1!$B$4:$B$23,1),MATCH(D676,[3]Sheet1!$C$3:$Q$3,1)+1)-INDEX([3]Sheet1!$C$4:$Q$23,MATCH(K676,[3]Sheet1!$B$4:$B$23,1),MATCH(D676,[3]Sheet1!$C$3:$Q$3,1))))</f>
        <v>0</v>
      </c>
      <c r="M676" cm="1">
        <f t="array" ref="M676" xml:space="preserve"> IF(E676*J676=0,0,(INDEX([2]Sheet1!$C$4:$Q$23,MATCH(K676,[2]Sheet1!$B$4:$B$23,1),MATCH(D676,[2]Sheet1!$C$3:$Q$3,1))
+ (K676 - INDEX([2]Sheet1!$B$4:$B$23,MATCH(K676,[2]Sheet1!$B$4:$B$23,1),1))/(INDEX([2]Sheet1!$B$4:$B$23,MATCH(K676,[2]Sheet1!$B$4:$B$23,1)+1,1) - INDEX([2]Sheet1!$B$4:$B$23,MATCH(K676,[2]Sheet1!$B$4:$B$23,1),1))*(INDEX([2]Sheet1!$C$4:$Q$23,MATCH(K676,[2]Sheet1!$B$4:$B$23,1)+1,MATCH(D676,[2]Sheet1!$C$3:$Q$3,1)) - INDEX([2]Sheet1!$C$4:$Q$23,MATCH(K676,[2]Sheet1!$B$4:$B$23,1),MATCH(D676,[2]Sheet1!$C$3:$Q$3,1)))
+ (D676 - INDEX([2]Sheet1!$C$3:$Q$3,1,MATCH(D676,[2]Sheet1!$C$3:$Q$3)))/(INDEX([2]Sheet1!$C$3:$Q$3,1,MATCH(D676,[2]Sheet1!$C$3:$Q$3)+1) - INDEX([2]Sheet1!$C$3:$Q$3,1,MATCH(D676,[2]Sheet1!$C$3:$Q$3)))*(
INDEX([2]Sheet1!$C$4:$Q$23,MATCH(K676,[2]Sheet1!$B$4:$B$23,1),MATCH(D676,[2]Sheet1!$C$3:$Q$3,1)+1) - INDEX([2]Sheet1!$C$4:$Q$23,MATCH(K676,[2]Sheet1!$B$4:$B$23,1),MATCH(D676,[2]Sheet1!$C$3:$Q$3,1)))))</f>
        <v>0</v>
      </c>
      <c r="N676">
        <f t="shared" si="198"/>
        <v>12</v>
      </c>
      <c r="O676">
        <v>8.3566138198475651E-2</v>
      </c>
      <c r="P676" t="e">
        <f t="shared" si="199"/>
        <v>#DIV/0!</v>
      </c>
      <c r="Q676">
        <f t="shared" si="200"/>
        <v>0</v>
      </c>
      <c r="R676">
        <f t="shared" si="201"/>
        <v>741.9099431943954</v>
      </c>
      <c r="T676" t="e">
        <f t="shared" si="202"/>
        <v>#DIV/0!</v>
      </c>
      <c r="U676" t="e">
        <f t="shared" si="203"/>
        <v>#DIV/0!</v>
      </c>
      <c r="V676">
        <f t="shared" si="204"/>
        <v>0</v>
      </c>
      <c r="W676" t="e">
        <f t="shared" si="205"/>
        <v>#DIV/0!</v>
      </c>
    </row>
    <row r="677" spans="1:23" x14ac:dyDescent="0.55000000000000004">
      <c r="A677">
        <f t="shared" si="207"/>
        <v>64.300000000000622</v>
      </c>
      <c r="B677">
        <f t="shared" si="182"/>
        <v>0.316</v>
      </c>
      <c r="C677">
        <f t="shared" si="191"/>
        <v>-36.934782608696061</v>
      </c>
      <c r="D677">
        <v>2.418613322725808</v>
      </c>
      <c r="E677">
        <f t="shared" si="192"/>
        <v>0</v>
      </c>
      <c r="F677">
        <f t="shared" si="193"/>
        <v>4.8605058816845369E-2</v>
      </c>
      <c r="G677">
        <f t="shared" si="194"/>
        <v>39.513748498891111</v>
      </c>
      <c r="H677">
        <f t="shared" si="195"/>
        <v>0</v>
      </c>
      <c r="I677" s="1">
        <f t="shared" si="206"/>
        <v>0</v>
      </c>
      <c r="J677">
        <f t="shared" si="196"/>
        <v>0</v>
      </c>
      <c r="K677">
        <f t="shared" si="197"/>
        <v>0</v>
      </c>
      <c r="L677" cm="1">
        <f t="array" ref="L677">IF(E677*J677=0,0,$C$21*INDEX([3]Sheet1!$C$4:$Q$23,MATCH(K677,[3]Sheet1!$B$4:$B$23,1),MATCH(D677,[3]Sheet1!$C$3:$Q$3,1))
+(K677-INDEX([3]Sheet1!$B$4:$B$23,MATCH(K677,[3]Sheet1!$B$4:$B$23,1),1))/(INDEX([3]Sheet1!$B$4:$B$23,MATCH(K677,[3]Sheet1!$B$4:$B$23,1)+1,1)-INDEX([3]Sheet1!$B$4:$B$23,
MATCH(K677,[3]Sheet1!$B$4:$B$23,1),1))*(INDEX([3]Sheet1!$C$4:$Q$23,MATCH(K677,[3]Sheet1!$B$4:$B$23,1)+1,MATCH(D677,[3]Sheet1!$C$3:$Q$3,1))-INDEX([3]Sheet1!$C$4:$Q$23,
MATCH(K677,[3]Sheet1!$B$4:$B$23,1),MATCH(D677,[3]Sheet1!$C$3:$Q$3,1)))
+(D677-INDEX([3]Sheet1!$C$3:$Q$3,1,MATCH(D677,[3]Sheet1!$C$3:$Q$3)))/(INDEX([3]Sheet1!$C$3:$Q$3,1,MATCH(D677,[3]Sheet1!$C$3:$Q$3)+1)-INDEX([3]Sheet1!$C$3:$Q$3,1,MATCH(
D677,[3]Sheet1!$C$3:$Q$3)))*(INDEX([3]Sheet1!$C$4:$Q$23,MATCH(K677,[3]Sheet1!$B$4:$B$23,1),MATCH(D677,[3]Sheet1!$C$3:$Q$3,1)+1)-INDEX([3]Sheet1!$C$4:$Q$23,MATCH(K677,[3]Sheet1!$B$4:$B$23,1),MATCH(D677,[3]Sheet1!$C$3:$Q$3,1))))</f>
        <v>0</v>
      </c>
      <c r="M677" cm="1">
        <f t="array" ref="M677" xml:space="preserve"> IF(E677*J677=0,0,(INDEX([2]Sheet1!$C$4:$Q$23,MATCH(K677,[2]Sheet1!$B$4:$B$23,1),MATCH(D677,[2]Sheet1!$C$3:$Q$3,1))
+ (K677 - INDEX([2]Sheet1!$B$4:$B$23,MATCH(K677,[2]Sheet1!$B$4:$B$23,1),1))/(INDEX([2]Sheet1!$B$4:$B$23,MATCH(K677,[2]Sheet1!$B$4:$B$23,1)+1,1) - INDEX([2]Sheet1!$B$4:$B$23,MATCH(K677,[2]Sheet1!$B$4:$B$23,1),1))*(INDEX([2]Sheet1!$C$4:$Q$23,MATCH(K677,[2]Sheet1!$B$4:$B$23,1)+1,MATCH(D677,[2]Sheet1!$C$3:$Q$3,1)) - INDEX([2]Sheet1!$C$4:$Q$23,MATCH(K677,[2]Sheet1!$B$4:$B$23,1),MATCH(D677,[2]Sheet1!$C$3:$Q$3,1)))
+ (D677 - INDEX([2]Sheet1!$C$3:$Q$3,1,MATCH(D677,[2]Sheet1!$C$3:$Q$3)))/(INDEX([2]Sheet1!$C$3:$Q$3,1,MATCH(D677,[2]Sheet1!$C$3:$Q$3)+1) - INDEX([2]Sheet1!$C$3:$Q$3,1,MATCH(D677,[2]Sheet1!$C$3:$Q$3)))*(
INDEX([2]Sheet1!$C$4:$Q$23,MATCH(K677,[2]Sheet1!$B$4:$B$23,1),MATCH(D677,[2]Sheet1!$C$3:$Q$3,1)+1) - INDEX([2]Sheet1!$C$4:$Q$23,MATCH(K677,[2]Sheet1!$B$4:$B$23,1),MATCH(D677,[2]Sheet1!$C$3:$Q$3,1)))))</f>
        <v>0</v>
      </c>
      <c r="N677">
        <f t="shared" si="198"/>
        <v>12</v>
      </c>
      <c r="O677">
        <v>8.3554383628724374E-2</v>
      </c>
      <c r="P677" t="e">
        <f t="shared" si="199"/>
        <v>#DIV/0!</v>
      </c>
      <c r="Q677">
        <f t="shared" si="200"/>
        <v>0</v>
      </c>
      <c r="R677">
        <f t="shared" si="201"/>
        <v>741.9099431943954</v>
      </c>
      <c r="T677" t="e">
        <f t="shared" si="202"/>
        <v>#DIV/0!</v>
      </c>
      <c r="U677" t="e">
        <f t="shared" si="203"/>
        <v>#DIV/0!</v>
      </c>
      <c r="V677">
        <f t="shared" si="204"/>
        <v>0</v>
      </c>
      <c r="W677" t="e">
        <f t="shared" si="205"/>
        <v>#DIV/0!</v>
      </c>
    </row>
    <row r="678" spans="1:23" x14ac:dyDescent="0.55000000000000004">
      <c r="A678">
        <f t="shared" si="207"/>
        <v>64.400000000000617</v>
      </c>
      <c r="B678">
        <f t="shared" ref="B678:B741" si="208">IF(B677+(E677+E676)*(A677-A676)/2&lt;$C$5*$C$6*10^-6,B677+(E677+E676)*(A677-A676)/2,$C$5*$C$6*10^-6)</f>
        <v>0.316</v>
      </c>
      <c r="C678">
        <f t="shared" si="191"/>
        <v>-37.000000000000412</v>
      </c>
      <c r="D678">
        <v>2.4185533215092372</v>
      </c>
      <c r="E678">
        <f t="shared" si="192"/>
        <v>0</v>
      </c>
      <c r="F678">
        <f t="shared" si="193"/>
        <v>4.8605058816845369E-2</v>
      </c>
      <c r="G678">
        <f t="shared" si="194"/>
        <v>39.513748498891111</v>
      </c>
      <c r="H678">
        <f t="shared" si="195"/>
        <v>0</v>
      </c>
      <c r="I678" s="1">
        <f t="shared" si="206"/>
        <v>0</v>
      </c>
      <c r="J678">
        <f t="shared" si="196"/>
        <v>0</v>
      </c>
      <c r="K678">
        <f t="shared" si="197"/>
        <v>0</v>
      </c>
      <c r="L678" cm="1">
        <f t="array" ref="L678">IF(E678*J678=0,0,$C$21*INDEX([3]Sheet1!$C$4:$Q$23,MATCH(K678,[3]Sheet1!$B$4:$B$23,1),MATCH(D678,[3]Sheet1!$C$3:$Q$3,1))
+(K678-INDEX([3]Sheet1!$B$4:$B$23,MATCH(K678,[3]Sheet1!$B$4:$B$23,1),1))/(INDEX([3]Sheet1!$B$4:$B$23,MATCH(K678,[3]Sheet1!$B$4:$B$23,1)+1,1)-INDEX([3]Sheet1!$B$4:$B$23,
MATCH(K678,[3]Sheet1!$B$4:$B$23,1),1))*(INDEX([3]Sheet1!$C$4:$Q$23,MATCH(K678,[3]Sheet1!$B$4:$B$23,1)+1,MATCH(D678,[3]Sheet1!$C$3:$Q$3,1))-INDEX([3]Sheet1!$C$4:$Q$23,
MATCH(K678,[3]Sheet1!$B$4:$B$23,1),MATCH(D678,[3]Sheet1!$C$3:$Q$3,1)))
+(D678-INDEX([3]Sheet1!$C$3:$Q$3,1,MATCH(D678,[3]Sheet1!$C$3:$Q$3)))/(INDEX([3]Sheet1!$C$3:$Q$3,1,MATCH(D678,[3]Sheet1!$C$3:$Q$3)+1)-INDEX([3]Sheet1!$C$3:$Q$3,1,MATCH(
D678,[3]Sheet1!$C$3:$Q$3)))*(INDEX([3]Sheet1!$C$4:$Q$23,MATCH(K678,[3]Sheet1!$B$4:$B$23,1),MATCH(D678,[3]Sheet1!$C$3:$Q$3,1)+1)-INDEX([3]Sheet1!$C$4:$Q$23,MATCH(K678,[3]Sheet1!$B$4:$B$23,1),MATCH(D678,[3]Sheet1!$C$3:$Q$3,1))))</f>
        <v>0</v>
      </c>
      <c r="M678" cm="1">
        <f t="array" ref="M678" xml:space="preserve"> IF(E678*J678=0,0,(INDEX([2]Sheet1!$C$4:$Q$23,MATCH(K678,[2]Sheet1!$B$4:$B$23,1),MATCH(D678,[2]Sheet1!$C$3:$Q$3,1))
+ (K678 - INDEX([2]Sheet1!$B$4:$B$23,MATCH(K678,[2]Sheet1!$B$4:$B$23,1),1))/(INDEX([2]Sheet1!$B$4:$B$23,MATCH(K678,[2]Sheet1!$B$4:$B$23,1)+1,1) - INDEX([2]Sheet1!$B$4:$B$23,MATCH(K678,[2]Sheet1!$B$4:$B$23,1),1))*(INDEX([2]Sheet1!$C$4:$Q$23,MATCH(K678,[2]Sheet1!$B$4:$B$23,1)+1,MATCH(D678,[2]Sheet1!$C$3:$Q$3,1)) - INDEX([2]Sheet1!$C$4:$Q$23,MATCH(K678,[2]Sheet1!$B$4:$B$23,1),MATCH(D678,[2]Sheet1!$C$3:$Q$3,1)))
+ (D678 - INDEX([2]Sheet1!$C$3:$Q$3,1,MATCH(D678,[2]Sheet1!$C$3:$Q$3)))/(INDEX([2]Sheet1!$C$3:$Q$3,1,MATCH(D678,[2]Sheet1!$C$3:$Q$3)+1) - INDEX([2]Sheet1!$C$3:$Q$3,1,MATCH(D678,[2]Sheet1!$C$3:$Q$3)))*(
INDEX([2]Sheet1!$C$4:$Q$23,MATCH(K678,[2]Sheet1!$B$4:$B$23,1),MATCH(D678,[2]Sheet1!$C$3:$Q$3,1)+1) - INDEX([2]Sheet1!$C$4:$Q$23,MATCH(K678,[2]Sheet1!$B$4:$B$23,1),MATCH(D678,[2]Sheet1!$C$3:$Q$3,1)))))</f>
        <v>0</v>
      </c>
      <c r="N678">
        <f t="shared" si="198"/>
        <v>12</v>
      </c>
      <c r="O678">
        <v>8.3542643959598664E-2</v>
      </c>
      <c r="P678" t="e">
        <f t="shared" si="199"/>
        <v>#DIV/0!</v>
      </c>
      <c r="Q678">
        <f t="shared" si="200"/>
        <v>0</v>
      </c>
      <c r="R678">
        <f t="shared" si="201"/>
        <v>741.9099431943954</v>
      </c>
      <c r="T678" t="e">
        <f t="shared" si="202"/>
        <v>#DIV/0!</v>
      </c>
      <c r="U678" t="e">
        <f t="shared" si="203"/>
        <v>#DIV/0!</v>
      </c>
      <c r="V678">
        <f t="shared" si="204"/>
        <v>0</v>
      </c>
      <c r="W678" t="e">
        <f t="shared" si="205"/>
        <v>#DIV/0!</v>
      </c>
    </row>
    <row r="679" spans="1:23" x14ac:dyDescent="0.55000000000000004">
      <c r="A679">
        <f t="shared" si="207"/>
        <v>64.500000000000611</v>
      </c>
      <c r="B679">
        <f t="shared" si="208"/>
        <v>0.316</v>
      </c>
      <c r="C679">
        <f t="shared" si="191"/>
        <v>-37.065217391304749</v>
      </c>
      <c r="D679">
        <v>2.4184933879424593</v>
      </c>
      <c r="E679">
        <f t="shared" si="192"/>
        <v>0</v>
      </c>
      <c r="F679">
        <f t="shared" si="193"/>
        <v>4.8605058816845369E-2</v>
      </c>
      <c r="G679">
        <f t="shared" si="194"/>
        <v>39.513748498891111</v>
      </c>
      <c r="H679">
        <f t="shared" si="195"/>
        <v>0</v>
      </c>
      <c r="I679" s="1">
        <f t="shared" si="206"/>
        <v>0</v>
      </c>
      <c r="J679">
        <f t="shared" si="196"/>
        <v>0</v>
      </c>
      <c r="K679">
        <f t="shared" si="197"/>
        <v>0</v>
      </c>
      <c r="L679" cm="1">
        <f t="array" ref="L679">IF(E679*J679=0,0,$C$21*INDEX([3]Sheet1!$C$4:$Q$23,MATCH(K679,[3]Sheet1!$B$4:$B$23,1),MATCH(D679,[3]Sheet1!$C$3:$Q$3,1))
+(K679-INDEX([3]Sheet1!$B$4:$B$23,MATCH(K679,[3]Sheet1!$B$4:$B$23,1),1))/(INDEX([3]Sheet1!$B$4:$B$23,MATCH(K679,[3]Sheet1!$B$4:$B$23,1)+1,1)-INDEX([3]Sheet1!$B$4:$B$23,
MATCH(K679,[3]Sheet1!$B$4:$B$23,1),1))*(INDEX([3]Sheet1!$C$4:$Q$23,MATCH(K679,[3]Sheet1!$B$4:$B$23,1)+1,MATCH(D679,[3]Sheet1!$C$3:$Q$3,1))-INDEX([3]Sheet1!$C$4:$Q$23,
MATCH(K679,[3]Sheet1!$B$4:$B$23,1),MATCH(D679,[3]Sheet1!$C$3:$Q$3,1)))
+(D679-INDEX([3]Sheet1!$C$3:$Q$3,1,MATCH(D679,[3]Sheet1!$C$3:$Q$3)))/(INDEX([3]Sheet1!$C$3:$Q$3,1,MATCH(D679,[3]Sheet1!$C$3:$Q$3)+1)-INDEX([3]Sheet1!$C$3:$Q$3,1,MATCH(
D679,[3]Sheet1!$C$3:$Q$3)))*(INDEX([3]Sheet1!$C$4:$Q$23,MATCH(K679,[3]Sheet1!$B$4:$B$23,1),MATCH(D679,[3]Sheet1!$C$3:$Q$3,1)+1)-INDEX([3]Sheet1!$C$4:$Q$23,MATCH(K679,[3]Sheet1!$B$4:$B$23,1),MATCH(D679,[3]Sheet1!$C$3:$Q$3,1))))</f>
        <v>0</v>
      </c>
      <c r="M679" cm="1">
        <f t="array" ref="M679" xml:space="preserve"> IF(E679*J679=0,0,(INDEX([2]Sheet1!$C$4:$Q$23,MATCH(K679,[2]Sheet1!$B$4:$B$23,1),MATCH(D679,[2]Sheet1!$C$3:$Q$3,1))
+ (K679 - INDEX([2]Sheet1!$B$4:$B$23,MATCH(K679,[2]Sheet1!$B$4:$B$23,1),1))/(INDEX([2]Sheet1!$B$4:$B$23,MATCH(K679,[2]Sheet1!$B$4:$B$23,1)+1,1) - INDEX([2]Sheet1!$B$4:$B$23,MATCH(K679,[2]Sheet1!$B$4:$B$23,1),1))*(INDEX([2]Sheet1!$C$4:$Q$23,MATCH(K679,[2]Sheet1!$B$4:$B$23,1)+1,MATCH(D679,[2]Sheet1!$C$3:$Q$3,1)) - INDEX([2]Sheet1!$C$4:$Q$23,MATCH(K679,[2]Sheet1!$B$4:$B$23,1),MATCH(D679,[2]Sheet1!$C$3:$Q$3,1)))
+ (D679 - INDEX([2]Sheet1!$C$3:$Q$3,1,MATCH(D679,[2]Sheet1!$C$3:$Q$3)))/(INDEX([2]Sheet1!$C$3:$Q$3,1,MATCH(D679,[2]Sheet1!$C$3:$Q$3)+1) - INDEX([2]Sheet1!$C$3:$Q$3,1,MATCH(D679,[2]Sheet1!$C$3:$Q$3)))*(
INDEX([2]Sheet1!$C$4:$Q$23,MATCH(K679,[2]Sheet1!$B$4:$B$23,1),MATCH(D679,[2]Sheet1!$C$3:$Q$3,1)+1) - INDEX([2]Sheet1!$C$4:$Q$23,MATCH(K679,[2]Sheet1!$B$4:$B$23,1),MATCH(D679,[2]Sheet1!$C$3:$Q$3,1)))))</f>
        <v>0</v>
      </c>
      <c r="N679">
        <f t="shared" si="198"/>
        <v>12</v>
      </c>
      <c r="O679">
        <v>8.35309191545279E-2</v>
      </c>
      <c r="P679" t="e">
        <f t="shared" si="199"/>
        <v>#DIV/0!</v>
      </c>
      <c r="Q679">
        <f t="shared" si="200"/>
        <v>0</v>
      </c>
      <c r="R679">
        <f t="shared" si="201"/>
        <v>741.9099431943954</v>
      </c>
      <c r="T679" t="e">
        <f t="shared" si="202"/>
        <v>#DIV/0!</v>
      </c>
      <c r="U679" t="e">
        <f t="shared" si="203"/>
        <v>#DIV/0!</v>
      </c>
      <c r="V679">
        <f t="shared" si="204"/>
        <v>0</v>
      </c>
      <c r="W679" t="e">
        <f t="shared" si="205"/>
        <v>#DIV/0!</v>
      </c>
    </row>
    <row r="680" spans="1:23" x14ac:dyDescent="0.55000000000000004">
      <c r="A680">
        <f t="shared" si="207"/>
        <v>64.600000000000605</v>
      </c>
      <c r="B680">
        <f t="shared" si="208"/>
        <v>0.316</v>
      </c>
      <c r="C680">
        <f t="shared" si="191"/>
        <v>-37.1304347826091</v>
      </c>
      <c r="D680">
        <v>2.4184335218676316</v>
      </c>
      <c r="E680">
        <f t="shared" si="192"/>
        <v>0</v>
      </c>
      <c r="F680">
        <f t="shared" si="193"/>
        <v>4.8605058816845369E-2</v>
      </c>
      <c r="G680">
        <f t="shared" si="194"/>
        <v>39.513748498891111</v>
      </c>
      <c r="H680">
        <f t="shared" si="195"/>
        <v>0</v>
      </c>
      <c r="I680" s="1">
        <f t="shared" si="206"/>
        <v>0</v>
      </c>
      <c r="J680">
        <f t="shared" si="196"/>
        <v>0</v>
      </c>
      <c r="K680">
        <f t="shared" si="197"/>
        <v>0</v>
      </c>
      <c r="L680" cm="1">
        <f t="array" ref="L680">IF(E680*J680=0,0,$C$21*INDEX([3]Sheet1!$C$4:$Q$23,MATCH(K680,[3]Sheet1!$B$4:$B$23,1),MATCH(D680,[3]Sheet1!$C$3:$Q$3,1))
+(K680-INDEX([3]Sheet1!$B$4:$B$23,MATCH(K680,[3]Sheet1!$B$4:$B$23,1),1))/(INDEX([3]Sheet1!$B$4:$B$23,MATCH(K680,[3]Sheet1!$B$4:$B$23,1)+1,1)-INDEX([3]Sheet1!$B$4:$B$23,
MATCH(K680,[3]Sheet1!$B$4:$B$23,1),1))*(INDEX([3]Sheet1!$C$4:$Q$23,MATCH(K680,[3]Sheet1!$B$4:$B$23,1)+1,MATCH(D680,[3]Sheet1!$C$3:$Q$3,1))-INDEX([3]Sheet1!$C$4:$Q$23,
MATCH(K680,[3]Sheet1!$B$4:$B$23,1),MATCH(D680,[3]Sheet1!$C$3:$Q$3,1)))
+(D680-INDEX([3]Sheet1!$C$3:$Q$3,1,MATCH(D680,[3]Sheet1!$C$3:$Q$3)))/(INDEX([3]Sheet1!$C$3:$Q$3,1,MATCH(D680,[3]Sheet1!$C$3:$Q$3)+1)-INDEX([3]Sheet1!$C$3:$Q$3,1,MATCH(
D680,[3]Sheet1!$C$3:$Q$3)))*(INDEX([3]Sheet1!$C$4:$Q$23,MATCH(K680,[3]Sheet1!$B$4:$B$23,1),MATCH(D680,[3]Sheet1!$C$3:$Q$3,1)+1)-INDEX([3]Sheet1!$C$4:$Q$23,MATCH(K680,[3]Sheet1!$B$4:$B$23,1),MATCH(D680,[3]Sheet1!$C$3:$Q$3,1))))</f>
        <v>0</v>
      </c>
      <c r="M680" cm="1">
        <f t="array" ref="M680" xml:space="preserve"> IF(E680*J680=0,0,(INDEX([2]Sheet1!$C$4:$Q$23,MATCH(K680,[2]Sheet1!$B$4:$B$23,1),MATCH(D680,[2]Sheet1!$C$3:$Q$3,1))
+ (K680 - INDEX([2]Sheet1!$B$4:$B$23,MATCH(K680,[2]Sheet1!$B$4:$B$23,1),1))/(INDEX([2]Sheet1!$B$4:$B$23,MATCH(K680,[2]Sheet1!$B$4:$B$23,1)+1,1) - INDEX([2]Sheet1!$B$4:$B$23,MATCH(K680,[2]Sheet1!$B$4:$B$23,1),1))*(INDEX([2]Sheet1!$C$4:$Q$23,MATCH(K680,[2]Sheet1!$B$4:$B$23,1)+1,MATCH(D680,[2]Sheet1!$C$3:$Q$3,1)) - INDEX([2]Sheet1!$C$4:$Q$23,MATCH(K680,[2]Sheet1!$B$4:$B$23,1),MATCH(D680,[2]Sheet1!$C$3:$Q$3,1)))
+ (D680 - INDEX([2]Sheet1!$C$3:$Q$3,1,MATCH(D680,[2]Sheet1!$C$3:$Q$3)))/(INDEX([2]Sheet1!$C$3:$Q$3,1,MATCH(D680,[2]Sheet1!$C$3:$Q$3)+1) - INDEX([2]Sheet1!$C$3:$Q$3,1,MATCH(D680,[2]Sheet1!$C$3:$Q$3)))*(
INDEX([2]Sheet1!$C$4:$Q$23,MATCH(K680,[2]Sheet1!$B$4:$B$23,1),MATCH(D680,[2]Sheet1!$C$3:$Q$3,1)+1) - INDEX([2]Sheet1!$C$4:$Q$23,MATCH(K680,[2]Sheet1!$B$4:$B$23,1),MATCH(D680,[2]Sheet1!$C$3:$Q$3,1)))))</f>
        <v>0</v>
      </c>
      <c r="N680">
        <f t="shared" si="198"/>
        <v>12</v>
      </c>
      <c r="O680">
        <v>8.351920917707506E-2</v>
      </c>
      <c r="P680" t="e">
        <f t="shared" si="199"/>
        <v>#DIV/0!</v>
      </c>
      <c r="Q680">
        <f t="shared" si="200"/>
        <v>0</v>
      </c>
      <c r="R680">
        <f t="shared" si="201"/>
        <v>741.9099431943954</v>
      </c>
      <c r="T680" t="e">
        <f t="shared" si="202"/>
        <v>#DIV/0!</v>
      </c>
      <c r="U680" t="e">
        <f t="shared" si="203"/>
        <v>#DIV/0!</v>
      </c>
      <c r="V680">
        <f t="shared" si="204"/>
        <v>0</v>
      </c>
      <c r="W680" t="e">
        <f t="shared" si="205"/>
        <v>#DIV/0!</v>
      </c>
    </row>
    <row r="681" spans="1:23" x14ac:dyDescent="0.55000000000000004">
      <c r="A681">
        <f t="shared" si="207"/>
        <v>64.7000000000006</v>
      </c>
      <c r="B681">
        <f t="shared" si="208"/>
        <v>0.316</v>
      </c>
      <c r="C681">
        <f t="shared" si="191"/>
        <v>-37.195652173913437</v>
      </c>
      <c r="D681">
        <v>2.4183737231274693</v>
      </c>
      <c r="E681">
        <f t="shared" si="192"/>
        <v>0</v>
      </c>
      <c r="F681">
        <f t="shared" si="193"/>
        <v>4.8605058816845369E-2</v>
      </c>
      <c r="G681">
        <f t="shared" si="194"/>
        <v>39.513748498891111</v>
      </c>
      <c r="H681">
        <f t="shared" si="195"/>
        <v>0</v>
      </c>
      <c r="I681" s="1">
        <f t="shared" si="206"/>
        <v>0</v>
      </c>
      <c r="J681">
        <f t="shared" si="196"/>
        <v>0</v>
      </c>
      <c r="K681">
        <f t="shared" si="197"/>
        <v>0</v>
      </c>
      <c r="L681" cm="1">
        <f t="array" ref="L681">IF(E681*J681=0,0,$C$21*INDEX([3]Sheet1!$C$4:$Q$23,MATCH(K681,[3]Sheet1!$B$4:$B$23,1),MATCH(D681,[3]Sheet1!$C$3:$Q$3,1))
+(K681-INDEX([3]Sheet1!$B$4:$B$23,MATCH(K681,[3]Sheet1!$B$4:$B$23,1),1))/(INDEX([3]Sheet1!$B$4:$B$23,MATCH(K681,[3]Sheet1!$B$4:$B$23,1)+1,1)-INDEX([3]Sheet1!$B$4:$B$23,
MATCH(K681,[3]Sheet1!$B$4:$B$23,1),1))*(INDEX([3]Sheet1!$C$4:$Q$23,MATCH(K681,[3]Sheet1!$B$4:$B$23,1)+1,MATCH(D681,[3]Sheet1!$C$3:$Q$3,1))-INDEX([3]Sheet1!$C$4:$Q$23,
MATCH(K681,[3]Sheet1!$B$4:$B$23,1),MATCH(D681,[3]Sheet1!$C$3:$Q$3,1)))
+(D681-INDEX([3]Sheet1!$C$3:$Q$3,1,MATCH(D681,[3]Sheet1!$C$3:$Q$3)))/(INDEX([3]Sheet1!$C$3:$Q$3,1,MATCH(D681,[3]Sheet1!$C$3:$Q$3)+1)-INDEX([3]Sheet1!$C$3:$Q$3,1,MATCH(
D681,[3]Sheet1!$C$3:$Q$3)))*(INDEX([3]Sheet1!$C$4:$Q$23,MATCH(K681,[3]Sheet1!$B$4:$B$23,1),MATCH(D681,[3]Sheet1!$C$3:$Q$3,1)+1)-INDEX([3]Sheet1!$C$4:$Q$23,MATCH(K681,[3]Sheet1!$B$4:$B$23,1),MATCH(D681,[3]Sheet1!$C$3:$Q$3,1))))</f>
        <v>0</v>
      </c>
      <c r="M681" cm="1">
        <f t="array" ref="M681" xml:space="preserve"> IF(E681*J681=0,0,(INDEX([2]Sheet1!$C$4:$Q$23,MATCH(K681,[2]Sheet1!$B$4:$B$23,1),MATCH(D681,[2]Sheet1!$C$3:$Q$3,1))
+ (K681 - INDEX([2]Sheet1!$B$4:$B$23,MATCH(K681,[2]Sheet1!$B$4:$B$23,1),1))/(INDEX([2]Sheet1!$B$4:$B$23,MATCH(K681,[2]Sheet1!$B$4:$B$23,1)+1,1) - INDEX([2]Sheet1!$B$4:$B$23,MATCH(K681,[2]Sheet1!$B$4:$B$23,1),1))*(INDEX([2]Sheet1!$C$4:$Q$23,MATCH(K681,[2]Sheet1!$B$4:$B$23,1)+1,MATCH(D681,[2]Sheet1!$C$3:$Q$3,1)) - INDEX([2]Sheet1!$C$4:$Q$23,MATCH(K681,[2]Sheet1!$B$4:$B$23,1),MATCH(D681,[2]Sheet1!$C$3:$Q$3,1)))
+ (D681 - INDEX([2]Sheet1!$C$3:$Q$3,1,MATCH(D681,[2]Sheet1!$C$3:$Q$3)))/(INDEX([2]Sheet1!$C$3:$Q$3,1,MATCH(D681,[2]Sheet1!$C$3:$Q$3)+1) - INDEX([2]Sheet1!$C$3:$Q$3,1,MATCH(D681,[2]Sheet1!$C$3:$Q$3)))*(
INDEX([2]Sheet1!$C$4:$Q$23,MATCH(K681,[2]Sheet1!$B$4:$B$23,1),MATCH(D681,[2]Sheet1!$C$3:$Q$3,1)+1) - INDEX([2]Sheet1!$C$4:$Q$23,MATCH(K681,[2]Sheet1!$B$4:$B$23,1),MATCH(D681,[2]Sheet1!$C$3:$Q$3,1)))))</f>
        <v>0</v>
      </c>
      <c r="N681">
        <f t="shared" si="198"/>
        <v>12</v>
      </c>
      <c r="O681">
        <v>8.3507513990936186E-2</v>
      </c>
      <c r="P681" t="e">
        <f t="shared" si="199"/>
        <v>#DIV/0!</v>
      </c>
      <c r="Q681">
        <f t="shared" si="200"/>
        <v>0</v>
      </c>
      <c r="R681">
        <f t="shared" si="201"/>
        <v>741.9099431943954</v>
      </c>
      <c r="T681" t="e">
        <f t="shared" si="202"/>
        <v>#DIV/0!</v>
      </c>
      <c r="U681" t="e">
        <f t="shared" si="203"/>
        <v>#DIV/0!</v>
      </c>
      <c r="V681">
        <f t="shared" si="204"/>
        <v>0</v>
      </c>
      <c r="W681" t="e">
        <f t="shared" si="205"/>
        <v>#DIV/0!</v>
      </c>
    </row>
    <row r="682" spans="1:23" x14ac:dyDescent="0.55000000000000004">
      <c r="A682">
        <f t="shared" si="207"/>
        <v>64.800000000000594</v>
      </c>
      <c r="B682">
        <f t="shared" si="208"/>
        <v>0.316</v>
      </c>
      <c r="C682">
        <f t="shared" si="191"/>
        <v>-37.260869565217789</v>
      </c>
      <c r="D682">
        <v>2.418313991565237</v>
      </c>
      <c r="E682">
        <f t="shared" si="192"/>
        <v>0</v>
      </c>
      <c r="F682">
        <f t="shared" si="193"/>
        <v>4.8605058816845369E-2</v>
      </c>
      <c r="G682">
        <f t="shared" si="194"/>
        <v>39.513748498891111</v>
      </c>
      <c r="H682">
        <f t="shared" si="195"/>
        <v>0</v>
      </c>
      <c r="I682" s="1">
        <f t="shared" si="206"/>
        <v>0</v>
      </c>
      <c r="J682">
        <f t="shared" si="196"/>
        <v>0</v>
      </c>
      <c r="K682">
        <f t="shared" si="197"/>
        <v>0</v>
      </c>
      <c r="L682" cm="1">
        <f t="array" ref="L682">IF(E682*J682=0,0,$C$21*INDEX([3]Sheet1!$C$4:$Q$23,MATCH(K682,[3]Sheet1!$B$4:$B$23,1),MATCH(D682,[3]Sheet1!$C$3:$Q$3,1))
+(K682-INDEX([3]Sheet1!$B$4:$B$23,MATCH(K682,[3]Sheet1!$B$4:$B$23,1),1))/(INDEX([3]Sheet1!$B$4:$B$23,MATCH(K682,[3]Sheet1!$B$4:$B$23,1)+1,1)-INDEX([3]Sheet1!$B$4:$B$23,
MATCH(K682,[3]Sheet1!$B$4:$B$23,1),1))*(INDEX([3]Sheet1!$C$4:$Q$23,MATCH(K682,[3]Sheet1!$B$4:$B$23,1)+1,MATCH(D682,[3]Sheet1!$C$3:$Q$3,1))-INDEX([3]Sheet1!$C$4:$Q$23,
MATCH(K682,[3]Sheet1!$B$4:$B$23,1),MATCH(D682,[3]Sheet1!$C$3:$Q$3,1)))
+(D682-INDEX([3]Sheet1!$C$3:$Q$3,1,MATCH(D682,[3]Sheet1!$C$3:$Q$3)))/(INDEX([3]Sheet1!$C$3:$Q$3,1,MATCH(D682,[3]Sheet1!$C$3:$Q$3)+1)-INDEX([3]Sheet1!$C$3:$Q$3,1,MATCH(
D682,[3]Sheet1!$C$3:$Q$3)))*(INDEX([3]Sheet1!$C$4:$Q$23,MATCH(K682,[3]Sheet1!$B$4:$B$23,1),MATCH(D682,[3]Sheet1!$C$3:$Q$3,1)+1)-INDEX([3]Sheet1!$C$4:$Q$23,MATCH(K682,[3]Sheet1!$B$4:$B$23,1),MATCH(D682,[3]Sheet1!$C$3:$Q$3,1))))</f>
        <v>0</v>
      </c>
      <c r="M682" cm="1">
        <f t="array" ref="M682" xml:space="preserve"> IF(E682*J682=0,0,(INDEX([2]Sheet1!$C$4:$Q$23,MATCH(K682,[2]Sheet1!$B$4:$B$23,1),MATCH(D682,[2]Sheet1!$C$3:$Q$3,1))
+ (K682 - INDEX([2]Sheet1!$B$4:$B$23,MATCH(K682,[2]Sheet1!$B$4:$B$23,1),1))/(INDEX([2]Sheet1!$B$4:$B$23,MATCH(K682,[2]Sheet1!$B$4:$B$23,1)+1,1) - INDEX([2]Sheet1!$B$4:$B$23,MATCH(K682,[2]Sheet1!$B$4:$B$23,1),1))*(INDEX([2]Sheet1!$C$4:$Q$23,MATCH(K682,[2]Sheet1!$B$4:$B$23,1)+1,MATCH(D682,[2]Sheet1!$C$3:$Q$3,1)) - INDEX([2]Sheet1!$C$4:$Q$23,MATCH(K682,[2]Sheet1!$B$4:$B$23,1),MATCH(D682,[2]Sheet1!$C$3:$Q$3,1)))
+ (D682 - INDEX([2]Sheet1!$C$3:$Q$3,1,MATCH(D682,[2]Sheet1!$C$3:$Q$3)))/(INDEX([2]Sheet1!$C$3:$Q$3,1,MATCH(D682,[2]Sheet1!$C$3:$Q$3)+1) - INDEX([2]Sheet1!$C$3:$Q$3,1,MATCH(D682,[2]Sheet1!$C$3:$Q$3)))*(
INDEX([2]Sheet1!$C$4:$Q$23,MATCH(K682,[2]Sheet1!$B$4:$B$23,1),MATCH(D682,[2]Sheet1!$C$3:$Q$3,1)+1) - INDEX([2]Sheet1!$C$4:$Q$23,MATCH(K682,[2]Sheet1!$B$4:$B$23,1),MATCH(D682,[2]Sheet1!$C$3:$Q$3,1)))))</f>
        <v>0</v>
      </c>
      <c r="N682">
        <f t="shared" si="198"/>
        <v>12</v>
      </c>
      <c r="O682">
        <v>8.3495833559938601E-2</v>
      </c>
      <c r="P682" t="e">
        <f t="shared" si="199"/>
        <v>#DIV/0!</v>
      </c>
      <c r="Q682">
        <f t="shared" si="200"/>
        <v>0</v>
      </c>
      <c r="R682">
        <f t="shared" si="201"/>
        <v>741.9099431943954</v>
      </c>
      <c r="T682" t="e">
        <f t="shared" si="202"/>
        <v>#DIV/0!</v>
      </c>
      <c r="U682" t="e">
        <f t="shared" si="203"/>
        <v>#DIV/0!</v>
      </c>
      <c r="V682">
        <f t="shared" si="204"/>
        <v>0</v>
      </c>
      <c r="W682" t="e">
        <f t="shared" si="205"/>
        <v>#DIV/0!</v>
      </c>
    </row>
    <row r="683" spans="1:23" x14ac:dyDescent="0.55000000000000004">
      <c r="A683">
        <f t="shared" si="207"/>
        <v>64.900000000000588</v>
      </c>
      <c r="B683">
        <f t="shared" si="208"/>
        <v>0.316</v>
      </c>
      <c r="C683">
        <f t="shared" si="191"/>
        <v>-37.326086956522126</v>
      </c>
      <c r="D683">
        <v>2.4182543270247523</v>
      </c>
      <c r="E683">
        <f t="shared" si="192"/>
        <v>0</v>
      </c>
      <c r="F683">
        <f t="shared" si="193"/>
        <v>4.8605058816845369E-2</v>
      </c>
      <c r="G683">
        <f t="shared" si="194"/>
        <v>39.513748498891111</v>
      </c>
      <c r="H683">
        <f t="shared" si="195"/>
        <v>0</v>
      </c>
      <c r="I683" s="1">
        <f t="shared" si="206"/>
        <v>0</v>
      </c>
      <c r="J683">
        <f t="shared" si="196"/>
        <v>0</v>
      </c>
      <c r="K683">
        <f t="shared" si="197"/>
        <v>0</v>
      </c>
      <c r="L683" cm="1">
        <f t="array" ref="L683">IF(E683*J683=0,0,$C$21*INDEX([3]Sheet1!$C$4:$Q$23,MATCH(K683,[3]Sheet1!$B$4:$B$23,1),MATCH(D683,[3]Sheet1!$C$3:$Q$3,1))
+(K683-INDEX([3]Sheet1!$B$4:$B$23,MATCH(K683,[3]Sheet1!$B$4:$B$23,1),1))/(INDEX([3]Sheet1!$B$4:$B$23,MATCH(K683,[3]Sheet1!$B$4:$B$23,1)+1,1)-INDEX([3]Sheet1!$B$4:$B$23,
MATCH(K683,[3]Sheet1!$B$4:$B$23,1),1))*(INDEX([3]Sheet1!$C$4:$Q$23,MATCH(K683,[3]Sheet1!$B$4:$B$23,1)+1,MATCH(D683,[3]Sheet1!$C$3:$Q$3,1))-INDEX([3]Sheet1!$C$4:$Q$23,
MATCH(K683,[3]Sheet1!$B$4:$B$23,1),MATCH(D683,[3]Sheet1!$C$3:$Q$3,1)))
+(D683-INDEX([3]Sheet1!$C$3:$Q$3,1,MATCH(D683,[3]Sheet1!$C$3:$Q$3)))/(INDEX([3]Sheet1!$C$3:$Q$3,1,MATCH(D683,[3]Sheet1!$C$3:$Q$3)+1)-INDEX([3]Sheet1!$C$3:$Q$3,1,MATCH(
D683,[3]Sheet1!$C$3:$Q$3)))*(INDEX([3]Sheet1!$C$4:$Q$23,MATCH(K683,[3]Sheet1!$B$4:$B$23,1),MATCH(D683,[3]Sheet1!$C$3:$Q$3,1)+1)-INDEX([3]Sheet1!$C$4:$Q$23,MATCH(K683,[3]Sheet1!$B$4:$B$23,1),MATCH(D683,[3]Sheet1!$C$3:$Q$3,1))))</f>
        <v>0</v>
      </c>
      <c r="M683" cm="1">
        <f t="array" ref="M683" xml:space="preserve"> IF(E683*J683=0,0,(INDEX([2]Sheet1!$C$4:$Q$23,MATCH(K683,[2]Sheet1!$B$4:$B$23,1),MATCH(D683,[2]Sheet1!$C$3:$Q$3,1))
+ (K683 - INDEX([2]Sheet1!$B$4:$B$23,MATCH(K683,[2]Sheet1!$B$4:$B$23,1),1))/(INDEX([2]Sheet1!$B$4:$B$23,MATCH(K683,[2]Sheet1!$B$4:$B$23,1)+1,1) - INDEX([2]Sheet1!$B$4:$B$23,MATCH(K683,[2]Sheet1!$B$4:$B$23,1),1))*(INDEX([2]Sheet1!$C$4:$Q$23,MATCH(K683,[2]Sheet1!$B$4:$B$23,1)+1,MATCH(D683,[2]Sheet1!$C$3:$Q$3,1)) - INDEX([2]Sheet1!$C$4:$Q$23,MATCH(K683,[2]Sheet1!$B$4:$B$23,1),MATCH(D683,[2]Sheet1!$C$3:$Q$3,1)))
+ (D683 - INDEX([2]Sheet1!$C$3:$Q$3,1,MATCH(D683,[2]Sheet1!$C$3:$Q$3)))/(INDEX([2]Sheet1!$C$3:$Q$3,1,MATCH(D683,[2]Sheet1!$C$3:$Q$3)+1) - INDEX([2]Sheet1!$C$3:$Q$3,1,MATCH(D683,[2]Sheet1!$C$3:$Q$3)))*(
INDEX([2]Sheet1!$C$4:$Q$23,MATCH(K683,[2]Sheet1!$B$4:$B$23,1),MATCH(D683,[2]Sheet1!$C$3:$Q$3,1)+1) - INDEX([2]Sheet1!$C$4:$Q$23,MATCH(K683,[2]Sheet1!$B$4:$B$23,1),MATCH(D683,[2]Sheet1!$C$3:$Q$3,1)))))</f>
        <v>0</v>
      </c>
      <c r="N683">
        <f t="shared" si="198"/>
        <v>12</v>
      </c>
      <c r="O683">
        <v>8.3484167848042454E-2</v>
      </c>
      <c r="P683" t="e">
        <f t="shared" si="199"/>
        <v>#DIV/0!</v>
      </c>
      <c r="Q683">
        <f t="shared" si="200"/>
        <v>0</v>
      </c>
      <c r="R683">
        <f t="shared" si="201"/>
        <v>741.9099431943954</v>
      </c>
      <c r="T683" t="e">
        <f t="shared" si="202"/>
        <v>#DIV/0!</v>
      </c>
      <c r="U683" t="e">
        <f t="shared" si="203"/>
        <v>#DIV/0!</v>
      </c>
      <c r="V683">
        <f t="shared" si="204"/>
        <v>0</v>
      </c>
      <c r="W683" t="e">
        <f t="shared" si="205"/>
        <v>#DIV/0!</v>
      </c>
    </row>
    <row r="684" spans="1:23" x14ac:dyDescent="0.55000000000000004">
      <c r="A684">
        <f t="shared" si="207"/>
        <v>65.000000000000583</v>
      </c>
      <c r="B684">
        <f t="shared" si="208"/>
        <v>0.316</v>
      </c>
      <c r="C684">
        <f t="shared" si="191"/>
        <v>-37.391304347826477</v>
      </c>
      <c r="D684">
        <v>2.4181947293503803</v>
      </c>
      <c r="E684">
        <f t="shared" si="192"/>
        <v>0</v>
      </c>
      <c r="F684">
        <f t="shared" si="193"/>
        <v>4.8605058816845369E-2</v>
      </c>
      <c r="G684">
        <f t="shared" si="194"/>
        <v>39.513748498891111</v>
      </c>
      <c r="H684">
        <f t="shared" si="195"/>
        <v>0</v>
      </c>
      <c r="I684" s="1">
        <f t="shared" si="206"/>
        <v>0</v>
      </c>
      <c r="J684">
        <f t="shared" si="196"/>
        <v>0</v>
      </c>
      <c r="K684">
        <f t="shared" si="197"/>
        <v>0</v>
      </c>
      <c r="L684" cm="1">
        <f t="array" ref="L684">IF(E684*J684=0,0,$C$21*INDEX([3]Sheet1!$C$4:$Q$23,MATCH(K684,[3]Sheet1!$B$4:$B$23,1),MATCH(D684,[3]Sheet1!$C$3:$Q$3,1))
+(K684-INDEX([3]Sheet1!$B$4:$B$23,MATCH(K684,[3]Sheet1!$B$4:$B$23,1),1))/(INDEX([3]Sheet1!$B$4:$B$23,MATCH(K684,[3]Sheet1!$B$4:$B$23,1)+1,1)-INDEX([3]Sheet1!$B$4:$B$23,
MATCH(K684,[3]Sheet1!$B$4:$B$23,1),1))*(INDEX([3]Sheet1!$C$4:$Q$23,MATCH(K684,[3]Sheet1!$B$4:$B$23,1)+1,MATCH(D684,[3]Sheet1!$C$3:$Q$3,1))-INDEX([3]Sheet1!$C$4:$Q$23,
MATCH(K684,[3]Sheet1!$B$4:$B$23,1),MATCH(D684,[3]Sheet1!$C$3:$Q$3,1)))
+(D684-INDEX([3]Sheet1!$C$3:$Q$3,1,MATCH(D684,[3]Sheet1!$C$3:$Q$3)))/(INDEX([3]Sheet1!$C$3:$Q$3,1,MATCH(D684,[3]Sheet1!$C$3:$Q$3)+1)-INDEX([3]Sheet1!$C$3:$Q$3,1,MATCH(
D684,[3]Sheet1!$C$3:$Q$3)))*(INDEX([3]Sheet1!$C$4:$Q$23,MATCH(K684,[3]Sheet1!$B$4:$B$23,1),MATCH(D684,[3]Sheet1!$C$3:$Q$3,1)+1)-INDEX([3]Sheet1!$C$4:$Q$23,MATCH(K684,[3]Sheet1!$B$4:$B$23,1),MATCH(D684,[3]Sheet1!$C$3:$Q$3,1))))</f>
        <v>0</v>
      </c>
      <c r="M684" cm="1">
        <f t="array" ref="M684" xml:space="preserve"> IF(E684*J684=0,0,(INDEX([2]Sheet1!$C$4:$Q$23,MATCH(K684,[2]Sheet1!$B$4:$B$23,1),MATCH(D684,[2]Sheet1!$C$3:$Q$3,1))
+ (K684 - INDEX([2]Sheet1!$B$4:$B$23,MATCH(K684,[2]Sheet1!$B$4:$B$23,1),1))/(INDEX([2]Sheet1!$B$4:$B$23,MATCH(K684,[2]Sheet1!$B$4:$B$23,1)+1,1) - INDEX([2]Sheet1!$B$4:$B$23,MATCH(K684,[2]Sheet1!$B$4:$B$23,1),1))*(INDEX([2]Sheet1!$C$4:$Q$23,MATCH(K684,[2]Sheet1!$B$4:$B$23,1)+1,MATCH(D684,[2]Sheet1!$C$3:$Q$3,1)) - INDEX([2]Sheet1!$C$4:$Q$23,MATCH(K684,[2]Sheet1!$B$4:$B$23,1),MATCH(D684,[2]Sheet1!$C$3:$Q$3,1)))
+ (D684 - INDEX([2]Sheet1!$C$3:$Q$3,1,MATCH(D684,[2]Sheet1!$C$3:$Q$3)))/(INDEX([2]Sheet1!$C$3:$Q$3,1,MATCH(D684,[2]Sheet1!$C$3:$Q$3)+1) - INDEX([2]Sheet1!$C$3:$Q$3,1,MATCH(D684,[2]Sheet1!$C$3:$Q$3)))*(
INDEX([2]Sheet1!$C$4:$Q$23,MATCH(K684,[2]Sheet1!$B$4:$B$23,1),MATCH(D684,[2]Sheet1!$C$3:$Q$3,1)+1) - INDEX([2]Sheet1!$C$4:$Q$23,MATCH(K684,[2]Sheet1!$B$4:$B$23,1),MATCH(D684,[2]Sheet1!$C$3:$Q$3,1)))))</f>
        <v>0</v>
      </c>
      <c r="N684">
        <f t="shared" si="198"/>
        <v>12</v>
      </c>
      <c r="O684">
        <v>8.3472516819337775E-2</v>
      </c>
      <c r="P684" t="e">
        <f t="shared" si="199"/>
        <v>#DIV/0!</v>
      </c>
      <c r="Q684">
        <f t="shared" si="200"/>
        <v>0</v>
      </c>
      <c r="R684">
        <f t="shared" si="201"/>
        <v>741.9099431943954</v>
      </c>
      <c r="T684" t="e">
        <f t="shared" si="202"/>
        <v>#DIV/0!</v>
      </c>
      <c r="U684" t="e">
        <f t="shared" si="203"/>
        <v>#DIV/0!</v>
      </c>
      <c r="V684">
        <f t="shared" si="204"/>
        <v>0</v>
      </c>
      <c r="W684" t="e">
        <f t="shared" si="205"/>
        <v>#DIV/0!</v>
      </c>
    </row>
    <row r="685" spans="1:23" x14ac:dyDescent="0.55000000000000004">
      <c r="A685">
        <f t="shared" si="207"/>
        <v>65.100000000000577</v>
      </c>
      <c r="B685">
        <f t="shared" si="208"/>
        <v>0.316</v>
      </c>
      <c r="C685">
        <f t="shared" si="191"/>
        <v>-37.456521739130814</v>
      </c>
      <c r="D685">
        <v>2.4181351983870325</v>
      </c>
      <c r="E685">
        <f t="shared" si="192"/>
        <v>0</v>
      </c>
      <c r="F685">
        <f t="shared" si="193"/>
        <v>4.8605058816845369E-2</v>
      </c>
      <c r="G685">
        <f t="shared" si="194"/>
        <v>39.513748498891111</v>
      </c>
      <c r="H685">
        <f t="shared" si="195"/>
        <v>0</v>
      </c>
      <c r="I685" s="1">
        <f t="shared" si="206"/>
        <v>0</v>
      </c>
      <c r="J685">
        <f t="shared" si="196"/>
        <v>0</v>
      </c>
      <c r="K685">
        <f t="shared" si="197"/>
        <v>0</v>
      </c>
      <c r="L685" cm="1">
        <f t="array" ref="L685">IF(E685*J685=0,0,$C$21*INDEX([3]Sheet1!$C$4:$Q$23,MATCH(K685,[3]Sheet1!$B$4:$B$23,1),MATCH(D685,[3]Sheet1!$C$3:$Q$3,1))
+(K685-INDEX([3]Sheet1!$B$4:$B$23,MATCH(K685,[3]Sheet1!$B$4:$B$23,1),1))/(INDEX([3]Sheet1!$B$4:$B$23,MATCH(K685,[3]Sheet1!$B$4:$B$23,1)+1,1)-INDEX([3]Sheet1!$B$4:$B$23,
MATCH(K685,[3]Sheet1!$B$4:$B$23,1),1))*(INDEX([3]Sheet1!$C$4:$Q$23,MATCH(K685,[3]Sheet1!$B$4:$B$23,1)+1,MATCH(D685,[3]Sheet1!$C$3:$Q$3,1))-INDEX([3]Sheet1!$C$4:$Q$23,
MATCH(K685,[3]Sheet1!$B$4:$B$23,1),MATCH(D685,[3]Sheet1!$C$3:$Q$3,1)))
+(D685-INDEX([3]Sheet1!$C$3:$Q$3,1,MATCH(D685,[3]Sheet1!$C$3:$Q$3)))/(INDEX([3]Sheet1!$C$3:$Q$3,1,MATCH(D685,[3]Sheet1!$C$3:$Q$3)+1)-INDEX([3]Sheet1!$C$3:$Q$3,1,MATCH(
D685,[3]Sheet1!$C$3:$Q$3)))*(INDEX([3]Sheet1!$C$4:$Q$23,MATCH(K685,[3]Sheet1!$B$4:$B$23,1),MATCH(D685,[3]Sheet1!$C$3:$Q$3,1)+1)-INDEX([3]Sheet1!$C$4:$Q$23,MATCH(K685,[3]Sheet1!$B$4:$B$23,1),MATCH(D685,[3]Sheet1!$C$3:$Q$3,1))))</f>
        <v>0</v>
      </c>
      <c r="M685" cm="1">
        <f t="array" ref="M685" xml:space="preserve"> IF(E685*J685=0,0,(INDEX([2]Sheet1!$C$4:$Q$23,MATCH(K685,[2]Sheet1!$B$4:$B$23,1),MATCH(D685,[2]Sheet1!$C$3:$Q$3,1))
+ (K685 - INDEX([2]Sheet1!$B$4:$B$23,MATCH(K685,[2]Sheet1!$B$4:$B$23,1),1))/(INDEX([2]Sheet1!$B$4:$B$23,MATCH(K685,[2]Sheet1!$B$4:$B$23,1)+1,1) - INDEX([2]Sheet1!$B$4:$B$23,MATCH(K685,[2]Sheet1!$B$4:$B$23,1),1))*(INDEX([2]Sheet1!$C$4:$Q$23,MATCH(K685,[2]Sheet1!$B$4:$B$23,1)+1,MATCH(D685,[2]Sheet1!$C$3:$Q$3,1)) - INDEX([2]Sheet1!$C$4:$Q$23,MATCH(K685,[2]Sheet1!$B$4:$B$23,1),MATCH(D685,[2]Sheet1!$C$3:$Q$3,1)))
+ (D685 - INDEX([2]Sheet1!$C$3:$Q$3,1,MATCH(D685,[2]Sheet1!$C$3:$Q$3)))/(INDEX([2]Sheet1!$C$3:$Q$3,1,MATCH(D685,[2]Sheet1!$C$3:$Q$3)+1) - INDEX([2]Sheet1!$C$3:$Q$3,1,MATCH(D685,[2]Sheet1!$C$3:$Q$3)))*(
INDEX([2]Sheet1!$C$4:$Q$23,MATCH(K685,[2]Sheet1!$B$4:$B$23,1),MATCH(D685,[2]Sheet1!$C$3:$Q$3,1)+1) - INDEX([2]Sheet1!$C$4:$Q$23,MATCH(K685,[2]Sheet1!$B$4:$B$23,1),MATCH(D685,[2]Sheet1!$C$3:$Q$3,1)))))</f>
        <v>0</v>
      </c>
      <c r="N685">
        <f t="shared" si="198"/>
        <v>12</v>
      </c>
      <c r="O685">
        <v>8.3460880438045726E-2</v>
      </c>
      <c r="P685" t="e">
        <f t="shared" si="199"/>
        <v>#DIV/0!</v>
      </c>
      <c r="Q685">
        <f t="shared" si="200"/>
        <v>0</v>
      </c>
      <c r="R685">
        <f t="shared" si="201"/>
        <v>741.9099431943954</v>
      </c>
      <c r="T685" t="e">
        <f t="shared" si="202"/>
        <v>#DIV/0!</v>
      </c>
      <c r="U685" t="e">
        <f t="shared" si="203"/>
        <v>#DIV/0!</v>
      </c>
      <c r="V685">
        <f t="shared" si="204"/>
        <v>0</v>
      </c>
      <c r="W685" t="e">
        <f t="shared" si="205"/>
        <v>#DIV/0!</v>
      </c>
    </row>
    <row r="686" spans="1:23" x14ac:dyDescent="0.55000000000000004">
      <c r="A686">
        <f t="shared" si="207"/>
        <v>65.200000000000571</v>
      </c>
      <c r="B686">
        <f t="shared" si="208"/>
        <v>0.316</v>
      </c>
      <c r="C686">
        <f t="shared" si="191"/>
        <v>-37.521739130435165</v>
      </c>
      <c r="D686">
        <v>2.4180757339801611</v>
      </c>
      <c r="E686">
        <f t="shared" si="192"/>
        <v>0</v>
      </c>
      <c r="F686">
        <f t="shared" si="193"/>
        <v>4.8605058816845369E-2</v>
      </c>
      <c r="G686">
        <f t="shared" si="194"/>
        <v>39.513748498891111</v>
      </c>
      <c r="H686">
        <f t="shared" si="195"/>
        <v>0</v>
      </c>
      <c r="I686" s="1">
        <f t="shared" si="206"/>
        <v>0</v>
      </c>
      <c r="J686">
        <f t="shared" si="196"/>
        <v>0</v>
      </c>
      <c r="K686">
        <f t="shared" si="197"/>
        <v>0</v>
      </c>
      <c r="L686" cm="1">
        <f t="array" ref="L686">IF(E686*J686=0,0,$C$21*INDEX([3]Sheet1!$C$4:$Q$23,MATCH(K686,[3]Sheet1!$B$4:$B$23,1),MATCH(D686,[3]Sheet1!$C$3:$Q$3,1))
+(K686-INDEX([3]Sheet1!$B$4:$B$23,MATCH(K686,[3]Sheet1!$B$4:$B$23,1),1))/(INDEX([3]Sheet1!$B$4:$B$23,MATCH(K686,[3]Sheet1!$B$4:$B$23,1)+1,1)-INDEX([3]Sheet1!$B$4:$B$23,
MATCH(K686,[3]Sheet1!$B$4:$B$23,1),1))*(INDEX([3]Sheet1!$C$4:$Q$23,MATCH(K686,[3]Sheet1!$B$4:$B$23,1)+1,MATCH(D686,[3]Sheet1!$C$3:$Q$3,1))-INDEX([3]Sheet1!$C$4:$Q$23,
MATCH(K686,[3]Sheet1!$B$4:$B$23,1),MATCH(D686,[3]Sheet1!$C$3:$Q$3,1)))
+(D686-INDEX([3]Sheet1!$C$3:$Q$3,1,MATCH(D686,[3]Sheet1!$C$3:$Q$3)))/(INDEX([3]Sheet1!$C$3:$Q$3,1,MATCH(D686,[3]Sheet1!$C$3:$Q$3)+1)-INDEX([3]Sheet1!$C$3:$Q$3,1,MATCH(
D686,[3]Sheet1!$C$3:$Q$3)))*(INDEX([3]Sheet1!$C$4:$Q$23,MATCH(K686,[3]Sheet1!$B$4:$B$23,1),MATCH(D686,[3]Sheet1!$C$3:$Q$3,1)+1)-INDEX([3]Sheet1!$C$4:$Q$23,MATCH(K686,[3]Sheet1!$B$4:$B$23,1),MATCH(D686,[3]Sheet1!$C$3:$Q$3,1))))</f>
        <v>0</v>
      </c>
      <c r="M686" cm="1">
        <f t="array" ref="M686" xml:space="preserve"> IF(E686*J686=0,0,(INDEX([2]Sheet1!$C$4:$Q$23,MATCH(K686,[2]Sheet1!$B$4:$B$23,1),MATCH(D686,[2]Sheet1!$C$3:$Q$3,1))
+ (K686 - INDEX([2]Sheet1!$B$4:$B$23,MATCH(K686,[2]Sheet1!$B$4:$B$23,1),1))/(INDEX([2]Sheet1!$B$4:$B$23,MATCH(K686,[2]Sheet1!$B$4:$B$23,1)+1,1) - INDEX([2]Sheet1!$B$4:$B$23,MATCH(K686,[2]Sheet1!$B$4:$B$23,1),1))*(INDEX([2]Sheet1!$C$4:$Q$23,MATCH(K686,[2]Sheet1!$B$4:$B$23,1)+1,MATCH(D686,[2]Sheet1!$C$3:$Q$3,1)) - INDEX([2]Sheet1!$C$4:$Q$23,MATCH(K686,[2]Sheet1!$B$4:$B$23,1),MATCH(D686,[2]Sheet1!$C$3:$Q$3,1)))
+ (D686 - INDEX([2]Sheet1!$C$3:$Q$3,1,MATCH(D686,[2]Sheet1!$C$3:$Q$3)))/(INDEX([2]Sheet1!$C$3:$Q$3,1,MATCH(D686,[2]Sheet1!$C$3:$Q$3)+1) - INDEX([2]Sheet1!$C$3:$Q$3,1,MATCH(D686,[2]Sheet1!$C$3:$Q$3)))*(
INDEX([2]Sheet1!$C$4:$Q$23,MATCH(K686,[2]Sheet1!$B$4:$B$23,1),MATCH(D686,[2]Sheet1!$C$3:$Q$3,1)+1) - INDEX([2]Sheet1!$C$4:$Q$23,MATCH(K686,[2]Sheet1!$B$4:$B$23,1),MATCH(D686,[2]Sheet1!$C$3:$Q$3,1)))))</f>
        <v>0</v>
      </c>
      <c r="N686">
        <f t="shared" si="198"/>
        <v>12</v>
      </c>
      <c r="O686">
        <v>8.3449258668516907E-2</v>
      </c>
      <c r="P686" t="e">
        <f t="shared" si="199"/>
        <v>#DIV/0!</v>
      </c>
      <c r="Q686">
        <f t="shared" si="200"/>
        <v>0</v>
      </c>
      <c r="R686">
        <f t="shared" si="201"/>
        <v>741.9099431943954</v>
      </c>
      <c r="T686" t="e">
        <f t="shared" si="202"/>
        <v>#DIV/0!</v>
      </c>
      <c r="U686" t="e">
        <f t="shared" si="203"/>
        <v>#DIV/0!</v>
      </c>
      <c r="V686">
        <f t="shared" si="204"/>
        <v>0</v>
      </c>
      <c r="W686" t="e">
        <f t="shared" si="205"/>
        <v>#DIV/0!</v>
      </c>
    </row>
    <row r="687" spans="1:23" x14ac:dyDescent="0.55000000000000004">
      <c r="A687">
        <f t="shared" si="207"/>
        <v>65.300000000000566</v>
      </c>
      <c r="B687">
        <f t="shared" si="208"/>
        <v>0.316</v>
      </c>
      <c r="C687">
        <f t="shared" si="191"/>
        <v>-37.586956521739502</v>
      </c>
      <c r="D687">
        <v>2.4180163359757603</v>
      </c>
      <c r="E687">
        <f t="shared" si="192"/>
        <v>0</v>
      </c>
      <c r="F687">
        <f t="shared" si="193"/>
        <v>4.8605058816845369E-2</v>
      </c>
      <c r="G687">
        <f t="shared" si="194"/>
        <v>39.513748498891111</v>
      </c>
      <c r="H687">
        <f t="shared" si="195"/>
        <v>0</v>
      </c>
      <c r="I687" s="1">
        <f t="shared" si="206"/>
        <v>0</v>
      </c>
      <c r="J687">
        <f t="shared" si="196"/>
        <v>0</v>
      </c>
      <c r="K687">
        <f t="shared" si="197"/>
        <v>0</v>
      </c>
      <c r="L687" cm="1">
        <f t="array" ref="L687">IF(E687*J687=0,0,$C$21*INDEX([3]Sheet1!$C$4:$Q$23,MATCH(K687,[3]Sheet1!$B$4:$B$23,1),MATCH(D687,[3]Sheet1!$C$3:$Q$3,1))
+(K687-INDEX([3]Sheet1!$B$4:$B$23,MATCH(K687,[3]Sheet1!$B$4:$B$23,1),1))/(INDEX([3]Sheet1!$B$4:$B$23,MATCH(K687,[3]Sheet1!$B$4:$B$23,1)+1,1)-INDEX([3]Sheet1!$B$4:$B$23,
MATCH(K687,[3]Sheet1!$B$4:$B$23,1),1))*(INDEX([3]Sheet1!$C$4:$Q$23,MATCH(K687,[3]Sheet1!$B$4:$B$23,1)+1,MATCH(D687,[3]Sheet1!$C$3:$Q$3,1))-INDEX([3]Sheet1!$C$4:$Q$23,
MATCH(K687,[3]Sheet1!$B$4:$B$23,1),MATCH(D687,[3]Sheet1!$C$3:$Q$3,1)))
+(D687-INDEX([3]Sheet1!$C$3:$Q$3,1,MATCH(D687,[3]Sheet1!$C$3:$Q$3)))/(INDEX([3]Sheet1!$C$3:$Q$3,1,MATCH(D687,[3]Sheet1!$C$3:$Q$3)+1)-INDEX([3]Sheet1!$C$3:$Q$3,1,MATCH(
D687,[3]Sheet1!$C$3:$Q$3)))*(INDEX([3]Sheet1!$C$4:$Q$23,MATCH(K687,[3]Sheet1!$B$4:$B$23,1),MATCH(D687,[3]Sheet1!$C$3:$Q$3,1)+1)-INDEX([3]Sheet1!$C$4:$Q$23,MATCH(K687,[3]Sheet1!$B$4:$B$23,1),MATCH(D687,[3]Sheet1!$C$3:$Q$3,1))))</f>
        <v>0</v>
      </c>
      <c r="M687" cm="1">
        <f t="array" ref="M687" xml:space="preserve"> IF(E687*J687=0,0,(INDEX([2]Sheet1!$C$4:$Q$23,MATCH(K687,[2]Sheet1!$B$4:$B$23,1),MATCH(D687,[2]Sheet1!$C$3:$Q$3,1))
+ (K687 - INDEX([2]Sheet1!$B$4:$B$23,MATCH(K687,[2]Sheet1!$B$4:$B$23,1),1))/(INDEX([2]Sheet1!$B$4:$B$23,MATCH(K687,[2]Sheet1!$B$4:$B$23,1)+1,1) - INDEX([2]Sheet1!$B$4:$B$23,MATCH(K687,[2]Sheet1!$B$4:$B$23,1),1))*(INDEX([2]Sheet1!$C$4:$Q$23,MATCH(K687,[2]Sheet1!$B$4:$B$23,1)+1,MATCH(D687,[2]Sheet1!$C$3:$Q$3,1)) - INDEX([2]Sheet1!$C$4:$Q$23,MATCH(K687,[2]Sheet1!$B$4:$B$23,1),MATCH(D687,[2]Sheet1!$C$3:$Q$3,1)))
+ (D687 - INDEX([2]Sheet1!$C$3:$Q$3,1,MATCH(D687,[2]Sheet1!$C$3:$Q$3)))/(INDEX([2]Sheet1!$C$3:$Q$3,1,MATCH(D687,[2]Sheet1!$C$3:$Q$3)+1) - INDEX([2]Sheet1!$C$3:$Q$3,1,MATCH(D687,[2]Sheet1!$C$3:$Q$3)))*(
INDEX([2]Sheet1!$C$4:$Q$23,MATCH(K687,[2]Sheet1!$B$4:$B$23,1),MATCH(D687,[2]Sheet1!$C$3:$Q$3,1)+1) - INDEX([2]Sheet1!$C$4:$Q$23,MATCH(K687,[2]Sheet1!$B$4:$B$23,1),MATCH(D687,[2]Sheet1!$C$3:$Q$3,1)))))</f>
        <v>0</v>
      </c>
      <c r="N687">
        <f t="shared" si="198"/>
        <v>12</v>
      </c>
      <c r="O687">
        <v>8.3437651475230648E-2</v>
      </c>
      <c r="P687" t="e">
        <f t="shared" si="199"/>
        <v>#DIV/0!</v>
      </c>
      <c r="Q687">
        <f t="shared" si="200"/>
        <v>0</v>
      </c>
      <c r="R687">
        <f t="shared" si="201"/>
        <v>741.9099431943954</v>
      </c>
      <c r="T687" t="e">
        <f t="shared" si="202"/>
        <v>#DIV/0!</v>
      </c>
      <c r="U687" t="e">
        <f t="shared" si="203"/>
        <v>#DIV/0!</v>
      </c>
      <c r="V687">
        <f t="shared" si="204"/>
        <v>0</v>
      </c>
      <c r="W687" t="e">
        <f t="shared" si="205"/>
        <v>#DIV/0!</v>
      </c>
    </row>
    <row r="688" spans="1:23" x14ac:dyDescent="0.55000000000000004">
      <c r="A688">
        <f t="shared" si="207"/>
        <v>65.40000000000056</v>
      </c>
      <c r="B688">
        <f t="shared" si="208"/>
        <v>0.316</v>
      </c>
      <c r="C688">
        <f t="shared" si="191"/>
        <v>-37.652173913043853</v>
      </c>
      <c r="D688">
        <v>2.4179570042203617</v>
      </c>
      <c r="E688">
        <f t="shared" si="192"/>
        <v>0</v>
      </c>
      <c r="F688">
        <f t="shared" si="193"/>
        <v>4.8605058816845369E-2</v>
      </c>
      <c r="G688">
        <f t="shared" si="194"/>
        <v>39.513748498891111</v>
      </c>
      <c r="H688">
        <f t="shared" si="195"/>
        <v>0</v>
      </c>
      <c r="I688" s="1">
        <f t="shared" si="206"/>
        <v>0</v>
      </c>
      <c r="J688">
        <f t="shared" si="196"/>
        <v>0</v>
      </c>
      <c r="K688">
        <f t="shared" si="197"/>
        <v>0</v>
      </c>
      <c r="L688" cm="1">
        <f t="array" ref="L688">IF(E688*J688=0,0,$C$21*INDEX([3]Sheet1!$C$4:$Q$23,MATCH(K688,[3]Sheet1!$B$4:$B$23,1),MATCH(D688,[3]Sheet1!$C$3:$Q$3,1))
+(K688-INDEX([3]Sheet1!$B$4:$B$23,MATCH(K688,[3]Sheet1!$B$4:$B$23,1),1))/(INDEX([3]Sheet1!$B$4:$B$23,MATCH(K688,[3]Sheet1!$B$4:$B$23,1)+1,1)-INDEX([3]Sheet1!$B$4:$B$23,
MATCH(K688,[3]Sheet1!$B$4:$B$23,1),1))*(INDEX([3]Sheet1!$C$4:$Q$23,MATCH(K688,[3]Sheet1!$B$4:$B$23,1)+1,MATCH(D688,[3]Sheet1!$C$3:$Q$3,1))-INDEX([3]Sheet1!$C$4:$Q$23,
MATCH(K688,[3]Sheet1!$B$4:$B$23,1),MATCH(D688,[3]Sheet1!$C$3:$Q$3,1)))
+(D688-INDEX([3]Sheet1!$C$3:$Q$3,1,MATCH(D688,[3]Sheet1!$C$3:$Q$3)))/(INDEX([3]Sheet1!$C$3:$Q$3,1,MATCH(D688,[3]Sheet1!$C$3:$Q$3)+1)-INDEX([3]Sheet1!$C$3:$Q$3,1,MATCH(
D688,[3]Sheet1!$C$3:$Q$3)))*(INDEX([3]Sheet1!$C$4:$Q$23,MATCH(K688,[3]Sheet1!$B$4:$B$23,1),MATCH(D688,[3]Sheet1!$C$3:$Q$3,1)+1)-INDEX([3]Sheet1!$C$4:$Q$23,MATCH(K688,[3]Sheet1!$B$4:$B$23,1),MATCH(D688,[3]Sheet1!$C$3:$Q$3,1))))</f>
        <v>0</v>
      </c>
      <c r="M688" cm="1">
        <f t="array" ref="M688" xml:space="preserve"> IF(E688*J688=0,0,(INDEX([2]Sheet1!$C$4:$Q$23,MATCH(K688,[2]Sheet1!$B$4:$B$23,1),MATCH(D688,[2]Sheet1!$C$3:$Q$3,1))
+ (K688 - INDEX([2]Sheet1!$B$4:$B$23,MATCH(K688,[2]Sheet1!$B$4:$B$23,1),1))/(INDEX([2]Sheet1!$B$4:$B$23,MATCH(K688,[2]Sheet1!$B$4:$B$23,1)+1,1) - INDEX([2]Sheet1!$B$4:$B$23,MATCH(K688,[2]Sheet1!$B$4:$B$23,1),1))*(INDEX([2]Sheet1!$C$4:$Q$23,MATCH(K688,[2]Sheet1!$B$4:$B$23,1)+1,MATCH(D688,[2]Sheet1!$C$3:$Q$3,1)) - INDEX([2]Sheet1!$C$4:$Q$23,MATCH(K688,[2]Sheet1!$B$4:$B$23,1),MATCH(D688,[2]Sheet1!$C$3:$Q$3,1)))
+ (D688 - INDEX([2]Sheet1!$C$3:$Q$3,1,MATCH(D688,[2]Sheet1!$C$3:$Q$3)))/(INDEX([2]Sheet1!$C$3:$Q$3,1,MATCH(D688,[2]Sheet1!$C$3:$Q$3)+1) - INDEX([2]Sheet1!$C$3:$Q$3,1,MATCH(D688,[2]Sheet1!$C$3:$Q$3)))*(
INDEX([2]Sheet1!$C$4:$Q$23,MATCH(K688,[2]Sheet1!$B$4:$B$23,1),MATCH(D688,[2]Sheet1!$C$3:$Q$3,1)+1) - INDEX([2]Sheet1!$C$4:$Q$23,MATCH(K688,[2]Sheet1!$B$4:$B$23,1),MATCH(D688,[2]Sheet1!$C$3:$Q$3,1)))))</f>
        <v>0</v>
      </c>
      <c r="N688">
        <f t="shared" si="198"/>
        <v>12</v>
      </c>
      <c r="O688">
        <v>8.3426058822794649E-2</v>
      </c>
      <c r="P688" t="e">
        <f t="shared" si="199"/>
        <v>#DIV/0!</v>
      </c>
      <c r="Q688">
        <f t="shared" si="200"/>
        <v>0</v>
      </c>
      <c r="R688">
        <f t="shared" si="201"/>
        <v>741.9099431943954</v>
      </c>
      <c r="T688" t="e">
        <f t="shared" si="202"/>
        <v>#DIV/0!</v>
      </c>
      <c r="U688" t="e">
        <f t="shared" si="203"/>
        <v>#DIV/0!</v>
      </c>
      <c r="V688">
        <f t="shared" si="204"/>
        <v>0</v>
      </c>
      <c r="W688" t="e">
        <f t="shared" si="205"/>
        <v>#DIV/0!</v>
      </c>
    </row>
    <row r="689" spans="1:23" x14ac:dyDescent="0.55000000000000004">
      <c r="A689">
        <f t="shared" si="207"/>
        <v>65.500000000000554</v>
      </c>
      <c r="B689">
        <f t="shared" si="208"/>
        <v>0.316</v>
      </c>
      <c r="C689">
        <f t="shared" si="191"/>
        <v>-37.71739130434819</v>
      </c>
      <c r="D689">
        <v>2.4178977385610332</v>
      </c>
      <c r="E689">
        <f t="shared" si="192"/>
        <v>0</v>
      </c>
      <c r="F689">
        <f t="shared" si="193"/>
        <v>4.8605058816845369E-2</v>
      </c>
      <c r="G689">
        <f t="shared" si="194"/>
        <v>39.513748498891111</v>
      </c>
      <c r="H689">
        <f t="shared" si="195"/>
        <v>0</v>
      </c>
      <c r="I689" s="1">
        <f t="shared" si="206"/>
        <v>0</v>
      </c>
      <c r="J689">
        <f t="shared" si="196"/>
        <v>0</v>
      </c>
      <c r="K689">
        <f t="shared" si="197"/>
        <v>0</v>
      </c>
      <c r="L689" cm="1">
        <f t="array" ref="L689">IF(E689*J689=0,0,$C$21*INDEX([3]Sheet1!$C$4:$Q$23,MATCH(K689,[3]Sheet1!$B$4:$B$23,1),MATCH(D689,[3]Sheet1!$C$3:$Q$3,1))
+(K689-INDEX([3]Sheet1!$B$4:$B$23,MATCH(K689,[3]Sheet1!$B$4:$B$23,1),1))/(INDEX([3]Sheet1!$B$4:$B$23,MATCH(K689,[3]Sheet1!$B$4:$B$23,1)+1,1)-INDEX([3]Sheet1!$B$4:$B$23,
MATCH(K689,[3]Sheet1!$B$4:$B$23,1),1))*(INDEX([3]Sheet1!$C$4:$Q$23,MATCH(K689,[3]Sheet1!$B$4:$B$23,1)+1,MATCH(D689,[3]Sheet1!$C$3:$Q$3,1))-INDEX([3]Sheet1!$C$4:$Q$23,
MATCH(K689,[3]Sheet1!$B$4:$B$23,1),MATCH(D689,[3]Sheet1!$C$3:$Q$3,1)))
+(D689-INDEX([3]Sheet1!$C$3:$Q$3,1,MATCH(D689,[3]Sheet1!$C$3:$Q$3)))/(INDEX([3]Sheet1!$C$3:$Q$3,1,MATCH(D689,[3]Sheet1!$C$3:$Q$3)+1)-INDEX([3]Sheet1!$C$3:$Q$3,1,MATCH(
D689,[3]Sheet1!$C$3:$Q$3)))*(INDEX([3]Sheet1!$C$4:$Q$23,MATCH(K689,[3]Sheet1!$B$4:$B$23,1),MATCH(D689,[3]Sheet1!$C$3:$Q$3,1)+1)-INDEX([3]Sheet1!$C$4:$Q$23,MATCH(K689,[3]Sheet1!$B$4:$B$23,1),MATCH(D689,[3]Sheet1!$C$3:$Q$3,1))))</f>
        <v>0</v>
      </c>
      <c r="M689" cm="1">
        <f t="array" ref="M689" xml:space="preserve"> IF(E689*J689=0,0,(INDEX([2]Sheet1!$C$4:$Q$23,MATCH(K689,[2]Sheet1!$B$4:$B$23,1),MATCH(D689,[2]Sheet1!$C$3:$Q$3,1))
+ (K689 - INDEX([2]Sheet1!$B$4:$B$23,MATCH(K689,[2]Sheet1!$B$4:$B$23,1),1))/(INDEX([2]Sheet1!$B$4:$B$23,MATCH(K689,[2]Sheet1!$B$4:$B$23,1)+1,1) - INDEX([2]Sheet1!$B$4:$B$23,MATCH(K689,[2]Sheet1!$B$4:$B$23,1),1))*(INDEX([2]Sheet1!$C$4:$Q$23,MATCH(K689,[2]Sheet1!$B$4:$B$23,1)+1,MATCH(D689,[2]Sheet1!$C$3:$Q$3,1)) - INDEX([2]Sheet1!$C$4:$Q$23,MATCH(K689,[2]Sheet1!$B$4:$B$23,1),MATCH(D689,[2]Sheet1!$C$3:$Q$3,1)))
+ (D689 - INDEX([2]Sheet1!$C$3:$Q$3,1,MATCH(D689,[2]Sheet1!$C$3:$Q$3)))/(INDEX([2]Sheet1!$C$3:$Q$3,1,MATCH(D689,[2]Sheet1!$C$3:$Q$3)+1) - INDEX([2]Sheet1!$C$3:$Q$3,1,MATCH(D689,[2]Sheet1!$C$3:$Q$3)))*(
INDEX([2]Sheet1!$C$4:$Q$23,MATCH(K689,[2]Sheet1!$B$4:$B$23,1),MATCH(D689,[2]Sheet1!$C$3:$Q$3,1)+1) - INDEX([2]Sheet1!$C$4:$Q$23,MATCH(K689,[2]Sheet1!$B$4:$B$23,1),MATCH(D689,[2]Sheet1!$C$3:$Q$3,1)))))</f>
        <v>0</v>
      </c>
      <c r="N689">
        <f t="shared" si="198"/>
        <v>12</v>
      </c>
      <c r="O689">
        <v>8.3414480675945368E-2</v>
      </c>
      <c r="P689" t="e">
        <f t="shared" si="199"/>
        <v>#DIV/0!</v>
      </c>
      <c r="Q689">
        <f t="shared" si="200"/>
        <v>0</v>
      </c>
      <c r="R689">
        <f t="shared" si="201"/>
        <v>741.9099431943954</v>
      </c>
      <c r="T689" t="e">
        <f t="shared" si="202"/>
        <v>#DIV/0!</v>
      </c>
      <c r="U689" t="e">
        <f t="shared" si="203"/>
        <v>#DIV/0!</v>
      </c>
      <c r="V689">
        <f t="shared" si="204"/>
        <v>0</v>
      </c>
      <c r="W689" t="e">
        <f t="shared" si="205"/>
        <v>#DIV/0!</v>
      </c>
    </row>
    <row r="690" spans="1:23" x14ac:dyDescent="0.55000000000000004">
      <c r="A690">
        <f t="shared" si="207"/>
        <v>65.600000000000549</v>
      </c>
      <c r="B690">
        <f t="shared" si="208"/>
        <v>0.316</v>
      </c>
      <c r="C690">
        <f t="shared" si="191"/>
        <v>-37.782608695652542</v>
      </c>
      <c r="D690">
        <v>2.4178385388453734</v>
      </c>
      <c r="E690">
        <f t="shared" si="192"/>
        <v>0</v>
      </c>
      <c r="F690">
        <f t="shared" si="193"/>
        <v>4.8605058816845369E-2</v>
      </c>
      <c r="G690">
        <f t="shared" si="194"/>
        <v>39.513748498891111</v>
      </c>
      <c r="H690">
        <f t="shared" si="195"/>
        <v>0</v>
      </c>
      <c r="I690" s="1">
        <f t="shared" si="206"/>
        <v>0</v>
      </c>
      <c r="J690">
        <f t="shared" si="196"/>
        <v>0</v>
      </c>
      <c r="K690">
        <f t="shared" si="197"/>
        <v>0</v>
      </c>
      <c r="L690" cm="1">
        <f t="array" ref="L690">IF(E690*J690=0,0,$C$21*INDEX([3]Sheet1!$C$4:$Q$23,MATCH(K690,[3]Sheet1!$B$4:$B$23,1),MATCH(D690,[3]Sheet1!$C$3:$Q$3,1))
+(K690-INDEX([3]Sheet1!$B$4:$B$23,MATCH(K690,[3]Sheet1!$B$4:$B$23,1),1))/(INDEX([3]Sheet1!$B$4:$B$23,MATCH(K690,[3]Sheet1!$B$4:$B$23,1)+1,1)-INDEX([3]Sheet1!$B$4:$B$23,
MATCH(K690,[3]Sheet1!$B$4:$B$23,1),1))*(INDEX([3]Sheet1!$C$4:$Q$23,MATCH(K690,[3]Sheet1!$B$4:$B$23,1)+1,MATCH(D690,[3]Sheet1!$C$3:$Q$3,1))-INDEX([3]Sheet1!$C$4:$Q$23,
MATCH(K690,[3]Sheet1!$B$4:$B$23,1),MATCH(D690,[3]Sheet1!$C$3:$Q$3,1)))
+(D690-INDEX([3]Sheet1!$C$3:$Q$3,1,MATCH(D690,[3]Sheet1!$C$3:$Q$3)))/(INDEX([3]Sheet1!$C$3:$Q$3,1,MATCH(D690,[3]Sheet1!$C$3:$Q$3)+1)-INDEX([3]Sheet1!$C$3:$Q$3,1,MATCH(
D690,[3]Sheet1!$C$3:$Q$3)))*(INDEX([3]Sheet1!$C$4:$Q$23,MATCH(K690,[3]Sheet1!$B$4:$B$23,1),MATCH(D690,[3]Sheet1!$C$3:$Q$3,1)+1)-INDEX([3]Sheet1!$C$4:$Q$23,MATCH(K690,[3]Sheet1!$B$4:$B$23,1),MATCH(D690,[3]Sheet1!$C$3:$Q$3,1))))</f>
        <v>0</v>
      </c>
      <c r="M690" cm="1">
        <f t="array" ref="M690" xml:space="preserve"> IF(E690*J690=0,0,(INDEX([2]Sheet1!$C$4:$Q$23,MATCH(K690,[2]Sheet1!$B$4:$B$23,1),MATCH(D690,[2]Sheet1!$C$3:$Q$3,1))
+ (K690 - INDEX([2]Sheet1!$B$4:$B$23,MATCH(K690,[2]Sheet1!$B$4:$B$23,1),1))/(INDEX([2]Sheet1!$B$4:$B$23,MATCH(K690,[2]Sheet1!$B$4:$B$23,1)+1,1) - INDEX([2]Sheet1!$B$4:$B$23,MATCH(K690,[2]Sheet1!$B$4:$B$23,1),1))*(INDEX([2]Sheet1!$C$4:$Q$23,MATCH(K690,[2]Sheet1!$B$4:$B$23,1)+1,MATCH(D690,[2]Sheet1!$C$3:$Q$3,1)) - INDEX([2]Sheet1!$C$4:$Q$23,MATCH(K690,[2]Sheet1!$B$4:$B$23,1),MATCH(D690,[2]Sheet1!$C$3:$Q$3,1)))
+ (D690 - INDEX([2]Sheet1!$C$3:$Q$3,1,MATCH(D690,[2]Sheet1!$C$3:$Q$3)))/(INDEX([2]Sheet1!$C$3:$Q$3,1,MATCH(D690,[2]Sheet1!$C$3:$Q$3)+1) - INDEX([2]Sheet1!$C$3:$Q$3,1,MATCH(D690,[2]Sheet1!$C$3:$Q$3)))*(
INDEX([2]Sheet1!$C$4:$Q$23,MATCH(K690,[2]Sheet1!$B$4:$B$23,1),MATCH(D690,[2]Sheet1!$C$3:$Q$3,1)+1) - INDEX([2]Sheet1!$C$4:$Q$23,MATCH(K690,[2]Sheet1!$B$4:$B$23,1),MATCH(D690,[2]Sheet1!$C$3:$Q$3,1)))))</f>
        <v>0</v>
      </c>
      <c r="N690">
        <f t="shared" si="198"/>
        <v>12</v>
      </c>
      <c r="O690">
        <v>8.3402916999545815E-2</v>
      </c>
      <c r="P690" t="e">
        <f t="shared" si="199"/>
        <v>#DIV/0!</v>
      </c>
      <c r="Q690">
        <f t="shared" si="200"/>
        <v>0</v>
      </c>
      <c r="R690">
        <f t="shared" si="201"/>
        <v>741.9099431943954</v>
      </c>
      <c r="T690" t="e">
        <f t="shared" si="202"/>
        <v>#DIV/0!</v>
      </c>
      <c r="U690" t="e">
        <f t="shared" si="203"/>
        <v>#DIV/0!</v>
      </c>
      <c r="V690">
        <f t="shared" si="204"/>
        <v>0</v>
      </c>
      <c r="W690" t="e">
        <f t="shared" si="205"/>
        <v>#DIV/0!</v>
      </c>
    </row>
    <row r="691" spans="1:23" x14ac:dyDescent="0.55000000000000004">
      <c r="A691">
        <f t="shared" si="207"/>
        <v>65.700000000000543</v>
      </c>
      <c r="B691">
        <f t="shared" si="208"/>
        <v>0.316</v>
      </c>
      <c r="C691">
        <f t="shared" si="191"/>
        <v>-37.847826086956879</v>
      </c>
      <c r="D691">
        <v>2.4177794049215136</v>
      </c>
      <c r="E691">
        <f t="shared" si="192"/>
        <v>0</v>
      </c>
      <c r="F691">
        <f t="shared" si="193"/>
        <v>4.8605058816845369E-2</v>
      </c>
      <c r="G691">
        <f t="shared" si="194"/>
        <v>39.513748498891111</v>
      </c>
      <c r="H691">
        <f t="shared" si="195"/>
        <v>0</v>
      </c>
      <c r="I691" s="1">
        <f t="shared" si="206"/>
        <v>0</v>
      </c>
      <c r="J691">
        <f t="shared" si="196"/>
        <v>0</v>
      </c>
      <c r="K691">
        <f t="shared" si="197"/>
        <v>0</v>
      </c>
      <c r="L691" cm="1">
        <f t="array" ref="L691">IF(E691*J691=0,0,$C$21*INDEX([3]Sheet1!$C$4:$Q$23,MATCH(K691,[3]Sheet1!$B$4:$B$23,1),MATCH(D691,[3]Sheet1!$C$3:$Q$3,1))
+(K691-INDEX([3]Sheet1!$B$4:$B$23,MATCH(K691,[3]Sheet1!$B$4:$B$23,1),1))/(INDEX([3]Sheet1!$B$4:$B$23,MATCH(K691,[3]Sheet1!$B$4:$B$23,1)+1,1)-INDEX([3]Sheet1!$B$4:$B$23,
MATCH(K691,[3]Sheet1!$B$4:$B$23,1),1))*(INDEX([3]Sheet1!$C$4:$Q$23,MATCH(K691,[3]Sheet1!$B$4:$B$23,1)+1,MATCH(D691,[3]Sheet1!$C$3:$Q$3,1))-INDEX([3]Sheet1!$C$4:$Q$23,
MATCH(K691,[3]Sheet1!$B$4:$B$23,1),MATCH(D691,[3]Sheet1!$C$3:$Q$3,1)))
+(D691-INDEX([3]Sheet1!$C$3:$Q$3,1,MATCH(D691,[3]Sheet1!$C$3:$Q$3)))/(INDEX([3]Sheet1!$C$3:$Q$3,1,MATCH(D691,[3]Sheet1!$C$3:$Q$3)+1)-INDEX([3]Sheet1!$C$3:$Q$3,1,MATCH(
D691,[3]Sheet1!$C$3:$Q$3)))*(INDEX([3]Sheet1!$C$4:$Q$23,MATCH(K691,[3]Sheet1!$B$4:$B$23,1),MATCH(D691,[3]Sheet1!$C$3:$Q$3,1)+1)-INDEX([3]Sheet1!$C$4:$Q$23,MATCH(K691,[3]Sheet1!$B$4:$B$23,1),MATCH(D691,[3]Sheet1!$C$3:$Q$3,1))))</f>
        <v>0</v>
      </c>
      <c r="M691" cm="1">
        <f t="array" ref="M691" xml:space="preserve"> IF(E691*J691=0,0,(INDEX([2]Sheet1!$C$4:$Q$23,MATCH(K691,[2]Sheet1!$B$4:$B$23,1),MATCH(D691,[2]Sheet1!$C$3:$Q$3,1))
+ (K691 - INDEX([2]Sheet1!$B$4:$B$23,MATCH(K691,[2]Sheet1!$B$4:$B$23,1),1))/(INDEX([2]Sheet1!$B$4:$B$23,MATCH(K691,[2]Sheet1!$B$4:$B$23,1)+1,1) - INDEX([2]Sheet1!$B$4:$B$23,MATCH(K691,[2]Sheet1!$B$4:$B$23,1),1))*(INDEX([2]Sheet1!$C$4:$Q$23,MATCH(K691,[2]Sheet1!$B$4:$B$23,1)+1,MATCH(D691,[2]Sheet1!$C$3:$Q$3,1)) - INDEX([2]Sheet1!$C$4:$Q$23,MATCH(K691,[2]Sheet1!$B$4:$B$23,1),MATCH(D691,[2]Sheet1!$C$3:$Q$3,1)))
+ (D691 - INDEX([2]Sheet1!$C$3:$Q$3,1,MATCH(D691,[2]Sheet1!$C$3:$Q$3)))/(INDEX([2]Sheet1!$C$3:$Q$3,1,MATCH(D691,[2]Sheet1!$C$3:$Q$3)+1) - INDEX([2]Sheet1!$C$3:$Q$3,1,MATCH(D691,[2]Sheet1!$C$3:$Q$3)))*(
INDEX([2]Sheet1!$C$4:$Q$23,MATCH(K691,[2]Sheet1!$B$4:$B$23,1),MATCH(D691,[2]Sheet1!$C$3:$Q$3,1)+1) - INDEX([2]Sheet1!$C$4:$Q$23,MATCH(K691,[2]Sheet1!$B$4:$B$23,1),MATCH(D691,[2]Sheet1!$C$3:$Q$3,1)))))</f>
        <v>0</v>
      </c>
      <c r="N691">
        <f t="shared" si="198"/>
        <v>12</v>
      </c>
      <c r="O691">
        <v>8.3391367758585092E-2</v>
      </c>
      <c r="P691" t="e">
        <f t="shared" si="199"/>
        <v>#DIV/0!</v>
      </c>
      <c r="Q691">
        <f t="shared" si="200"/>
        <v>0</v>
      </c>
      <c r="R691">
        <f t="shared" si="201"/>
        <v>741.9099431943954</v>
      </c>
      <c r="T691" t="e">
        <f t="shared" si="202"/>
        <v>#DIV/0!</v>
      </c>
      <c r="U691" t="e">
        <f t="shared" si="203"/>
        <v>#DIV/0!</v>
      </c>
      <c r="V691">
        <f t="shared" si="204"/>
        <v>0</v>
      </c>
      <c r="W691" t="e">
        <f t="shared" si="205"/>
        <v>#DIV/0!</v>
      </c>
    </row>
    <row r="692" spans="1:23" x14ac:dyDescent="0.55000000000000004">
      <c r="A692">
        <f t="shared" si="207"/>
        <v>65.800000000000537</v>
      </c>
      <c r="B692">
        <f t="shared" si="208"/>
        <v>0.316</v>
      </c>
      <c r="C692">
        <f t="shared" si="191"/>
        <v>-37.91304347826123</v>
      </c>
      <c r="D692">
        <v>2.4177203366381121</v>
      </c>
      <c r="E692">
        <f t="shared" si="192"/>
        <v>0</v>
      </c>
      <c r="F692">
        <f t="shared" si="193"/>
        <v>4.8605058816845369E-2</v>
      </c>
      <c r="G692">
        <f t="shared" si="194"/>
        <v>39.513748498891111</v>
      </c>
      <c r="H692">
        <f t="shared" si="195"/>
        <v>0</v>
      </c>
      <c r="I692" s="1">
        <f t="shared" si="206"/>
        <v>0</v>
      </c>
      <c r="J692">
        <f t="shared" si="196"/>
        <v>0</v>
      </c>
      <c r="K692">
        <f t="shared" si="197"/>
        <v>0</v>
      </c>
      <c r="L692" cm="1">
        <f t="array" ref="L692">IF(E692*J692=0,0,$C$21*INDEX([3]Sheet1!$C$4:$Q$23,MATCH(K692,[3]Sheet1!$B$4:$B$23,1),MATCH(D692,[3]Sheet1!$C$3:$Q$3,1))
+(K692-INDEX([3]Sheet1!$B$4:$B$23,MATCH(K692,[3]Sheet1!$B$4:$B$23,1),1))/(INDEX([3]Sheet1!$B$4:$B$23,MATCH(K692,[3]Sheet1!$B$4:$B$23,1)+1,1)-INDEX([3]Sheet1!$B$4:$B$23,
MATCH(K692,[3]Sheet1!$B$4:$B$23,1),1))*(INDEX([3]Sheet1!$C$4:$Q$23,MATCH(K692,[3]Sheet1!$B$4:$B$23,1)+1,MATCH(D692,[3]Sheet1!$C$3:$Q$3,1))-INDEX([3]Sheet1!$C$4:$Q$23,
MATCH(K692,[3]Sheet1!$B$4:$B$23,1),MATCH(D692,[3]Sheet1!$C$3:$Q$3,1)))
+(D692-INDEX([3]Sheet1!$C$3:$Q$3,1,MATCH(D692,[3]Sheet1!$C$3:$Q$3)))/(INDEX([3]Sheet1!$C$3:$Q$3,1,MATCH(D692,[3]Sheet1!$C$3:$Q$3)+1)-INDEX([3]Sheet1!$C$3:$Q$3,1,MATCH(
D692,[3]Sheet1!$C$3:$Q$3)))*(INDEX([3]Sheet1!$C$4:$Q$23,MATCH(K692,[3]Sheet1!$B$4:$B$23,1),MATCH(D692,[3]Sheet1!$C$3:$Q$3,1)+1)-INDEX([3]Sheet1!$C$4:$Q$23,MATCH(K692,[3]Sheet1!$B$4:$B$23,1),MATCH(D692,[3]Sheet1!$C$3:$Q$3,1))))</f>
        <v>0</v>
      </c>
      <c r="M692" cm="1">
        <f t="array" ref="M692" xml:space="preserve"> IF(E692*J692=0,0,(INDEX([2]Sheet1!$C$4:$Q$23,MATCH(K692,[2]Sheet1!$B$4:$B$23,1),MATCH(D692,[2]Sheet1!$C$3:$Q$3,1))
+ (K692 - INDEX([2]Sheet1!$B$4:$B$23,MATCH(K692,[2]Sheet1!$B$4:$B$23,1),1))/(INDEX([2]Sheet1!$B$4:$B$23,MATCH(K692,[2]Sheet1!$B$4:$B$23,1)+1,1) - INDEX([2]Sheet1!$B$4:$B$23,MATCH(K692,[2]Sheet1!$B$4:$B$23,1),1))*(INDEX([2]Sheet1!$C$4:$Q$23,MATCH(K692,[2]Sheet1!$B$4:$B$23,1)+1,MATCH(D692,[2]Sheet1!$C$3:$Q$3,1)) - INDEX([2]Sheet1!$C$4:$Q$23,MATCH(K692,[2]Sheet1!$B$4:$B$23,1),MATCH(D692,[2]Sheet1!$C$3:$Q$3,1)))
+ (D692 - INDEX([2]Sheet1!$C$3:$Q$3,1,MATCH(D692,[2]Sheet1!$C$3:$Q$3)))/(INDEX([2]Sheet1!$C$3:$Q$3,1,MATCH(D692,[2]Sheet1!$C$3:$Q$3)+1) - INDEX([2]Sheet1!$C$3:$Q$3,1,MATCH(D692,[2]Sheet1!$C$3:$Q$3)))*(
INDEX([2]Sheet1!$C$4:$Q$23,MATCH(K692,[2]Sheet1!$B$4:$B$23,1),MATCH(D692,[2]Sheet1!$C$3:$Q$3,1)+1) - INDEX([2]Sheet1!$C$4:$Q$23,MATCH(K692,[2]Sheet1!$B$4:$B$23,1),MATCH(D692,[2]Sheet1!$C$3:$Q$3,1)))))</f>
        <v>0</v>
      </c>
      <c r="N692">
        <f t="shared" si="198"/>
        <v>12</v>
      </c>
      <c r="O692">
        <v>8.3379832918179575E-2</v>
      </c>
      <c r="P692" t="e">
        <f t="shared" si="199"/>
        <v>#DIV/0!</v>
      </c>
      <c r="Q692">
        <f t="shared" si="200"/>
        <v>0</v>
      </c>
      <c r="R692">
        <f t="shared" si="201"/>
        <v>741.9099431943954</v>
      </c>
      <c r="T692" t="e">
        <f t="shared" si="202"/>
        <v>#DIV/0!</v>
      </c>
      <c r="U692" t="e">
        <f t="shared" si="203"/>
        <v>#DIV/0!</v>
      </c>
      <c r="V692">
        <f t="shared" si="204"/>
        <v>0</v>
      </c>
      <c r="W692" t="e">
        <f t="shared" si="205"/>
        <v>#DIV/0!</v>
      </c>
    </row>
    <row r="693" spans="1:23" x14ac:dyDescent="0.55000000000000004">
      <c r="A693">
        <f t="shared" si="207"/>
        <v>65.900000000000531</v>
      </c>
      <c r="B693">
        <f t="shared" si="208"/>
        <v>0.316</v>
      </c>
      <c r="C693">
        <f t="shared" si="191"/>
        <v>-37.978260869565567</v>
      </c>
      <c r="D693">
        <v>2.417661333844352</v>
      </c>
      <c r="E693">
        <f t="shared" si="192"/>
        <v>0</v>
      </c>
      <c r="F693">
        <f t="shared" si="193"/>
        <v>4.8605058816845369E-2</v>
      </c>
      <c r="G693">
        <f t="shared" si="194"/>
        <v>39.513748498891111</v>
      </c>
      <c r="H693">
        <f t="shared" si="195"/>
        <v>0</v>
      </c>
      <c r="I693" s="1">
        <f t="shared" si="206"/>
        <v>0</v>
      </c>
      <c r="J693">
        <f t="shared" si="196"/>
        <v>0</v>
      </c>
      <c r="K693">
        <f t="shared" si="197"/>
        <v>0</v>
      </c>
      <c r="L693" cm="1">
        <f t="array" ref="L693">IF(E693*J693=0,0,$C$21*INDEX([3]Sheet1!$C$4:$Q$23,MATCH(K693,[3]Sheet1!$B$4:$B$23,1),MATCH(D693,[3]Sheet1!$C$3:$Q$3,1))
+(K693-INDEX([3]Sheet1!$B$4:$B$23,MATCH(K693,[3]Sheet1!$B$4:$B$23,1),1))/(INDEX([3]Sheet1!$B$4:$B$23,MATCH(K693,[3]Sheet1!$B$4:$B$23,1)+1,1)-INDEX([3]Sheet1!$B$4:$B$23,
MATCH(K693,[3]Sheet1!$B$4:$B$23,1),1))*(INDEX([3]Sheet1!$C$4:$Q$23,MATCH(K693,[3]Sheet1!$B$4:$B$23,1)+1,MATCH(D693,[3]Sheet1!$C$3:$Q$3,1))-INDEX([3]Sheet1!$C$4:$Q$23,
MATCH(K693,[3]Sheet1!$B$4:$B$23,1),MATCH(D693,[3]Sheet1!$C$3:$Q$3,1)))
+(D693-INDEX([3]Sheet1!$C$3:$Q$3,1,MATCH(D693,[3]Sheet1!$C$3:$Q$3)))/(INDEX([3]Sheet1!$C$3:$Q$3,1,MATCH(D693,[3]Sheet1!$C$3:$Q$3)+1)-INDEX([3]Sheet1!$C$3:$Q$3,1,MATCH(
D693,[3]Sheet1!$C$3:$Q$3)))*(INDEX([3]Sheet1!$C$4:$Q$23,MATCH(K693,[3]Sheet1!$B$4:$B$23,1),MATCH(D693,[3]Sheet1!$C$3:$Q$3,1)+1)-INDEX([3]Sheet1!$C$4:$Q$23,MATCH(K693,[3]Sheet1!$B$4:$B$23,1),MATCH(D693,[3]Sheet1!$C$3:$Q$3,1))))</f>
        <v>0</v>
      </c>
      <c r="M693" cm="1">
        <f t="array" ref="M693" xml:space="preserve"> IF(E693*J693=0,0,(INDEX([2]Sheet1!$C$4:$Q$23,MATCH(K693,[2]Sheet1!$B$4:$B$23,1),MATCH(D693,[2]Sheet1!$C$3:$Q$3,1))
+ (K693 - INDEX([2]Sheet1!$B$4:$B$23,MATCH(K693,[2]Sheet1!$B$4:$B$23,1),1))/(INDEX([2]Sheet1!$B$4:$B$23,MATCH(K693,[2]Sheet1!$B$4:$B$23,1)+1,1) - INDEX([2]Sheet1!$B$4:$B$23,MATCH(K693,[2]Sheet1!$B$4:$B$23,1),1))*(INDEX([2]Sheet1!$C$4:$Q$23,MATCH(K693,[2]Sheet1!$B$4:$B$23,1)+1,MATCH(D693,[2]Sheet1!$C$3:$Q$3,1)) - INDEX([2]Sheet1!$C$4:$Q$23,MATCH(K693,[2]Sheet1!$B$4:$B$23,1),MATCH(D693,[2]Sheet1!$C$3:$Q$3,1)))
+ (D693 - INDEX([2]Sheet1!$C$3:$Q$3,1,MATCH(D693,[2]Sheet1!$C$3:$Q$3)))/(INDEX([2]Sheet1!$C$3:$Q$3,1,MATCH(D693,[2]Sheet1!$C$3:$Q$3)+1) - INDEX([2]Sheet1!$C$3:$Q$3,1,MATCH(D693,[2]Sheet1!$C$3:$Q$3)))*(
INDEX([2]Sheet1!$C$4:$Q$23,MATCH(K693,[2]Sheet1!$B$4:$B$23,1),MATCH(D693,[2]Sheet1!$C$3:$Q$3,1)+1) - INDEX([2]Sheet1!$C$4:$Q$23,MATCH(K693,[2]Sheet1!$B$4:$B$23,1),MATCH(D693,[2]Sheet1!$C$3:$Q$3,1)))))</f>
        <v>0</v>
      </c>
      <c r="N693">
        <f t="shared" si="198"/>
        <v>12</v>
      </c>
      <c r="O693">
        <v>8.3368312443570056E-2</v>
      </c>
      <c r="P693" t="e">
        <f t="shared" si="199"/>
        <v>#DIV/0!</v>
      </c>
      <c r="Q693">
        <f t="shared" si="200"/>
        <v>0</v>
      </c>
      <c r="R693">
        <f t="shared" si="201"/>
        <v>741.9099431943954</v>
      </c>
      <c r="T693" t="e">
        <f t="shared" si="202"/>
        <v>#DIV/0!</v>
      </c>
      <c r="U693" t="e">
        <f t="shared" si="203"/>
        <v>#DIV/0!</v>
      </c>
      <c r="V693">
        <f t="shared" si="204"/>
        <v>0</v>
      </c>
      <c r="W693" t="e">
        <f t="shared" si="205"/>
        <v>#DIV/0!</v>
      </c>
    </row>
    <row r="694" spans="1:23" x14ac:dyDescent="0.55000000000000004">
      <c r="A694">
        <f t="shared" si="207"/>
        <v>66.000000000000526</v>
      </c>
      <c r="B694">
        <f t="shared" si="208"/>
        <v>0.316</v>
      </c>
      <c r="C694">
        <f t="shared" si="191"/>
        <v>-38.043478260869918</v>
      </c>
      <c r="D694">
        <v>2.4176023963899396</v>
      </c>
      <c r="E694">
        <f t="shared" si="192"/>
        <v>0</v>
      </c>
      <c r="F694">
        <f t="shared" si="193"/>
        <v>4.8605058816845369E-2</v>
      </c>
      <c r="G694">
        <f t="shared" si="194"/>
        <v>39.513748498891111</v>
      </c>
      <c r="H694">
        <f t="shared" si="195"/>
        <v>0</v>
      </c>
      <c r="I694" s="1">
        <f t="shared" si="206"/>
        <v>0</v>
      </c>
      <c r="J694">
        <f t="shared" si="196"/>
        <v>0</v>
      </c>
      <c r="K694">
        <f t="shared" si="197"/>
        <v>0</v>
      </c>
      <c r="L694" cm="1">
        <f t="array" ref="L694">IF(E694*J694=0,0,$C$21*INDEX([3]Sheet1!$C$4:$Q$23,MATCH(K694,[3]Sheet1!$B$4:$B$23,1),MATCH(D694,[3]Sheet1!$C$3:$Q$3,1))
+(K694-INDEX([3]Sheet1!$B$4:$B$23,MATCH(K694,[3]Sheet1!$B$4:$B$23,1),1))/(INDEX([3]Sheet1!$B$4:$B$23,MATCH(K694,[3]Sheet1!$B$4:$B$23,1)+1,1)-INDEX([3]Sheet1!$B$4:$B$23,
MATCH(K694,[3]Sheet1!$B$4:$B$23,1),1))*(INDEX([3]Sheet1!$C$4:$Q$23,MATCH(K694,[3]Sheet1!$B$4:$B$23,1)+1,MATCH(D694,[3]Sheet1!$C$3:$Q$3,1))-INDEX([3]Sheet1!$C$4:$Q$23,
MATCH(K694,[3]Sheet1!$B$4:$B$23,1),MATCH(D694,[3]Sheet1!$C$3:$Q$3,1)))
+(D694-INDEX([3]Sheet1!$C$3:$Q$3,1,MATCH(D694,[3]Sheet1!$C$3:$Q$3)))/(INDEX([3]Sheet1!$C$3:$Q$3,1,MATCH(D694,[3]Sheet1!$C$3:$Q$3)+1)-INDEX([3]Sheet1!$C$3:$Q$3,1,MATCH(
D694,[3]Sheet1!$C$3:$Q$3)))*(INDEX([3]Sheet1!$C$4:$Q$23,MATCH(K694,[3]Sheet1!$B$4:$B$23,1),MATCH(D694,[3]Sheet1!$C$3:$Q$3,1)+1)-INDEX([3]Sheet1!$C$4:$Q$23,MATCH(K694,[3]Sheet1!$B$4:$B$23,1),MATCH(D694,[3]Sheet1!$C$3:$Q$3,1))))</f>
        <v>0</v>
      </c>
      <c r="M694" cm="1">
        <f t="array" ref="M694" xml:space="preserve"> IF(E694*J694=0,0,(INDEX([2]Sheet1!$C$4:$Q$23,MATCH(K694,[2]Sheet1!$B$4:$B$23,1),MATCH(D694,[2]Sheet1!$C$3:$Q$3,1))
+ (K694 - INDEX([2]Sheet1!$B$4:$B$23,MATCH(K694,[2]Sheet1!$B$4:$B$23,1),1))/(INDEX([2]Sheet1!$B$4:$B$23,MATCH(K694,[2]Sheet1!$B$4:$B$23,1)+1,1) - INDEX([2]Sheet1!$B$4:$B$23,MATCH(K694,[2]Sheet1!$B$4:$B$23,1),1))*(INDEX([2]Sheet1!$C$4:$Q$23,MATCH(K694,[2]Sheet1!$B$4:$B$23,1)+1,MATCH(D694,[2]Sheet1!$C$3:$Q$3,1)) - INDEX([2]Sheet1!$C$4:$Q$23,MATCH(K694,[2]Sheet1!$B$4:$B$23,1),MATCH(D694,[2]Sheet1!$C$3:$Q$3,1)))
+ (D694 - INDEX([2]Sheet1!$C$3:$Q$3,1,MATCH(D694,[2]Sheet1!$C$3:$Q$3)))/(INDEX([2]Sheet1!$C$3:$Q$3,1,MATCH(D694,[2]Sheet1!$C$3:$Q$3)+1) - INDEX([2]Sheet1!$C$3:$Q$3,1,MATCH(D694,[2]Sheet1!$C$3:$Q$3)))*(
INDEX([2]Sheet1!$C$4:$Q$23,MATCH(K694,[2]Sheet1!$B$4:$B$23,1),MATCH(D694,[2]Sheet1!$C$3:$Q$3,1)+1) - INDEX([2]Sheet1!$C$4:$Q$23,MATCH(K694,[2]Sheet1!$B$4:$B$23,1),MATCH(D694,[2]Sheet1!$C$3:$Q$3,1)))))</f>
        <v>0</v>
      </c>
      <c r="N694">
        <f t="shared" si="198"/>
        <v>12</v>
      </c>
      <c r="O694">
        <v>8.335680630012246E-2</v>
      </c>
      <c r="P694" t="e">
        <f t="shared" si="199"/>
        <v>#DIV/0!</v>
      </c>
      <c r="Q694">
        <f t="shared" si="200"/>
        <v>0</v>
      </c>
      <c r="R694">
        <f t="shared" si="201"/>
        <v>741.9099431943954</v>
      </c>
      <c r="T694" t="e">
        <f t="shared" si="202"/>
        <v>#DIV/0!</v>
      </c>
      <c r="U694" t="e">
        <f t="shared" si="203"/>
        <v>#DIV/0!</v>
      </c>
      <c r="V694">
        <f t="shared" si="204"/>
        <v>0</v>
      </c>
      <c r="W694" t="e">
        <f t="shared" si="205"/>
        <v>#DIV/0!</v>
      </c>
    </row>
    <row r="695" spans="1:23" x14ac:dyDescent="0.55000000000000004">
      <c r="A695">
        <f t="shared" si="207"/>
        <v>66.10000000000052</v>
      </c>
      <c r="B695">
        <f t="shared" si="208"/>
        <v>0.316</v>
      </c>
      <c r="C695">
        <f t="shared" si="191"/>
        <v>-38.108695652174255</v>
      </c>
      <c r="D695">
        <v>2.4175435241251022</v>
      </c>
      <c r="E695">
        <f t="shared" si="192"/>
        <v>0</v>
      </c>
      <c r="F695">
        <f t="shared" si="193"/>
        <v>4.8605058816845369E-2</v>
      </c>
      <c r="G695">
        <f t="shared" si="194"/>
        <v>39.513748498891111</v>
      </c>
      <c r="H695">
        <f t="shared" si="195"/>
        <v>0</v>
      </c>
      <c r="I695" s="1">
        <f t="shared" si="206"/>
        <v>0</v>
      </c>
      <c r="J695">
        <f t="shared" si="196"/>
        <v>0</v>
      </c>
      <c r="K695">
        <f t="shared" si="197"/>
        <v>0</v>
      </c>
      <c r="L695" cm="1">
        <f t="array" ref="L695">IF(E695*J695=0,0,$C$21*INDEX([3]Sheet1!$C$4:$Q$23,MATCH(K695,[3]Sheet1!$B$4:$B$23,1),MATCH(D695,[3]Sheet1!$C$3:$Q$3,1))
+(K695-INDEX([3]Sheet1!$B$4:$B$23,MATCH(K695,[3]Sheet1!$B$4:$B$23,1),1))/(INDEX([3]Sheet1!$B$4:$B$23,MATCH(K695,[3]Sheet1!$B$4:$B$23,1)+1,1)-INDEX([3]Sheet1!$B$4:$B$23,
MATCH(K695,[3]Sheet1!$B$4:$B$23,1),1))*(INDEX([3]Sheet1!$C$4:$Q$23,MATCH(K695,[3]Sheet1!$B$4:$B$23,1)+1,MATCH(D695,[3]Sheet1!$C$3:$Q$3,1))-INDEX([3]Sheet1!$C$4:$Q$23,
MATCH(K695,[3]Sheet1!$B$4:$B$23,1),MATCH(D695,[3]Sheet1!$C$3:$Q$3,1)))
+(D695-INDEX([3]Sheet1!$C$3:$Q$3,1,MATCH(D695,[3]Sheet1!$C$3:$Q$3)))/(INDEX([3]Sheet1!$C$3:$Q$3,1,MATCH(D695,[3]Sheet1!$C$3:$Q$3)+1)-INDEX([3]Sheet1!$C$3:$Q$3,1,MATCH(
D695,[3]Sheet1!$C$3:$Q$3)))*(INDEX([3]Sheet1!$C$4:$Q$23,MATCH(K695,[3]Sheet1!$B$4:$B$23,1),MATCH(D695,[3]Sheet1!$C$3:$Q$3,1)+1)-INDEX([3]Sheet1!$C$4:$Q$23,MATCH(K695,[3]Sheet1!$B$4:$B$23,1),MATCH(D695,[3]Sheet1!$C$3:$Q$3,1))))</f>
        <v>0</v>
      </c>
      <c r="M695" cm="1">
        <f t="array" ref="M695" xml:space="preserve"> IF(E695*J695=0,0,(INDEX([2]Sheet1!$C$4:$Q$23,MATCH(K695,[2]Sheet1!$B$4:$B$23,1),MATCH(D695,[2]Sheet1!$C$3:$Q$3,1))
+ (K695 - INDEX([2]Sheet1!$B$4:$B$23,MATCH(K695,[2]Sheet1!$B$4:$B$23,1),1))/(INDEX([2]Sheet1!$B$4:$B$23,MATCH(K695,[2]Sheet1!$B$4:$B$23,1)+1,1) - INDEX([2]Sheet1!$B$4:$B$23,MATCH(K695,[2]Sheet1!$B$4:$B$23,1),1))*(INDEX([2]Sheet1!$C$4:$Q$23,MATCH(K695,[2]Sheet1!$B$4:$B$23,1)+1,MATCH(D695,[2]Sheet1!$C$3:$Q$3,1)) - INDEX([2]Sheet1!$C$4:$Q$23,MATCH(K695,[2]Sheet1!$B$4:$B$23,1),MATCH(D695,[2]Sheet1!$C$3:$Q$3,1)))
+ (D695 - INDEX([2]Sheet1!$C$3:$Q$3,1,MATCH(D695,[2]Sheet1!$C$3:$Q$3)))/(INDEX([2]Sheet1!$C$3:$Q$3,1,MATCH(D695,[2]Sheet1!$C$3:$Q$3)+1) - INDEX([2]Sheet1!$C$3:$Q$3,1,MATCH(D695,[2]Sheet1!$C$3:$Q$3)))*(
INDEX([2]Sheet1!$C$4:$Q$23,MATCH(K695,[2]Sheet1!$B$4:$B$23,1),MATCH(D695,[2]Sheet1!$C$3:$Q$3,1)+1) - INDEX([2]Sheet1!$C$4:$Q$23,MATCH(K695,[2]Sheet1!$B$4:$B$23,1),MATCH(D695,[2]Sheet1!$C$3:$Q$3,1)))))</f>
        <v>0</v>
      </c>
      <c r="N695">
        <f t="shared" si="198"/>
        <v>12</v>
      </c>
      <c r="O695">
        <v>8.3345314453326796E-2</v>
      </c>
      <c r="P695" t="e">
        <f t="shared" si="199"/>
        <v>#DIV/0!</v>
      </c>
      <c r="Q695">
        <f t="shared" si="200"/>
        <v>0</v>
      </c>
      <c r="R695">
        <f t="shared" si="201"/>
        <v>741.9099431943954</v>
      </c>
      <c r="T695" t="e">
        <f t="shared" si="202"/>
        <v>#DIV/0!</v>
      </c>
      <c r="U695" t="e">
        <f t="shared" si="203"/>
        <v>#DIV/0!</v>
      </c>
      <c r="V695">
        <f t="shared" si="204"/>
        <v>0</v>
      </c>
      <c r="W695" t="e">
        <f t="shared" si="205"/>
        <v>#DIV/0!</v>
      </c>
    </row>
    <row r="696" spans="1:23" x14ac:dyDescent="0.55000000000000004">
      <c r="A696">
        <f t="shared" si="207"/>
        <v>66.200000000000514</v>
      </c>
      <c r="B696">
        <f t="shared" si="208"/>
        <v>0.316</v>
      </c>
      <c r="C696">
        <f t="shared" si="191"/>
        <v>-38.173913043478606</v>
      </c>
      <c r="D696">
        <v>2.4174847169005864</v>
      </c>
      <c r="E696">
        <f t="shared" si="192"/>
        <v>0</v>
      </c>
      <c r="F696">
        <f t="shared" si="193"/>
        <v>4.8605058816845369E-2</v>
      </c>
      <c r="G696">
        <f t="shared" si="194"/>
        <v>39.513748498891111</v>
      </c>
      <c r="H696">
        <f t="shared" si="195"/>
        <v>0</v>
      </c>
      <c r="I696" s="1">
        <f t="shared" si="206"/>
        <v>0</v>
      </c>
      <c r="J696">
        <f t="shared" si="196"/>
        <v>0</v>
      </c>
      <c r="K696">
        <f t="shared" si="197"/>
        <v>0</v>
      </c>
      <c r="L696" cm="1">
        <f t="array" ref="L696">IF(E696*J696=0,0,$C$21*INDEX([3]Sheet1!$C$4:$Q$23,MATCH(K696,[3]Sheet1!$B$4:$B$23,1),MATCH(D696,[3]Sheet1!$C$3:$Q$3,1))
+(K696-INDEX([3]Sheet1!$B$4:$B$23,MATCH(K696,[3]Sheet1!$B$4:$B$23,1),1))/(INDEX([3]Sheet1!$B$4:$B$23,MATCH(K696,[3]Sheet1!$B$4:$B$23,1)+1,1)-INDEX([3]Sheet1!$B$4:$B$23,
MATCH(K696,[3]Sheet1!$B$4:$B$23,1),1))*(INDEX([3]Sheet1!$C$4:$Q$23,MATCH(K696,[3]Sheet1!$B$4:$B$23,1)+1,MATCH(D696,[3]Sheet1!$C$3:$Q$3,1))-INDEX([3]Sheet1!$C$4:$Q$23,
MATCH(K696,[3]Sheet1!$B$4:$B$23,1),MATCH(D696,[3]Sheet1!$C$3:$Q$3,1)))
+(D696-INDEX([3]Sheet1!$C$3:$Q$3,1,MATCH(D696,[3]Sheet1!$C$3:$Q$3)))/(INDEX([3]Sheet1!$C$3:$Q$3,1,MATCH(D696,[3]Sheet1!$C$3:$Q$3)+1)-INDEX([3]Sheet1!$C$3:$Q$3,1,MATCH(
D696,[3]Sheet1!$C$3:$Q$3)))*(INDEX([3]Sheet1!$C$4:$Q$23,MATCH(K696,[3]Sheet1!$B$4:$B$23,1),MATCH(D696,[3]Sheet1!$C$3:$Q$3,1)+1)-INDEX([3]Sheet1!$C$4:$Q$23,MATCH(K696,[3]Sheet1!$B$4:$B$23,1),MATCH(D696,[3]Sheet1!$C$3:$Q$3,1))))</f>
        <v>0</v>
      </c>
      <c r="M696" cm="1">
        <f t="array" ref="M696" xml:space="preserve"> IF(E696*J696=0,0,(INDEX([2]Sheet1!$C$4:$Q$23,MATCH(K696,[2]Sheet1!$B$4:$B$23,1),MATCH(D696,[2]Sheet1!$C$3:$Q$3,1))
+ (K696 - INDEX([2]Sheet1!$B$4:$B$23,MATCH(K696,[2]Sheet1!$B$4:$B$23,1),1))/(INDEX([2]Sheet1!$B$4:$B$23,MATCH(K696,[2]Sheet1!$B$4:$B$23,1)+1,1) - INDEX([2]Sheet1!$B$4:$B$23,MATCH(K696,[2]Sheet1!$B$4:$B$23,1),1))*(INDEX([2]Sheet1!$C$4:$Q$23,MATCH(K696,[2]Sheet1!$B$4:$B$23,1)+1,MATCH(D696,[2]Sheet1!$C$3:$Q$3,1)) - INDEX([2]Sheet1!$C$4:$Q$23,MATCH(K696,[2]Sheet1!$B$4:$B$23,1),MATCH(D696,[2]Sheet1!$C$3:$Q$3,1)))
+ (D696 - INDEX([2]Sheet1!$C$3:$Q$3,1,MATCH(D696,[2]Sheet1!$C$3:$Q$3)))/(INDEX([2]Sheet1!$C$3:$Q$3,1,MATCH(D696,[2]Sheet1!$C$3:$Q$3)+1) - INDEX([2]Sheet1!$C$3:$Q$3,1,MATCH(D696,[2]Sheet1!$C$3:$Q$3)))*(
INDEX([2]Sheet1!$C$4:$Q$23,MATCH(K696,[2]Sheet1!$B$4:$B$23,1),MATCH(D696,[2]Sheet1!$C$3:$Q$3,1)+1) - INDEX([2]Sheet1!$C$4:$Q$23,MATCH(K696,[2]Sheet1!$B$4:$B$23,1),MATCH(D696,[2]Sheet1!$C$3:$Q$3,1)))))</f>
        <v>0</v>
      </c>
      <c r="N696">
        <f t="shared" si="198"/>
        <v>12</v>
      </c>
      <c r="O696">
        <v>8.3333836868797001E-2</v>
      </c>
      <c r="P696" t="e">
        <f t="shared" si="199"/>
        <v>#DIV/0!</v>
      </c>
      <c r="Q696">
        <f t="shared" si="200"/>
        <v>0</v>
      </c>
      <c r="R696">
        <f t="shared" si="201"/>
        <v>741.9099431943954</v>
      </c>
      <c r="T696" t="e">
        <f t="shared" si="202"/>
        <v>#DIV/0!</v>
      </c>
      <c r="U696" t="e">
        <f t="shared" si="203"/>
        <v>#DIV/0!</v>
      </c>
      <c r="V696">
        <f t="shared" si="204"/>
        <v>0</v>
      </c>
      <c r="W696" t="e">
        <f t="shared" si="205"/>
        <v>#DIV/0!</v>
      </c>
    </row>
    <row r="697" spans="1:23" x14ac:dyDescent="0.55000000000000004">
      <c r="A697">
        <f t="shared" si="207"/>
        <v>66.300000000000509</v>
      </c>
      <c r="B697">
        <f t="shared" si="208"/>
        <v>0.316</v>
      </c>
      <c r="C697">
        <f t="shared" si="191"/>
        <v>-38.239130434782943</v>
      </c>
      <c r="D697">
        <v>2.4174259745676525</v>
      </c>
      <c r="E697">
        <f t="shared" si="192"/>
        <v>0</v>
      </c>
      <c r="F697">
        <f t="shared" si="193"/>
        <v>4.8605058816845369E-2</v>
      </c>
      <c r="G697">
        <f t="shared" si="194"/>
        <v>39.513748498891111</v>
      </c>
      <c r="H697">
        <f t="shared" si="195"/>
        <v>0</v>
      </c>
      <c r="I697" s="1">
        <f t="shared" si="206"/>
        <v>0</v>
      </c>
      <c r="J697">
        <f t="shared" si="196"/>
        <v>0</v>
      </c>
      <c r="K697">
        <f t="shared" si="197"/>
        <v>0</v>
      </c>
      <c r="L697" cm="1">
        <f t="array" ref="L697">IF(E697*J697=0,0,$C$21*INDEX([3]Sheet1!$C$4:$Q$23,MATCH(K697,[3]Sheet1!$B$4:$B$23,1),MATCH(D697,[3]Sheet1!$C$3:$Q$3,1))
+(K697-INDEX([3]Sheet1!$B$4:$B$23,MATCH(K697,[3]Sheet1!$B$4:$B$23,1),1))/(INDEX([3]Sheet1!$B$4:$B$23,MATCH(K697,[3]Sheet1!$B$4:$B$23,1)+1,1)-INDEX([3]Sheet1!$B$4:$B$23,
MATCH(K697,[3]Sheet1!$B$4:$B$23,1),1))*(INDEX([3]Sheet1!$C$4:$Q$23,MATCH(K697,[3]Sheet1!$B$4:$B$23,1)+1,MATCH(D697,[3]Sheet1!$C$3:$Q$3,1))-INDEX([3]Sheet1!$C$4:$Q$23,
MATCH(K697,[3]Sheet1!$B$4:$B$23,1),MATCH(D697,[3]Sheet1!$C$3:$Q$3,1)))
+(D697-INDEX([3]Sheet1!$C$3:$Q$3,1,MATCH(D697,[3]Sheet1!$C$3:$Q$3)))/(INDEX([3]Sheet1!$C$3:$Q$3,1,MATCH(D697,[3]Sheet1!$C$3:$Q$3)+1)-INDEX([3]Sheet1!$C$3:$Q$3,1,MATCH(
D697,[3]Sheet1!$C$3:$Q$3)))*(INDEX([3]Sheet1!$C$4:$Q$23,MATCH(K697,[3]Sheet1!$B$4:$B$23,1),MATCH(D697,[3]Sheet1!$C$3:$Q$3,1)+1)-INDEX([3]Sheet1!$C$4:$Q$23,MATCH(K697,[3]Sheet1!$B$4:$B$23,1),MATCH(D697,[3]Sheet1!$C$3:$Q$3,1))))</f>
        <v>0</v>
      </c>
      <c r="M697" cm="1">
        <f t="array" ref="M697" xml:space="preserve"> IF(E697*J697=0,0,(INDEX([2]Sheet1!$C$4:$Q$23,MATCH(K697,[2]Sheet1!$B$4:$B$23,1),MATCH(D697,[2]Sheet1!$C$3:$Q$3,1))
+ (K697 - INDEX([2]Sheet1!$B$4:$B$23,MATCH(K697,[2]Sheet1!$B$4:$B$23,1),1))/(INDEX([2]Sheet1!$B$4:$B$23,MATCH(K697,[2]Sheet1!$B$4:$B$23,1)+1,1) - INDEX([2]Sheet1!$B$4:$B$23,MATCH(K697,[2]Sheet1!$B$4:$B$23,1),1))*(INDEX([2]Sheet1!$C$4:$Q$23,MATCH(K697,[2]Sheet1!$B$4:$B$23,1)+1,MATCH(D697,[2]Sheet1!$C$3:$Q$3,1)) - INDEX([2]Sheet1!$C$4:$Q$23,MATCH(K697,[2]Sheet1!$B$4:$B$23,1),MATCH(D697,[2]Sheet1!$C$3:$Q$3,1)))
+ (D697 - INDEX([2]Sheet1!$C$3:$Q$3,1,MATCH(D697,[2]Sheet1!$C$3:$Q$3)))/(INDEX([2]Sheet1!$C$3:$Q$3,1,MATCH(D697,[2]Sheet1!$C$3:$Q$3)+1) - INDEX([2]Sheet1!$C$3:$Q$3,1,MATCH(D697,[2]Sheet1!$C$3:$Q$3)))*(
INDEX([2]Sheet1!$C$4:$Q$23,MATCH(K697,[2]Sheet1!$B$4:$B$23,1),MATCH(D697,[2]Sheet1!$C$3:$Q$3,1)+1) - INDEX([2]Sheet1!$C$4:$Q$23,MATCH(K697,[2]Sheet1!$B$4:$B$23,1),MATCH(D697,[2]Sheet1!$C$3:$Q$3,1)))))</f>
        <v>0</v>
      </c>
      <c r="N697">
        <f t="shared" si="198"/>
        <v>12</v>
      </c>
      <c r="O697">
        <v>8.3322373512269968E-2</v>
      </c>
      <c r="P697" t="e">
        <f t="shared" si="199"/>
        <v>#DIV/0!</v>
      </c>
      <c r="Q697">
        <f t="shared" si="200"/>
        <v>0</v>
      </c>
      <c r="R697">
        <f t="shared" si="201"/>
        <v>741.9099431943954</v>
      </c>
      <c r="T697" t="e">
        <f t="shared" si="202"/>
        <v>#DIV/0!</v>
      </c>
      <c r="U697" t="e">
        <f t="shared" si="203"/>
        <v>#DIV/0!</v>
      </c>
      <c r="V697">
        <f t="shared" si="204"/>
        <v>0</v>
      </c>
      <c r="W697" t="e">
        <f t="shared" si="205"/>
        <v>#DIV/0!</v>
      </c>
    </row>
    <row r="698" spans="1:23" x14ac:dyDescent="0.55000000000000004">
      <c r="A698">
        <f t="shared" si="207"/>
        <v>66.400000000000503</v>
      </c>
      <c r="B698">
        <f t="shared" si="208"/>
        <v>0.316</v>
      </c>
      <c r="C698">
        <f t="shared" si="191"/>
        <v>-38.304347826087294</v>
      </c>
      <c r="D698">
        <v>2.4173672969700064</v>
      </c>
      <c r="E698">
        <f t="shared" si="192"/>
        <v>0</v>
      </c>
      <c r="F698">
        <f t="shared" si="193"/>
        <v>4.8605058816845369E-2</v>
      </c>
      <c r="G698">
        <f t="shared" si="194"/>
        <v>39.513748498891111</v>
      </c>
      <c r="H698">
        <f t="shared" si="195"/>
        <v>0</v>
      </c>
      <c r="I698" s="1">
        <f t="shared" si="206"/>
        <v>0</v>
      </c>
      <c r="J698">
        <f t="shared" si="196"/>
        <v>0</v>
      </c>
      <c r="K698">
        <f t="shared" si="197"/>
        <v>0</v>
      </c>
      <c r="L698" cm="1">
        <f t="array" ref="L698">IF(E698*J698=0,0,$C$21*INDEX([3]Sheet1!$C$4:$Q$23,MATCH(K698,[3]Sheet1!$B$4:$B$23,1),MATCH(D698,[3]Sheet1!$C$3:$Q$3,1))
+(K698-INDEX([3]Sheet1!$B$4:$B$23,MATCH(K698,[3]Sheet1!$B$4:$B$23,1),1))/(INDEX([3]Sheet1!$B$4:$B$23,MATCH(K698,[3]Sheet1!$B$4:$B$23,1)+1,1)-INDEX([3]Sheet1!$B$4:$B$23,
MATCH(K698,[3]Sheet1!$B$4:$B$23,1),1))*(INDEX([3]Sheet1!$C$4:$Q$23,MATCH(K698,[3]Sheet1!$B$4:$B$23,1)+1,MATCH(D698,[3]Sheet1!$C$3:$Q$3,1))-INDEX([3]Sheet1!$C$4:$Q$23,
MATCH(K698,[3]Sheet1!$B$4:$B$23,1),MATCH(D698,[3]Sheet1!$C$3:$Q$3,1)))
+(D698-INDEX([3]Sheet1!$C$3:$Q$3,1,MATCH(D698,[3]Sheet1!$C$3:$Q$3)))/(INDEX([3]Sheet1!$C$3:$Q$3,1,MATCH(D698,[3]Sheet1!$C$3:$Q$3)+1)-INDEX([3]Sheet1!$C$3:$Q$3,1,MATCH(
D698,[3]Sheet1!$C$3:$Q$3)))*(INDEX([3]Sheet1!$C$4:$Q$23,MATCH(K698,[3]Sheet1!$B$4:$B$23,1),MATCH(D698,[3]Sheet1!$C$3:$Q$3,1)+1)-INDEX([3]Sheet1!$C$4:$Q$23,MATCH(K698,[3]Sheet1!$B$4:$B$23,1),MATCH(D698,[3]Sheet1!$C$3:$Q$3,1))))</f>
        <v>0</v>
      </c>
      <c r="M698" cm="1">
        <f t="array" ref="M698" xml:space="preserve"> IF(E698*J698=0,0,(INDEX([2]Sheet1!$C$4:$Q$23,MATCH(K698,[2]Sheet1!$B$4:$B$23,1),MATCH(D698,[2]Sheet1!$C$3:$Q$3,1))
+ (K698 - INDEX([2]Sheet1!$B$4:$B$23,MATCH(K698,[2]Sheet1!$B$4:$B$23,1),1))/(INDEX([2]Sheet1!$B$4:$B$23,MATCH(K698,[2]Sheet1!$B$4:$B$23,1)+1,1) - INDEX([2]Sheet1!$B$4:$B$23,MATCH(K698,[2]Sheet1!$B$4:$B$23,1),1))*(INDEX([2]Sheet1!$C$4:$Q$23,MATCH(K698,[2]Sheet1!$B$4:$B$23,1)+1,MATCH(D698,[2]Sheet1!$C$3:$Q$3,1)) - INDEX([2]Sheet1!$C$4:$Q$23,MATCH(K698,[2]Sheet1!$B$4:$B$23,1),MATCH(D698,[2]Sheet1!$C$3:$Q$3,1)))
+ (D698 - INDEX([2]Sheet1!$C$3:$Q$3,1,MATCH(D698,[2]Sheet1!$C$3:$Q$3)))/(INDEX([2]Sheet1!$C$3:$Q$3,1,MATCH(D698,[2]Sheet1!$C$3:$Q$3)+1) - INDEX([2]Sheet1!$C$3:$Q$3,1,MATCH(D698,[2]Sheet1!$C$3:$Q$3)))*(
INDEX([2]Sheet1!$C$4:$Q$23,MATCH(K698,[2]Sheet1!$B$4:$B$23,1),MATCH(D698,[2]Sheet1!$C$3:$Q$3,1)+1) - INDEX([2]Sheet1!$C$4:$Q$23,MATCH(K698,[2]Sheet1!$B$4:$B$23,1),MATCH(D698,[2]Sheet1!$C$3:$Q$3,1)))))</f>
        <v>0</v>
      </c>
      <c r="N698">
        <f t="shared" si="198"/>
        <v>12</v>
      </c>
      <c r="O698">
        <v>8.3310924348161966E-2</v>
      </c>
      <c r="P698" t="e">
        <f t="shared" si="199"/>
        <v>#DIV/0!</v>
      </c>
      <c r="Q698">
        <f t="shared" si="200"/>
        <v>0</v>
      </c>
      <c r="R698">
        <f t="shared" si="201"/>
        <v>741.9099431943954</v>
      </c>
      <c r="T698" t="e">
        <f t="shared" si="202"/>
        <v>#DIV/0!</v>
      </c>
      <c r="U698" t="e">
        <f t="shared" si="203"/>
        <v>#DIV/0!</v>
      </c>
      <c r="V698">
        <f t="shared" si="204"/>
        <v>0</v>
      </c>
      <c r="W698" t="e">
        <f t="shared" si="205"/>
        <v>#DIV/0!</v>
      </c>
    </row>
    <row r="699" spans="1:23" x14ac:dyDescent="0.55000000000000004">
      <c r="A699">
        <f t="shared" si="207"/>
        <v>66.500000000000497</v>
      </c>
      <c r="B699">
        <f t="shared" si="208"/>
        <v>0.316</v>
      </c>
      <c r="C699">
        <f t="shared" ref="C699:C762" si="209">($C$3-$C$2)*A699/$C$4+$C$2</f>
        <v>-38.369565217391632</v>
      </c>
      <c r="D699">
        <v>2.4173086839678124</v>
      </c>
      <c r="E699">
        <f t="shared" ref="E699:E762" si="210">IF(B699&lt;($C$5*$C$6*10^-6),$C$9*(PI()/4*($C$8*0.001)^2)*SQRT(2*$C$6*IF(C699&gt;D699,(C699-D699),0)*10^6),0)</f>
        <v>0</v>
      </c>
      <c r="F699">
        <f t="shared" ref="F699:F762" si="211">F698+(J698+J697)*(A699-A698)/2</f>
        <v>4.8605058816845369E-2</v>
      </c>
      <c r="G699">
        <f t="shared" ref="G699:G762" si="212">IF(SQRT(4*F699/($C$15*PI()*$C$11*$C$12*0.001)+($C$13*0.001)^2)*1000&lt;$C$14,SQRT(4*F699/($C$15*PI()*$C$11*$C$12*0.001)+($C$13*0.001)^2)*1000,$C$14)</f>
        <v>39.513748498891111</v>
      </c>
      <c r="H699">
        <f t="shared" ref="H699:H762" si="213">4*E699/($C$15*PI()*(G699*0.001)^2)</f>
        <v>0</v>
      </c>
      <c r="I699" s="1">
        <f t="shared" si="206"/>
        <v>0</v>
      </c>
      <c r="J699">
        <f t="shared" ref="J699:J762" si="214">($C$12*10^-3)*PI()*(G699*10^-3)*$C$11*(I699*10^-3)*$C$15</f>
        <v>0</v>
      </c>
      <c r="K699">
        <f t="shared" ref="K699:K762" si="215">IF(E699*J699=0,0,E699/J699)</f>
        <v>0</v>
      </c>
      <c r="L699" cm="1">
        <f t="array" ref="L699">IF(E699*J699=0,0,$C$21*INDEX([3]Sheet1!$C$4:$Q$23,MATCH(K699,[3]Sheet1!$B$4:$B$23,1),MATCH(D699,[3]Sheet1!$C$3:$Q$3,1))
+(K699-INDEX([3]Sheet1!$B$4:$B$23,MATCH(K699,[3]Sheet1!$B$4:$B$23,1),1))/(INDEX([3]Sheet1!$B$4:$B$23,MATCH(K699,[3]Sheet1!$B$4:$B$23,1)+1,1)-INDEX([3]Sheet1!$B$4:$B$23,
MATCH(K699,[3]Sheet1!$B$4:$B$23,1),1))*(INDEX([3]Sheet1!$C$4:$Q$23,MATCH(K699,[3]Sheet1!$B$4:$B$23,1)+1,MATCH(D699,[3]Sheet1!$C$3:$Q$3,1))-INDEX([3]Sheet1!$C$4:$Q$23,
MATCH(K699,[3]Sheet1!$B$4:$B$23,1),MATCH(D699,[3]Sheet1!$C$3:$Q$3,1)))
+(D699-INDEX([3]Sheet1!$C$3:$Q$3,1,MATCH(D699,[3]Sheet1!$C$3:$Q$3)))/(INDEX([3]Sheet1!$C$3:$Q$3,1,MATCH(D699,[3]Sheet1!$C$3:$Q$3)+1)-INDEX([3]Sheet1!$C$3:$Q$3,1,MATCH(
D699,[3]Sheet1!$C$3:$Q$3)))*(INDEX([3]Sheet1!$C$4:$Q$23,MATCH(K699,[3]Sheet1!$B$4:$B$23,1),MATCH(D699,[3]Sheet1!$C$3:$Q$3,1)+1)-INDEX([3]Sheet1!$C$4:$Q$23,MATCH(K699,[3]Sheet1!$B$4:$B$23,1),MATCH(D699,[3]Sheet1!$C$3:$Q$3,1))))</f>
        <v>0</v>
      </c>
      <c r="M699" cm="1">
        <f t="array" ref="M699" xml:space="preserve"> IF(E699*J699=0,0,(INDEX([2]Sheet1!$C$4:$Q$23,MATCH(K699,[2]Sheet1!$B$4:$B$23,1),MATCH(D699,[2]Sheet1!$C$3:$Q$3,1))
+ (K699 - INDEX([2]Sheet1!$B$4:$B$23,MATCH(K699,[2]Sheet1!$B$4:$B$23,1),1))/(INDEX([2]Sheet1!$B$4:$B$23,MATCH(K699,[2]Sheet1!$B$4:$B$23,1)+1,1) - INDEX([2]Sheet1!$B$4:$B$23,MATCH(K699,[2]Sheet1!$B$4:$B$23,1),1))*(INDEX([2]Sheet1!$C$4:$Q$23,MATCH(K699,[2]Sheet1!$B$4:$B$23,1)+1,MATCH(D699,[2]Sheet1!$C$3:$Q$3,1)) - INDEX([2]Sheet1!$C$4:$Q$23,MATCH(K699,[2]Sheet1!$B$4:$B$23,1),MATCH(D699,[2]Sheet1!$C$3:$Q$3,1)))
+ (D699 - INDEX([2]Sheet1!$C$3:$Q$3,1,MATCH(D699,[2]Sheet1!$C$3:$Q$3)))/(INDEX([2]Sheet1!$C$3:$Q$3,1,MATCH(D699,[2]Sheet1!$C$3:$Q$3)+1) - INDEX([2]Sheet1!$C$3:$Q$3,1,MATCH(D699,[2]Sheet1!$C$3:$Q$3)))*(
INDEX([2]Sheet1!$C$4:$Q$23,MATCH(K699,[2]Sheet1!$B$4:$B$23,1),MATCH(D699,[2]Sheet1!$C$3:$Q$3,1)+1) - INDEX([2]Sheet1!$C$4:$Q$23,MATCH(K699,[2]Sheet1!$B$4:$B$23,1),MATCH(D699,[2]Sheet1!$C$3:$Q$3,1)))))</f>
        <v>0</v>
      </c>
      <c r="N699">
        <f t="shared" ref="N699:N762" si="216">C$23+$C$26*(A700-A699)</f>
        <v>12</v>
      </c>
      <c r="O699">
        <v>8.3299489343863303E-2</v>
      </c>
      <c r="P699" t="e">
        <f t="shared" ref="P699:P762" si="217">SQRT(2*(M699^2)/(M699-1)*((2/(M699+1))^((M699+1)/(M699-1)))*(1-(O699/D699)^((M699-1)/M699)))+((O699-$C$22)/D699)*(($C$24^2)/($C$23^2))</f>
        <v>#DIV/0!</v>
      </c>
      <c r="Q699">
        <f t="shared" ref="Q699:Q762" si="218">IF(E699*J699=0,0,((1+COS(RADIANS($C$25)))/2)*P699*D699*(PI()*($C$23^2)/4))</f>
        <v>0</v>
      </c>
      <c r="R699">
        <f t="shared" ref="R699:R762" si="219">R698+(Q699+Q698)*(A699-A698)/2</f>
        <v>741.9099431943954</v>
      </c>
      <c r="T699" t="e">
        <f t="shared" ref="T699:T762" si="220">((2/(M699+1))^(1/(M699-1)))*((D699/O699)^(1/M699))/SQRT(((M699+1)/(M699-1))*(1-(O699/D699)^((M699-1)/M699)))</f>
        <v>#DIV/0!</v>
      </c>
      <c r="U699" t="e">
        <f t="shared" ref="U699:U762" si="221">(T699-(($C$24^2)/(N699^2)))/(($C$24^2)/(N699^2))*100</f>
        <v>#DIV/0!</v>
      </c>
      <c r="V699">
        <f t="shared" ref="V699:V762" si="222">4*L699*(E699+J699)/(PI()*N699^2)</f>
        <v>0</v>
      </c>
      <c r="W699" t="e">
        <f t="shared" ref="W699:W762" si="223">(D699-V699)/V699*100</f>
        <v>#DIV/0!</v>
      </c>
    </row>
    <row r="700" spans="1:23" x14ac:dyDescent="0.55000000000000004">
      <c r="A700">
        <f t="shared" si="207"/>
        <v>66.600000000000492</v>
      </c>
      <c r="B700">
        <f t="shared" si="208"/>
        <v>0.316</v>
      </c>
      <c r="C700">
        <f t="shared" si="209"/>
        <v>-38.434782608695983</v>
      </c>
      <c r="D700">
        <v>2.4172501354140619</v>
      </c>
      <c r="E700">
        <f t="shared" si="210"/>
        <v>0</v>
      </c>
      <c r="F700">
        <f t="shared" si="211"/>
        <v>4.8605058816845369E-2</v>
      </c>
      <c r="G700">
        <f t="shared" si="212"/>
        <v>39.513748498891111</v>
      </c>
      <c r="H700">
        <f t="shared" si="213"/>
        <v>0</v>
      </c>
      <c r="I700" s="1">
        <f t="shared" si="206"/>
        <v>0</v>
      </c>
      <c r="J700">
        <f t="shared" si="214"/>
        <v>0</v>
      </c>
      <c r="K700">
        <f t="shared" si="215"/>
        <v>0</v>
      </c>
      <c r="L700" cm="1">
        <f t="array" ref="L700">IF(E700*J700=0,0,$C$21*INDEX([3]Sheet1!$C$4:$Q$23,MATCH(K700,[3]Sheet1!$B$4:$B$23,1),MATCH(D700,[3]Sheet1!$C$3:$Q$3,1))
+(K700-INDEX([3]Sheet1!$B$4:$B$23,MATCH(K700,[3]Sheet1!$B$4:$B$23,1),1))/(INDEX([3]Sheet1!$B$4:$B$23,MATCH(K700,[3]Sheet1!$B$4:$B$23,1)+1,1)-INDEX([3]Sheet1!$B$4:$B$23,
MATCH(K700,[3]Sheet1!$B$4:$B$23,1),1))*(INDEX([3]Sheet1!$C$4:$Q$23,MATCH(K700,[3]Sheet1!$B$4:$B$23,1)+1,MATCH(D700,[3]Sheet1!$C$3:$Q$3,1))-INDEX([3]Sheet1!$C$4:$Q$23,
MATCH(K700,[3]Sheet1!$B$4:$B$23,1),MATCH(D700,[3]Sheet1!$C$3:$Q$3,1)))
+(D700-INDEX([3]Sheet1!$C$3:$Q$3,1,MATCH(D700,[3]Sheet1!$C$3:$Q$3)))/(INDEX([3]Sheet1!$C$3:$Q$3,1,MATCH(D700,[3]Sheet1!$C$3:$Q$3)+1)-INDEX([3]Sheet1!$C$3:$Q$3,1,MATCH(
D700,[3]Sheet1!$C$3:$Q$3)))*(INDEX([3]Sheet1!$C$4:$Q$23,MATCH(K700,[3]Sheet1!$B$4:$B$23,1),MATCH(D700,[3]Sheet1!$C$3:$Q$3,1)+1)-INDEX([3]Sheet1!$C$4:$Q$23,MATCH(K700,[3]Sheet1!$B$4:$B$23,1),MATCH(D700,[3]Sheet1!$C$3:$Q$3,1))))</f>
        <v>0</v>
      </c>
      <c r="M700" cm="1">
        <f t="array" ref="M700" xml:space="preserve"> IF(E700*J700=0,0,(INDEX([2]Sheet1!$C$4:$Q$23,MATCH(K700,[2]Sheet1!$B$4:$B$23,1),MATCH(D700,[2]Sheet1!$C$3:$Q$3,1))
+ (K700 - INDEX([2]Sheet1!$B$4:$B$23,MATCH(K700,[2]Sheet1!$B$4:$B$23,1),1))/(INDEX([2]Sheet1!$B$4:$B$23,MATCH(K700,[2]Sheet1!$B$4:$B$23,1)+1,1) - INDEX([2]Sheet1!$B$4:$B$23,MATCH(K700,[2]Sheet1!$B$4:$B$23,1),1))*(INDEX([2]Sheet1!$C$4:$Q$23,MATCH(K700,[2]Sheet1!$B$4:$B$23,1)+1,MATCH(D700,[2]Sheet1!$C$3:$Q$3,1)) - INDEX([2]Sheet1!$C$4:$Q$23,MATCH(K700,[2]Sheet1!$B$4:$B$23,1),MATCH(D700,[2]Sheet1!$C$3:$Q$3,1)))
+ (D700 - INDEX([2]Sheet1!$C$3:$Q$3,1,MATCH(D700,[2]Sheet1!$C$3:$Q$3)))/(INDEX([2]Sheet1!$C$3:$Q$3,1,MATCH(D700,[2]Sheet1!$C$3:$Q$3)+1) - INDEX([2]Sheet1!$C$3:$Q$3,1,MATCH(D700,[2]Sheet1!$C$3:$Q$3)))*(
INDEX([2]Sheet1!$C$4:$Q$23,MATCH(K700,[2]Sheet1!$B$4:$B$23,1),MATCH(D700,[2]Sheet1!$C$3:$Q$3,1)+1) - INDEX([2]Sheet1!$C$4:$Q$23,MATCH(K700,[2]Sheet1!$B$4:$B$23,1),MATCH(D700,[2]Sheet1!$C$3:$Q$3,1)))))</f>
        <v>0</v>
      </c>
      <c r="N700">
        <f t="shared" si="216"/>
        <v>12</v>
      </c>
      <c r="O700">
        <v>8.3288068465511983E-2</v>
      </c>
      <c r="P700" t="e">
        <f t="shared" si="217"/>
        <v>#DIV/0!</v>
      </c>
      <c r="Q700">
        <f t="shared" si="218"/>
        <v>0</v>
      </c>
      <c r="R700">
        <f t="shared" si="219"/>
        <v>741.9099431943954</v>
      </c>
      <c r="T700" t="e">
        <f t="shared" si="220"/>
        <v>#DIV/0!</v>
      </c>
      <c r="U700" t="e">
        <f t="shared" si="221"/>
        <v>#DIV/0!</v>
      </c>
      <c r="V700">
        <f t="shared" si="222"/>
        <v>0</v>
      </c>
      <c r="W700" t="e">
        <f t="shared" si="223"/>
        <v>#DIV/0!</v>
      </c>
    </row>
    <row r="701" spans="1:23" x14ac:dyDescent="0.55000000000000004">
      <c r="A701">
        <f t="shared" si="207"/>
        <v>66.700000000000486</v>
      </c>
      <c r="B701">
        <f t="shared" si="208"/>
        <v>0.316</v>
      </c>
      <c r="C701">
        <f t="shared" si="209"/>
        <v>-38.50000000000032</v>
      </c>
      <c r="D701">
        <v>2.417191651162057</v>
      </c>
      <c r="E701">
        <f t="shared" si="210"/>
        <v>0</v>
      </c>
      <c r="F701">
        <f t="shared" si="211"/>
        <v>4.8605058816845369E-2</v>
      </c>
      <c r="G701">
        <f t="shared" si="212"/>
        <v>39.513748498891111</v>
      </c>
      <c r="H701">
        <f t="shared" si="213"/>
        <v>0</v>
      </c>
      <c r="I701" s="1">
        <f t="shared" si="206"/>
        <v>0</v>
      </c>
      <c r="J701">
        <f t="shared" si="214"/>
        <v>0</v>
      </c>
      <c r="K701">
        <f t="shared" si="215"/>
        <v>0</v>
      </c>
      <c r="L701" cm="1">
        <f t="array" ref="L701">IF(E701*J701=0,0,$C$21*INDEX([3]Sheet1!$C$4:$Q$23,MATCH(K701,[3]Sheet1!$B$4:$B$23,1),MATCH(D701,[3]Sheet1!$C$3:$Q$3,1))
+(K701-INDEX([3]Sheet1!$B$4:$B$23,MATCH(K701,[3]Sheet1!$B$4:$B$23,1),1))/(INDEX([3]Sheet1!$B$4:$B$23,MATCH(K701,[3]Sheet1!$B$4:$B$23,1)+1,1)-INDEX([3]Sheet1!$B$4:$B$23,
MATCH(K701,[3]Sheet1!$B$4:$B$23,1),1))*(INDEX([3]Sheet1!$C$4:$Q$23,MATCH(K701,[3]Sheet1!$B$4:$B$23,1)+1,MATCH(D701,[3]Sheet1!$C$3:$Q$3,1))-INDEX([3]Sheet1!$C$4:$Q$23,
MATCH(K701,[3]Sheet1!$B$4:$B$23,1),MATCH(D701,[3]Sheet1!$C$3:$Q$3,1)))
+(D701-INDEX([3]Sheet1!$C$3:$Q$3,1,MATCH(D701,[3]Sheet1!$C$3:$Q$3)))/(INDEX([3]Sheet1!$C$3:$Q$3,1,MATCH(D701,[3]Sheet1!$C$3:$Q$3)+1)-INDEX([3]Sheet1!$C$3:$Q$3,1,MATCH(
D701,[3]Sheet1!$C$3:$Q$3)))*(INDEX([3]Sheet1!$C$4:$Q$23,MATCH(K701,[3]Sheet1!$B$4:$B$23,1),MATCH(D701,[3]Sheet1!$C$3:$Q$3,1)+1)-INDEX([3]Sheet1!$C$4:$Q$23,MATCH(K701,[3]Sheet1!$B$4:$B$23,1),MATCH(D701,[3]Sheet1!$C$3:$Q$3,1))))</f>
        <v>0</v>
      </c>
      <c r="M701" cm="1">
        <f t="array" ref="M701" xml:space="preserve"> IF(E701*J701=0,0,(INDEX([2]Sheet1!$C$4:$Q$23,MATCH(K701,[2]Sheet1!$B$4:$B$23,1),MATCH(D701,[2]Sheet1!$C$3:$Q$3,1))
+ (K701 - INDEX([2]Sheet1!$B$4:$B$23,MATCH(K701,[2]Sheet1!$B$4:$B$23,1),1))/(INDEX([2]Sheet1!$B$4:$B$23,MATCH(K701,[2]Sheet1!$B$4:$B$23,1)+1,1) - INDEX([2]Sheet1!$B$4:$B$23,MATCH(K701,[2]Sheet1!$B$4:$B$23,1),1))*(INDEX([2]Sheet1!$C$4:$Q$23,MATCH(K701,[2]Sheet1!$B$4:$B$23,1)+1,MATCH(D701,[2]Sheet1!$C$3:$Q$3,1)) - INDEX([2]Sheet1!$C$4:$Q$23,MATCH(K701,[2]Sheet1!$B$4:$B$23,1),MATCH(D701,[2]Sheet1!$C$3:$Q$3,1)))
+ (D701 - INDEX([2]Sheet1!$C$3:$Q$3,1,MATCH(D701,[2]Sheet1!$C$3:$Q$3)))/(INDEX([2]Sheet1!$C$3:$Q$3,1,MATCH(D701,[2]Sheet1!$C$3:$Q$3)+1) - INDEX([2]Sheet1!$C$3:$Q$3,1,MATCH(D701,[2]Sheet1!$C$3:$Q$3)))*(
INDEX([2]Sheet1!$C$4:$Q$23,MATCH(K701,[2]Sheet1!$B$4:$B$23,1),MATCH(D701,[2]Sheet1!$C$3:$Q$3,1)+1) - INDEX([2]Sheet1!$C$4:$Q$23,MATCH(K701,[2]Sheet1!$B$4:$B$23,1),MATCH(D701,[2]Sheet1!$C$3:$Q$3,1)))))</f>
        <v>0</v>
      </c>
      <c r="N701">
        <f t="shared" si="216"/>
        <v>12</v>
      </c>
      <c r="O701">
        <v>8.3276661679331024E-2</v>
      </c>
      <c r="P701" t="e">
        <f t="shared" si="217"/>
        <v>#DIV/0!</v>
      </c>
      <c r="Q701">
        <f t="shared" si="218"/>
        <v>0</v>
      </c>
      <c r="R701">
        <f t="shared" si="219"/>
        <v>741.9099431943954</v>
      </c>
      <c r="T701" t="e">
        <f t="shared" si="220"/>
        <v>#DIV/0!</v>
      </c>
      <c r="U701" t="e">
        <f t="shared" si="221"/>
        <v>#DIV/0!</v>
      </c>
      <c r="V701">
        <f t="shared" si="222"/>
        <v>0</v>
      </c>
      <c r="W701" t="e">
        <f t="shared" si="223"/>
        <v>#DIV/0!</v>
      </c>
    </row>
    <row r="702" spans="1:23" x14ac:dyDescent="0.55000000000000004">
      <c r="A702">
        <f t="shared" si="207"/>
        <v>66.80000000000048</v>
      </c>
      <c r="B702">
        <f t="shared" si="208"/>
        <v>0.316</v>
      </c>
      <c r="C702">
        <f t="shared" si="209"/>
        <v>-38.565217391304671</v>
      </c>
      <c r="D702">
        <v>2.4171332310656024</v>
      </c>
      <c r="E702">
        <f t="shared" si="210"/>
        <v>0</v>
      </c>
      <c r="F702">
        <f t="shared" si="211"/>
        <v>4.8605058816845369E-2</v>
      </c>
      <c r="G702">
        <f t="shared" si="212"/>
        <v>39.513748498891111</v>
      </c>
      <c r="H702">
        <f t="shared" si="213"/>
        <v>0</v>
      </c>
      <c r="I702" s="1">
        <f t="shared" si="206"/>
        <v>0</v>
      </c>
      <c r="J702">
        <f t="shared" si="214"/>
        <v>0</v>
      </c>
      <c r="K702">
        <f t="shared" si="215"/>
        <v>0</v>
      </c>
      <c r="L702" cm="1">
        <f t="array" ref="L702">IF(E702*J702=0,0,$C$21*INDEX([3]Sheet1!$C$4:$Q$23,MATCH(K702,[3]Sheet1!$B$4:$B$23,1),MATCH(D702,[3]Sheet1!$C$3:$Q$3,1))
+(K702-INDEX([3]Sheet1!$B$4:$B$23,MATCH(K702,[3]Sheet1!$B$4:$B$23,1),1))/(INDEX([3]Sheet1!$B$4:$B$23,MATCH(K702,[3]Sheet1!$B$4:$B$23,1)+1,1)-INDEX([3]Sheet1!$B$4:$B$23,
MATCH(K702,[3]Sheet1!$B$4:$B$23,1),1))*(INDEX([3]Sheet1!$C$4:$Q$23,MATCH(K702,[3]Sheet1!$B$4:$B$23,1)+1,MATCH(D702,[3]Sheet1!$C$3:$Q$3,1))-INDEX([3]Sheet1!$C$4:$Q$23,
MATCH(K702,[3]Sheet1!$B$4:$B$23,1),MATCH(D702,[3]Sheet1!$C$3:$Q$3,1)))
+(D702-INDEX([3]Sheet1!$C$3:$Q$3,1,MATCH(D702,[3]Sheet1!$C$3:$Q$3)))/(INDEX([3]Sheet1!$C$3:$Q$3,1,MATCH(D702,[3]Sheet1!$C$3:$Q$3)+1)-INDEX([3]Sheet1!$C$3:$Q$3,1,MATCH(
D702,[3]Sheet1!$C$3:$Q$3)))*(INDEX([3]Sheet1!$C$4:$Q$23,MATCH(K702,[3]Sheet1!$B$4:$B$23,1),MATCH(D702,[3]Sheet1!$C$3:$Q$3,1)+1)-INDEX([3]Sheet1!$C$4:$Q$23,MATCH(K702,[3]Sheet1!$B$4:$B$23,1),MATCH(D702,[3]Sheet1!$C$3:$Q$3,1))))</f>
        <v>0</v>
      </c>
      <c r="M702" cm="1">
        <f t="array" ref="M702" xml:space="preserve"> IF(E702*J702=0,0,(INDEX([2]Sheet1!$C$4:$Q$23,MATCH(K702,[2]Sheet1!$B$4:$B$23,1),MATCH(D702,[2]Sheet1!$C$3:$Q$3,1))
+ (K702 - INDEX([2]Sheet1!$B$4:$B$23,MATCH(K702,[2]Sheet1!$B$4:$B$23,1),1))/(INDEX([2]Sheet1!$B$4:$B$23,MATCH(K702,[2]Sheet1!$B$4:$B$23,1)+1,1) - INDEX([2]Sheet1!$B$4:$B$23,MATCH(K702,[2]Sheet1!$B$4:$B$23,1),1))*(INDEX([2]Sheet1!$C$4:$Q$23,MATCH(K702,[2]Sheet1!$B$4:$B$23,1)+1,MATCH(D702,[2]Sheet1!$C$3:$Q$3,1)) - INDEX([2]Sheet1!$C$4:$Q$23,MATCH(K702,[2]Sheet1!$B$4:$B$23,1),MATCH(D702,[2]Sheet1!$C$3:$Q$3,1)))
+ (D702 - INDEX([2]Sheet1!$C$3:$Q$3,1,MATCH(D702,[2]Sheet1!$C$3:$Q$3)))/(INDEX([2]Sheet1!$C$3:$Q$3,1,MATCH(D702,[2]Sheet1!$C$3:$Q$3)+1) - INDEX([2]Sheet1!$C$3:$Q$3,1,MATCH(D702,[2]Sheet1!$C$3:$Q$3)))*(
INDEX([2]Sheet1!$C$4:$Q$23,MATCH(K702,[2]Sheet1!$B$4:$B$23,1),MATCH(D702,[2]Sheet1!$C$3:$Q$3,1)+1) - INDEX([2]Sheet1!$C$4:$Q$23,MATCH(K702,[2]Sheet1!$B$4:$B$23,1),MATCH(D702,[2]Sheet1!$C$3:$Q$3,1)))))</f>
        <v>0</v>
      </c>
      <c r="N702">
        <f t="shared" si="216"/>
        <v>12</v>
      </c>
      <c r="O702">
        <v>8.3265268951663821E-2</v>
      </c>
      <c r="P702" t="e">
        <f t="shared" si="217"/>
        <v>#DIV/0!</v>
      </c>
      <c r="Q702">
        <f t="shared" si="218"/>
        <v>0</v>
      </c>
      <c r="R702">
        <f t="shared" si="219"/>
        <v>741.9099431943954</v>
      </c>
      <c r="T702" t="e">
        <f t="shared" si="220"/>
        <v>#DIV/0!</v>
      </c>
      <c r="U702" t="e">
        <f t="shared" si="221"/>
        <v>#DIV/0!</v>
      </c>
      <c r="V702">
        <f t="shared" si="222"/>
        <v>0</v>
      </c>
      <c r="W702" t="e">
        <f t="shared" si="223"/>
        <v>#DIV/0!</v>
      </c>
    </row>
    <row r="703" spans="1:23" x14ac:dyDescent="0.55000000000000004">
      <c r="A703">
        <f t="shared" si="207"/>
        <v>66.900000000000475</v>
      </c>
      <c r="B703">
        <f t="shared" si="208"/>
        <v>0.316</v>
      </c>
      <c r="C703">
        <f t="shared" si="209"/>
        <v>-38.630434782609008</v>
      </c>
      <c r="D703">
        <v>2.4170748749790052</v>
      </c>
      <c r="E703">
        <f t="shared" si="210"/>
        <v>0</v>
      </c>
      <c r="F703">
        <f t="shared" si="211"/>
        <v>4.8605058816845369E-2</v>
      </c>
      <c r="G703">
        <f t="shared" si="212"/>
        <v>39.513748498891111</v>
      </c>
      <c r="H703">
        <f t="shared" si="213"/>
        <v>0</v>
      </c>
      <c r="I703" s="1">
        <f t="shared" si="206"/>
        <v>0</v>
      </c>
      <c r="J703">
        <f t="shared" si="214"/>
        <v>0</v>
      </c>
      <c r="K703">
        <f t="shared" si="215"/>
        <v>0</v>
      </c>
      <c r="L703" cm="1">
        <f t="array" ref="L703">IF(E703*J703=0,0,$C$21*INDEX([3]Sheet1!$C$4:$Q$23,MATCH(K703,[3]Sheet1!$B$4:$B$23,1),MATCH(D703,[3]Sheet1!$C$3:$Q$3,1))
+(K703-INDEX([3]Sheet1!$B$4:$B$23,MATCH(K703,[3]Sheet1!$B$4:$B$23,1),1))/(INDEX([3]Sheet1!$B$4:$B$23,MATCH(K703,[3]Sheet1!$B$4:$B$23,1)+1,1)-INDEX([3]Sheet1!$B$4:$B$23,
MATCH(K703,[3]Sheet1!$B$4:$B$23,1),1))*(INDEX([3]Sheet1!$C$4:$Q$23,MATCH(K703,[3]Sheet1!$B$4:$B$23,1)+1,MATCH(D703,[3]Sheet1!$C$3:$Q$3,1))-INDEX([3]Sheet1!$C$4:$Q$23,
MATCH(K703,[3]Sheet1!$B$4:$B$23,1),MATCH(D703,[3]Sheet1!$C$3:$Q$3,1)))
+(D703-INDEX([3]Sheet1!$C$3:$Q$3,1,MATCH(D703,[3]Sheet1!$C$3:$Q$3)))/(INDEX([3]Sheet1!$C$3:$Q$3,1,MATCH(D703,[3]Sheet1!$C$3:$Q$3)+1)-INDEX([3]Sheet1!$C$3:$Q$3,1,MATCH(
D703,[3]Sheet1!$C$3:$Q$3)))*(INDEX([3]Sheet1!$C$4:$Q$23,MATCH(K703,[3]Sheet1!$B$4:$B$23,1),MATCH(D703,[3]Sheet1!$C$3:$Q$3,1)+1)-INDEX([3]Sheet1!$C$4:$Q$23,MATCH(K703,[3]Sheet1!$B$4:$B$23,1),MATCH(D703,[3]Sheet1!$C$3:$Q$3,1))))</f>
        <v>0</v>
      </c>
      <c r="M703" cm="1">
        <f t="array" ref="M703" xml:space="preserve"> IF(E703*J703=0,0,(INDEX([2]Sheet1!$C$4:$Q$23,MATCH(K703,[2]Sheet1!$B$4:$B$23,1),MATCH(D703,[2]Sheet1!$C$3:$Q$3,1))
+ (K703 - INDEX([2]Sheet1!$B$4:$B$23,MATCH(K703,[2]Sheet1!$B$4:$B$23,1),1))/(INDEX([2]Sheet1!$B$4:$B$23,MATCH(K703,[2]Sheet1!$B$4:$B$23,1)+1,1) - INDEX([2]Sheet1!$B$4:$B$23,MATCH(K703,[2]Sheet1!$B$4:$B$23,1),1))*(INDEX([2]Sheet1!$C$4:$Q$23,MATCH(K703,[2]Sheet1!$B$4:$B$23,1)+1,MATCH(D703,[2]Sheet1!$C$3:$Q$3,1)) - INDEX([2]Sheet1!$C$4:$Q$23,MATCH(K703,[2]Sheet1!$B$4:$B$23,1),MATCH(D703,[2]Sheet1!$C$3:$Q$3,1)))
+ (D703 - INDEX([2]Sheet1!$C$3:$Q$3,1,MATCH(D703,[2]Sheet1!$C$3:$Q$3)))/(INDEX([2]Sheet1!$C$3:$Q$3,1,MATCH(D703,[2]Sheet1!$C$3:$Q$3)+1) - INDEX([2]Sheet1!$C$3:$Q$3,1,MATCH(D703,[2]Sheet1!$C$3:$Q$3)))*(
INDEX([2]Sheet1!$C$4:$Q$23,MATCH(K703,[2]Sheet1!$B$4:$B$23,1),MATCH(D703,[2]Sheet1!$C$3:$Q$3,1)+1) - INDEX([2]Sheet1!$C$4:$Q$23,MATCH(K703,[2]Sheet1!$B$4:$B$23,1),MATCH(D703,[2]Sheet1!$C$3:$Q$3,1)))))</f>
        <v>0</v>
      </c>
      <c r="N703">
        <f t="shared" si="216"/>
        <v>12</v>
      </c>
      <c r="O703">
        <v>8.3253890248973741E-2</v>
      </c>
      <c r="P703" t="e">
        <f t="shared" si="217"/>
        <v>#DIV/0!</v>
      </c>
      <c r="Q703">
        <f t="shared" si="218"/>
        <v>0</v>
      </c>
      <c r="R703">
        <f t="shared" si="219"/>
        <v>741.9099431943954</v>
      </c>
      <c r="T703" t="e">
        <f t="shared" si="220"/>
        <v>#DIV/0!</v>
      </c>
      <c r="U703" t="e">
        <f t="shared" si="221"/>
        <v>#DIV/0!</v>
      </c>
      <c r="V703">
        <f t="shared" si="222"/>
        <v>0</v>
      </c>
      <c r="W703" t="e">
        <f t="shared" si="223"/>
        <v>#DIV/0!</v>
      </c>
    </row>
    <row r="704" spans="1:23" x14ac:dyDescent="0.55000000000000004">
      <c r="A704">
        <f t="shared" si="207"/>
        <v>67.000000000000469</v>
      </c>
      <c r="B704">
        <f t="shared" si="208"/>
        <v>0.316</v>
      </c>
      <c r="C704">
        <f t="shared" si="209"/>
        <v>-38.695652173913359</v>
      </c>
      <c r="D704">
        <v>2.4170165827570691</v>
      </c>
      <c r="E704">
        <f t="shared" si="210"/>
        <v>0</v>
      </c>
      <c r="F704">
        <f t="shared" si="211"/>
        <v>4.8605058816845369E-2</v>
      </c>
      <c r="G704">
        <f t="shared" si="212"/>
        <v>39.513748498891111</v>
      </c>
      <c r="H704">
        <f t="shared" si="213"/>
        <v>0</v>
      </c>
      <c r="I704" s="1">
        <f t="shared" si="206"/>
        <v>0</v>
      </c>
      <c r="J704">
        <f t="shared" si="214"/>
        <v>0</v>
      </c>
      <c r="K704">
        <f t="shared" si="215"/>
        <v>0</v>
      </c>
      <c r="L704" cm="1">
        <f t="array" ref="L704">IF(E704*J704=0,0,$C$21*INDEX([3]Sheet1!$C$4:$Q$23,MATCH(K704,[3]Sheet1!$B$4:$B$23,1),MATCH(D704,[3]Sheet1!$C$3:$Q$3,1))
+(K704-INDEX([3]Sheet1!$B$4:$B$23,MATCH(K704,[3]Sheet1!$B$4:$B$23,1),1))/(INDEX([3]Sheet1!$B$4:$B$23,MATCH(K704,[3]Sheet1!$B$4:$B$23,1)+1,1)-INDEX([3]Sheet1!$B$4:$B$23,
MATCH(K704,[3]Sheet1!$B$4:$B$23,1),1))*(INDEX([3]Sheet1!$C$4:$Q$23,MATCH(K704,[3]Sheet1!$B$4:$B$23,1)+1,MATCH(D704,[3]Sheet1!$C$3:$Q$3,1))-INDEX([3]Sheet1!$C$4:$Q$23,
MATCH(K704,[3]Sheet1!$B$4:$B$23,1),MATCH(D704,[3]Sheet1!$C$3:$Q$3,1)))
+(D704-INDEX([3]Sheet1!$C$3:$Q$3,1,MATCH(D704,[3]Sheet1!$C$3:$Q$3)))/(INDEX([3]Sheet1!$C$3:$Q$3,1,MATCH(D704,[3]Sheet1!$C$3:$Q$3)+1)-INDEX([3]Sheet1!$C$3:$Q$3,1,MATCH(
D704,[3]Sheet1!$C$3:$Q$3)))*(INDEX([3]Sheet1!$C$4:$Q$23,MATCH(K704,[3]Sheet1!$B$4:$B$23,1),MATCH(D704,[3]Sheet1!$C$3:$Q$3,1)+1)-INDEX([3]Sheet1!$C$4:$Q$23,MATCH(K704,[3]Sheet1!$B$4:$B$23,1),MATCH(D704,[3]Sheet1!$C$3:$Q$3,1))))</f>
        <v>0</v>
      </c>
      <c r="M704" cm="1">
        <f t="array" ref="M704" xml:space="preserve"> IF(E704*J704=0,0,(INDEX([2]Sheet1!$C$4:$Q$23,MATCH(K704,[2]Sheet1!$B$4:$B$23,1),MATCH(D704,[2]Sheet1!$C$3:$Q$3,1))
+ (K704 - INDEX([2]Sheet1!$B$4:$B$23,MATCH(K704,[2]Sheet1!$B$4:$B$23,1),1))/(INDEX([2]Sheet1!$B$4:$B$23,MATCH(K704,[2]Sheet1!$B$4:$B$23,1)+1,1) - INDEX([2]Sheet1!$B$4:$B$23,MATCH(K704,[2]Sheet1!$B$4:$B$23,1),1))*(INDEX([2]Sheet1!$C$4:$Q$23,MATCH(K704,[2]Sheet1!$B$4:$B$23,1)+1,MATCH(D704,[2]Sheet1!$C$3:$Q$3,1)) - INDEX([2]Sheet1!$C$4:$Q$23,MATCH(K704,[2]Sheet1!$B$4:$B$23,1),MATCH(D704,[2]Sheet1!$C$3:$Q$3,1)))
+ (D704 - INDEX([2]Sheet1!$C$3:$Q$3,1,MATCH(D704,[2]Sheet1!$C$3:$Q$3)))/(INDEX([2]Sheet1!$C$3:$Q$3,1,MATCH(D704,[2]Sheet1!$C$3:$Q$3)+1) - INDEX([2]Sheet1!$C$3:$Q$3,1,MATCH(D704,[2]Sheet1!$C$3:$Q$3)))*(
INDEX([2]Sheet1!$C$4:$Q$23,MATCH(K704,[2]Sheet1!$B$4:$B$23,1),MATCH(D704,[2]Sheet1!$C$3:$Q$3,1)+1) - INDEX([2]Sheet1!$C$4:$Q$23,MATCH(K704,[2]Sheet1!$B$4:$B$23,1),MATCH(D704,[2]Sheet1!$C$3:$Q$3,1)))))</f>
        <v>0</v>
      </c>
      <c r="N704">
        <f t="shared" si="216"/>
        <v>12</v>
      </c>
      <c r="O704">
        <v>8.324252553784213E-2</v>
      </c>
      <c r="P704" t="e">
        <f t="shared" si="217"/>
        <v>#DIV/0!</v>
      </c>
      <c r="Q704">
        <f t="shared" si="218"/>
        <v>0</v>
      </c>
      <c r="R704">
        <f t="shared" si="219"/>
        <v>741.9099431943954</v>
      </c>
      <c r="T704" t="e">
        <f t="shared" si="220"/>
        <v>#DIV/0!</v>
      </c>
      <c r="U704" t="e">
        <f t="shared" si="221"/>
        <v>#DIV/0!</v>
      </c>
      <c r="V704">
        <f t="shared" si="222"/>
        <v>0</v>
      </c>
      <c r="W704" t="e">
        <f t="shared" si="223"/>
        <v>#DIV/0!</v>
      </c>
    </row>
    <row r="705" spans="1:23" x14ac:dyDescent="0.55000000000000004">
      <c r="A705">
        <f t="shared" si="207"/>
        <v>67.100000000000463</v>
      </c>
      <c r="B705">
        <f t="shared" si="208"/>
        <v>0.316</v>
      </c>
      <c r="C705">
        <f t="shared" si="209"/>
        <v>-38.760869565217696</v>
      </c>
      <c r="D705">
        <v>2.4169583542550992</v>
      </c>
      <c r="E705">
        <f t="shared" si="210"/>
        <v>0</v>
      </c>
      <c r="F705">
        <f t="shared" si="211"/>
        <v>4.8605058816845369E-2</v>
      </c>
      <c r="G705">
        <f t="shared" si="212"/>
        <v>39.513748498891111</v>
      </c>
      <c r="H705">
        <f t="shared" si="213"/>
        <v>0</v>
      </c>
      <c r="I705" s="1">
        <f t="shared" si="206"/>
        <v>0</v>
      </c>
      <c r="J705">
        <f t="shared" si="214"/>
        <v>0</v>
      </c>
      <c r="K705">
        <f t="shared" si="215"/>
        <v>0</v>
      </c>
      <c r="L705" cm="1">
        <f t="array" ref="L705">IF(E705*J705=0,0,$C$21*INDEX([3]Sheet1!$C$4:$Q$23,MATCH(K705,[3]Sheet1!$B$4:$B$23,1),MATCH(D705,[3]Sheet1!$C$3:$Q$3,1))
+(K705-INDEX([3]Sheet1!$B$4:$B$23,MATCH(K705,[3]Sheet1!$B$4:$B$23,1),1))/(INDEX([3]Sheet1!$B$4:$B$23,MATCH(K705,[3]Sheet1!$B$4:$B$23,1)+1,1)-INDEX([3]Sheet1!$B$4:$B$23,
MATCH(K705,[3]Sheet1!$B$4:$B$23,1),1))*(INDEX([3]Sheet1!$C$4:$Q$23,MATCH(K705,[3]Sheet1!$B$4:$B$23,1)+1,MATCH(D705,[3]Sheet1!$C$3:$Q$3,1))-INDEX([3]Sheet1!$C$4:$Q$23,
MATCH(K705,[3]Sheet1!$B$4:$B$23,1),MATCH(D705,[3]Sheet1!$C$3:$Q$3,1)))
+(D705-INDEX([3]Sheet1!$C$3:$Q$3,1,MATCH(D705,[3]Sheet1!$C$3:$Q$3)))/(INDEX([3]Sheet1!$C$3:$Q$3,1,MATCH(D705,[3]Sheet1!$C$3:$Q$3)+1)-INDEX([3]Sheet1!$C$3:$Q$3,1,MATCH(
D705,[3]Sheet1!$C$3:$Q$3)))*(INDEX([3]Sheet1!$C$4:$Q$23,MATCH(K705,[3]Sheet1!$B$4:$B$23,1),MATCH(D705,[3]Sheet1!$C$3:$Q$3,1)+1)-INDEX([3]Sheet1!$C$4:$Q$23,MATCH(K705,[3]Sheet1!$B$4:$B$23,1),MATCH(D705,[3]Sheet1!$C$3:$Q$3,1))))</f>
        <v>0</v>
      </c>
      <c r="M705" cm="1">
        <f t="array" ref="M705" xml:space="preserve"> IF(E705*J705=0,0,(INDEX([2]Sheet1!$C$4:$Q$23,MATCH(K705,[2]Sheet1!$B$4:$B$23,1),MATCH(D705,[2]Sheet1!$C$3:$Q$3,1))
+ (K705 - INDEX([2]Sheet1!$B$4:$B$23,MATCH(K705,[2]Sheet1!$B$4:$B$23,1),1))/(INDEX([2]Sheet1!$B$4:$B$23,MATCH(K705,[2]Sheet1!$B$4:$B$23,1)+1,1) - INDEX([2]Sheet1!$B$4:$B$23,MATCH(K705,[2]Sheet1!$B$4:$B$23,1),1))*(INDEX([2]Sheet1!$C$4:$Q$23,MATCH(K705,[2]Sheet1!$B$4:$B$23,1)+1,MATCH(D705,[2]Sheet1!$C$3:$Q$3,1)) - INDEX([2]Sheet1!$C$4:$Q$23,MATCH(K705,[2]Sheet1!$B$4:$B$23,1),MATCH(D705,[2]Sheet1!$C$3:$Q$3,1)))
+ (D705 - INDEX([2]Sheet1!$C$3:$Q$3,1,MATCH(D705,[2]Sheet1!$C$3:$Q$3)))/(INDEX([2]Sheet1!$C$3:$Q$3,1,MATCH(D705,[2]Sheet1!$C$3:$Q$3)+1) - INDEX([2]Sheet1!$C$3:$Q$3,1,MATCH(D705,[2]Sheet1!$C$3:$Q$3)))*(
INDEX([2]Sheet1!$C$4:$Q$23,MATCH(K705,[2]Sheet1!$B$4:$B$23,1),MATCH(D705,[2]Sheet1!$C$3:$Q$3,1)+1) - INDEX([2]Sheet1!$C$4:$Q$23,MATCH(K705,[2]Sheet1!$B$4:$B$23,1),MATCH(D705,[2]Sheet1!$C$3:$Q$3,1)))))</f>
        <v>0</v>
      </c>
      <c r="N705">
        <f t="shared" si="216"/>
        <v>12</v>
      </c>
      <c r="O705">
        <v>8.3231174784969456E-2</v>
      </c>
      <c r="P705" t="e">
        <f t="shared" si="217"/>
        <v>#DIV/0!</v>
      </c>
      <c r="Q705">
        <f t="shared" si="218"/>
        <v>0</v>
      </c>
      <c r="R705">
        <f t="shared" si="219"/>
        <v>741.9099431943954</v>
      </c>
      <c r="T705" t="e">
        <f t="shared" si="220"/>
        <v>#DIV/0!</v>
      </c>
      <c r="U705" t="e">
        <f t="shared" si="221"/>
        <v>#DIV/0!</v>
      </c>
      <c r="V705">
        <f t="shared" si="222"/>
        <v>0</v>
      </c>
      <c r="W705" t="e">
        <f t="shared" si="223"/>
        <v>#DIV/0!</v>
      </c>
    </row>
    <row r="706" spans="1:23" x14ac:dyDescent="0.55000000000000004">
      <c r="A706">
        <f t="shared" si="207"/>
        <v>67.200000000000458</v>
      </c>
      <c r="B706">
        <f t="shared" si="208"/>
        <v>0.316</v>
      </c>
      <c r="C706">
        <f t="shared" si="209"/>
        <v>-38.826086956522047</v>
      </c>
      <c r="D706">
        <v>2.4169001893288922</v>
      </c>
      <c r="E706">
        <f t="shared" si="210"/>
        <v>0</v>
      </c>
      <c r="F706">
        <f t="shared" si="211"/>
        <v>4.8605058816845369E-2</v>
      </c>
      <c r="G706">
        <f t="shared" si="212"/>
        <v>39.513748498891111</v>
      </c>
      <c r="H706">
        <f t="shared" si="213"/>
        <v>0</v>
      </c>
      <c r="I706" s="1">
        <f t="shared" si="206"/>
        <v>0</v>
      </c>
      <c r="J706">
        <f t="shared" si="214"/>
        <v>0</v>
      </c>
      <c r="K706">
        <f t="shared" si="215"/>
        <v>0</v>
      </c>
      <c r="L706" cm="1">
        <f t="array" ref="L706">IF(E706*J706=0,0,$C$21*INDEX([3]Sheet1!$C$4:$Q$23,MATCH(K706,[3]Sheet1!$B$4:$B$23,1),MATCH(D706,[3]Sheet1!$C$3:$Q$3,1))
+(K706-INDEX([3]Sheet1!$B$4:$B$23,MATCH(K706,[3]Sheet1!$B$4:$B$23,1),1))/(INDEX([3]Sheet1!$B$4:$B$23,MATCH(K706,[3]Sheet1!$B$4:$B$23,1)+1,1)-INDEX([3]Sheet1!$B$4:$B$23,
MATCH(K706,[3]Sheet1!$B$4:$B$23,1),1))*(INDEX([3]Sheet1!$C$4:$Q$23,MATCH(K706,[3]Sheet1!$B$4:$B$23,1)+1,MATCH(D706,[3]Sheet1!$C$3:$Q$3,1))-INDEX([3]Sheet1!$C$4:$Q$23,
MATCH(K706,[3]Sheet1!$B$4:$B$23,1),MATCH(D706,[3]Sheet1!$C$3:$Q$3,1)))
+(D706-INDEX([3]Sheet1!$C$3:$Q$3,1,MATCH(D706,[3]Sheet1!$C$3:$Q$3)))/(INDEX([3]Sheet1!$C$3:$Q$3,1,MATCH(D706,[3]Sheet1!$C$3:$Q$3)+1)-INDEX([3]Sheet1!$C$3:$Q$3,1,MATCH(
D706,[3]Sheet1!$C$3:$Q$3)))*(INDEX([3]Sheet1!$C$4:$Q$23,MATCH(K706,[3]Sheet1!$B$4:$B$23,1),MATCH(D706,[3]Sheet1!$C$3:$Q$3,1)+1)-INDEX([3]Sheet1!$C$4:$Q$23,MATCH(K706,[3]Sheet1!$B$4:$B$23,1),MATCH(D706,[3]Sheet1!$C$3:$Q$3,1))))</f>
        <v>0</v>
      </c>
      <c r="M706" cm="1">
        <f t="array" ref="M706" xml:space="preserve"> IF(E706*J706=0,0,(INDEX([2]Sheet1!$C$4:$Q$23,MATCH(K706,[2]Sheet1!$B$4:$B$23,1),MATCH(D706,[2]Sheet1!$C$3:$Q$3,1))
+ (K706 - INDEX([2]Sheet1!$B$4:$B$23,MATCH(K706,[2]Sheet1!$B$4:$B$23,1),1))/(INDEX([2]Sheet1!$B$4:$B$23,MATCH(K706,[2]Sheet1!$B$4:$B$23,1)+1,1) - INDEX([2]Sheet1!$B$4:$B$23,MATCH(K706,[2]Sheet1!$B$4:$B$23,1),1))*(INDEX([2]Sheet1!$C$4:$Q$23,MATCH(K706,[2]Sheet1!$B$4:$B$23,1)+1,MATCH(D706,[2]Sheet1!$C$3:$Q$3,1)) - INDEX([2]Sheet1!$C$4:$Q$23,MATCH(K706,[2]Sheet1!$B$4:$B$23,1),MATCH(D706,[2]Sheet1!$C$3:$Q$3,1)))
+ (D706 - INDEX([2]Sheet1!$C$3:$Q$3,1,MATCH(D706,[2]Sheet1!$C$3:$Q$3)))/(INDEX([2]Sheet1!$C$3:$Q$3,1,MATCH(D706,[2]Sheet1!$C$3:$Q$3)+1) - INDEX([2]Sheet1!$C$3:$Q$3,1,MATCH(D706,[2]Sheet1!$C$3:$Q$3)))*(
INDEX([2]Sheet1!$C$4:$Q$23,MATCH(K706,[2]Sheet1!$B$4:$B$23,1),MATCH(D706,[2]Sheet1!$C$3:$Q$3,1)+1) - INDEX([2]Sheet1!$C$4:$Q$23,MATCH(K706,[2]Sheet1!$B$4:$B$23,1),MATCH(D706,[2]Sheet1!$C$3:$Q$3,1)))))</f>
        <v>0</v>
      </c>
      <c r="N706">
        <f t="shared" si="216"/>
        <v>12</v>
      </c>
      <c r="O706">
        <v>8.3219837957174511E-2</v>
      </c>
      <c r="P706" t="e">
        <f t="shared" si="217"/>
        <v>#DIV/0!</v>
      </c>
      <c r="Q706">
        <f t="shared" si="218"/>
        <v>0</v>
      </c>
      <c r="R706">
        <f t="shared" si="219"/>
        <v>741.9099431943954</v>
      </c>
      <c r="T706" t="e">
        <f t="shared" si="220"/>
        <v>#DIV/0!</v>
      </c>
      <c r="U706" t="e">
        <f t="shared" si="221"/>
        <v>#DIV/0!</v>
      </c>
      <c r="V706">
        <f t="shared" si="222"/>
        <v>0</v>
      </c>
      <c r="W706" t="e">
        <f t="shared" si="223"/>
        <v>#DIV/0!</v>
      </c>
    </row>
    <row r="707" spans="1:23" x14ac:dyDescent="0.55000000000000004">
      <c r="A707">
        <f t="shared" si="207"/>
        <v>67.300000000000452</v>
      </c>
      <c r="B707">
        <f t="shared" si="208"/>
        <v>0.316</v>
      </c>
      <c r="C707">
        <f t="shared" si="209"/>
        <v>-38.891304347826384</v>
      </c>
      <c r="D707">
        <v>2.4168420878347399</v>
      </c>
      <c r="E707">
        <f t="shared" si="210"/>
        <v>0</v>
      </c>
      <c r="F707">
        <f t="shared" si="211"/>
        <v>4.8605058816845369E-2</v>
      </c>
      <c r="G707">
        <f t="shared" si="212"/>
        <v>39.513748498891111</v>
      </c>
      <c r="H707">
        <f t="shared" si="213"/>
        <v>0</v>
      </c>
      <c r="I707" s="1">
        <f t="shared" si="206"/>
        <v>0</v>
      </c>
      <c r="J707">
        <f t="shared" si="214"/>
        <v>0</v>
      </c>
      <c r="K707">
        <f t="shared" si="215"/>
        <v>0</v>
      </c>
      <c r="L707" cm="1">
        <f t="array" ref="L707">IF(E707*J707=0,0,$C$21*INDEX([3]Sheet1!$C$4:$Q$23,MATCH(K707,[3]Sheet1!$B$4:$B$23,1),MATCH(D707,[3]Sheet1!$C$3:$Q$3,1))
+(K707-INDEX([3]Sheet1!$B$4:$B$23,MATCH(K707,[3]Sheet1!$B$4:$B$23,1),1))/(INDEX([3]Sheet1!$B$4:$B$23,MATCH(K707,[3]Sheet1!$B$4:$B$23,1)+1,1)-INDEX([3]Sheet1!$B$4:$B$23,
MATCH(K707,[3]Sheet1!$B$4:$B$23,1),1))*(INDEX([3]Sheet1!$C$4:$Q$23,MATCH(K707,[3]Sheet1!$B$4:$B$23,1)+1,MATCH(D707,[3]Sheet1!$C$3:$Q$3,1))-INDEX([3]Sheet1!$C$4:$Q$23,
MATCH(K707,[3]Sheet1!$B$4:$B$23,1),MATCH(D707,[3]Sheet1!$C$3:$Q$3,1)))
+(D707-INDEX([3]Sheet1!$C$3:$Q$3,1,MATCH(D707,[3]Sheet1!$C$3:$Q$3)))/(INDEX([3]Sheet1!$C$3:$Q$3,1,MATCH(D707,[3]Sheet1!$C$3:$Q$3)+1)-INDEX([3]Sheet1!$C$3:$Q$3,1,MATCH(
D707,[3]Sheet1!$C$3:$Q$3)))*(INDEX([3]Sheet1!$C$4:$Q$23,MATCH(K707,[3]Sheet1!$B$4:$B$23,1),MATCH(D707,[3]Sheet1!$C$3:$Q$3,1)+1)-INDEX([3]Sheet1!$C$4:$Q$23,MATCH(K707,[3]Sheet1!$B$4:$B$23,1),MATCH(D707,[3]Sheet1!$C$3:$Q$3,1))))</f>
        <v>0</v>
      </c>
      <c r="M707" cm="1">
        <f t="array" ref="M707" xml:space="preserve"> IF(E707*J707=0,0,(INDEX([2]Sheet1!$C$4:$Q$23,MATCH(K707,[2]Sheet1!$B$4:$B$23,1),MATCH(D707,[2]Sheet1!$C$3:$Q$3,1))
+ (K707 - INDEX([2]Sheet1!$B$4:$B$23,MATCH(K707,[2]Sheet1!$B$4:$B$23,1),1))/(INDEX([2]Sheet1!$B$4:$B$23,MATCH(K707,[2]Sheet1!$B$4:$B$23,1)+1,1) - INDEX([2]Sheet1!$B$4:$B$23,MATCH(K707,[2]Sheet1!$B$4:$B$23,1),1))*(INDEX([2]Sheet1!$C$4:$Q$23,MATCH(K707,[2]Sheet1!$B$4:$B$23,1)+1,MATCH(D707,[2]Sheet1!$C$3:$Q$3,1)) - INDEX([2]Sheet1!$C$4:$Q$23,MATCH(K707,[2]Sheet1!$B$4:$B$23,1),MATCH(D707,[2]Sheet1!$C$3:$Q$3,1)))
+ (D707 - INDEX([2]Sheet1!$C$3:$Q$3,1,MATCH(D707,[2]Sheet1!$C$3:$Q$3)))/(INDEX([2]Sheet1!$C$3:$Q$3,1,MATCH(D707,[2]Sheet1!$C$3:$Q$3)+1) - INDEX([2]Sheet1!$C$3:$Q$3,1,MATCH(D707,[2]Sheet1!$C$3:$Q$3)))*(
INDEX([2]Sheet1!$C$4:$Q$23,MATCH(K707,[2]Sheet1!$B$4:$B$23,1),MATCH(D707,[2]Sheet1!$C$3:$Q$3,1)+1) - INDEX([2]Sheet1!$C$4:$Q$23,MATCH(K707,[2]Sheet1!$B$4:$B$23,1),MATCH(D707,[2]Sheet1!$C$3:$Q$3,1)))))</f>
        <v>0</v>
      </c>
      <c r="N707">
        <f t="shared" si="216"/>
        <v>12</v>
      </c>
      <c r="O707">
        <v>8.3208515021392787E-2</v>
      </c>
      <c r="P707" t="e">
        <f t="shared" si="217"/>
        <v>#DIV/0!</v>
      </c>
      <c r="Q707">
        <f t="shared" si="218"/>
        <v>0</v>
      </c>
      <c r="R707">
        <f t="shared" si="219"/>
        <v>741.9099431943954</v>
      </c>
      <c r="T707" t="e">
        <f t="shared" si="220"/>
        <v>#DIV/0!</v>
      </c>
      <c r="U707" t="e">
        <f t="shared" si="221"/>
        <v>#DIV/0!</v>
      </c>
      <c r="V707">
        <f t="shared" si="222"/>
        <v>0</v>
      </c>
      <c r="W707" t="e">
        <f t="shared" si="223"/>
        <v>#DIV/0!</v>
      </c>
    </row>
    <row r="708" spans="1:23" x14ac:dyDescent="0.55000000000000004">
      <c r="A708">
        <f t="shared" si="207"/>
        <v>67.400000000000446</v>
      </c>
      <c r="B708">
        <f t="shared" si="208"/>
        <v>0.316</v>
      </c>
      <c r="C708">
        <f t="shared" si="209"/>
        <v>-38.956521739130736</v>
      </c>
      <c r="D708">
        <v>2.4167840496294217</v>
      </c>
      <c r="E708">
        <f t="shared" si="210"/>
        <v>0</v>
      </c>
      <c r="F708">
        <f t="shared" si="211"/>
        <v>4.8605058816845369E-2</v>
      </c>
      <c r="G708">
        <f t="shared" si="212"/>
        <v>39.513748498891111</v>
      </c>
      <c r="H708">
        <f t="shared" si="213"/>
        <v>0</v>
      </c>
      <c r="I708" s="1">
        <f t="shared" si="206"/>
        <v>0</v>
      </c>
      <c r="J708">
        <f t="shared" si="214"/>
        <v>0</v>
      </c>
      <c r="K708">
        <f t="shared" si="215"/>
        <v>0</v>
      </c>
      <c r="L708" cm="1">
        <f t="array" ref="L708">IF(E708*J708=0,0,$C$21*INDEX([3]Sheet1!$C$4:$Q$23,MATCH(K708,[3]Sheet1!$B$4:$B$23,1),MATCH(D708,[3]Sheet1!$C$3:$Q$3,1))
+(K708-INDEX([3]Sheet1!$B$4:$B$23,MATCH(K708,[3]Sheet1!$B$4:$B$23,1),1))/(INDEX([3]Sheet1!$B$4:$B$23,MATCH(K708,[3]Sheet1!$B$4:$B$23,1)+1,1)-INDEX([3]Sheet1!$B$4:$B$23,
MATCH(K708,[3]Sheet1!$B$4:$B$23,1),1))*(INDEX([3]Sheet1!$C$4:$Q$23,MATCH(K708,[3]Sheet1!$B$4:$B$23,1)+1,MATCH(D708,[3]Sheet1!$C$3:$Q$3,1))-INDEX([3]Sheet1!$C$4:$Q$23,
MATCH(K708,[3]Sheet1!$B$4:$B$23,1),MATCH(D708,[3]Sheet1!$C$3:$Q$3,1)))
+(D708-INDEX([3]Sheet1!$C$3:$Q$3,1,MATCH(D708,[3]Sheet1!$C$3:$Q$3)))/(INDEX([3]Sheet1!$C$3:$Q$3,1,MATCH(D708,[3]Sheet1!$C$3:$Q$3)+1)-INDEX([3]Sheet1!$C$3:$Q$3,1,MATCH(
D708,[3]Sheet1!$C$3:$Q$3)))*(INDEX([3]Sheet1!$C$4:$Q$23,MATCH(K708,[3]Sheet1!$B$4:$B$23,1),MATCH(D708,[3]Sheet1!$C$3:$Q$3,1)+1)-INDEX([3]Sheet1!$C$4:$Q$23,MATCH(K708,[3]Sheet1!$B$4:$B$23,1),MATCH(D708,[3]Sheet1!$C$3:$Q$3,1))))</f>
        <v>0</v>
      </c>
      <c r="M708" cm="1">
        <f t="array" ref="M708" xml:space="preserve"> IF(E708*J708=0,0,(INDEX([2]Sheet1!$C$4:$Q$23,MATCH(K708,[2]Sheet1!$B$4:$B$23,1),MATCH(D708,[2]Sheet1!$C$3:$Q$3,1))
+ (K708 - INDEX([2]Sheet1!$B$4:$B$23,MATCH(K708,[2]Sheet1!$B$4:$B$23,1),1))/(INDEX([2]Sheet1!$B$4:$B$23,MATCH(K708,[2]Sheet1!$B$4:$B$23,1)+1,1) - INDEX([2]Sheet1!$B$4:$B$23,MATCH(K708,[2]Sheet1!$B$4:$B$23,1),1))*(INDEX([2]Sheet1!$C$4:$Q$23,MATCH(K708,[2]Sheet1!$B$4:$B$23,1)+1,MATCH(D708,[2]Sheet1!$C$3:$Q$3,1)) - INDEX([2]Sheet1!$C$4:$Q$23,MATCH(K708,[2]Sheet1!$B$4:$B$23,1),MATCH(D708,[2]Sheet1!$C$3:$Q$3,1)))
+ (D708 - INDEX([2]Sheet1!$C$3:$Q$3,1,MATCH(D708,[2]Sheet1!$C$3:$Q$3)))/(INDEX([2]Sheet1!$C$3:$Q$3,1,MATCH(D708,[2]Sheet1!$C$3:$Q$3)+1) - INDEX([2]Sheet1!$C$3:$Q$3,1,MATCH(D708,[2]Sheet1!$C$3:$Q$3)))*(
INDEX([2]Sheet1!$C$4:$Q$23,MATCH(K708,[2]Sheet1!$B$4:$B$23,1),MATCH(D708,[2]Sheet1!$C$3:$Q$3,1)+1) - INDEX([2]Sheet1!$C$4:$Q$23,MATCH(K708,[2]Sheet1!$B$4:$B$23,1),MATCH(D708,[2]Sheet1!$C$3:$Q$3,1)))))</f>
        <v>0</v>
      </c>
      <c r="N708">
        <f t="shared" si="216"/>
        <v>12</v>
      </c>
      <c r="O708">
        <v>8.3197205944676597E-2</v>
      </c>
      <c r="P708" t="e">
        <f t="shared" si="217"/>
        <v>#DIV/0!</v>
      </c>
      <c r="Q708">
        <f t="shared" si="218"/>
        <v>0</v>
      </c>
      <c r="R708">
        <f t="shared" si="219"/>
        <v>741.9099431943954</v>
      </c>
      <c r="T708" t="e">
        <f t="shared" si="220"/>
        <v>#DIV/0!</v>
      </c>
      <c r="U708" t="e">
        <f t="shared" si="221"/>
        <v>#DIV/0!</v>
      </c>
      <c r="V708">
        <f t="shared" si="222"/>
        <v>0</v>
      </c>
      <c r="W708" t="e">
        <f t="shared" si="223"/>
        <v>#DIV/0!</v>
      </c>
    </row>
    <row r="709" spans="1:23" x14ac:dyDescent="0.55000000000000004">
      <c r="A709">
        <f t="shared" si="207"/>
        <v>67.500000000000441</v>
      </c>
      <c r="B709">
        <f t="shared" si="208"/>
        <v>0.316</v>
      </c>
      <c r="C709">
        <f t="shared" si="209"/>
        <v>-39.021739130435073</v>
      </c>
      <c r="D709">
        <v>2.4167260745702084</v>
      </c>
      <c r="E709">
        <f t="shared" si="210"/>
        <v>0</v>
      </c>
      <c r="F709">
        <f t="shared" si="211"/>
        <v>4.8605058816845369E-2</v>
      </c>
      <c r="G709">
        <f t="shared" si="212"/>
        <v>39.513748498891111</v>
      </c>
      <c r="H709">
        <f t="shared" si="213"/>
        <v>0</v>
      </c>
      <c r="I709" s="1">
        <f t="shared" si="206"/>
        <v>0</v>
      </c>
      <c r="J709">
        <f t="shared" si="214"/>
        <v>0</v>
      </c>
      <c r="K709">
        <f t="shared" si="215"/>
        <v>0</v>
      </c>
      <c r="L709" cm="1">
        <f t="array" ref="L709">IF(E709*J709=0,0,$C$21*INDEX([3]Sheet1!$C$4:$Q$23,MATCH(K709,[3]Sheet1!$B$4:$B$23,1),MATCH(D709,[3]Sheet1!$C$3:$Q$3,1))
+(K709-INDEX([3]Sheet1!$B$4:$B$23,MATCH(K709,[3]Sheet1!$B$4:$B$23,1),1))/(INDEX([3]Sheet1!$B$4:$B$23,MATCH(K709,[3]Sheet1!$B$4:$B$23,1)+1,1)-INDEX([3]Sheet1!$B$4:$B$23,
MATCH(K709,[3]Sheet1!$B$4:$B$23,1),1))*(INDEX([3]Sheet1!$C$4:$Q$23,MATCH(K709,[3]Sheet1!$B$4:$B$23,1)+1,MATCH(D709,[3]Sheet1!$C$3:$Q$3,1))-INDEX([3]Sheet1!$C$4:$Q$23,
MATCH(K709,[3]Sheet1!$B$4:$B$23,1),MATCH(D709,[3]Sheet1!$C$3:$Q$3,1)))
+(D709-INDEX([3]Sheet1!$C$3:$Q$3,1,MATCH(D709,[3]Sheet1!$C$3:$Q$3)))/(INDEX([3]Sheet1!$C$3:$Q$3,1,MATCH(D709,[3]Sheet1!$C$3:$Q$3)+1)-INDEX([3]Sheet1!$C$3:$Q$3,1,MATCH(
D709,[3]Sheet1!$C$3:$Q$3)))*(INDEX([3]Sheet1!$C$4:$Q$23,MATCH(K709,[3]Sheet1!$B$4:$B$23,1),MATCH(D709,[3]Sheet1!$C$3:$Q$3,1)+1)-INDEX([3]Sheet1!$C$4:$Q$23,MATCH(K709,[3]Sheet1!$B$4:$B$23,1),MATCH(D709,[3]Sheet1!$C$3:$Q$3,1))))</f>
        <v>0</v>
      </c>
      <c r="M709" cm="1">
        <f t="array" ref="M709" xml:space="preserve"> IF(E709*J709=0,0,(INDEX([2]Sheet1!$C$4:$Q$23,MATCH(K709,[2]Sheet1!$B$4:$B$23,1),MATCH(D709,[2]Sheet1!$C$3:$Q$3,1))
+ (K709 - INDEX([2]Sheet1!$B$4:$B$23,MATCH(K709,[2]Sheet1!$B$4:$B$23,1),1))/(INDEX([2]Sheet1!$B$4:$B$23,MATCH(K709,[2]Sheet1!$B$4:$B$23,1)+1,1) - INDEX([2]Sheet1!$B$4:$B$23,MATCH(K709,[2]Sheet1!$B$4:$B$23,1),1))*(INDEX([2]Sheet1!$C$4:$Q$23,MATCH(K709,[2]Sheet1!$B$4:$B$23,1)+1,MATCH(D709,[2]Sheet1!$C$3:$Q$3,1)) - INDEX([2]Sheet1!$C$4:$Q$23,MATCH(K709,[2]Sheet1!$B$4:$B$23,1),MATCH(D709,[2]Sheet1!$C$3:$Q$3,1)))
+ (D709 - INDEX([2]Sheet1!$C$3:$Q$3,1,MATCH(D709,[2]Sheet1!$C$3:$Q$3)))/(INDEX([2]Sheet1!$C$3:$Q$3,1,MATCH(D709,[2]Sheet1!$C$3:$Q$3)+1) - INDEX([2]Sheet1!$C$3:$Q$3,1,MATCH(D709,[2]Sheet1!$C$3:$Q$3)))*(
INDEX([2]Sheet1!$C$4:$Q$23,MATCH(K709,[2]Sheet1!$B$4:$B$23,1),MATCH(D709,[2]Sheet1!$C$3:$Q$3,1)+1) - INDEX([2]Sheet1!$C$4:$Q$23,MATCH(K709,[2]Sheet1!$B$4:$B$23,1),MATCH(D709,[2]Sheet1!$C$3:$Q$3,1)))))</f>
        <v>0</v>
      </c>
      <c r="N709">
        <f t="shared" si="216"/>
        <v>12</v>
      </c>
      <c r="O709">
        <v>8.3185910694195106E-2</v>
      </c>
      <c r="P709" t="e">
        <f t="shared" si="217"/>
        <v>#DIV/0!</v>
      </c>
      <c r="Q709">
        <f t="shared" si="218"/>
        <v>0</v>
      </c>
      <c r="R709">
        <f t="shared" si="219"/>
        <v>741.9099431943954</v>
      </c>
      <c r="T709" t="e">
        <f t="shared" si="220"/>
        <v>#DIV/0!</v>
      </c>
      <c r="U709" t="e">
        <f t="shared" si="221"/>
        <v>#DIV/0!</v>
      </c>
      <c r="V709">
        <f t="shared" si="222"/>
        <v>0</v>
      </c>
      <c r="W709" t="e">
        <f t="shared" si="223"/>
        <v>#DIV/0!</v>
      </c>
    </row>
    <row r="710" spans="1:23" x14ac:dyDescent="0.55000000000000004">
      <c r="A710">
        <f t="shared" si="207"/>
        <v>67.600000000000435</v>
      </c>
      <c r="B710">
        <f t="shared" si="208"/>
        <v>0.316</v>
      </c>
      <c r="C710">
        <f t="shared" si="209"/>
        <v>-39.086956521739424</v>
      </c>
      <c r="D710">
        <v>2.4166681625148532</v>
      </c>
      <c r="E710">
        <f t="shared" si="210"/>
        <v>0</v>
      </c>
      <c r="F710">
        <f t="shared" si="211"/>
        <v>4.8605058816845369E-2</v>
      </c>
      <c r="G710">
        <f t="shared" si="212"/>
        <v>39.513748498891111</v>
      </c>
      <c r="H710">
        <f t="shared" si="213"/>
        <v>0</v>
      </c>
      <c r="I710" s="1">
        <f t="shared" si="206"/>
        <v>0</v>
      </c>
      <c r="J710">
        <f t="shared" si="214"/>
        <v>0</v>
      </c>
      <c r="K710">
        <f t="shared" si="215"/>
        <v>0</v>
      </c>
      <c r="L710" cm="1">
        <f t="array" ref="L710">IF(E710*J710=0,0,$C$21*INDEX([3]Sheet1!$C$4:$Q$23,MATCH(K710,[3]Sheet1!$B$4:$B$23,1),MATCH(D710,[3]Sheet1!$C$3:$Q$3,1))
+(K710-INDEX([3]Sheet1!$B$4:$B$23,MATCH(K710,[3]Sheet1!$B$4:$B$23,1),1))/(INDEX([3]Sheet1!$B$4:$B$23,MATCH(K710,[3]Sheet1!$B$4:$B$23,1)+1,1)-INDEX([3]Sheet1!$B$4:$B$23,
MATCH(K710,[3]Sheet1!$B$4:$B$23,1),1))*(INDEX([3]Sheet1!$C$4:$Q$23,MATCH(K710,[3]Sheet1!$B$4:$B$23,1)+1,MATCH(D710,[3]Sheet1!$C$3:$Q$3,1))-INDEX([3]Sheet1!$C$4:$Q$23,
MATCH(K710,[3]Sheet1!$B$4:$B$23,1),MATCH(D710,[3]Sheet1!$C$3:$Q$3,1)))
+(D710-INDEX([3]Sheet1!$C$3:$Q$3,1,MATCH(D710,[3]Sheet1!$C$3:$Q$3)))/(INDEX([3]Sheet1!$C$3:$Q$3,1,MATCH(D710,[3]Sheet1!$C$3:$Q$3)+1)-INDEX([3]Sheet1!$C$3:$Q$3,1,MATCH(
D710,[3]Sheet1!$C$3:$Q$3)))*(INDEX([3]Sheet1!$C$4:$Q$23,MATCH(K710,[3]Sheet1!$B$4:$B$23,1),MATCH(D710,[3]Sheet1!$C$3:$Q$3,1)+1)-INDEX([3]Sheet1!$C$4:$Q$23,MATCH(K710,[3]Sheet1!$B$4:$B$23,1),MATCH(D710,[3]Sheet1!$C$3:$Q$3,1))))</f>
        <v>0</v>
      </c>
      <c r="M710" cm="1">
        <f t="array" ref="M710" xml:space="preserve"> IF(E710*J710=0,0,(INDEX([2]Sheet1!$C$4:$Q$23,MATCH(K710,[2]Sheet1!$B$4:$B$23,1),MATCH(D710,[2]Sheet1!$C$3:$Q$3,1))
+ (K710 - INDEX([2]Sheet1!$B$4:$B$23,MATCH(K710,[2]Sheet1!$B$4:$B$23,1),1))/(INDEX([2]Sheet1!$B$4:$B$23,MATCH(K710,[2]Sheet1!$B$4:$B$23,1)+1,1) - INDEX([2]Sheet1!$B$4:$B$23,MATCH(K710,[2]Sheet1!$B$4:$B$23,1),1))*(INDEX([2]Sheet1!$C$4:$Q$23,MATCH(K710,[2]Sheet1!$B$4:$B$23,1)+1,MATCH(D710,[2]Sheet1!$C$3:$Q$3,1)) - INDEX([2]Sheet1!$C$4:$Q$23,MATCH(K710,[2]Sheet1!$B$4:$B$23,1),MATCH(D710,[2]Sheet1!$C$3:$Q$3,1)))
+ (D710 - INDEX([2]Sheet1!$C$3:$Q$3,1,MATCH(D710,[2]Sheet1!$C$3:$Q$3)))/(INDEX([2]Sheet1!$C$3:$Q$3,1,MATCH(D710,[2]Sheet1!$C$3:$Q$3)+1) - INDEX([2]Sheet1!$C$3:$Q$3,1,MATCH(D710,[2]Sheet1!$C$3:$Q$3)))*(
INDEX([2]Sheet1!$C$4:$Q$23,MATCH(K710,[2]Sheet1!$B$4:$B$23,1),MATCH(D710,[2]Sheet1!$C$3:$Q$3,1)+1) - INDEX([2]Sheet1!$C$4:$Q$23,MATCH(K710,[2]Sheet1!$B$4:$B$23,1),MATCH(D710,[2]Sheet1!$C$3:$Q$3,1)))))</f>
        <v>0</v>
      </c>
      <c r="N710">
        <f t="shared" si="216"/>
        <v>12</v>
      </c>
      <c r="O710">
        <v>8.317462923723272E-2</v>
      </c>
      <c r="P710" t="e">
        <f t="shared" si="217"/>
        <v>#DIV/0!</v>
      </c>
      <c r="Q710">
        <f t="shared" si="218"/>
        <v>0</v>
      </c>
      <c r="R710">
        <f t="shared" si="219"/>
        <v>741.9099431943954</v>
      </c>
      <c r="T710" t="e">
        <f t="shared" si="220"/>
        <v>#DIV/0!</v>
      </c>
      <c r="U710" t="e">
        <f t="shared" si="221"/>
        <v>#DIV/0!</v>
      </c>
      <c r="V710">
        <f t="shared" si="222"/>
        <v>0</v>
      </c>
      <c r="W710" t="e">
        <f t="shared" si="223"/>
        <v>#DIV/0!</v>
      </c>
    </row>
    <row r="711" spans="1:23" x14ac:dyDescent="0.55000000000000004">
      <c r="A711">
        <f t="shared" si="207"/>
        <v>67.700000000000429</v>
      </c>
      <c r="B711">
        <f t="shared" si="208"/>
        <v>0.316</v>
      </c>
      <c r="C711">
        <f t="shared" si="209"/>
        <v>-39.152173913043761</v>
      </c>
      <c r="D711">
        <v>2.4166103133215948</v>
      </c>
      <c r="E711">
        <f t="shared" si="210"/>
        <v>0</v>
      </c>
      <c r="F711">
        <f t="shared" si="211"/>
        <v>4.8605058816845369E-2</v>
      </c>
      <c r="G711">
        <f t="shared" si="212"/>
        <v>39.513748498891111</v>
      </c>
      <c r="H711">
        <f t="shared" si="213"/>
        <v>0</v>
      </c>
      <c r="I711" s="1">
        <f t="shared" si="206"/>
        <v>0</v>
      </c>
      <c r="J711">
        <f t="shared" si="214"/>
        <v>0</v>
      </c>
      <c r="K711">
        <f t="shared" si="215"/>
        <v>0</v>
      </c>
      <c r="L711" cm="1">
        <f t="array" ref="L711">IF(E711*J711=0,0,$C$21*INDEX([3]Sheet1!$C$4:$Q$23,MATCH(K711,[3]Sheet1!$B$4:$B$23,1),MATCH(D711,[3]Sheet1!$C$3:$Q$3,1))
+(K711-INDEX([3]Sheet1!$B$4:$B$23,MATCH(K711,[3]Sheet1!$B$4:$B$23,1),1))/(INDEX([3]Sheet1!$B$4:$B$23,MATCH(K711,[3]Sheet1!$B$4:$B$23,1)+1,1)-INDEX([3]Sheet1!$B$4:$B$23,
MATCH(K711,[3]Sheet1!$B$4:$B$23,1),1))*(INDEX([3]Sheet1!$C$4:$Q$23,MATCH(K711,[3]Sheet1!$B$4:$B$23,1)+1,MATCH(D711,[3]Sheet1!$C$3:$Q$3,1))-INDEX([3]Sheet1!$C$4:$Q$23,
MATCH(K711,[3]Sheet1!$B$4:$B$23,1),MATCH(D711,[3]Sheet1!$C$3:$Q$3,1)))
+(D711-INDEX([3]Sheet1!$C$3:$Q$3,1,MATCH(D711,[3]Sheet1!$C$3:$Q$3)))/(INDEX([3]Sheet1!$C$3:$Q$3,1,MATCH(D711,[3]Sheet1!$C$3:$Q$3)+1)-INDEX([3]Sheet1!$C$3:$Q$3,1,MATCH(
D711,[3]Sheet1!$C$3:$Q$3)))*(INDEX([3]Sheet1!$C$4:$Q$23,MATCH(K711,[3]Sheet1!$B$4:$B$23,1),MATCH(D711,[3]Sheet1!$C$3:$Q$3,1)+1)-INDEX([3]Sheet1!$C$4:$Q$23,MATCH(K711,[3]Sheet1!$B$4:$B$23,1),MATCH(D711,[3]Sheet1!$C$3:$Q$3,1))))</f>
        <v>0</v>
      </c>
      <c r="M711" cm="1">
        <f t="array" ref="M711" xml:space="preserve"> IF(E711*J711=0,0,(INDEX([2]Sheet1!$C$4:$Q$23,MATCH(K711,[2]Sheet1!$B$4:$B$23,1),MATCH(D711,[2]Sheet1!$C$3:$Q$3,1))
+ (K711 - INDEX([2]Sheet1!$B$4:$B$23,MATCH(K711,[2]Sheet1!$B$4:$B$23,1),1))/(INDEX([2]Sheet1!$B$4:$B$23,MATCH(K711,[2]Sheet1!$B$4:$B$23,1)+1,1) - INDEX([2]Sheet1!$B$4:$B$23,MATCH(K711,[2]Sheet1!$B$4:$B$23,1),1))*(INDEX([2]Sheet1!$C$4:$Q$23,MATCH(K711,[2]Sheet1!$B$4:$B$23,1)+1,MATCH(D711,[2]Sheet1!$C$3:$Q$3,1)) - INDEX([2]Sheet1!$C$4:$Q$23,MATCH(K711,[2]Sheet1!$B$4:$B$23,1),MATCH(D711,[2]Sheet1!$C$3:$Q$3,1)))
+ (D711 - INDEX([2]Sheet1!$C$3:$Q$3,1,MATCH(D711,[2]Sheet1!$C$3:$Q$3)))/(INDEX([2]Sheet1!$C$3:$Q$3,1,MATCH(D711,[2]Sheet1!$C$3:$Q$3)+1) - INDEX([2]Sheet1!$C$3:$Q$3,1,MATCH(D711,[2]Sheet1!$C$3:$Q$3)))*(
INDEX([2]Sheet1!$C$4:$Q$23,MATCH(K711,[2]Sheet1!$B$4:$B$23,1),MATCH(D711,[2]Sheet1!$C$3:$Q$3,1)+1) - INDEX([2]Sheet1!$C$4:$Q$23,MATCH(K711,[2]Sheet1!$B$4:$B$23,1),MATCH(D711,[2]Sheet1!$C$3:$Q$3,1)))))</f>
        <v>0</v>
      </c>
      <c r="N711">
        <f t="shared" si="216"/>
        <v>12</v>
      </c>
      <c r="O711">
        <v>8.3163361541188988E-2</v>
      </c>
      <c r="P711" t="e">
        <f t="shared" si="217"/>
        <v>#DIV/0!</v>
      </c>
      <c r="Q711">
        <f t="shared" si="218"/>
        <v>0</v>
      </c>
      <c r="R711">
        <f t="shared" si="219"/>
        <v>741.9099431943954</v>
      </c>
      <c r="T711" t="e">
        <f t="shared" si="220"/>
        <v>#DIV/0!</v>
      </c>
      <c r="U711" t="e">
        <f t="shared" si="221"/>
        <v>#DIV/0!</v>
      </c>
      <c r="V711">
        <f t="shared" si="222"/>
        <v>0</v>
      </c>
      <c r="W711" t="e">
        <f t="shared" si="223"/>
        <v>#DIV/0!</v>
      </c>
    </row>
    <row r="712" spans="1:23" x14ac:dyDescent="0.55000000000000004">
      <c r="A712">
        <f t="shared" si="207"/>
        <v>67.800000000000423</v>
      </c>
      <c r="B712">
        <f t="shared" si="208"/>
        <v>0.316</v>
      </c>
      <c r="C712">
        <f t="shared" si="209"/>
        <v>-39.217391304348112</v>
      </c>
      <c r="D712">
        <v>2.4165525268491543</v>
      </c>
      <c r="E712">
        <f t="shared" si="210"/>
        <v>0</v>
      </c>
      <c r="F712">
        <f t="shared" si="211"/>
        <v>4.8605058816845369E-2</v>
      </c>
      <c r="G712">
        <f t="shared" si="212"/>
        <v>39.513748498891111</v>
      </c>
      <c r="H712">
        <f t="shared" si="213"/>
        <v>0</v>
      </c>
      <c r="I712" s="1">
        <f t="shared" si="206"/>
        <v>0</v>
      </c>
      <c r="J712">
        <f t="shared" si="214"/>
        <v>0</v>
      </c>
      <c r="K712">
        <f t="shared" si="215"/>
        <v>0</v>
      </c>
      <c r="L712" cm="1">
        <f t="array" ref="L712">IF(E712*J712=0,0,$C$21*INDEX([3]Sheet1!$C$4:$Q$23,MATCH(K712,[3]Sheet1!$B$4:$B$23,1),MATCH(D712,[3]Sheet1!$C$3:$Q$3,1))
+(K712-INDEX([3]Sheet1!$B$4:$B$23,MATCH(K712,[3]Sheet1!$B$4:$B$23,1),1))/(INDEX([3]Sheet1!$B$4:$B$23,MATCH(K712,[3]Sheet1!$B$4:$B$23,1)+1,1)-INDEX([3]Sheet1!$B$4:$B$23,
MATCH(K712,[3]Sheet1!$B$4:$B$23,1),1))*(INDEX([3]Sheet1!$C$4:$Q$23,MATCH(K712,[3]Sheet1!$B$4:$B$23,1)+1,MATCH(D712,[3]Sheet1!$C$3:$Q$3,1))-INDEX([3]Sheet1!$C$4:$Q$23,
MATCH(K712,[3]Sheet1!$B$4:$B$23,1),MATCH(D712,[3]Sheet1!$C$3:$Q$3,1)))
+(D712-INDEX([3]Sheet1!$C$3:$Q$3,1,MATCH(D712,[3]Sheet1!$C$3:$Q$3)))/(INDEX([3]Sheet1!$C$3:$Q$3,1,MATCH(D712,[3]Sheet1!$C$3:$Q$3)+1)-INDEX([3]Sheet1!$C$3:$Q$3,1,MATCH(
D712,[3]Sheet1!$C$3:$Q$3)))*(INDEX([3]Sheet1!$C$4:$Q$23,MATCH(K712,[3]Sheet1!$B$4:$B$23,1),MATCH(D712,[3]Sheet1!$C$3:$Q$3,1)+1)-INDEX([3]Sheet1!$C$4:$Q$23,MATCH(K712,[3]Sheet1!$B$4:$B$23,1),MATCH(D712,[3]Sheet1!$C$3:$Q$3,1))))</f>
        <v>0</v>
      </c>
      <c r="M712" cm="1">
        <f t="array" ref="M712" xml:space="preserve"> IF(E712*J712=0,0,(INDEX([2]Sheet1!$C$4:$Q$23,MATCH(K712,[2]Sheet1!$B$4:$B$23,1),MATCH(D712,[2]Sheet1!$C$3:$Q$3,1))
+ (K712 - INDEX([2]Sheet1!$B$4:$B$23,MATCH(K712,[2]Sheet1!$B$4:$B$23,1),1))/(INDEX([2]Sheet1!$B$4:$B$23,MATCH(K712,[2]Sheet1!$B$4:$B$23,1)+1,1) - INDEX([2]Sheet1!$B$4:$B$23,MATCH(K712,[2]Sheet1!$B$4:$B$23,1),1))*(INDEX([2]Sheet1!$C$4:$Q$23,MATCH(K712,[2]Sheet1!$B$4:$B$23,1)+1,MATCH(D712,[2]Sheet1!$C$3:$Q$3,1)) - INDEX([2]Sheet1!$C$4:$Q$23,MATCH(K712,[2]Sheet1!$B$4:$B$23,1),MATCH(D712,[2]Sheet1!$C$3:$Q$3,1)))
+ (D712 - INDEX([2]Sheet1!$C$3:$Q$3,1,MATCH(D712,[2]Sheet1!$C$3:$Q$3)))/(INDEX([2]Sheet1!$C$3:$Q$3,1,MATCH(D712,[2]Sheet1!$C$3:$Q$3)+1) - INDEX([2]Sheet1!$C$3:$Q$3,1,MATCH(D712,[2]Sheet1!$C$3:$Q$3)))*(
INDEX([2]Sheet1!$C$4:$Q$23,MATCH(K712,[2]Sheet1!$B$4:$B$23,1),MATCH(D712,[2]Sheet1!$C$3:$Q$3,1)+1) - INDEX([2]Sheet1!$C$4:$Q$23,MATCH(K712,[2]Sheet1!$B$4:$B$23,1),MATCH(D712,[2]Sheet1!$C$3:$Q$3,1)))))</f>
        <v>0</v>
      </c>
      <c r="N712">
        <f t="shared" si="216"/>
        <v>12</v>
      </c>
      <c r="O712">
        <v>8.3152107573578521E-2</v>
      </c>
      <c r="P712" t="e">
        <f t="shared" si="217"/>
        <v>#DIV/0!</v>
      </c>
      <c r="Q712">
        <f t="shared" si="218"/>
        <v>0</v>
      </c>
      <c r="R712">
        <f t="shared" si="219"/>
        <v>741.9099431943954</v>
      </c>
      <c r="T712" t="e">
        <f t="shared" si="220"/>
        <v>#DIV/0!</v>
      </c>
      <c r="U712" t="e">
        <f t="shared" si="221"/>
        <v>#DIV/0!</v>
      </c>
      <c r="V712">
        <f t="shared" si="222"/>
        <v>0</v>
      </c>
      <c r="W712" t="e">
        <f t="shared" si="223"/>
        <v>#DIV/0!</v>
      </c>
    </row>
    <row r="713" spans="1:23" x14ac:dyDescent="0.55000000000000004">
      <c r="A713">
        <f t="shared" si="207"/>
        <v>67.900000000000418</v>
      </c>
      <c r="B713">
        <f t="shared" si="208"/>
        <v>0.316</v>
      </c>
      <c r="C713">
        <f t="shared" si="209"/>
        <v>-39.282608695652449</v>
      </c>
      <c r="D713">
        <v>2.4164948029567297</v>
      </c>
      <c r="E713">
        <f t="shared" si="210"/>
        <v>0</v>
      </c>
      <c r="F713">
        <f t="shared" si="211"/>
        <v>4.8605058816845369E-2</v>
      </c>
      <c r="G713">
        <f t="shared" si="212"/>
        <v>39.513748498891111</v>
      </c>
      <c r="H713">
        <f t="shared" si="213"/>
        <v>0</v>
      </c>
      <c r="I713" s="1">
        <f t="shared" si="206"/>
        <v>0</v>
      </c>
      <c r="J713">
        <f t="shared" si="214"/>
        <v>0</v>
      </c>
      <c r="K713">
        <f t="shared" si="215"/>
        <v>0</v>
      </c>
      <c r="L713" cm="1">
        <f t="array" ref="L713">IF(E713*J713=0,0,$C$21*INDEX([3]Sheet1!$C$4:$Q$23,MATCH(K713,[3]Sheet1!$B$4:$B$23,1),MATCH(D713,[3]Sheet1!$C$3:$Q$3,1))
+(K713-INDEX([3]Sheet1!$B$4:$B$23,MATCH(K713,[3]Sheet1!$B$4:$B$23,1),1))/(INDEX([3]Sheet1!$B$4:$B$23,MATCH(K713,[3]Sheet1!$B$4:$B$23,1)+1,1)-INDEX([3]Sheet1!$B$4:$B$23,
MATCH(K713,[3]Sheet1!$B$4:$B$23,1),1))*(INDEX([3]Sheet1!$C$4:$Q$23,MATCH(K713,[3]Sheet1!$B$4:$B$23,1)+1,MATCH(D713,[3]Sheet1!$C$3:$Q$3,1))-INDEX([3]Sheet1!$C$4:$Q$23,
MATCH(K713,[3]Sheet1!$B$4:$B$23,1),MATCH(D713,[3]Sheet1!$C$3:$Q$3,1)))
+(D713-INDEX([3]Sheet1!$C$3:$Q$3,1,MATCH(D713,[3]Sheet1!$C$3:$Q$3)))/(INDEX([3]Sheet1!$C$3:$Q$3,1,MATCH(D713,[3]Sheet1!$C$3:$Q$3)+1)-INDEX([3]Sheet1!$C$3:$Q$3,1,MATCH(
D713,[3]Sheet1!$C$3:$Q$3)))*(INDEX([3]Sheet1!$C$4:$Q$23,MATCH(K713,[3]Sheet1!$B$4:$B$23,1),MATCH(D713,[3]Sheet1!$C$3:$Q$3,1)+1)-INDEX([3]Sheet1!$C$4:$Q$23,MATCH(K713,[3]Sheet1!$B$4:$B$23,1),MATCH(D713,[3]Sheet1!$C$3:$Q$3,1))))</f>
        <v>0</v>
      </c>
      <c r="M713" cm="1">
        <f t="array" ref="M713" xml:space="preserve"> IF(E713*J713=0,0,(INDEX([2]Sheet1!$C$4:$Q$23,MATCH(K713,[2]Sheet1!$B$4:$B$23,1),MATCH(D713,[2]Sheet1!$C$3:$Q$3,1))
+ (K713 - INDEX([2]Sheet1!$B$4:$B$23,MATCH(K713,[2]Sheet1!$B$4:$B$23,1),1))/(INDEX([2]Sheet1!$B$4:$B$23,MATCH(K713,[2]Sheet1!$B$4:$B$23,1)+1,1) - INDEX([2]Sheet1!$B$4:$B$23,MATCH(K713,[2]Sheet1!$B$4:$B$23,1),1))*(INDEX([2]Sheet1!$C$4:$Q$23,MATCH(K713,[2]Sheet1!$B$4:$B$23,1)+1,MATCH(D713,[2]Sheet1!$C$3:$Q$3,1)) - INDEX([2]Sheet1!$C$4:$Q$23,MATCH(K713,[2]Sheet1!$B$4:$B$23,1),MATCH(D713,[2]Sheet1!$C$3:$Q$3,1)))
+ (D713 - INDEX([2]Sheet1!$C$3:$Q$3,1,MATCH(D713,[2]Sheet1!$C$3:$Q$3)))/(INDEX([2]Sheet1!$C$3:$Q$3,1,MATCH(D713,[2]Sheet1!$C$3:$Q$3)+1) - INDEX([2]Sheet1!$C$3:$Q$3,1,MATCH(D713,[2]Sheet1!$C$3:$Q$3)))*(
INDEX([2]Sheet1!$C$4:$Q$23,MATCH(K713,[2]Sheet1!$B$4:$B$23,1),MATCH(D713,[2]Sheet1!$C$3:$Q$3,1)+1) - INDEX([2]Sheet1!$C$4:$Q$23,MATCH(K713,[2]Sheet1!$B$4:$B$23,1),MATCH(D713,[2]Sheet1!$C$3:$Q$3,1)))))</f>
        <v>0</v>
      </c>
      <c r="N713">
        <f t="shared" si="216"/>
        <v>12</v>
      </c>
      <c r="O713">
        <v>8.3140867302029714E-2</v>
      </c>
      <c r="P713" t="e">
        <f t="shared" si="217"/>
        <v>#DIV/0!</v>
      </c>
      <c r="Q713">
        <f t="shared" si="218"/>
        <v>0</v>
      </c>
      <c r="R713">
        <f t="shared" si="219"/>
        <v>741.9099431943954</v>
      </c>
      <c r="T713" t="e">
        <f t="shared" si="220"/>
        <v>#DIV/0!</v>
      </c>
      <c r="U713" t="e">
        <f t="shared" si="221"/>
        <v>#DIV/0!</v>
      </c>
      <c r="V713">
        <f t="shared" si="222"/>
        <v>0</v>
      </c>
      <c r="W713" t="e">
        <f t="shared" si="223"/>
        <v>#DIV/0!</v>
      </c>
    </row>
    <row r="714" spans="1:23" x14ac:dyDescent="0.55000000000000004">
      <c r="A714">
        <f t="shared" si="207"/>
        <v>68.000000000000412</v>
      </c>
      <c r="B714">
        <f t="shared" si="208"/>
        <v>0.316</v>
      </c>
      <c r="C714">
        <f t="shared" si="209"/>
        <v>-39.3478260869568</v>
      </c>
      <c r="D714">
        <v>2.4164371415039994</v>
      </c>
      <c r="E714">
        <f t="shared" si="210"/>
        <v>0</v>
      </c>
      <c r="F714">
        <f t="shared" si="211"/>
        <v>4.8605058816845369E-2</v>
      </c>
      <c r="G714">
        <f t="shared" si="212"/>
        <v>39.513748498891111</v>
      </c>
      <c r="H714">
        <f t="shared" si="213"/>
        <v>0</v>
      </c>
      <c r="I714" s="1">
        <f t="shared" si="206"/>
        <v>0</v>
      </c>
      <c r="J714">
        <f t="shared" si="214"/>
        <v>0</v>
      </c>
      <c r="K714">
        <f t="shared" si="215"/>
        <v>0</v>
      </c>
      <c r="L714" cm="1">
        <f t="array" ref="L714">IF(E714*J714=0,0,$C$21*INDEX([3]Sheet1!$C$4:$Q$23,MATCH(K714,[3]Sheet1!$B$4:$B$23,1),MATCH(D714,[3]Sheet1!$C$3:$Q$3,1))
+(K714-INDEX([3]Sheet1!$B$4:$B$23,MATCH(K714,[3]Sheet1!$B$4:$B$23,1),1))/(INDEX([3]Sheet1!$B$4:$B$23,MATCH(K714,[3]Sheet1!$B$4:$B$23,1)+1,1)-INDEX([3]Sheet1!$B$4:$B$23,
MATCH(K714,[3]Sheet1!$B$4:$B$23,1),1))*(INDEX([3]Sheet1!$C$4:$Q$23,MATCH(K714,[3]Sheet1!$B$4:$B$23,1)+1,MATCH(D714,[3]Sheet1!$C$3:$Q$3,1))-INDEX([3]Sheet1!$C$4:$Q$23,
MATCH(K714,[3]Sheet1!$B$4:$B$23,1),MATCH(D714,[3]Sheet1!$C$3:$Q$3,1)))
+(D714-INDEX([3]Sheet1!$C$3:$Q$3,1,MATCH(D714,[3]Sheet1!$C$3:$Q$3)))/(INDEX([3]Sheet1!$C$3:$Q$3,1,MATCH(D714,[3]Sheet1!$C$3:$Q$3)+1)-INDEX([3]Sheet1!$C$3:$Q$3,1,MATCH(
D714,[3]Sheet1!$C$3:$Q$3)))*(INDEX([3]Sheet1!$C$4:$Q$23,MATCH(K714,[3]Sheet1!$B$4:$B$23,1),MATCH(D714,[3]Sheet1!$C$3:$Q$3,1)+1)-INDEX([3]Sheet1!$C$4:$Q$23,MATCH(K714,[3]Sheet1!$B$4:$B$23,1),MATCH(D714,[3]Sheet1!$C$3:$Q$3,1))))</f>
        <v>0</v>
      </c>
      <c r="M714" cm="1">
        <f t="array" ref="M714" xml:space="preserve"> IF(E714*J714=0,0,(INDEX([2]Sheet1!$C$4:$Q$23,MATCH(K714,[2]Sheet1!$B$4:$B$23,1),MATCH(D714,[2]Sheet1!$C$3:$Q$3,1))
+ (K714 - INDEX([2]Sheet1!$B$4:$B$23,MATCH(K714,[2]Sheet1!$B$4:$B$23,1),1))/(INDEX([2]Sheet1!$B$4:$B$23,MATCH(K714,[2]Sheet1!$B$4:$B$23,1)+1,1) - INDEX([2]Sheet1!$B$4:$B$23,MATCH(K714,[2]Sheet1!$B$4:$B$23,1),1))*(INDEX([2]Sheet1!$C$4:$Q$23,MATCH(K714,[2]Sheet1!$B$4:$B$23,1)+1,MATCH(D714,[2]Sheet1!$C$3:$Q$3,1)) - INDEX([2]Sheet1!$C$4:$Q$23,MATCH(K714,[2]Sheet1!$B$4:$B$23,1),MATCH(D714,[2]Sheet1!$C$3:$Q$3,1)))
+ (D714 - INDEX([2]Sheet1!$C$3:$Q$3,1,MATCH(D714,[2]Sheet1!$C$3:$Q$3)))/(INDEX([2]Sheet1!$C$3:$Q$3,1,MATCH(D714,[2]Sheet1!$C$3:$Q$3)+1) - INDEX([2]Sheet1!$C$3:$Q$3,1,MATCH(D714,[2]Sheet1!$C$3:$Q$3)))*(
INDEX([2]Sheet1!$C$4:$Q$23,MATCH(K714,[2]Sheet1!$B$4:$B$23,1),MATCH(D714,[2]Sheet1!$C$3:$Q$3,1)+1) - INDEX([2]Sheet1!$C$4:$Q$23,MATCH(K714,[2]Sheet1!$B$4:$B$23,1),MATCH(D714,[2]Sheet1!$C$3:$Q$3,1)))))</f>
        <v>0</v>
      </c>
      <c r="N714">
        <f t="shared" si="216"/>
        <v>12</v>
      </c>
      <c r="O714">
        <v>8.312964069428444E-2</v>
      </c>
      <c r="P714" t="e">
        <f t="shared" si="217"/>
        <v>#DIV/0!</v>
      </c>
      <c r="Q714">
        <f t="shared" si="218"/>
        <v>0</v>
      </c>
      <c r="R714">
        <f t="shared" si="219"/>
        <v>741.9099431943954</v>
      </c>
      <c r="T714" t="e">
        <f t="shared" si="220"/>
        <v>#DIV/0!</v>
      </c>
      <c r="U714" t="e">
        <f t="shared" si="221"/>
        <v>#DIV/0!</v>
      </c>
      <c r="V714">
        <f t="shared" si="222"/>
        <v>0</v>
      </c>
      <c r="W714" t="e">
        <f t="shared" si="223"/>
        <v>#DIV/0!</v>
      </c>
    </row>
    <row r="715" spans="1:23" x14ac:dyDescent="0.55000000000000004">
      <c r="A715">
        <f t="shared" si="207"/>
        <v>68.100000000000406</v>
      </c>
      <c r="B715">
        <f t="shared" si="208"/>
        <v>0.316</v>
      </c>
      <c r="C715">
        <f t="shared" si="209"/>
        <v>-39.413043478261137</v>
      </c>
      <c r="D715">
        <v>2.4163795423511121</v>
      </c>
      <c r="E715">
        <f t="shared" si="210"/>
        <v>0</v>
      </c>
      <c r="F715">
        <f t="shared" si="211"/>
        <v>4.8605058816845369E-2</v>
      </c>
      <c r="G715">
        <f t="shared" si="212"/>
        <v>39.513748498891111</v>
      </c>
      <c r="H715">
        <f t="shared" si="213"/>
        <v>0</v>
      </c>
      <c r="I715" s="1">
        <f t="shared" si="206"/>
        <v>0</v>
      </c>
      <c r="J715">
        <f t="shared" si="214"/>
        <v>0</v>
      </c>
      <c r="K715">
        <f t="shared" si="215"/>
        <v>0</v>
      </c>
      <c r="L715" cm="1">
        <f t="array" ref="L715">IF(E715*J715=0,0,$C$21*INDEX([3]Sheet1!$C$4:$Q$23,MATCH(K715,[3]Sheet1!$B$4:$B$23,1),MATCH(D715,[3]Sheet1!$C$3:$Q$3,1))
+(K715-INDEX([3]Sheet1!$B$4:$B$23,MATCH(K715,[3]Sheet1!$B$4:$B$23,1),1))/(INDEX([3]Sheet1!$B$4:$B$23,MATCH(K715,[3]Sheet1!$B$4:$B$23,1)+1,1)-INDEX([3]Sheet1!$B$4:$B$23,
MATCH(K715,[3]Sheet1!$B$4:$B$23,1),1))*(INDEX([3]Sheet1!$C$4:$Q$23,MATCH(K715,[3]Sheet1!$B$4:$B$23,1)+1,MATCH(D715,[3]Sheet1!$C$3:$Q$3,1))-INDEX([3]Sheet1!$C$4:$Q$23,
MATCH(K715,[3]Sheet1!$B$4:$B$23,1),MATCH(D715,[3]Sheet1!$C$3:$Q$3,1)))
+(D715-INDEX([3]Sheet1!$C$3:$Q$3,1,MATCH(D715,[3]Sheet1!$C$3:$Q$3)))/(INDEX([3]Sheet1!$C$3:$Q$3,1,MATCH(D715,[3]Sheet1!$C$3:$Q$3)+1)-INDEX([3]Sheet1!$C$3:$Q$3,1,MATCH(
D715,[3]Sheet1!$C$3:$Q$3)))*(INDEX([3]Sheet1!$C$4:$Q$23,MATCH(K715,[3]Sheet1!$B$4:$B$23,1),MATCH(D715,[3]Sheet1!$C$3:$Q$3,1)+1)-INDEX([3]Sheet1!$C$4:$Q$23,MATCH(K715,[3]Sheet1!$B$4:$B$23,1),MATCH(D715,[3]Sheet1!$C$3:$Q$3,1))))</f>
        <v>0</v>
      </c>
      <c r="M715" cm="1">
        <f t="array" ref="M715" xml:space="preserve"> IF(E715*J715=0,0,(INDEX([2]Sheet1!$C$4:$Q$23,MATCH(K715,[2]Sheet1!$B$4:$B$23,1),MATCH(D715,[2]Sheet1!$C$3:$Q$3,1))
+ (K715 - INDEX([2]Sheet1!$B$4:$B$23,MATCH(K715,[2]Sheet1!$B$4:$B$23,1),1))/(INDEX([2]Sheet1!$B$4:$B$23,MATCH(K715,[2]Sheet1!$B$4:$B$23,1)+1,1) - INDEX([2]Sheet1!$B$4:$B$23,MATCH(K715,[2]Sheet1!$B$4:$B$23,1),1))*(INDEX([2]Sheet1!$C$4:$Q$23,MATCH(K715,[2]Sheet1!$B$4:$B$23,1)+1,MATCH(D715,[2]Sheet1!$C$3:$Q$3,1)) - INDEX([2]Sheet1!$C$4:$Q$23,MATCH(K715,[2]Sheet1!$B$4:$B$23,1),MATCH(D715,[2]Sheet1!$C$3:$Q$3,1)))
+ (D715 - INDEX([2]Sheet1!$C$3:$Q$3,1,MATCH(D715,[2]Sheet1!$C$3:$Q$3)))/(INDEX([2]Sheet1!$C$3:$Q$3,1,MATCH(D715,[2]Sheet1!$C$3:$Q$3)+1) - INDEX([2]Sheet1!$C$3:$Q$3,1,MATCH(D715,[2]Sheet1!$C$3:$Q$3)))*(
INDEX([2]Sheet1!$C$4:$Q$23,MATCH(K715,[2]Sheet1!$B$4:$B$23,1),MATCH(D715,[2]Sheet1!$C$3:$Q$3,1)+1) - INDEX([2]Sheet1!$C$4:$Q$23,MATCH(K715,[2]Sheet1!$B$4:$B$23,1),MATCH(D715,[2]Sheet1!$C$3:$Q$3,1)))))</f>
        <v>0</v>
      </c>
      <c r="N715">
        <f t="shared" si="216"/>
        <v>12</v>
      </c>
      <c r="O715">
        <v>8.3118427718197815E-2</v>
      </c>
      <c r="P715" t="e">
        <f t="shared" si="217"/>
        <v>#DIV/0!</v>
      </c>
      <c r="Q715">
        <f t="shared" si="218"/>
        <v>0</v>
      </c>
      <c r="R715">
        <f t="shared" si="219"/>
        <v>741.9099431943954</v>
      </c>
      <c r="T715" t="e">
        <f t="shared" si="220"/>
        <v>#DIV/0!</v>
      </c>
      <c r="U715" t="e">
        <f t="shared" si="221"/>
        <v>#DIV/0!</v>
      </c>
      <c r="V715">
        <f t="shared" si="222"/>
        <v>0</v>
      </c>
      <c r="W715" t="e">
        <f t="shared" si="223"/>
        <v>#DIV/0!</v>
      </c>
    </row>
    <row r="716" spans="1:23" x14ac:dyDescent="0.55000000000000004">
      <c r="A716">
        <f t="shared" si="207"/>
        <v>68.200000000000401</v>
      </c>
      <c r="B716">
        <f t="shared" si="208"/>
        <v>0.316</v>
      </c>
      <c r="C716">
        <f t="shared" si="209"/>
        <v>-39.478260869565489</v>
      </c>
      <c r="D716">
        <v>2.4163220053586953</v>
      </c>
      <c r="E716">
        <f t="shared" si="210"/>
        <v>0</v>
      </c>
      <c r="F716">
        <f t="shared" si="211"/>
        <v>4.8605058816845369E-2</v>
      </c>
      <c r="G716">
        <f t="shared" si="212"/>
        <v>39.513748498891111</v>
      </c>
      <c r="H716">
        <f t="shared" si="213"/>
        <v>0</v>
      </c>
      <c r="I716" s="1">
        <f t="shared" si="206"/>
        <v>0</v>
      </c>
      <c r="J716">
        <f t="shared" si="214"/>
        <v>0</v>
      </c>
      <c r="K716">
        <f t="shared" si="215"/>
        <v>0</v>
      </c>
      <c r="L716" cm="1">
        <f t="array" ref="L716">IF(E716*J716=0,0,$C$21*INDEX([3]Sheet1!$C$4:$Q$23,MATCH(K716,[3]Sheet1!$B$4:$B$23,1),MATCH(D716,[3]Sheet1!$C$3:$Q$3,1))
+(K716-INDEX([3]Sheet1!$B$4:$B$23,MATCH(K716,[3]Sheet1!$B$4:$B$23,1),1))/(INDEX([3]Sheet1!$B$4:$B$23,MATCH(K716,[3]Sheet1!$B$4:$B$23,1)+1,1)-INDEX([3]Sheet1!$B$4:$B$23,
MATCH(K716,[3]Sheet1!$B$4:$B$23,1),1))*(INDEX([3]Sheet1!$C$4:$Q$23,MATCH(K716,[3]Sheet1!$B$4:$B$23,1)+1,MATCH(D716,[3]Sheet1!$C$3:$Q$3,1))-INDEX([3]Sheet1!$C$4:$Q$23,
MATCH(K716,[3]Sheet1!$B$4:$B$23,1),MATCH(D716,[3]Sheet1!$C$3:$Q$3,1)))
+(D716-INDEX([3]Sheet1!$C$3:$Q$3,1,MATCH(D716,[3]Sheet1!$C$3:$Q$3)))/(INDEX([3]Sheet1!$C$3:$Q$3,1,MATCH(D716,[3]Sheet1!$C$3:$Q$3)+1)-INDEX([3]Sheet1!$C$3:$Q$3,1,MATCH(
D716,[3]Sheet1!$C$3:$Q$3)))*(INDEX([3]Sheet1!$C$4:$Q$23,MATCH(K716,[3]Sheet1!$B$4:$B$23,1),MATCH(D716,[3]Sheet1!$C$3:$Q$3,1)+1)-INDEX([3]Sheet1!$C$4:$Q$23,MATCH(K716,[3]Sheet1!$B$4:$B$23,1),MATCH(D716,[3]Sheet1!$C$3:$Q$3,1))))</f>
        <v>0</v>
      </c>
      <c r="M716" cm="1">
        <f t="array" ref="M716" xml:space="preserve"> IF(E716*J716=0,0,(INDEX([2]Sheet1!$C$4:$Q$23,MATCH(K716,[2]Sheet1!$B$4:$B$23,1),MATCH(D716,[2]Sheet1!$C$3:$Q$3,1))
+ (K716 - INDEX([2]Sheet1!$B$4:$B$23,MATCH(K716,[2]Sheet1!$B$4:$B$23,1),1))/(INDEX([2]Sheet1!$B$4:$B$23,MATCH(K716,[2]Sheet1!$B$4:$B$23,1)+1,1) - INDEX([2]Sheet1!$B$4:$B$23,MATCH(K716,[2]Sheet1!$B$4:$B$23,1),1))*(INDEX([2]Sheet1!$C$4:$Q$23,MATCH(K716,[2]Sheet1!$B$4:$B$23,1)+1,MATCH(D716,[2]Sheet1!$C$3:$Q$3,1)) - INDEX([2]Sheet1!$C$4:$Q$23,MATCH(K716,[2]Sheet1!$B$4:$B$23,1),MATCH(D716,[2]Sheet1!$C$3:$Q$3,1)))
+ (D716 - INDEX([2]Sheet1!$C$3:$Q$3,1,MATCH(D716,[2]Sheet1!$C$3:$Q$3)))/(INDEX([2]Sheet1!$C$3:$Q$3,1,MATCH(D716,[2]Sheet1!$C$3:$Q$3)+1) - INDEX([2]Sheet1!$C$3:$Q$3,1,MATCH(D716,[2]Sheet1!$C$3:$Q$3)))*(
INDEX([2]Sheet1!$C$4:$Q$23,MATCH(K716,[2]Sheet1!$B$4:$B$23,1),MATCH(D716,[2]Sheet1!$C$3:$Q$3,1)+1) - INDEX([2]Sheet1!$C$4:$Q$23,MATCH(K716,[2]Sheet1!$B$4:$B$23,1),MATCH(D716,[2]Sheet1!$C$3:$Q$3,1)))))</f>
        <v>0</v>
      </c>
      <c r="N716">
        <f t="shared" si="216"/>
        <v>12</v>
      </c>
      <c r="O716">
        <v>8.3107228341737907E-2</v>
      </c>
      <c r="P716" t="e">
        <f t="shared" si="217"/>
        <v>#DIV/0!</v>
      </c>
      <c r="Q716">
        <f t="shared" si="218"/>
        <v>0</v>
      </c>
      <c r="R716">
        <f t="shared" si="219"/>
        <v>741.9099431943954</v>
      </c>
      <c r="T716" t="e">
        <f t="shared" si="220"/>
        <v>#DIV/0!</v>
      </c>
      <c r="U716" t="e">
        <f t="shared" si="221"/>
        <v>#DIV/0!</v>
      </c>
      <c r="V716">
        <f t="shared" si="222"/>
        <v>0</v>
      </c>
      <c r="W716" t="e">
        <f t="shared" si="223"/>
        <v>#DIV/0!</v>
      </c>
    </row>
    <row r="717" spans="1:23" x14ac:dyDescent="0.55000000000000004">
      <c r="A717">
        <f t="shared" si="207"/>
        <v>68.300000000000395</v>
      </c>
      <c r="B717">
        <f t="shared" si="208"/>
        <v>0.316</v>
      </c>
      <c r="C717">
        <f t="shared" si="209"/>
        <v>-39.543478260869826</v>
      </c>
      <c r="D717">
        <v>2.4162645303878412</v>
      </c>
      <c r="E717">
        <f t="shared" si="210"/>
        <v>0</v>
      </c>
      <c r="F717">
        <f t="shared" si="211"/>
        <v>4.8605058816845369E-2</v>
      </c>
      <c r="G717">
        <f t="shared" si="212"/>
        <v>39.513748498891111</v>
      </c>
      <c r="H717">
        <f t="shared" si="213"/>
        <v>0</v>
      </c>
      <c r="I717" s="1">
        <f t="shared" si="206"/>
        <v>0</v>
      </c>
      <c r="J717">
        <f t="shared" si="214"/>
        <v>0</v>
      </c>
      <c r="K717">
        <f t="shared" si="215"/>
        <v>0</v>
      </c>
      <c r="L717" cm="1">
        <f t="array" ref="L717">IF(E717*J717=0,0,$C$21*INDEX([3]Sheet1!$C$4:$Q$23,MATCH(K717,[3]Sheet1!$B$4:$B$23,1),MATCH(D717,[3]Sheet1!$C$3:$Q$3,1))
+(K717-INDEX([3]Sheet1!$B$4:$B$23,MATCH(K717,[3]Sheet1!$B$4:$B$23,1),1))/(INDEX([3]Sheet1!$B$4:$B$23,MATCH(K717,[3]Sheet1!$B$4:$B$23,1)+1,1)-INDEX([3]Sheet1!$B$4:$B$23,
MATCH(K717,[3]Sheet1!$B$4:$B$23,1),1))*(INDEX([3]Sheet1!$C$4:$Q$23,MATCH(K717,[3]Sheet1!$B$4:$B$23,1)+1,MATCH(D717,[3]Sheet1!$C$3:$Q$3,1))-INDEX([3]Sheet1!$C$4:$Q$23,
MATCH(K717,[3]Sheet1!$B$4:$B$23,1),MATCH(D717,[3]Sheet1!$C$3:$Q$3,1)))
+(D717-INDEX([3]Sheet1!$C$3:$Q$3,1,MATCH(D717,[3]Sheet1!$C$3:$Q$3)))/(INDEX([3]Sheet1!$C$3:$Q$3,1,MATCH(D717,[3]Sheet1!$C$3:$Q$3)+1)-INDEX([3]Sheet1!$C$3:$Q$3,1,MATCH(
D717,[3]Sheet1!$C$3:$Q$3)))*(INDEX([3]Sheet1!$C$4:$Q$23,MATCH(K717,[3]Sheet1!$B$4:$B$23,1),MATCH(D717,[3]Sheet1!$C$3:$Q$3,1)+1)-INDEX([3]Sheet1!$C$4:$Q$23,MATCH(K717,[3]Sheet1!$B$4:$B$23,1),MATCH(D717,[3]Sheet1!$C$3:$Q$3,1))))</f>
        <v>0</v>
      </c>
      <c r="M717" cm="1">
        <f t="array" ref="M717" xml:space="preserve"> IF(E717*J717=0,0,(INDEX([2]Sheet1!$C$4:$Q$23,MATCH(K717,[2]Sheet1!$B$4:$B$23,1),MATCH(D717,[2]Sheet1!$C$3:$Q$3,1))
+ (K717 - INDEX([2]Sheet1!$B$4:$B$23,MATCH(K717,[2]Sheet1!$B$4:$B$23,1),1))/(INDEX([2]Sheet1!$B$4:$B$23,MATCH(K717,[2]Sheet1!$B$4:$B$23,1)+1,1) - INDEX([2]Sheet1!$B$4:$B$23,MATCH(K717,[2]Sheet1!$B$4:$B$23,1),1))*(INDEX([2]Sheet1!$C$4:$Q$23,MATCH(K717,[2]Sheet1!$B$4:$B$23,1)+1,MATCH(D717,[2]Sheet1!$C$3:$Q$3,1)) - INDEX([2]Sheet1!$C$4:$Q$23,MATCH(K717,[2]Sheet1!$B$4:$B$23,1),MATCH(D717,[2]Sheet1!$C$3:$Q$3,1)))
+ (D717 - INDEX([2]Sheet1!$C$3:$Q$3,1,MATCH(D717,[2]Sheet1!$C$3:$Q$3)))/(INDEX([2]Sheet1!$C$3:$Q$3,1,MATCH(D717,[2]Sheet1!$C$3:$Q$3)+1) - INDEX([2]Sheet1!$C$3:$Q$3,1,MATCH(D717,[2]Sheet1!$C$3:$Q$3)))*(
INDEX([2]Sheet1!$C$4:$Q$23,MATCH(K717,[2]Sheet1!$B$4:$B$23,1),MATCH(D717,[2]Sheet1!$C$3:$Q$3,1)+1) - INDEX([2]Sheet1!$C$4:$Q$23,MATCH(K717,[2]Sheet1!$B$4:$B$23,1),MATCH(D717,[2]Sheet1!$C$3:$Q$3,1)))))</f>
        <v>0</v>
      </c>
      <c r="N717">
        <f t="shared" si="216"/>
        <v>12</v>
      </c>
      <c r="O717">
        <v>8.3096042532983583E-2</v>
      </c>
      <c r="P717" t="e">
        <f t="shared" si="217"/>
        <v>#DIV/0!</v>
      </c>
      <c r="Q717">
        <f t="shared" si="218"/>
        <v>0</v>
      </c>
      <c r="R717">
        <f t="shared" si="219"/>
        <v>741.9099431943954</v>
      </c>
      <c r="T717" t="e">
        <f t="shared" si="220"/>
        <v>#DIV/0!</v>
      </c>
      <c r="U717" t="e">
        <f t="shared" si="221"/>
        <v>#DIV/0!</v>
      </c>
      <c r="V717">
        <f t="shared" si="222"/>
        <v>0</v>
      </c>
      <c r="W717" t="e">
        <f t="shared" si="223"/>
        <v>#DIV/0!</v>
      </c>
    </row>
    <row r="718" spans="1:23" x14ac:dyDescent="0.55000000000000004">
      <c r="A718">
        <f t="shared" si="207"/>
        <v>68.400000000000389</v>
      </c>
      <c r="B718">
        <f t="shared" si="208"/>
        <v>0.316</v>
      </c>
      <c r="C718">
        <f t="shared" si="209"/>
        <v>-39.608695652174177</v>
      </c>
      <c r="D718">
        <v>2.4162071173001158</v>
      </c>
      <c r="E718">
        <f t="shared" si="210"/>
        <v>0</v>
      </c>
      <c r="F718">
        <f t="shared" si="211"/>
        <v>4.8605058816845369E-2</v>
      </c>
      <c r="G718">
        <f t="shared" si="212"/>
        <v>39.513748498891111</v>
      </c>
      <c r="H718">
        <f t="shared" si="213"/>
        <v>0</v>
      </c>
      <c r="I718" s="1">
        <f t="shared" si="206"/>
        <v>0</v>
      </c>
      <c r="J718">
        <f t="shared" si="214"/>
        <v>0</v>
      </c>
      <c r="K718">
        <f t="shared" si="215"/>
        <v>0</v>
      </c>
      <c r="L718" cm="1">
        <f t="array" ref="L718">IF(E718*J718=0,0,$C$21*INDEX([3]Sheet1!$C$4:$Q$23,MATCH(K718,[3]Sheet1!$B$4:$B$23,1),MATCH(D718,[3]Sheet1!$C$3:$Q$3,1))
+(K718-INDEX([3]Sheet1!$B$4:$B$23,MATCH(K718,[3]Sheet1!$B$4:$B$23,1),1))/(INDEX([3]Sheet1!$B$4:$B$23,MATCH(K718,[3]Sheet1!$B$4:$B$23,1)+1,1)-INDEX([3]Sheet1!$B$4:$B$23,
MATCH(K718,[3]Sheet1!$B$4:$B$23,1),1))*(INDEX([3]Sheet1!$C$4:$Q$23,MATCH(K718,[3]Sheet1!$B$4:$B$23,1)+1,MATCH(D718,[3]Sheet1!$C$3:$Q$3,1))-INDEX([3]Sheet1!$C$4:$Q$23,
MATCH(K718,[3]Sheet1!$B$4:$B$23,1),MATCH(D718,[3]Sheet1!$C$3:$Q$3,1)))
+(D718-INDEX([3]Sheet1!$C$3:$Q$3,1,MATCH(D718,[3]Sheet1!$C$3:$Q$3)))/(INDEX([3]Sheet1!$C$3:$Q$3,1,MATCH(D718,[3]Sheet1!$C$3:$Q$3)+1)-INDEX([3]Sheet1!$C$3:$Q$3,1,MATCH(
D718,[3]Sheet1!$C$3:$Q$3)))*(INDEX([3]Sheet1!$C$4:$Q$23,MATCH(K718,[3]Sheet1!$B$4:$B$23,1),MATCH(D718,[3]Sheet1!$C$3:$Q$3,1)+1)-INDEX([3]Sheet1!$C$4:$Q$23,MATCH(K718,[3]Sheet1!$B$4:$B$23,1),MATCH(D718,[3]Sheet1!$C$3:$Q$3,1))))</f>
        <v>0</v>
      </c>
      <c r="M718" cm="1">
        <f t="array" ref="M718" xml:space="preserve"> IF(E718*J718=0,0,(INDEX([2]Sheet1!$C$4:$Q$23,MATCH(K718,[2]Sheet1!$B$4:$B$23,1),MATCH(D718,[2]Sheet1!$C$3:$Q$3,1))
+ (K718 - INDEX([2]Sheet1!$B$4:$B$23,MATCH(K718,[2]Sheet1!$B$4:$B$23,1),1))/(INDEX([2]Sheet1!$B$4:$B$23,MATCH(K718,[2]Sheet1!$B$4:$B$23,1)+1,1) - INDEX([2]Sheet1!$B$4:$B$23,MATCH(K718,[2]Sheet1!$B$4:$B$23,1),1))*(INDEX([2]Sheet1!$C$4:$Q$23,MATCH(K718,[2]Sheet1!$B$4:$B$23,1)+1,MATCH(D718,[2]Sheet1!$C$3:$Q$3,1)) - INDEX([2]Sheet1!$C$4:$Q$23,MATCH(K718,[2]Sheet1!$B$4:$B$23,1),MATCH(D718,[2]Sheet1!$C$3:$Q$3,1)))
+ (D718 - INDEX([2]Sheet1!$C$3:$Q$3,1,MATCH(D718,[2]Sheet1!$C$3:$Q$3)))/(INDEX([2]Sheet1!$C$3:$Q$3,1,MATCH(D718,[2]Sheet1!$C$3:$Q$3)+1) - INDEX([2]Sheet1!$C$3:$Q$3,1,MATCH(D718,[2]Sheet1!$C$3:$Q$3)))*(
INDEX([2]Sheet1!$C$4:$Q$23,MATCH(K718,[2]Sheet1!$B$4:$B$23,1),MATCH(D718,[2]Sheet1!$C$3:$Q$3,1)+1) - INDEX([2]Sheet1!$C$4:$Q$23,MATCH(K718,[2]Sheet1!$B$4:$B$23,1),MATCH(D718,[2]Sheet1!$C$3:$Q$3,1)))))</f>
        <v>0</v>
      </c>
      <c r="N718">
        <f t="shared" si="216"/>
        <v>12</v>
      </c>
      <c r="O718">
        <v>8.3084870260127022E-2</v>
      </c>
      <c r="P718" t="e">
        <f t="shared" si="217"/>
        <v>#DIV/0!</v>
      </c>
      <c r="Q718">
        <f t="shared" si="218"/>
        <v>0</v>
      </c>
      <c r="R718">
        <f t="shared" si="219"/>
        <v>741.9099431943954</v>
      </c>
      <c r="T718" t="e">
        <f t="shared" si="220"/>
        <v>#DIV/0!</v>
      </c>
      <c r="U718" t="e">
        <f t="shared" si="221"/>
        <v>#DIV/0!</v>
      </c>
      <c r="V718">
        <f t="shared" si="222"/>
        <v>0</v>
      </c>
      <c r="W718" t="e">
        <f t="shared" si="223"/>
        <v>#DIV/0!</v>
      </c>
    </row>
    <row r="719" spans="1:23" x14ac:dyDescent="0.55000000000000004">
      <c r="A719">
        <f t="shared" si="207"/>
        <v>68.500000000000384</v>
      </c>
      <c r="B719">
        <f t="shared" si="208"/>
        <v>0.316</v>
      </c>
      <c r="C719">
        <f t="shared" si="209"/>
        <v>-39.673913043478514</v>
      </c>
      <c r="D719">
        <v>2.4161497659575466</v>
      </c>
      <c r="E719">
        <f t="shared" si="210"/>
        <v>0</v>
      </c>
      <c r="F719">
        <f t="shared" si="211"/>
        <v>4.8605058816845369E-2</v>
      </c>
      <c r="G719">
        <f t="shared" si="212"/>
        <v>39.513748498891111</v>
      </c>
      <c r="H719">
        <f t="shared" si="213"/>
        <v>0</v>
      </c>
      <c r="I719" s="1">
        <f t="shared" si="206"/>
        <v>0</v>
      </c>
      <c r="J719">
        <f t="shared" si="214"/>
        <v>0</v>
      </c>
      <c r="K719">
        <f t="shared" si="215"/>
        <v>0</v>
      </c>
      <c r="L719" cm="1">
        <f t="array" ref="L719">IF(E719*J719=0,0,$C$21*INDEX([3]Sheet1!$C$4:$Q$23,MATCH(K719,[3]Sheet1!$B$4:$B$23,1),MATCH(D719,[3]Sheet1!$C$3:$Q$3,1))
+(K719-INDEX([3]Sheet1!$B$4:$B$23,MATCH(K719,[3]Sheet1!$B$4:$B$23,1),1))/(INDEX([3]Sheet1!$B$4:$B$23,MATCH(K719,[3]Sheet1!$B$4:$B$23,1)+1,1)-INDEX([3]Sheet1!$B$4:$B$23,
MATCH(K719,[3]Sheet1!$B$4:$B$23,1),1))*(INDEX([3]Sheet1!$C$4:$Q$23,MATCH(K719,[3]Sheet1!$B$4:$B$23,1)+1,MATCH(D719,[3]Sheet1!$C$3:$Q$3,1))-INDEX([3]Sheet1!$C$4:$Q$23,
MATCH(K719,[3]Sheet1!$B$4:$B$23,1),MATCH(D719,[3]Sheet1!$C$3:$Q$3,1)))
+(D719-INDEX([3]Sheet1!$C$3:$Q$3,1,MATCH(D719,[3]Sheet1!$C$3:$Q$3)))/(INDEX([3]Sheet1!$C$3:$Q$3,1,MATCH(D719,[3]Sheet1!$C$3:$Q$3)+1)-INDEX([3]Sheet1!$C$3:$Q$3,1,MATCH(
D719,[3]Sheet1!$C$3:$Q$3)))*(INDEX([3]Sheet1!$C$4:$Q$23,MATCH(K719,[3]Sheet1!$B$4:$B$23,1),MATCH(D719,[3]Sheet1!$C$3:$Q$3,1)+1)-INDEX([3]Sheet1!$C$4:$Q$23,MATCH(K719,[3]Sheet1!$B$4:$B$23,1),MATCH(D719,[3]Sheet1!$C$3:$Q$3,1))))</f>
        <v>0</v>
      </c>
      <c r="M719" cm="1">
        <f t="array" ref="M719" xml:space="preserve"> IF(E719*J719=0,0,(INDEX([2]Sheet1!$C$4:$Q$23,MATCH(K719,[2]Sheet1!$B$4:$B$23,1),MATCH(D719,[2]Sheet1!$C$3:$Q$3,1))
+ (K719 - INDEX([2]Sheet1!$B$4:$B$23,MATCH(K719,[2]Sheet1!$B$4:$B$23,1),1))/(INDEX([2]Sheet1!$B$4:$B$23,MATCH(K719,[2]Sheet1!$B$4:$B$23,1)+1,1) - INDEX([2]Sheet1!$B$4:$B$23,MATCH(K719,[2]Sheet1!$B$4:$B$23,1),1))*(INDEX([2]Sheet1!$C$4:$Q$23,MATCH(K719,[2]Sheet1!$B$4:$B$23,1)+1,MATCH(D719,[2]Sheet1!$C$3:$Q$3,1)) - INDEX([2]Sheet1!$C$4:$Q$23,MATCH(K719,[2]Sheet1!$B$4:$B$23,1),MATCH(D719,[2]Sheet1!$C$3:$Q$3,1)))
+ (D719 - INDEX([2]Sheet1!$C$3:$Q$3,1,MATCH(D719,[2]Sheet1!$C$3:$Q$3)))/(INDEX([2]Sheet1!$C$3:$Q$3,1,MATCH(D719,[2]Sheet1!$C$3:$Q$3)+1) - INDEX([2]Sheet1!$C$3:$Q$3,1,MATCH(D719,[2]Sheet1!$C$3:$Q$3)))*(
INDEX([2]Sheet1!$C$4:$Q$23,MATCH(K719,[2]Sheet1!$B$4:$B$23,1),MATCH(D719,[2]Sheet1!$C$3:$Q$3,1)+1) - INDEX([2]Sheet1!$C$4:$Q$23,MATCH(K719,[2]Sheet1!$B$4:$B$23,1),MATCH(D719,[2]Sheet1!$C$3:$Q$3,1)))))</f>
        <v>0</v>
      </c>
      <c r="N719">
        <f t="shared" si="216"/>
        <v>12</v>
      </c>
      <c r="O719">
        <v>8.3073711491469318E-2</v>
      </c>
      <c r="P719" t="e">
        <f t="shared" si="217"/>
        <v>#DIV/0!</v>
      </c>
      <c r="Q719">
        <f t="shared" si="218"/>
        <v>0</v>
      </c>
      <c r="R719">
        <f t="shared" si="219"/>
        <v>741.9099431943954</v>
      </c>
      <c r="T719" t="e">
        <f t="shared" si="220"/>
        <v>#DIV/0!</v>
      </c>
      <c r="U719" t="e">
        <f t="shared" si="221"/>
        <v>#DIV/0!</v>
      </c>
      <c r="V719">
        <f t="shared" si="222"/>
        <v>0</v>
      </c>
      <c r="W719" t="e">
        <f t="shared" si="223"/>
        <v>#DIV/0!</v>
      </c>
    </row>
    <row r="720" spans="1:23" x14ac:dyDescent="0.55000000000000004">
      <c r="A720">
        <f t="shared" si="207"/>
        <v>68.600000000000378</v>
      </c>
      <c r="B720">
        <f t="shared" si="208"/>
        <v>0.316</v>
      </c>
      <c r="C720">
        <f t="shared" si="209"/>
        <v>-39.739130434782865</v>
      </c>
      <c r="D720">
        <v>2.4160924762226301</v>
      </c>
      <c r="E720">
        <f t="shared" si="210"/>
        <v>0</v>
      </c>
      <c r="F720">
        <f t="shared" si="211"/>
        <v>4.8605058816845369E-2</v>
      </c>
      <c r="G720">
        <f t="shared" si="212"/>
        <v>39.513748498891111</v>
      </c>
      <c r="H720">
        <f t="shared" si="213"/>
        <v>0</v>
      </c>
      <c r="I720" s="1">
        <f t="shared" si="206"/>
        <v>0</v>
      </c>
      <c r="J720">
        <f t="shared" si="214"/>
        <v>0</v>
      </c>
      <c r="K720">
        <f t="shared" si="215"/>
        <v>0</v>
      </c>
      <c r="L720" cm="1">
        <f t="array" ref="L720">IF(E720*J720=0,0,$C$21*INDEX([3]Sheet1!$C$4:$Q$23,MATCH(K720,[3]Sheet1!$B$4:$B$23,1),MATCH(D720,[3]Sheet1!$C$3:$Q$3,1))
+(K720-INDEX([3]Sheet1!$B$4:$B$23,MATCH(K720,[3]Sheet1!$B$4:$B$23,1),1))/(INDEX([3]Sheet1!$B$4:$B$23,MATCH(K720,[3]Sheet1!$B$4:$B$23,1)+1,1)-INDEX([3]Sheet1!$B$4:$B$23,
MATCH(K720,[3]Sheet1!$B$4:$B$23,1),1))*(INDEX([3]Sheet1!$C$4:$Q$23,MATCH(K720,[3]Sheet1!$B$4:$B$23,1)+1,MATCH(D720,[3]Sheet1!$C$3:$Q$3,1))-INDEX([3]Sheet1!$C$4:$Q$23,
MATCH(K720,[3]Sheet1!$B$4:$B$23,1),MATCH(D720,[3]Sheet1!$C$3:$Q$3,1)))
+(D720-INDEX([3]Sheet1!$C$3:$Q$3,1,MATCH(D720,[3]Sheet1!$C$3:$Q$3)))/(INDEX([3]Sheet1!$C$3:$Q$3,1,MATCH(D720,[3]Sheet1!$C$3:$Q$3)+1)-INDEX([3]Sheet1!$C$3:$Q$3,1,MATCH(
D720,[3]Sheet1!$C$3:$Q$3)))*(INDEX([3]Sheet1!$C$4:$Q$23,MATCH(K720,[3]Sheet1!$B$4:$B$23,1),MATCH(D720,[3]Sheet1!$C$3:$Q$3,1)+1)-INDEX([3]Sheet1!$C$4:$Q$23,MATCH(K720,[3]Sheet1!$B$4:$B$23,1),MATCH(D720,[3]Sheet1!$C$3:$Q$3,1))))</f>
        <v>0</v>
      </c>
      <c r="M720" cm="1">
        <f t="array" ref="M720" xml:space="preserve"> IF(E720*J720=0,0,(INDEX([2]Sheet1!$C$4:$Q$23,MATCH(K720,[2]Sheet1!$B$4:$B$23,1),MATCH(D720,[2]Sheet1!$C$3:$Q$3,1))
+ (K720 - INDEX([2]Sheet1!$B$4:$B$23,MATCH(K720,[2]Sheet1!$B$4:$B$23,1),1))/(INDEX([2]Sheet1!$B$4:$B$23,MATCH(K720,[2]Sheet1!$B$4:$B$23,1)+1,1) - INDEX([2]Sheet1!$B$4:$B$23,MATCH(K720,[2]Sheet1!$B$4:$B$23,1),1))*(INDEX([2]Sheet1!$C$4:$Q$23,MATCH(K720,[2]Sheet1!$B$4:$B$23,1)+1,MATCH(D720,[2]Sheet1!$C$3:$Q$3,1)) - INDEX([2]Sheet1!$C$4:$Q$23,MATCH(K720,[2]Sheet1!$B$4:$B$23,1),MATCH(D720,[2]Sheet1!$C$3:$Q$3,1)))
+ (D720 - INDEX([2]Sheet1!$C$3:$Q$3,1,MATCH(D720,[2]Sheet1!$C$3:$Q$3)))/(INDEX([2]Sheet1!$C$3:$Q$3,1,MATCH(D720,[2]Sheet1!$C$3:$Q$3)+1) - INDEX([2]Sheet1!$C$3:$Q$3,1,MATCH(D720,[2]Sheet1!$C$3:$Q$3)))*(
INDEX([2]Sheet1!$C$4:$Q$23,MATCH(K720,[2]Sheet1!$B$4:$B$23,1),MATCH(D720,[2]Sheet1!$C$3:$Q$3,1)+1) - INDEX([2]Sheet1!$C$4:$Q$23,MATCH(K720,[2]Sheet1!$B$4:$B$23,1),MATCH(D720,[2]Sheet1!$C$3:$Q$3,1)))))</f>
        <v>0</v>
      </c>
      <c r="N720">
        <f t="shared" si="216"/>
        <v>12</v>
      </c>
      <c r="O720">
        <v>8.3062566195423529E-2</v>
      </c>
      <c r="P720" t="e">
        <f t="shared" si="217"/>
        <v>#DIV/0!</v>
      </c>
      <c r="Q720">
        <f t="shared" si="218"/>
        <v>0</v>
      </c>
      <c r="R720">
        <f t="shared" si="219"/>
        <v>741.9099431943954</v>
      </c>
      <c r="T720" t="e">
        <f t="shared" si="220"/>
        <v>#DIV/0!</v>
      </c>
      <c r="U720" t="e">
        <f t="shared" si="221"/>
        <v>#DIV/0!</v>
      </c>
      <c r="V720">
        <f t="shared" si="222"/>
        <v>0</v>
      </c>
      <c r="W720" t="e">
        <f t="shared" si="223"/>
        <v>#DIV/0!</v>
      </c>
    </row>
    <row r="721" spans="1:23" x14ac:dyDescent="0.55000000000000004">
      <c r="A721">
        <f t="shared" si="207"/>
        <v>68.700000000000372</v>
      </c>
      <c r="B721">
        <f t="shared" si="208"/>
        <v>0.316</v>
      </c>
      <c r="C721">
        <f t="shared" si="209"/>
        <v>-39.804347826087202</v>
      </c>
      <c r="D721">
        <v>2.4160352479583218</v>
      </c>
      <c r="E721">
        <f t="shared" si="210"/>
        <v>0</v>
      </c>
      <c r="F721">
        <f t="shared" si="211"/>
        <v>4.8605058816845369E-2</v>
      </c>
      <c r="G721">
        <f t="shared" si="212"/>
        <v>39.513748498891111</v>
      </c>
      <c r="H721">
        <f t="shared" si="213"/>
        <v>0</v>
      </c>
      <c r="I721" s="1">
        <f t="shared" si="206"/>
        <v>0</v>
      </c>
      <c r="J721">
        <f t="shared" si="214"/>
        <v>0</v>
      </c>
      <c r="K721">
        <f t="shared" si="215"/>
        <v>0</v>
      </c>
      <c r="L721" cm="1">
        <f t="array" ref="L721">IF(E721*J721=0,0,$C$21*INDEX([3]Sheet1!$C$4:$Q$23,MATCH(K721,[3]Sheet1!$B$4:$B$23,1),MATCH(D721,[3]Sheet1!$C$3:$Q$3,1))
+(K721-INDEX([3]Sheet1!$B$4:$B$23,MATCH(K721,[3]Sheet1!$B$4:$B$23,1),1))/(INDEX([3]Sheet1!$B$4:$B$23,MATCH(K721,[3]Sheet1!$B$4:$B$23,1)+1,1)-INDEX([3]Sheet1!$B$4:$B$23,
MATCH(K721,[3]Sheet1!$B$4:$B$23,1),1))*(INDEX([3]Sheet1!$C$4:$Q$23,MATCH(K721,[3]Sheet1!$B$4:$B$23,1)+1,MATCH(D721,[3]Sheet1!$C$3:$Q$3,1))-INDEX([3]Sheet1!$C$4:$Q$23,
MATCH(K721,[3]Sheet1!$B$4:$B$23,1),MATCH(D721,[3]Sheet1!$C$3:$Q$3,1)))
+(D721-INDEX([3]Sheet1!$C$3:$Q$3,1,MATCH(D721,[3]Sheet1!$C$3:$Q$3)))/(INDEX([3]Sheet1!$C$3:$Q$3,1,MATCH(D721,[3]Sheet1!$C$3:$Q$3)+1)-INDEX([3]Sheet1!$C$3:$Q$3,1,MATCH(
D721,[3]Sheet1!$C$3:$Q$3)))*(INDEX([3]Sheet1!$C$4:$Q$23,MATCH(K721,[3]Sheet1!$B$4:$B$23,1),MATCH(D721,[3]Sheet1!$C$3:$Q$3,1)+1)-INDEX([3]Sheet1!$C$4:$Q$23,MATCH(K721,[3]Sheet1!$B$4:$B$23,1),MATCH(D721,[3]Sheet1!$C$3:$Q$3,1))))</f>
        <v>0</v>
      </c>
      <c r="M721" cm="1">
        <f t="array" ref="M721" xml:space="preserve"> IF(E721*J721=0,0,(INDEX([2]Sheet1!$C$4:$Q$23,MATCH(K721,[2]Sheet1!$B$4:$B$23,1),MATCH(D721,[2]Sheet1!$C$3:$Q$3,1))
+ (K721 - INDEX([2]Sheet1!$B$4:$B$23,MATCH(K721,[2]Sheet1!$B$4:$B$23,1),1))/(INDEX([2]Sheet1!$B$4:$B$23,MATCH(K721,[2]Sheet1!$B$4:$B$23,1)+1,1) - INDEX([2]Sheet1!$B$4:$B$23,MATCH(K721,[2]Sheet1!$B$4:$B$23,1),1))*(INDEX([2]Sheet1!$C$4:$Q$23,MATCH(K721,[2]Sheet1!$B$4:$B$23,1)+1,MATCH(D721,[2]Sheet1!$C$3:$Q$3,1)) - INDEX([2]Sheet1!$C$4:$Q$23,MATCH(K721,[2]Sheet1!$B$4:$B$23,1),MATCH(D721,[2]Sheet1!$C$3:$Q$3,1)))
+ (D721 - INDEX([2]Sheet1!$C$3:$Q$3,1,MATCH(D721,[2]Sheet1!$C$3:$Q$3)))/(INDEX([2]Sheet1!$C$3:$Q$3,1,MATCH(D721,[2]Sheet1!$C$3:$Q$3)+1) - INDEX([2]Sheet1!$C$3:$Q$3,1,MATCH(D721,[2]Sheet1!$C$3:$Q$3)))*(
INDEX([2]Sheet1!$C$4:$Q$23,MATCH(K721,[2]Sheet1!$B$4:$B$23,1),MATCH(D721,[2]Sheet1!$C$3:$Q$3,1)+1) - INDEX([2]Sheet1!$C$4:$Q$23,MATCH(K721,[2]Sheet1!$B$4:$B$23,1),MATCH(D721,[2]Sheet1!$C$3:$Q$3,1)))))</f>
        <v>0</v>
      </c>
      <c r="N721">
        <f t="shared" si="216"/>
        <v>12</v>
      </c>
      <c r="O721">
        <v>8.3051434340512195E-2</v>
      </c>
      <c r="P721" t="e">
        <f t="shared" si="217"/>
        <v>#DIV/0!</v>
      </c>
      <c r="Q721">
        <f t="shared" si="218"/>
        <v>0</v>
      </c>
      <c r="R721">
        <f t="shared" si="219"/>
        <v>741.9099431943954</v>
      </c>
      <c r="T721" t="e">
        <f t="shared" si="220"/>
        <v>#DIV/0!</v>
      </c>
      <c r="U721" t="e">
        <f t="shared" si="221"/>
        <v>#DIV/0!</v>
      </c>
      <c r="V721">
        <f t="shared" si="222"/>
        <v>0</v>
      </c>
      <c r="W721" t="e">
        <f t="shared" si="223"/>
        <v>#DIV/0!</v>
      </c>
    </row>
    <row r="722" spans="1:23" x14ac:dyDescent="0.55000000000000004">
      <c r="A722">
        <f t="shared" si="207"/>
        <v>68.800000000000367</v>
      </c>
      <c r="B722">
        <f t="shared" si="208"/>
        <v>0.316</v>
      </c>
      <c r="C722">
        <f t="shared" si="209"/>
        <v>-39.869565217391553</v>
      </c>
      <c r="D722">
        <v>2.4159780810280393</v>
      </c>
      <c r="E722">
        <f t="shared" si="210"/>
        <v>0</v>
      </c>
      <c r="F722">
        <f t="shared" si="211"/>
        <v>4.8605058816845369E-2</v>
      </c>
      <c r="G722">
        <f t="shared" si="212"/>
        <v>39.513748498891111</v>
      </c>
      <c r="H722">
        <f t="shared" si="213"/>
        <v>0</v>
      </c>
      <c r="I722" s="1">
        <f t="shared" si="206"/>
        <v>0</v>
      </c>
      <c r="J722">
        <f t="shared" si="214"/>
        <v>0</v>
      </c>
      <c r="K722">
        <f t="shared" si="215"/>
        <v>0</v>
      </c>
      <c r="L722" cm="1">
        <f t="array" ref="L722">IF(E722*J722=0,0,$C$21*INDEX([3]Sheet1!$C$4:$Q$23,MATCH(K722,[3]Sheet1!$B$4:$B$23,1),MATCH(D722,[3]Sheet1!$C$3:$Q$3,1))
+(K722-INDEX([3]Sheet1!$B$4:$B$23,MATCH(K722,[3]Sheet1!$B$4:$B$23,1),1))/(INDEX([3]Sheet1!$B$4:$B$23,MATCH(K722,[3]Sheet1!$B$4:$B$23,1)+1,1)-INDEX([3]Sheet1!$B$4:$B$23,
MATCH(K722,[3]Sheet1!$B$4:$B$23,1),1))*(INDEX([3]Sheet1!$C$4:$Q$23,MATCH(K722,[3]Sheet1!$B$4:$B$23,1)+1,MATCH(D722,[3]Sheet1!$C$3:$Q$3,1))-INDEX([3]Sheet1!$C$4:$Q$23,
MATCH(K722,[3]Sheet1!$B$4:$B$23,1),MATCH(D722,[3]Sheet1!$C$3:$Q$3,1)))
+(D722-INDEX([3]Sheet1!$C$3:$Q$3,1,MATCH(D722,[3]Sheet1!$C$3:$Q$3)))/(INDEX([3]Sheet1!$C$3:$Q$3,1,MATCH(D722,[3]Sheet1!$C$3:$Q$3)+1)-INDEX([3]Sheet1!$C$3:$Q$3,1,MATCH(
D722,[3]Sheet1!$C$3:$Q$3)))*(INDEX([3]Sheet1!$C$4:$Q$23,MATCH(K722,[3]Sheet1!$B$4:$B$23,1),MATCH(D722,[3]Sheet1!$C$3:$Q$3,1)+1)-INDEX([3]Sheet1!$C$4:$Q$23,MATCH(K722,[3]Sheet1!$B$4:$B$23,1),MATCH(D722,[3]Sheet1!$C$3:$Q$3,1))))</f>
        <v>0</v>
      </c>
      <c r="M722" cm="1">
        <f t="array" ref="M722" xml:space="preserve"> IF(E722*J722=0,0,(INDEX([2]Sheet1!$C$4:$Q$23,MATCH(K722,[2]Sheet1!$B$4:$B$23,1),MATCH(D722,[2]Sheet1!$C$3:$Q$3,1))
+ (K722 - INDEX([2]Sheet1!$B$4:$B$23,MATCH(K722,[2]Sheet1!$B$4:$B$23,1),1))/(INDEX([2]Sheet1!$B$4:$B$23,MATCH(K722,[2]Sheet1!$B$4:$B$23,1)+1,1) - INDEX([2]Sheet1!$B$4:$B$23,MATCH(K722,[2]Sheet1!$B$4:$B$23,1),1))*(INDEX([2]Sheet1!$C$4:$Q$23,MATCH(K722,[2]Sheet1!$B$4:$B$23,1)+1,MATCH(D722,[2]Sheet1!$C$3:$Q$3,1)) - INDEX([2]Sheet1!$C$4:$Q$23,MATCH(K722,[2]Sheet1!$B$4:$B$23,1),MATCH(D722,[2]Sheet1!$C$3:$Q$3,1)))
+ (D722 - INDEX([2]Sheet1!$C$3:$Q$3,1,MATCH(D722,[2]Sheet1!$C$3:$Q$3)))/(INDEX([2]Sheet1!$C$3:$Q$3,1,MATCH(D722,[2]Sheet1!$C$3:$Q$3)+1) - INDEX([2]Sheet1!$C$3:$Q$3,1,MATCH(D722,[2]Sheet1!$C$3:$Q$3)))*(
INDEX([2]Sheet1!$C$4:$Q$23,MATCH(K722,[2]Sheet1!$B$4:$B$23,1),MATCH(D722,[2]Sheet1!$C$3:$Q$3,1)+1) - INDEX([2]Sheet1!$C$4:$Q$23,MATCH(K722,[2]Sheet1!$B$4:$B$23,1),MATCH(D722,[2]Sheet1!$C$3:$Q$3,1)))))</f>
        <v>0</v>
      </c>
      <c r="N722">
        <f t="shared" si="216"/>
        <v>12</v>
      </c>
      <c r="O722">
        <v>8.3040315895367159E-2</v>
      </c>
      <c r="P722" t="e">
        <f t="shared" si="217"/>
        <v>#DIV/0!</v>
      </c>
      <c r="Q722">
        <f t="shared" si="218"/>
        <v>0</v>
      </c>
      <c r="R722">
        <f t="shared" si="219"/>
        <v>741.9099431943954</v>
      </c>
      <c r="T722" t="e">
        <f t="shared" si="220"/>
        <v>#DIV/0!</v>
      </c>
      <c r="U722" t="e">
        <f t="shared" si="221"/>
        <v>#DIV/0!</v>
      </c>
      <c r="V722">
        <f t="shared" si="222"/>
        <v>0</v>
      </c>
      <c r="W722" t="e">
        <f t="shared" si="223"/>
        <v>#DIV/0!</v>
      </c>
    </row>
    <row r="723" spans="1:23" x14ac:dyDescent="0.55000000000000004">
      <c r="A723">
        <f t="shared" si="207"/>
        <v>68.900000000000361</v>
      </c>
      <c r="B723">
        <f t="shared" si="208"/>
        <v>0.316</v>
      </c>
      <c r="C723">
        <f t="shared" si="209"/>
        <v>-39.93478260869589</v>
      </c>
      <c r="D723">
        <v>2.4159209752956565</v>
      </c>
      <c r="E723">
        <f t="shared" si="210"/>
        <v>0</v>
      </c>
      <c r="F723">
        <f t="shared" si="211"/>
        <v>4.8605058816845369E-2</v>
      </c>
      <c r="G723">
        <f t="shared" si="212"/>
        <v>39.513748498891111</v>
      </c>
      <c r="H723">
        <f t="shared" si="213"/>
        <v>0</v>
      </c>
      <c r="I723" s="1">
        <f t="shared" si="206"/>
        <v>0</v>
      </c>
      <c r="J723">
        <f t="shared" si="214"/>
        <v>0</v>
      </c>
      <c r="K723">
        <f t="shared" si="215"/>
        <v>0</v>
      </c>
      <c r="L723" cm="1">
        <f t="array" ref="L723">IF(E723*J723=0,0,$C$21*INDEX([3]Sheet1!$C$4:$Q$23,MATCH(K723,[3]Sheet1!$B$4:$B$23,1),MATCH(D723,[3]Sheet1!$C$3:$Q$3,1))
+(K723-INDEX([3]Sheet1!$B$4:$B$23,MATCH(K723,[3]Sheet1!$B$4:$B$23,1),1))/(INDEX([3]Sheet1!$B$4:$B$23,MATCH(K723,[3]Sheet1!$B$4:$B$23,1)+1,1)-INDEX([3]Sheet1!$B$4:$B$23,
MATCH(K723,[3]Sheet1!$B$4:$B$23,1),1))*(INDEX([3]Sheet1!$C$4:$Q$23,MATCH(K723,[3]Sheet1!$B$4:$B$23,1)+1,MATCH(D723,[3]Sheet1!$C$3:$Q$3,1))-INDEX([3]Sheet1!$C$4:$Q$23,
MATCH(K723,[3]Sheet1!$B$4:$B$23,1),MATCH(D723,[3]Sheet1!$C$3:$Q$3,1)))
+(D723-INDEX([3]Sheet1!$C$3:$Q$3,1,MATCH(D723,[3]Sheet1!$C$3:$Q$3)))/(INDEX([3]Sheet1!$C$3:$Q$3,1,MATCH(D723,[3]Sheet1!$C$3:$Q$3)+1)-INDEX([3]Sheet1!$C$3:$Q$3,1,MATCH(
D723,[3]Sheet1!$C$3:$Q$3)))*(INDEX([3]Sheet1!$C$4:$Q$23,MATCH(K723,[3]Sheet1!$B$4:$B$23,1),MATCH(D723,[3]Sheet1!$C$3:$Q$3,1)+1)-INDEX([3]Sheet1!$C$4:$Q$23,MATCH(K723,[3]Sheet1!$B$4:$B$23,1),MATCH(D723,[3]Sheet1!$C$3:$Q$3,1))))</f>
        <v>0</v>
      </c>
      <c r="M723" cm="1">
        <f t="array" ref="M723" xml:space="preserve"> IF(E723*J723=0,0,(INDEX([2]Sheet1!$C$4:$Q$23,MATCH(K723,[2]Sheet1!$B$4:$B$23,1),MATCH(D723,[2]Sheet1!$C$3:$Q$3,1))
+ (K723 - INDEX([2]Sheet1!$B$4:$B$23,MATCH(K723,[2]Sheet1!$B$4:$B$23,1),1))/(INDEX([2]Sheet1!$B$4:$B$23,MATCH(K723,[2]Sheet1!$B$4:$B$23,1)+1,1) - INDEX([2]Sheet1!$B$4:$B$23,MATCH(K723,[2]Sheet1!$B$4:$B$23,1),1))*(INDEX([2]Sheet1!$C$4:$Q$23,MATCH(K723,[2]Sheet1!$B$4:$B$23,1)+1,MATCH(D723,[2]Sheet1!$C$3:$Q$3,1)) - INDEX([2]Sheet1!$C$4:$Q$23,MATCH(K723,[2]Sheet1!$B$4:$B$23,1),MATCH(D723,[2]Sheet1!$C$3:$Q$3,1)))
+ (D723 - INDEX([2]Sheet1!$C$3:$Q$3,1,MATCH(D723,[2]Sheet1!$C$3:$Q$3)))/(INDEX([2]Sheet1!$C$3:$Q$3,1,MATCH(D723,[2]Sheet1!$C$3:$Q$3)+1) - INDEX([2]Sheet1!$C$3:$Q$3,1,MATCH(D723,[2]Sheet1!$C$3:$Q$3)))*(
INDEX([2]Sheet1!$C$4:$Q$23,MATCH(K723,[2]Sheet1!$B$4:$B$23,1),MATCH(D723,[2]Sheet1!$C$3:$Q$3,1)+1) - INDEX([2]Sheet1!$C$4:$Q$23,MATCH(K723,[2]Sheet1!$B$4:$B$23,1),MATCH(D723,[2]Sheet1!$C$3:$Q$3,1)))))</f>
        <v>0</v>
      </c>
      <c r="N723">
        <f t="shared" si="216"/>
        <v>12</v>
      </c>
      <c r="O723">
        <v>8.3029210828729466E-2</v>
      </c>
      <c r="P723" t="e">
        <f t="shared" si="217"/>
        <v>#DIV/0!</v>
      </c>
      <c r="Q723">
        <f t="shared" si="218"/>
        <v>0</v>
      </c>
      <c r="R723">
        <f t="shared" si="219"/>
        <v>741.9099431943954</v>
      </c>
      <c r="T723" t="e">
        <f t="shared" si="220"/>
        <v>#DIV/0!</v>
      </c>
      <c r="U723" t="e">
        <f t="shared" si="221"/>
        <v>#DIV/0!</v>
      </c>
      <c r="V723">
        <f t="shared" si="222"/>
        <v>0</v>
      </c>
      <c r="W723" t="e">
        <f t="shared" si="223"/>
        <v>#DIV/0!</v>
      </c>
    </row>
    <row r="724" spans="1:23" x14ac:dyDescent="0.55000000000000004">
      <c r="A724">
        <f t="shared" si="207"/>
        <v>69.000000000000355</v>
      </c>
      <c r="B724">
        <f t="shared" si="208"/>
        <v>0.316</v>
      </c>
      <c r="C724">
        <f t="shared" si="209"/>
        <v>-40.000000000000242</v>
      </c>
      <c r="D724">
        <v>2.4158639306255059</v>
      </c>
      <c r="E724">
        <f t="shared" si="210"/>
        <v>0</v>
      </c>
      <c r="F724">
        <f t="shared" si="211"/>
        <v>4.8605058816845369E-2</v>
      </c>
      <c r="G724">
        <f t="shared" si="212"/>
        <v>39.513748498891111</v>
      </c>
      <c r="H724">
        <f t="shared" si="213"/>
        <v>0</v>
      </c>
      <c r="I724" s="1">
        <f t="shared" si="206"/>
        <v>0</v>
      </c>
      <c r="J724">
        <f t="shared" si="214"/>
        <v>0</v>
      </c>
      <c r="K724">
        <f t="shared" si="215"/>
        <v>0</v>
      </c>
      <c r="L724" cm="1">
        <f t="array" ref="L724">IF(E724*J724=0,0,$C$21*INDEX([3]Sheet1!$C$4:$Q$23,MATCH(K724,[3]Sheet1!$B$4:$B$23,1),MATCH(D724,[3]Sheet1!$C$3:$Q$3,1))
+(K724-INDEX([3]Sheet1!$B$4:$B$23,MATCH(K724,[3]Sheet1!$B$4:$B$23,1),1))/(INDEX([3]Sheet1!$B$4:$B$23,MATCH(K724,[3]Sheet1!$B$4:$B$23,1)+1,1)-INDEX([3]Sheet1!$B$4:$B$23,
MATCH(K724,[3]Sheet1!$B$4:$B$23,1),1))*(INDEX([3]Sheet1!$C$4:$Q$23,MATCH(K724,[3]Sheet1!$B$4:$B$23,1)+1,MATCH(D724,[3]Sheet1!$C$3:$Q$3,1))-INDEX([3]Sheet1!$C$4:$Q$23,
MATCH(K724,[3]Sheet1!$B$4:$B$23,1),MATCH(D724,[3]Sheet1!$C$3:$Q$3,1)))
+(D724-INDEX([3]Sheet1!$C$3:$Q$3,1,MATCH(D724,[3]Sheet1!$C$3:$Q$3)))/(INDEX([3]Sheet1!$C$3:$Q$3,1,MATCH(D724,[3]Sheet1!$C$3:$Q$3)+1)-INDEX([3]Sheet1!$C$3:$Q$3,1,MATCH(
D724,[3]Sheet1!$C$3:$Q$3)))*(INDEX([3]Sheet1!$C$4:$Q$23,MATCH(K724,[3]Sheet1!$B$4:$B$23,1),MATCH(D724,[3]Sheet1!$C$3:$Q$3,1)+1)-INDEX([3]Sheet1!$C$4:$Q$23,MATCH(K724,[3]Sheet1!$B$4:$B$23,1),MATCH(D724,[3]Sheet1!$C$3:$Q$3,1))))</f>
        <v>0</v>
      </c>
      <c r="M724" cm="1">
        <f t="array" ref="M724" xml:space="preserve"> IF(E724*J724=0,0,(INDEX([2]Sheet1!$C$4:$Q$23,MATCH(K724,[2]Sheet1!$B$4:$B$23,1),MATCH(D724,[2]Sheet1!$C$3:$Q$3,1))
+ (K724 - INDEX([2]Sheet1!$B$4:$B$23,MATCH(K724,[2]Sheet1!$B$4:$B$23,1),1))/(INDEX([2]Sheet1!$B$4:$B$23,MATCH(K724,[2]Sheet1!$B$4:$B$23,1)+1,1) - INDEX([2]Sheet1!$B$4:$B$23,MATCH(K724,[2]Sheet1!$B$4:$B$23,1),1))*(INDEX([2]Sheet1!$C$4:$Q$23,MATCH(K724,[2]Sheet1!$B$4:$B$23,1)+1,MATCH(D724,[2]Sheet1!$C$3:$Q$3,1)) - INDEX([2]Sheet1!$C$4:$Q$23,MATCH(K724,[2]Sheet1!$B$4:$B$23,1),MATCH(D724,[2]Sheet1!$C$3:$Q$3,1)))
+ (D724 - INDEX([2]Sheet1!$C$3:$Q$3,1,MATCH(D724,[2]Sheet1!$C$3:$Q$3)))/(INDEX([2]Sheet1!$C$3:$Q$3,1,MATCH(D724,[2]Sheet1!$C$3:$Q$3)+1) - INDEX([2]Sheet1!$C$3:$Q$3,1,MATCH(D724,[2]Sheet1!$C$3:$Q$3)))*(
INDEX([2]Sheet1!$C$4:$Q$23,MATCH(K724,[2]Sheet1!$B$4:$B$23,1),MATCH(D724,[2]Sheet1!$C$3:$Q$3,1)+1) - INDEX([2]Sheet1!$C$4:$Q$23,MATCH(K724,[2]Sheet1!$B$4:$B$23,1),MATCH(D724,[2]Sheet1!$C$3:$Q$3,1)))))</f>
        <v>0</v>
      </c>
      <c r="N724">
        <f t="shared" si="216"/>
        <v>12</v>
      </c>
      <c r="O724">
        <v>8.3018119109448091E-2</v>
      </c>
      <c r="P724" t="e">
        <f t="shared" si="217"/>
        <v>#DIV/0!</v>
      </c>
      <c r="Q724">
        <f t="shared" si="218"/>
        <v>0</v>
      </c>
      <c r="R724">
        <f t="shared" si="219"/>
        <v>741.9099431943954</v>
      </c>
      <c r="T724" t="e">
        <f t="shared" si="220"/>
        <v>#DIV/0!</v>
      </c>
      <c r="U724" t="e">
        <f t="shared" si="221"/>
        <v>#DIV/0!</v>
      </c>
      <c r="V724">
        <f t="shared" si="222"/>
        <v>0</v>
      </c>
      <c r="W724" t="e">
        <f t="shared" si="223"/>
        <v>#DIV/0!</v>
      </c>
    </row>
    <row r="725" spans="1:23" x14ac:dyDescent="0.55000000000000004">
      <c r="A725">
        <f t="shared" si="207"/>
        <v>69.10000000000035</v>
      </c>
      <c r="B725">
        <f t="shared" si="208"/>
        <v>0.316</v>
      </c>
      <c r="C725">
        <f t="shared" si="209"/>
        <v>-40.065217391304579</v>
      </c>
      <c r="D725">
        <v>2.415806946882372</v>
      </c>
      <c r="E725">
        <f t="shared" si="210"/>
        <v>0</v>
      </c>
      <c r="F725">
        <f t="shared" si="211"/>
        <v>4.8605058816845369E-2</v>
      </c>
      <c r="G725">
        <f t="shared" si="212"/>
        <v>39.513748498891111</v>
      </c>
      <c r="H725">
        <f t="shared" si="213"/>
        <v>0</v>
      </c>
      <c r="I725" s="1">
        <f t="shared" si="206"/>
        <v>0</v>
      </c>
      <c r="J725">
        <f t="shared" si="214"/>
        <v>0</v>
      </c>
      <c r="K725">
        <f t="shared" si="215"/>
        <v>0</v>
      </c>
      <c r="L725" cm="1">
        <f t="array" ref="L725">IF(E725*J725=0,0,$C$21*INDEX([3]Sheet1!$C$4:$Q$23,MATCH(K725,[3]Sheet1!$B$4:$B$23,1),MATCH(D725,[3]Sheet1!$C$3:$Q$3,1))
+(K725-INDEX([3]Sheet1!$B$4:$B$23,MATCH(K725,[3]Sheet1!$B$4:$B$23,1),1))/(INDEX([3]Sheet1!$B$4:$B$23,MATCH(K725,[3]Sheet1!$B$4:$B$23,1)+1,1)-INDEX([3]Sheet1!$B$4:$B$23,
MATCH(K725,[3]Sheet1!$B$4:$B$23,1),1))*(INDEX([3]Sheet1!$C$4:$Q$23,MATCH(K725,[3]Sheet1!$B$4:$B$23,1)+1,MATCH(D725,[3]Sheet1!$C$3:$Q$3,1))-INDEX([3]Sheet1!$C$4:$Q$23,
MATCH(K725,[3]Sheet1!$B$4:$B$23,1),MATCH(D725,[3]Sheet1!$C$3:$Q$3,1)))
+(D725-INDEX([3]Sheet1!$C$3:$Q$3,1,MATCH(D725,[3]Sheet1!$C$3:$Q$3)))/(INDEX([3]Sheet1!$C$3:$Q$3,1,MATCH(D725,[3]Sheet1!$C$3:$Q$3)+1)-INDEX([3]Sheet1!$C$3:$Q$3,1,MATCH(
D725,[3]Sheet1!$C$3:$Q$3)))*(INDEX([3]Sheet1!$C$4:$Q$23,MATCH(K725,[3]Sheet1!$B$4:$B$23,1),MATCH(D725,[3]Sheet1!$C$3:$Q$3,1)+1)-INDEX([3]Sheet1!$C$4:$Q$23,MATCH(K725,[3]Sheet1!$B$4:$B$23,1),MATCH(D725,[3]Sheet1!$C$3:$Q$3,1))))</f>
        <v>0</v>
      </c>
      <c r="M725" cm="1">
        <f t="array" ref="M725" xml:space="preserve"> IF(E725*J725=0,0,(INDEX([2]Sheet1!$C$4:$Q$23,MATCH(K725,[2]Sheet1!$B$4:$B$23,1),MATCH(D725,[2]Sheet1!$C$3:$Q$3,1))
+ (K725 - INDEX([2]Sheet1!$B$4:$B$23,MATCH(K725,[2]Sheet1!$B$4:$B$23,1),1))/(INDEX([2]Sheet1!$B$4:$B$23,MATCH(K725,[2]Sheet1!$B$4:$B$23,1)+1,1) - INDEX([2]Sheet1!$B$4:$B$23,MATCH(K725,[2]Sheet1!$B$4:$B$23,1),1))*(INDEX([2]Sheet1!$C$4:$Q$23,MATCH(K725,[2]Sheet1!$B$4:$B$23,1)+1,MATCH(D725,[2]Sheet1!$C$3:$Q$3,1)) - INDEX([2]Sheet1!$C$4:$Q$23,MATCH(K725,[2]Sheet1!$B$4:$B$23,1),MATCH(D725,[2]Sheet1!$C$3:$Q$3,1)))
+ (D725 - INDEX([2]Sheet1!$C$3:$Q$3,1,MATCH(D725,[2]Sheet1!$C$3:$Q$3)))/(INDEX([2]Sheet1!$C$3:$Q$3,1,MATCH(D725,[2]Sheet1!$C$3:$Q$3)+1) - INDEX([2]Sheet1!$C$3:$Q$3,1,MATCH(D725,[2]Sheet1!$C$3:$Q$3)))*(
INDEX([2]Sheet1!$C$4:$Q$23,MATCH(K725,[2]Sheet1!$B$4:$B$23,1),MATCH(D725,[2]Sheet1!$C$3:$Q$3,1)+1) - INDEX([2]Sheet1!$C$4:$Q$23,MATCH(K725,[2]Sheet1!$B$4:$B$23,1),MATCH(D725,[2]Sheet1!$C$3:$Q$3,1)))))</f>
        <v>0</v>
      </c>
      <c r="N725">
        <f t="shared" si="216"/>
        <v>12</v>
      </c>
      <c r="O725">
        <v>8.3007040706481086E-2</v>
      </c>
      <c r="P725" t="e">
        <f t="shared" si="217"/>
        <v>#DIV/0!</v>
      </c>
      <c r="Q725">
        <f t="shared" si="218"/>
        <v>0</v>
      </c>
      <c r="R725">
        <f t="shared" si="219"/>
        <v>741.9099431943954</v>
      </c>
      <c r="T725" t="e">
        <f t="shared" si="220"/>
        <v>#DIV/0!</v>
      </c>
      <c r="U725" t="e">
        <f t="shared" si="221"/>
        <v>#DIV/0!</v>
      </c>
      <c r="V725">
        <f t="shared" si="222"/>
        <v>0</v>
      </c>
      <c r="W725" t="e">
        <f t="shared" si="223"/>
        <v>#DIV/0!</v>
      </c>
    </row>
    <row r="726" spans="1:23" x14ac:dyDescent="0.55000000000000004">
      <c r="A726">
        <f t="shared" si="207"/>
        <v>69.200000000000344</v>
      </c>
      <c r="B726">
        <f t="shared" si="208"/>
        <v>0.316</v>
      </c>
      <c r="C726">
        <f t="shared" si="209"/>
        <v>-40.13043478260893</v>
      </c>
      <c r="D726">
        <v>2.4157500239314915</v>
      </c>
      <c r="E726">
        <f t="shared" si="210"/>
        <v>0</v>
      </c>
      <c r="F726">
        <f t="shared" si="211"/>
        <v>4.8605058816845369E-2</v>
      </c>
      <c r="G726">
        <f t="shared" si="212"/>
        <v>39.513748498891111</v>
      </c>
      <c r="H726">
        <f t="shared" si="213"/>
        <v>0</v>
      </c>
      <c r="I726" s="1">
        <f t="shared" si="206"/>
        <v>0</v>
      </c>
      <c r="J726">
        <f t="shared" si="214"/>
        <v>0</v>
      </c>
      <c r="K726">
        <f t="shared" si="215"/>
        <v>0</v>
      </c>
      <c r="L726" cm="1">
        <f t="array" ref="L726">IF(E726*J726=0,0,$C$21*INDEX([3]Sheet1!$C$4:$Q$23,MATCH(K726,[3]Sheet1!$B$4:$B$23,1),MATCH(D726,[3]Sheet1!$C$3:$Q$3,1))
+(K726-INDEX([3]Sheet1!$B$4:$B$23,MATCH(K726,[3]Sheet1!$B$4:$B$23,1),1))/(INDEX([3]Sheet1!$B$4:$B$23,MATCH(K726,[3]Sheet1!$B$4:$B$23,1)+1,1)-INDEX([3]Sheet1!$B$4:$B$23,
MATCH(K726,[3]Sheet1!$B$4:$B$23,1),1))*(INDEX([3]Sheet1!$C$4:$Q$23,MATCH(K726,[3]Sheet1!$B$4:$B$23,1)+1,MATCH(D726,[3]Sheet1!$C$3:$Q$3,1))-INDEX([3]Sheet1!$C$4:$Q$23,
MATCH(K726,[3]Sheet1!$B$4:$B$23,1),MATCH(D726,[3]Sheet1!$C$3:$Q$3,1)))
+(D726-INDEX([3]Sheet1!$C$3:$Q$3,1,MATCH(D726,[3]Sheet1!$C$3:$Q$3)))/(INDEX([3]Sheet1!$C$3:$Q$3,1,MATCH(D726,[3]Sheet1!$C$3:$Q$3)+1)-INDEX([3]Sheet1!$C$3:$Q$3,1,MATCH(
D726,[3]Sheet1!$C$3:$Q$3)))*(INDEX([3]Sheet1!$C$4:$Q$23,MATCH(K726,[3]Sheet1!$B$4:$B$23,1),MATCH(D726,[3]Sheet1!$C$3:$Q$3,1)+1)-INDEX([3]Sheet1!$C$4:$Q$23,MATCH(K726,[3]Sheet1!$B$4:$B$23,1),MATCH(D726,[3]Sheet1!$C$3:$Q$3,1))))</f>
        <v>0</v>
      </c>
      <c r="M726" cm="1">
        <f t="array" ref="M726" xml:space="preserve"> IF(E726*J726=0,0,(INDEX([2]Sheet1!$C$4:$Q$23,MATCH(K726,[2]Sheet1!$B$4:$B$23,1),MATCH(D726,[2]Sheet1!$C$3:$Q$3,1))
+ (K726 - INDEX([2]Sheet1!$B$4:$B$23,MATCH(K726,[2]Sheet1!$B$4:$B$23,1),1))/(INDEX([2]Sheet1!$B$4:$B$23,MATCH(K726,[2]Sheet1!$B$4:$B$23,1)+1,1) - INDEX([2]Sheet1!$B$4:$B$23,MATCH(K726,[2]Sheet1!$B$4:$B$23,1),1))*(INDEX([2]Sheet1!$C$4:$Q$23,MATCH(K726,[2]Sheet1!$B$4:$B$23,1)+1,MATCH(D726,[2]Sheet1!$C$3:$Q$3,1)) - INDEX([2]Sheet1!$C$4:$Q$23,MATCH(K726,[2]Sheet1!$B$4:$B$23,1),MATCH(D726,[2]Sheet1!$C$3:$Q$3,1)))
+ (D726 - INDEX([2]Sheet1!$C$3:$Q$3,1,MATCH(D726,[2]Sheet1!$C$3:$Q$3)))/(INDEX([2]Sheet1!$C$3:$Q$3,1,MATCH(D726,[2]Sheet1!$C$3:$Q$3)+1) - INDEX([2]Sheet1!$C$3:$Q$3,1,MATCH(D726,[2]Sheet1!$C$3:$Q$3)))*(
INDEX([2]Sheet1!$C$4:$Q$23,MATCH(K726,[2]Sheet1!$B$4:$B$23,1),MATCH(D726,[2]Sheet1!$C$3:$Q$3,1)+1) - INDEX([2]Sheet1!$C$4:$Q$23,MATCH(K726,[2]Sheet1!$B$4:$B$23,1),MATCH(D726,[2]Sheet1!$C$3:$Q$3,1)))))</f>
        <v>0</v>
      </c>
      <c r="N726">
        <f t="shared" si="216"/>
        <v>12</v>
      </c>
      <c r="O726">
        <v>8.2995975588892379E-2</v>
      </c>
      <c r="P726" t="e">
        <f t="shared" si="217"/>
        <v>#DIV/0!</v>
      </c>
      <c r="Q726">
        <f t="shared" si="218"/>
        <v>0</v>
      </c>
      <c r="R726">
        <f t="shared" si="219"/>
        <v>741.9099431943954</v>
      </c>
      <c r="T726" t="e">
        <f t="shared" si="220"/>
        <v>#DIV/0!</v>
      </c>
      <c r="U726" t="e">
        <f t="shared" si="221"/>
        <v>#DIV/0!</v>
      </c>
      <c r="V726">
        <f t="shared" si="222"/>
        <v>0</v>
      </c>
      <c r="W726" t="e">
        <f t="shared" si="223"/>
        <v>#DIV/0!</v>
      </c>
    </row>
    <row r="727" spans="1:23" x14ac:dyDescent="0.55000000000000004">
      <c r="A727">
        <f t="shared" si="207"/>
        <v>69.300000000000338</v>
      </c>
      <c r="B727">
        <f t="shared" si="208"/>
        <v>0.316</v>
      </c>
      <c r="C727">
        <f t="shared" si="209"/>
        <v>-40.195652173913267</v>
      </c>
      <c r="D727">
        <v>2.415693161638552</v>
      </c>
      <c r="E727">
        <f t="shared" si="210"/>
        <v>0</v>
      </c>
      <c r="F727">
        <f t="shared" si="211"/>
        <v>4.8605058816845369E-2</v>
      </c>
      <c r="G727">
        <f t="shared" si="212"/>
        <v>39.513748498891111</v>
      </c>
      <c r="H727">
        <f t="shared" si="213"/>
        <v>0</v>
      </c>
      <c r="I727" s="1">
        <f t="shared" si="206"/>
        <v>0</v>
      </c>
      <c r="J727">
        <f t="shared" si="214"/>
        <v>0</v>
      </c>
      <c r="K727">
        <f t="shared" si="215"/>
        <v>0</v>
      </c>
      <c r="L727" cm="1">
        <f t="array" ref="L727">IF(E727*J727=0,0,$C$21*INDEX([3]Sheet1!$C$4:$Q$23,MATCH(K727,[3]Sheet1!$B$4:$B$23,1),MATCH(D727,[3]Sheet1!$C$3:$Q$3,1))
+(K727-INDEX([3]Sheet1!$B$4:$B$23,MATCH(K727,[3]Sheet1!$B$4:$B$23,1),1))/(INDEX([3]Sheet1!$B$4:$B$23,MATCH(K727,[3]Sheet1!$B$4:$B$23,1)+1,1)-INDEX([3]Sheet1!$B$4:$B$23,
MATCH(K727,[3]Sheet1!$B$4:$B$23,1),1))*(INDEX([3]Sheet1!$C$4:$Q$23,MATCH(K727,[3]Sheet1!$B$4:$B$23,1)+1,MATCH(D727,[3]Sheet1!$C$3:$Q$3,1))-INDEX([3]Sheet1!$C$4:$Q$23,
MATCH(K727,[3]Sheet1!$B$4:$B$23,1),MATCH(D727,[3]Sheet1!$C$3:$Q$3,1)))
+(D727-INDEX([3]Sheet1!$C$3:$Q$3,1,MATCH(D727,[3]Sheet1!$C$3:$Q$3)))/(INDEX([3]Sheet1!$C$3:$Q$3,1,MATCH(D727,[3]Sheet1!$C$3:$Q$3)+1)-INDEX([3]Sheet1!$C$3:$Q$3,1,MATCH(
D727,[3]Sheet1!$C$3:$Q$3)))*(INDEX([3]Sheet1!$C$4:$Q$23,MATCH(K727,[3]Sheet1!$B$4:$B$23,1),MATCH(D727,[3]Sheet1!$C$3:$Q$3,1)+1)-INDEX([3]Sheet1!$C$4:$Q$23,MATCH(K727,[3]Sheet1!$B$4:$B$23,1),MATCH(D727,[3]Sheet1!$C$3:$Q$3,1))))</f>
        <v>0</v>
      </c>
      <c r="M727" cm="1">
        <f t="array" ref="M727" xml:space="preserve"> IF(E727*J727=0,0,(INDEX([2]Sheet1!$C$4:$Q$23,MATCH(K727,[2]Sheet1!$B$4:$B$23,1),MATCH(D727,[2]Sheet1!$C$3:$Q$3,1))
+ (K727 - INDEX([2]Sheet1!$B$4:$B$23,MATCH(K727,[2]Sheet1!$B$4:$B$23,1),1))/(INDEX([2]Sheet1!$B$4:$B$23,MATCH(K727,[2]Sheet1!$B$4:$B$23,1)+1,1) - INDEX([2]Sheet1!$B$4:$B$23,MATCH(K727,[2]Sheet1!$B$4:$B$23,1),1))*(INDEX([2]Sheet1!$C$4:$Q$23,MATCH(K727,[2]Sheet1!$B$4:$B$23,1)+1,MATCH(D727,[2]Sheet1!$C$3:$Q$3,1)) - INDEX([2]Sheet1!$C$4:$Q$23,MATCH(K727,[2]Sheet1!$B$4:$B$23,1),MATCH(D727,[2]Sheet1!$C$3:$Q$3,1)))
+ (D727 - INDEX([2]Sheet1!$C$3:$Q$3,1,MATCH(D727,[2]Sheet1!$C$3:$Q$3)))/(INDEX([2]Sheet1!$C$3:$Q$3,1,MATCH(D727,[2]Sheet1!$C$3:$Q$3)+1) - INDEX([2]Sheet1!$C$3:$Q$3,1,MATCH(D727,[2]Sheet1!$C$3:$Q$3)))*(
INDEX([2]Sheet1!$C$4:$Q$23,MATCH(K727,[2]Sheet1!$B$4:$B$23,1),MATCH(D727,[2]Sheet1!$C$3:$Q$3,1)+1) - INDEX([2]Sheet1!$C$4:$Q$23,MATCH(K727,[2]Sheet1!$B$4:$B$23,1),MATCH(D727,[2]Sheet1!$C$3:$Q$3,1)))))</f>
        <v>0</v>
      </c>
      <c r="N727">
        <f t="shared" si="216"/>
        <v>12</v>
      </c>
      <c r="O727">
        <v>8.2984923725854032E-2</v>
      </c>
      <c r="P727" t="e">
        <f t="shared" si="217"/>
        <v>#DIV/0!</v>
      </c>
      <c r="Q727">
        <f t="shared" si="218"/>
        <v>0</v>
      </c>
      <c r="R727">
        <f t="shared" si="219"/>
        <v>741.9099431943954</v>
      </c>
      <c r="T727" t="e">
        <f t="shared" si="220"/>
        <v>#DIV/0!</v>
      </c>
      <c r="U727" t="e">
        <f t="shared" si="221"/>
        <v>#DIV/0!</v>
      </c>
      <c r="V727">
        <f t="shared" si="222"/>
        <v>0</v>
      </c>
      <c r="W727" t="e">
        <f t="shared" si="223"/>
        <v>#DIV/0!</v>
      </c>
    </row>
    <row r="728" spans="1:23" x14ac:dyDescent="0.55000000000000004">
      <c r="A728">
        <f t="shared" si="207"/>
        <v>69.400000000000333</v>
      </c>
      <c r="B728">
        <f t="shared" si="208"/>
        <v>0.316</v>
      </c>
      <c r="C728">
        <f t="shared" si="209"/>
        <v>-40.260869565217618</v>
      </c>
      <c r="D728">
        <v>2.4156363598696884</v>
      </c>
      <c r="E728">
        <f t="shared" si="210"/>
        <v>0</v>
      </c>
      <c r="F728">
        <f t="shared" si="211"/>
        <v>4.8605058816845369E-2</v>
      </c>
      <c r="G728">
        <f t="shared" si="212"/>
        <v>39.513748498891111</v>
      </c>
      <c r="H728">
        <f t="shared" si="213"/>
        <v>0</v>
      </c>
      <c r="I728" s="1">
        <f t="shared" si="206"/>
        <v>0</v>
      </c>
      <c r="J728">
        <f t="shared" si="214"/>
        <v>0</v>
      </c>
      <c r="K728">
        <f t="shared" si="215"/>
        <v>0</v>
      </c>
      <c r="L728" cm="1">
        <f t="array" ref="L728">IF(E728*J728=0,0,$C$21*INDEX([3]Sheet1!$C$4:$Q$23,MATCH(K728,[3]Sheet1!$B$4:$B$23,1),MATCH(D728,[3]Sheet1!$C$3:$Q$3,1))
+(K728-INDEX([3]Sheet1!$B$4:$B$23,MATCH(K728,[3]Sheet1!$B$4:$B$23,1),1))/(INDEX([3]Sheet1!$B$4:$B$23,MATCH(K728,[3]Sheet1!$B$4:$B$23,1)+1,1)-INDEX([3]Sheet1!$B$4:$B$23,
MATCH(K728,[3]Sheet1!$B$4:$B$23,1),1))*(INDEX([3]Sheet1!$C$4:$Q$23,MATCH(K728,[3]Sheet1!$B$4:$B$23,1)+1,MATCH(D728,[3]Sheet1!$C$3:$Q$3,1))-INDEX([3]Sheet1!$C$4:$Q$23,
MATCH(K728,[3]Sheet1!$B$4:$B$23,1),MATCH(D728,[3]Sheet1!$C$3:$Q$3,1)))
+(D728-INDEX([3]Sheet1!$C$3:$Q$3,1,MATCH(D728,[3]Sheet1!$C$3:$Q$3)))/(INDEX([3]Sheet1!$C$3:$Q$3,1,MATCH(D728,[3]Sheet1!$C$3:$Q$3)+1)-INDEX([3]Sheet1!$C$3:$Q$3,1,MATCH(
D728,[3]Sheet1!$C$3:$Q$3)))*(INDEX([3]Sheet1!$C$4:$Q$23,MATCH(K728,[3]Sheet1!$B$4:$B$23,1),MATCH(D728,[3]Sheet1!$C$3:$Q$3,1)+1)-INDEX([3]Sheet1!$C$4:$Q$23,MATCH(K728,[3]Sheet1!$B$4:$B$23,1),MATCH(D728,[3]Sheet1!$C$3:$Q$3,1))))</f>
        <v>0</v>
      </c>
      <c r="M728" cm="1">
        <f t="array" ref="M728" xml:space="preserve"> IF(E728*J728=0,0,(INDEX([2]Sheet1!$C$4:$Q$23,MATCH(K728,[2]Sheet1!$B$4:$B$23,1),MATCH(D728,[2]Sheet1!$C$3:$Q$3,1))
+ (K728 - INDEX([2]Sheet1!$B$4:$B$23,MATCH(K728,[2]Sheet1!$B$4:$B$23,1),1))/(INDEX([2]Sheet1!$B$4:$B$23,MATCH(K728,[2]Sheet1!$B$4:$B$23,1)+1,1) - INDEX([2]Sheet1!$B$4:$B$23,MATCH(K728,[2]Sheet1!$B$4:$B$23,1),1))*(INDEX([2]Sheet1!$C$4:$Q$23,MATCH(K728,[2]Sheet1!$B$4:$B$23,1)+1,MATCH(D728,[2]Sheet1!$C$3:$Q$3,1)) - INDEX([2]Sheet1!$C$4:$Q$23,MATCH(K728,[2]Sheet1!$B$4:$B$23,1),MATCH(D728,[2]Sheet1!$C$3:$Q$3,1)))
+ (D728 - INDEX([2]Sheet1!$C$3:$Q$3,1,MATCH(D728,[2]Sheet1!$C$3:$Q$3)))/(INDEX([2]Sheet1!$C$3:$Q$3,1,MATCH(D728,[2]Sheet1!$C$3:$Q$3)+1) - INDEX([2]Sheet1!$C$3:$Q$3,1,MATCH(D728,[2]Sheet1!$C$3:$Q$3)))*(
INDEX([2]Sheet1!$C$4:$Q$23,MATCH(K728,[2]Sheet1!$B$4:$B$23,1),MATCH(D728,[2]Sheet1!$C$3:$Q$3,1)+1) - INDEX([2]Sheet1!$C$4:$Q$23,MATCH(K728,[2]Sheet1!$B$4:$B$23,1),MATCH(D728,[2]Sheet1!$C$3:$Q$3,1)))))</f>
        <v>0</v>
      </c>
      <c r="N728">
        <f t="shared" si="216"/>
        <v>12</v>
      </c>
      <c r="O728">
        <v>8.2973885086644078E-2</v>
      </c>
      <c r="P728" t="e">
        <f t="shared" si="217"/>
        <v>#DIV/0!</v>
      </c>
      <c r="Q728">
        <f t="shared" si="218"/>
        <v>0</v>
      </c>
      <c r="R728">
        <f t="shared" si="219"/>
        <v>741.9099431943954</v>
      </c>
      <c r="T728" t="e">
        <f t="shared" si="220"/>
        <v>#DIV/0!</v>
      </c>
      <c r="U728" t="e">
        <f t="shared" si="221"/>
        <v>#DIV/0!</v>
      </c>
      <c r="V728">
        <f t="shared" si="222"/>
        <v>0</v>
      </c>
      <c r="W728" t="e">
        <f t="shared" si="223"/>
        <v>#DIV/0!</v>
      </c>
    </row>
    <row r="729" spans="1:23" x14ac:dyDescent="0.55000000000000004">
      <c r="A729">
        <f t="shared" si="207"/>
        <v>69.500000000000327</v>
      </c>
      <c r="B729">
        <f t="shared" si="208"/>
        <v>0.316</v>
      </c>
      <c r="C729">
        <f t="shared" si="209"/>
        <v>-40.326086956521955</v>
      </c>
      <c r="D729">
        <v>2.4155796184914822</v>
      </c>
      <c r="E729">
        <f t="shared" si="210"/>
        <v>0</v>
      </c>
      <c r="F729">
        <f t="shared" si="211"/>
        <v>4.8605058816845369E-2</v>
      </c>
      <c r="G729">
        <f t="shared" si="212"/>
        <v>39.513748498891111</v>
      </c>
      <c r="H729">
        <f t="shared" si="213"/>
        <v>0</v>
      </c>
      <c r="I729" s="1">
        <f t="shared" si="206"/>
        <v>0</v>
      </c>
      <c r="J729">
        <f t="shared" si="214"/>
        <v>0</v>
      </c>
      <c r="K729">
        <f t="shared" si="215"/>
        <v>0</v>
      </c>
      <c r="L729" cm="1">
        <f t="array" ref="L729">IF(E729*J729=0,0,$C$21*INDEX([3]Sheet1!$C$4:$Q$23,MATCH(K729,[3]Sheet1!$B$4:$B$23,1),MATCH(D729,[3]Sheet1!$C$3:$Q$3,1))
+(K729-INDEX([3]Sheet1!$B$4:$B$23,MATCH(K729,[3]Sheet1!$B$4:$B$23,1),1))/(INDEX([3]Sheet1!$B$4:$B$23,MATCH(K729,[3]Sheet1!$B$4:$B$23,1)+1,1)-INDEX([3]Sheet1!$B$4:$B$23,
MATCH(K729,[3]Sheet1!$B$4:$B$23,1),1))*(INDEX([3]Sheet1!$C$4:$Q$23,MATCH(K729,[3]Sheet1!$B$4:$B$23,1)+1,MATCH(D729,[3]Sheet1!$C$3:$Q$3,1))-INDEX([3]Sheet1!$C$4:$Q$23,
MATCH(K729,[3]Sheet1!$B$4:$B$23,1),MATCH(D729,[3]Sheet1!$C$3:$Q$3,1)))
+(D729-INDEX([3]Sheet1!$C$3:$Q$3,1,MATCH(D729,[3]Sheet1!$C$3:$Q$3)))/(INDEX([3]Sheet1!$C$3:$Q$3,1,MATCH(D729,[3]Sheet1!$C$3:$Q$3)+1)-INDEX([3]Sheet1!$C$3:$Q$3,1,MATCH(
D729,[3]Sheet1!$C$3:$Q$3)))*(INDEX([3]Sheet1!$C$4:$Q$23,MATCH(K729,[3]Sheet1!$B$4:$B$23,1),MATCH(D729,[3]Sheet1!$C$3:$Q$3,1)+1)-INDEX([3]Sheet1!$C$4:$Q$23,MATCH(K729,[3]Sheet1!$B$4:$B$23,1),MATCH(D729,[3]Sheet1!$C$3:$Q$3,1))))</f>
        <v>0</v>
      </c>
      <c r="M729" cm="1">
        <f t="array" ref="M729" xml:space="preserve"> IF(E729*J729=0,0,(INDEX([2]Sheet1!$C$4:$Q$23,MATCH(K729,[2]Sheet1!$B$4:$B$23,1),MATCH(D729,[2]Sheet1!$C$3:$Q$3,1))
+ (K729 - INDEX([2]Sheet1!$B$4:$B$23,MATCH(K729,[2]Sheet1!$B$4:$B$23,1),1))/(INDEX([2]Sheet1!$B$4:$B$23,MATCH(K729,[2]Sheet1!$B$4:$B$23,1)+1,1) - INDEX([2]Sheet1!$B$4:$B$23,MATCH(K729,[2]Sheet1!$B$4:$B$23,1),1))*(INDEX([2]Sheet1!$C$4:$Q$23,MATCH(K729,[2]Sheet1!$B$4:$B$23,1)+1,MATCH(D729,[2]Sheet1!$C$3:$Q$3,1)) - INDEX([2]Sheet1!$C$4:$Q$23,MATCH(K729,[2]Sheet1!$B$4:$B$23,1),MATCH(D729,[2]Sheet1!$C$3:$Q$3,1)))
+ (D729 - INDEX([2]Sheet1!$C$3:$Q$3,1,MATCH(D729,[2]Sheet1!$C$3:$Q$3)))/(INDEX([2]Sheet1!$C$3:$Q$3,1,MATCH(D729,[2]Sheet1!$C$3:$Q$3)+1) - INDEX([2]Sheet1!$C$3:$Q$3,1,MATCH(D729,[2]Sheet1!$C$3:$Q$3)))*(
INDEX([2]Sheet1!$C$4:$Q$23,MATCH(K729,[2]Sheet1!$B$4:$B$23,1),MATCH(D729,[2]Sheet1!$C$3:$Q$3,1)+1) - INDEX([2]Sheet1!$C$4:$Q$23,MATCH(K729,[2]Sheet1!$B$4:$B$23,1),MATCH(D729,[2]Sheet1!$C$3:$Q$3,1)))))</f>
        <v>0</v>
      </c>
      <c r="N729">
        <f t="shared" si="216"/>
        <v>12</v>
      </c>
      <c r="O729">
        <v>8.2962859640646813E-2</v>
      </c>
      <c r="P729" t="e">
        <f t="shared" si="217"/>
        <v>#DIV/0!</v>
      </c>
      <c r="Q729">
        <f t="shared" si="218"/>
        <v>0</v>
      </c>
      <c r="R729">
        <f t="shared" si="219"/>
        <v>741.9099431943954</v>
      </c>
      <c r="T729" t="e">
        <f t="shared" si="220"/>
        <v>#DIV/0!</v>
      </c>
      <c r="U729" t="e">
        <f t="shared" si="221"/>
        <v>#DIV/0!</v>
      </c>
      <c r="V729">
        <f t="shared" si="222"/>
        <v>0</v>
      </c>
      <c r="W729" t="e">
        <f t="shared" si="223"/>
        <v>#DIV/0!</v>
      </c>
    </row>
    <row r="730" spans="1:23" x14ac:dyDescent="0.55000000000000004">
      <c r="A730">
        <f t="shared" si="207"/>
        <v>69.600000000000321</v>
      </c>
      <c r="B730">
        <f t="shared" si="208"/>
        <v>0.316</v>
      </c>
      <c r="C730">
        <f t="shared" si="209"/>
        <v>-40.391304347826306</v>
      </c>
      <c r="D730">
        <v>2.4155229373709575</v>
      </c>
      <c r="E730">
        <f t="shared" si="210"/>
        <v>0</v>
      </c>
      <c r="F730">
        <f t="shared" si="211"/>
        <v>4.8605058816845369E-2</v>
      </c>
      <c r="G730">
        <f t="shared" si="212"/>
        <v>39.513748498891111</v>
      </c>
      <c r="H730">
        <f t="shared" si="213"/>
        <v>0</v>
      </c>
      <c r="I730" s="1">
        <f t="shared" si="206"/>
        <v>0</v>
      </c>
      <c r="J730">
        <f t="shared" si="214"/>
        <v>0</v>
      </c>
      <c r="K730">
        <f t="shared" si="215"/>
        <v>0</v>
      </c>
      <c r="L730" cm="1">
        <f t="array" ref="L730">IF(E730*J730=0,0,$C$21*INDEX([3]Sheet1!$C$4:$Q$23,MATCH(K730,[3]Sheet1!$B$4:$B$23,1),MATCH(D730,[3]Sheet1!$C$3:$Q$3,1))
+(K730-INDEX([3]Sheet1!$B$4:$B$23,MATCH(K730,[3]Sheet1!$B$4:$B$23,1),1))/(INDEX([3]Sheet1!$B$4:$B$23,MATCH(K730,[3]Sheet1!$B$4:$B$23,1)+1,1)-INDEX([3]Sheet1!$B$4:$B$23,
MATCH(K730,[3]Sheet1!$B$4:$B$23,1),1))*(INDEX([3]Sheet1!$C$4:$Q$23,MATCH(K730,[3]Sheet1!$B$4:$B$23,1)+1,MATCH(D730,[3]Sheet1!$C$3:$Q$3,1))-INDEX([3]Sheet1!$C$4:$Q$23,
MATCH(K730,[3]Sheet1!$B$4:$B$23,1),MATCH(D730,[3]Sheet1!$C$3:$Q$3,1)))
+(D730-INDEX([3]Sheet1!$C$3:$Q$3,1,MATCH(D730,[3]Sheet1!$C$3:$Q$3)))/(INDEX([3]Sheet1!$C$3:$Q$3,1,MATCH(D730,[3]Sheet1!$C$3:$Q$3)+1)-INDEX([3]Sheet1!$C$3:$Q$3,1,MATCH(
D730,[3]Sheet1!$C$3:$Q$3)))*(INDEX([3]Sheet1!$C$4:$Q$23,MATCH(K730,[3]Sheet1!$B$4:$B$23,1),MATCH(D730,[3]Sheet1!$C$3:$Q$3,1)+1)-INDEX([3]Sheet1!$C$4:$Q$23,MATCH(K730,[3]Sheet1!$B$4:$B$23,1),MATCH(D730,[3]Sheet1!$C$3:$Q$3,1))))</f>
        <v>0</v>
      </c>
      <c r="M730" cm="1">
        <f t="array" ref="M730" xml:space="preserve"> IF(E730*J730=0,0,(INDEX([2]Sheet1!$C$4:$Q$23,MATCH(K730,[2]Sheet1!$B$4:$B$23,1),MATCH(D730,[2]Sheet1!$C$3:$Q$3,1))
+ (K730 - INDEX([2]Sheet1!$B$4:$B$23,MATCH(K730,[2]Sheet1!$B$4:$B$23,1),1))/(INDEX([2]Sheet1!$B$4:$B$23,MATCH(K730,[2]Sheet1!$B$4:$B$23,1)+1,1) - INDEX([2]Sheet1!$B$4:$B$23,MATCH(K730,[2]Sheet1!$B$4:$B$23,1),1))*(INDEX([2]Sheet1!$C$4:$Q$23,MATCH(K730,[2]Sheet1!$B$4:$B$23,1)+1,MATCH(D730,[2]Sheet1!$C$3:$Q$3,1)) - INDEX([2]Sheet1!$C$4:$Q$23,MATCH(K730,[2]Sheet1!$B$4:$B$23,1),MATCH(D730,[2]Sheet1!$C$3:$Q$3,1)))
+ (D730 - INDEX([2]Sheet1!$C$3:$Q$3,1,MATCH(D730,[2]Sheet1!$C$3:$Q$3)))/(INDEX([2]Sheet1!$C$3:$Q$3,1,MATCH(D730,[2]Sheet1!$C$3:$Q$3)+1) - INDEX([2]Sheet1!$C$3:$Q$3,1,MATCH(D730,[2]Sheet1!$C$3:$Q$3)))*(
INDEX([2]Sheet1!$C$4:$Q$23,MATCH(K730,[2]Sheet1!$B$4:$B$23,1),MATCH(D730,[2]Sheet1!$C$3:$Q$3,1)+1) - INDEX([2]Sheet1!$C$4:$Q$23,MATCH(K730,[2]Sheet1!$B$4:$B$23,1),MATCH(D730,[2]Sheet1!$C$3:$Q$3,1)))))</f>
        <v>0</v>
      </c>
      <c r="N730">
        <f t="shared" si="216"/>
        <v>12</v>
      </c>
      <c r="O730">
        <v>8.2951847357351699E-2</v>
      </c>
      <c r="P730" t="e">
        <f t="shared" si="217"/>
        <v>#DIV/0!</v>
      </c>
      <c r="Q730">
        <f t="shared" si="218"/>
        <v>0</v>
      </c>
      <c r="R730">
        <f t="shared" si="219"/>
        <v>741.9099431943954</v>
      </c>
      <c r="T730" t="e">
        <f t="shared" si="220"/>
        <v>#DIV/0!</v>
      </c>
      <c r="U730" t="e">
        <f t="shared" si="221"/>
        <v>#DIV/0!</v>
      </c>
      <c r="V730">
        <f t="shared" si="222"/>
        <v>0</v>
      </c>
      <c r="W730" t="e">
        <f t="shared" si="223"/>
        <v>#DIV/0!</v>
      </c>
    </row>
    <row r="731" spans="1:23" x14ac:dyDescent="0.55000000000000004">
      <c r="A731">
        <f t="shared" si="207"/>
        <v>69.700000000000315</v>
      </c>
      <c r="B731">
        <f t="shared" si="208"/>
        <v>0.316</v>
      </c>
      <c r="C731">
        <f t="shared" si="209"/>
        <v>-40.456521739130643</v>
      </c>
      <c r="D731">
        <v>2.415466316375583</v>
      </c>
      <c r="E731">
        <f t="shared" si="210"/>
        <v>0</v>
      </c>
      <c r="F731">
        <f t="shared" si="211"/>
        <v>4.8605058816845369E-2</v>
      </c>
      <c r="G731">
        <f t="shared" si="212"/>
        <v>39.513748498891111</v>
      </c>
      <c r="H731">
        <f t="shared" si="213"/>
        <v>0</v>
      </c>
      <c r="I731" s="1">
        <f t="shared" si="206"/>
        <v>0</v>
      </c>
      <c r="J731">
        <f t="shared" si="214"/>
        <v>0</v>
      </c>
      <c r="K731">
        <f t="shared" si="215"/>
        <v>0</v>
      </c>
      <c r="L731" cm="1">
        <f t="array" ref="L731">IF(E731*J731=0,0,$C$21*INDEX([3]Sheet1!$C$4:$Q$23,MATCH(K731,[3]Sheet1!$B$4:$B$23,1),MATCH(D731,[3]Sheet1!$C$3:$Q$3,1))
+(K731-INDEX([3]Sheet1!$B$4:$B$23,MATCH(K731,[3]Sheet1!$B$4:$B$23,1),1))/(INDEX([3]Sheet1!$B$4:$B$23,MATCH(K731,[3]Sheet1!$B$4:$B$23,1)+1,1)-INDEX([3]Sheet1!$B$4:$B$23,
MATCH(K731,[3]Sheet1!$B$4:$B$23,1),1))*(INDEX([3]Sheet1!$C$4:$Q$23,MATCH(K731,[3]Sheet1!$B$4:$B$23,1)+1,MATCH(D731,[3]Sheet1!$C$3:$Q$3,1))-INDEX([3]Sheet1!$C$4:$Q$23,
MATCH(K731,[3]Sheet1!$B$4:$B$23,1),MATCH(D731,[3]Sheet1!$C$3:$Q$3,1)))
+(D731-INDEX([3]Sheet1!$C$3:$Q$3,1,MATCH(D731,[3]Sheet1!$C$3:$Q$3)))/(INDEX([3]Sheet1!$C$3:$Q$3,1,MATCH(D731,[3]Sheet1!$C$3:$Q$3)+1)-INDEX([3]Sheet1!$C$3:$Q$3,1,MATCH(
D731,[3]Sheet1!$C$3:$Q$3)))*(INDEX([3]Sheet1!$C$4:$Q$23,MATCH(K731,[3]Sheet1!$B$4:$B$23,1),MATCH(D731,[3]Sheet1!$C$3:$Q$3,1)+1)-INDEX([3]Sheet1!$C$4:$Q$23,MATCH(K731,[3]Sheet1!$B$4:$B$23,1),MATCH(D731,[3]Sheet1!$C$3:$Q$3,1))))</f>
        <v>0</v>
      </c>
      <c r="M731" cm="1">
        <f t="array" ref="M731" xml:space="preserve"> IF(E731*J731=0,0,(INDEX([2]Sheet1!$C$4:$Q$23,MATCH(K731,[2]Sheet1!$B$4:$B$23,1),MATCH(D731,[2]Sheet1!$C$3:$Q$3,1))
+ (K731 - INDEX([2]Sheet1!$B$4:$B$23,MATCH(K731,[2]Sheet1!$B$4:$B$23,1),1))/(INDEX([2]Sheet1!$B$4:$B$23,MATCH(K731,[2]Sheet1!$B$4:$B$23,1)+1,1) - INDEX([2]Sheet1!$B$4:$B$23,MATCH(K731,[2]Sheet1!$B$4:$B$23,1),1))*(INDEX([2]Sheet1!$C$4:$Q$23,MATCH(K731,[2]Sheet1!$B$4:$B$23,1)+1,MATCH(D731,[2]Sheet1!$C$3:$Q$3,1)) - INDEX([2]Sheet1!$C$4:$Q$23,MATCH(K731,[2]Sheet1!$B$4:$B$23,1),MATCH(D731,[2]Sheet1!$C$3:$Q$3,1)))
+ (D731 - INDEX([2]Sheet1!$C$3:$Q$3,1,MATCH(D731,[2]Sheet1!$C$3:$Q$3)))/(INDEX([2]Sheet1!$C$3:$Q$3,1,MATCH(D731,[2]Sheet1!$C$3:$Q$3)+1) - INDEX([2]Sheet1!$C$3:$Q$3,1,MATCH(D731,[2]Sheet1!$C$3:$Q$3)))*(
INDEX([2]Sheet1!$C$4:$Q$23,MATCH(K731,[2]Sheet1!$B$4:$B$23,1),MATCH(D731,[2]Sheet1!$C$3:$Q$3,1)+1) - INDEX([2]Sheet1!$C$4:$Q$23,MATCH(K731,[2]Sheet1!$B$4:$B$23,1),MATCH(D731,[2]Sheet1!$C$3:$Q$3,1)))))</f>
        <v>0</v>
      </c>
      <c r="N731">
        <f t="shared" si="216"/>
        <v>12</v>
      </c>
      <c r="O731">
        <v>8.2940848206353501E-2</v>
      </c>
      <c r="P731" t="e">
        <f t="shared" si="217"/>
        <v>#DIV/0!</v>
      </c>
      <c r="Q731">
        <f t="shared" si="218"/>
        <v>0</v>
      </c>
      <c r="R731">
        <f t="shared" si="219"/>
        <v>741.9099431943954</v>
      </c>
      <c r="T731" t="e">
        <f t="shared" si="220"/>
        <v>#DIV/0!</v>
      </c>
      <c r="U731" t="e">
        <f t="shared" si="221"/>
        <v>#DIV/0!</v>
      </c>
      <c r="V731">
        <f t="shared" si="222"/>
        <v>0</v>
      </c>
      <c r="W731" t="e">
        <f t="shared" si="223"/>
        <v>#DIV/0!</v>
      </c>
    </row>
    <row r="732" spans="1:23" x14ac:dyDescent="0.55000000000000004">
      <c r="A732">
        <f t="shared" si="207"/>
        <v>69.80000000000031</v>
      </c>
      <c r="B732">
        <f t="shared" si="208"/>
        <v>0.316</v>
      </c>
      <c r="C732">
        <f t="shared" si="209"/>
        <v>-40.521739130434995</v>
      </c>
      <c r="D732">
        <v>2.4154097553732652</v>
      </c>
      <c r="E732">
        <f t="shared" si="210"/>
        <v>0</v>
      </c>
      <c r="F732">
        <f t="shared" si="211"/>
        <v>4.8605058816845369E-2</v>
      </c>
      <c r="G732">
        <f t="shared" si="212"/>
        <v>39.513748498891111</v>
      </c>
      <c r="H732">
        <f t="shared" si="213"/>
        <v>0</v>
      </c>
      <c r="I732" s="1">
        <f t="shared" si="206"/>
        <v>0</v>
      </c>
      <c r="J732">
        <f t="shared" si="214"/>
        <v>0</v>
      </c>
      <c r="K732">
        <f t="shared" si="215"/>
        <v>0</v>
      </c>
      <c r="L732" cm="1">
        <f t="array" ref="L732">IF(E732*J732=0,0,$C$21*INDEX([3]Sheet1!$C$4:$Q$23,MATCH(K732,[3]Sheet1!$B$4:$B$23,1),MATCH(D732,[3]Sheet1!$C$3:$Q$3,1))
+(K732-INDEX([3]Sheet1!$B$4:$B$23,MATCH(K732,[3]Sheet1!$B$4:$B$23,1),1))/(INDEX([3]Sheet1!$B$4:$B$23,MATCH(K732,[3]Sheet1!$B$4:$B$23,1)+1,1)-INDEX([3]Sheet1!$B$4:$B$23,
MATCH(K732,[3]Sheet1!$B$4:$B$23,1),1))*(INDEX([3]Sheet1!$C$4:$Q$23,MATCH(K732,[3]Sheet1!$B$4:$B$23,1)+1,MATCH(D732,[3]Sheet1!$C$3:$Q$3,1))-INDEX([3]Sheet1!$C$4:$Q$23,
MATCH(K732,[3]Sheet1!$B$4:$B$23,1),MATCH(D732,[3]Sheet1!$C$3:$Q$3,1)))
+(D732-INDEX([3]Sheet1!$C$3:$Q$3,1,MATCH(D732,[3]Sheet1!$C$3:$Q$3)))/(INDEX([3]Sheet1!$C$3:$Q$3,1,MATCH(D732,[3]Sheet1!$C$3:$Q$3)+1)-INDEX([3]Sheet1!$C$3:$Q$3,1,MATCH(
D732,[3]Sheet1!$C$3:$Q$3)))*(INDEX([3]Sheet1!$C$4:$Q$23,MATCH(K732,[3]Sheet1!$B$4:$B$23,1),MATCH(D732,[3]Sheet1!$C$3:$Q$3,1)+1)-INDEX([3]Sheet1!$C$4:$Q$23,MATCH(K732,[3]Sheet1!$B$4:$B$23,1),MATCH(D732,[3]Sheet1!$C$3:$Q$3,1))))</f>
        <v>0</v>
      </c>
      <c r="M732" cm="1">
        <f t="array" ref="M732" xml:space="preserve"> IF(E732*J732=0,0,(INDEX([2]Sheet1!$C$4:$Q$23,MATCH(K732,[2]Sheet1!$B$4:$B$23,1),MATCH(D732,[2]Sheet1!$C$3:$Q$3,1))
+ (K732 - INDEX([2]Sheet1!$B$4:$B$23,MATCH(K732,[2]Sheet1!$B$4:$B$23,1),1))/(INDEX([2]Sheet1!$B$4:$B$23,MATCH(K732,[2]Sheet1!$B$4:$B$23,1)+1,1) - INDEX([2]Sheet1!$B$4:$B$23,MATCH(K732,[2]Sheet1!$B$4:$B$23,1),1))*(INDEX([2]Sheet1!$C$4:$Q$23,MATCH(K732,[2]Sheet1!$B$4:$B$23,1)+1,MATCH(D732,[2]Sheet1!$C$3:$Q$3,1)) - INDEX([2]Sheet1!$C$4:$Q$23,MATCH(K732,[2]Sheet1!$B$4:$B$23,1),MATCH(D732,[2]Sheet1!$C$3:$Q$3,1)))
+ (D732 - INDEX([2]Sheet1!$C$3:$Q$3,1,MATCH(D732,[2]Sheet1!$C$3:$Q$3)))/(INDEX([2]Sheet1!$C$3:$Q$3,1,MATCH(D732,[2]Sheet1!$C$3:$Q$3)+1) - INDEX([2]Sheet1!$C$3:$Q$3,1,MATCH(D732,[2]Sheet1!$C$3:$Q$3)))*(
INDEX([2]Sheet1!$C$4:$Q$23,MATCH(K732,[2]Sheet1!$B$4:$B$23,1),MATCH(D732,[2]Sheet1!$C$3:$Q$3,1)+1) - INDEX([2]Sheet1!$C$4:$Q$23,MATCH(K732,[2]Sheet1!$B$4:$B$23,1),MATCH(D732,[2]Sheet1!$C$3:$Q$3,1)))))</f>
        <v>0</v>
      </c>
      <c r="N732">
        <f t="shared" si="216"/>
        <v>12</v>
      </c>
      <c r="O732">
        <v>8.2929862157351139E-2</v>
      </c>
      <c r="P732" t="e">
        <f t="shared" si="217"/>
        <v>#DIV/0!</v>
      </c>
      <c r="Q732">
        <f t="shared" si="218"/>
        <v>0</v>
      </c>
      <c r="R732">
        <f t="shared" si="219"/>
        <v>741.9099431943954</v>
      </c>
      <c r="T732" t="e">
        <f t="shared" si="220"/>
        <v>#DIV/0!</v>
      </c>
      <c r="U732" t="e">
        <f t="shared" si="221"/>
        <v>#DIV/0!</v>
      </c>
      <c r="V732">
        <f t="shared" si="222"/>
        <v>0</v>
      </c>
      <c r="W732" t="e">
        <f t="shared" si="223"/>
        <v>#DIV/0!</v>
      </c>
    </row>
    <row r="733" spans="1:23" x14ac:dyDescent="0.55000000000000004">
      <c r="A733">
        <f t="shared" si="207"/>
        <v>69.900000000000304</v>
      </c>
      <c r="B733">
        <f t="shared" si="208"/>
        <v>0.316</v>
      </c>
      <c r="C733">
        <f t="shared" si="209"/>
        <v>-40.586956521739332</v>
      </c>
      <c r="D733">
        <v>2.415353254232349</v>
      </c>
      <c r="E733">
        <f t="shared" si="210"/>
        <v>0</v>
      </c>
      <c r="F733">
        <f t="shared" si="211"/>
        <v>4.8605058816845369E-2</v>
      </c>
      <c r="G733">
        <f t="shared" si="212"/>
        <v>39.513748498891111</v>
      </c>
      <c r="H733">
        <f t="shared" si="213"/>
        <v>0</v>
      </c>
      <c r="I733" s="1">
        <f t="shared" si="206"/>
        <v>0</v>
      </c>
      <c r="J733">
        <f t="shared" si="214"/>
        <v>0</v>
      </c>
      <c r="K733">
        <f t="shared" si="215"/>
        <v>0</v>
      </c>
      <c r="L733" cm="1">
        <f t="array" ref="L733">IF(E733*J733=0,0,$C$21*INDEX([3]Sheet1!$C$4:$Q$23,MATCH(K733,[3]Sheet1!$B$4:$B$23,1),MATCH(D733,[3]Sheet1!$C$3:$Q$3,1))
+(K733-INDEX([3]Sheet1!$B$4:$B$23,MATCH(K733,[3]Sheet1!$B$4:$B$23,1),1))/(INDEX([3]Sheet1!$B$4:$B$23,MATCH(K733,[3]Sheet1!$B$4:$B$23,1)+1,1)-INDEX([3]Sheet1!$B$4:$B$23,
MATCH(K733,[3]Sheet1!$B$4:$B$23,1),1))*(INDEX([3]Sheet1!$C$4:$Q$23,MATCH(K733,[3]Sheet1!$B$4:$B$23,1)+1,MATCH(D733,[3]Sheet1!$C$3:$Q$3,1))-INDEX([3]Sheet1!$C$4:$Q$23,
MATCH(K733,[3]Sheet1!$B$4:$B$23,1),MATCH(D733,[3]Sheet1!$C$3:$Q$3,1)))
+(D733-INDEX([3]Sheet1!$C$3:$Q$3,1,MATCH(D733,[3]Sheet1!$C$3:$Q$3)))/(INDEX([3]Sheet1!$C$3:$Q$3,1,MATCH(D733,[3]Sheet1!$C$3:$Q$3)+1)-INDEX([3]Sheet1!$C$3:$Q$3,1,MATCH(
D733,[3]Sheet1!$C$3:$Q$3)))*(INDEX([3]Sheet1!$C$4:$Q$23,MATCH(K733,[3]Sheet1!$B$4:$B$23,1),MATCH(D733,[3]Sheet1!$C$3:$Q$3,1)+1)-INDEX([3]Sheet1!$C$4:$Q$23,MATCH(K733,[3]Sheet1!$B$4:$B$23,1),MATCH(D733,[3]Sheet1!$C$3:$Q$3,1))))</f>
        <v>0</v>
      </c>
      <c r="M733" cm="1">
        <f t="array" ref="M733" xml:space="preserve"> IF(E733*J733=0,0,(INDEX([2]Sheet1!$C$4:$Q$23,MATCH(K733,[2]Sheet1!$B$4:$B$23,1),MATCH(D733,[2]Sheet1!$C$3:$Q$3,1))
+ (K733 - INDEX([2]Sheet1!$B$4:$B$23,MATCH(K733,[2]Sheet1!$B$4:$B$23,1),1))/(INDEX([2]Sheet1!$B$4:$B$23,MATCH(K733,[2]Sheet1!$B$4:$B$23,1)+1,1) - INDEX([2]Sheet1!$B$4:$B$23,MATCH(K733,[2]Sheet1!$B$4:$B$23,1),1))*(INDEX([2]Sheet1!$C$4:$Q$23,MATCH(K733,[2]Sheet1!$B$4:$B$23,1)+1,MATCH(D733,[2]Sheet1!$C$3:$Q$3,1)) - INDEX([2]Sheet1!$C$4:$Q$23,MATCH(K733,[2]Sheet1!$B$4:$B$23,1),MATCH(D733,[2]Sheet1!$C$3:$Q$3,1)))
+ (D733 - INDEX([2]Sheet1!$C$3:$Q$3,1,MATCH(D733,[2]Sheet1!$C$3:$Q$3)))/(INDEX([2]Sheet1!$C$3:$Q$3,1,MATCH(D733,[2]Sheet1!$C$3:$Q$3)+1) - INDEX([2]Sheet1!$C$3:$Q$3,1,MATCH(D733,[2]Sheet1!$C$3:$Q$3)))*(
INDEX([2]Sheet1!$C$4:$Q$23,MATCH(K733,[2]Sheet1!$B$4:$B$23,1),MATCH(D733,[2]Sheet1!$C$3:$Q$3,1)+1) - INDEX([2]Sheet1!$C$4:$Q$23,MATCH(K733,[2]Sheet1!$B$4:$B$23,1),MATCH(D733,[2]Sheet1!$C$3:$Q$3,1)))))</f>
        <v>0</v>
      </c>
      <c r="N733">
        <f t="shared" si="216"/>
        <v>12</v>
      </c>
      <c r="O733">
        <v>8.2918889180148239E-2</v>
      </c>
      <c r="P733" t="e">
        <f t="shared" si="217"/>
        <v>#DIV/0!</v>
      </c>
      <c r="Q733">
        <f t="shared" si="218"/>
        <v>0</v>
      </c>
      <c r="R733">
        <f t="shared" si="219"/>
        <v>741.9099431943954</v>
      </c>
      <c r="T733" t="e">
        <f t="shared" si="220"/>
        <v>#DIV/0!</v>
      </c>
      <c r="U733" t="e">
        <f t="shared" si="221"/>
        <v>#DIV/0!</v>
      </c>
      <c r="V733">
        <f t="shared" si="222"/>
        <v>0</v>
      </c>
      <c r="W733" t="e">
        <f t="shared" si="223"/>
        <v>#DIV/0!</v>
      </c>
    </row>
    <row r="734" spans="1:23" x14ac:dyDescent="0.55000000000000004">
      <c r="A734">
        <f t="shared" si="207"/>
        <v>70.000000000000298</v>
      </c>
      <c r="B734">
        <f t="shared" si="208"/>
        <v>0.316</v>
      </c>
      <c r="C734">
        <f t="shared" si="209"/>
        <v>-40.652173913043683</v>
      </c>
      <c r="D734">
        <v>2.4152968128216159</v>
      </c>
      <c r="E734">
        <f t="shared" si="210"/>
        <v>0</v>
      </c>
      <c r="F734">
        <f t="shared" si="211"/>
        <v>4.8605058816845369E-2</v>
      </c>
      <c r="G734">
        <f t="shared" si="212"/>
        <v>39.513748498891111</v>
      </c>
      <c r="H734">
        <f t="shared" si="213"/>
        <v>0</v>
      </c>
      <c r="I734" s="1">
        <f t="shared" si="206"/>
        <v>0</v>
      </c>
      <c r="J734">
        <f t="shared" si="214"/>
        <v>0</v>
      </c>
      <c r="K734">
        <f t="shared" si="215"/>
        <v>0</v>
      </c>
      <c r="L734" cm="1">
        <f t="array" ref="L734">IF(E734*J734=0,0,$C$21*INDEX([3]Sheet1!$C$4:$Q$23,MATCH(K734,[3]Sheet1!$B$4:$B$23,1),MATCH(D734,[3]Sheet1!$C$3:$Q$3,1))
+(K734-INDEX([3]Sheet1!$B$4:$B$23,MATCH(K734,[3]Sheet1!$B$4:$B$23,1),1))/(INDEX([3]Sheet1!$B$4:$B$23,MATCH(K734,[3]Sheet1!$B$4:$B$23,1)+1,1)-INDEX([3]Sheet1!$B$4:$B$23,
MATCH(K734,[3]Sheet1!$B$4:$B$23,1),1))*(INDEX([3]Sheet1!$C$4:$Q$23,MATCH(K734,[3]Sheet1!$B$4:$B$23,1)+1,MATCH(D734,[3]Sheet1!$C$3:$Q$3,1))-INDEX([3]Sheet1!$C$4:$Q$23,
MATCH(K734,[3]Sheet1!$B$4:$B$23,1),MATCH(D734,[3]Sheet1!$C$3:$Q$3,1)))
+(D734-INDEX([3]Sheet1!$C$3:$Q$3,1,MATCH(D734,[3]Sheet1!$C$3:$Q$3)))/(INDEX([3]Sheet1!$C$3:$Q$3,1,MATCH(D734,[3]Sheet1!$C$3:$Q$3)+1)-INDEX([3]Sheet1!$C$3:$Q$3,1,MATCH(
D734,[3]Sheet1!$C$3:$Q$3)))*(INDEX([3]Sheet1!$C$4:$Q$23,MATCH(K734,[3]Sheet1!$B$4:$B$23,1),MATCH(D734,[3]Sheet1!$C$3:$Q$3,1)+1)-INDEX([3]Sheet1!$C$4:$Q$23,MATCH(K734,[3]Sheet1!$B$4:$B$23,1),MATCH(D734,[3]Sheet1!$C$3:$Q$3,1))))</f>
        <v>0</v>
      </c>
      <c r="M734" cm="1">
        <f t="array" ref="M734" xml:space="preserve"> IF(E734*J734=0,0,(INDEX([2]Sheet1!$C$4:$Q$23,MATCH(K734,[2]Sheet1!$B$4:$B$23,1),MATCH(D734,[2]Sheet1!$C$3:$Q$3,1))
+ (K734 - INDEX([2]Sheet1!$B$4:$B$23,MATCH(K734,[2]Sheet1!$B$4:$B$23,1),1))/(INDEX([2]Sheet1!$B$4:$B$23,MATCH(K734,[2]Sheet1!$B$4:$B$23,1)+1,1) - INDEX([2]Sheet1!$B$4:$B$23,MATCH(K734,[2]Sheet1!$B$4:$B$23,1),1))*(INDEX([2]Sheet1!$C$4:$Q$23,MATCH(K734,[2]Sheet1!$B$4:$B$23,1)+1,MATCH(D734,[2]Sheet1!$C$3:$Q$3,1)) - INDEX([2]Sheet1!$C$4:$Q$23,MATCH(K734,[2]Sheet1!$B$4:$B$23,1),MATCH(D734,[2]Sheet1!$C$3:$Q$3,1)))
+ (D734 - INDEX([2]Sheet1!$C$3:$Q$3,1,MATCH(D734,[2]Sheet1!$C$3:$Q$3)))/(INDEX([2]Sheet1!$C$3:$Q$3,1,MATCH(D734,[2]Sheet1!$C$3:$Q$3)+1) - INDEX([2]Sheet1!$C$3:$Q$3,1,MATCH(D734,[2]Sheet1!$C$3:$Q$3)))*(
INDEX([2]Sheet1!$C$4:$Q$23,MATCH(K734,[2]Sheet1!$B$4:$B$23,1),MATCH(D734,[2]Sheet1!$C$3:$Q$3,1)+1) - INDEX([2]Sheet1!$C$4:$Q$23,MATCH(K734,[2]Sheet1!$B$4:$B$23,1),MATCH(D734,[2]Sheet1!$C$3:$Q$3,1)))))</f>
        <v>0</v>
      </c>
      <c r="N734">
        <f t="shared" si="216"/>
        <v>12</v>
      </c>
      <c r="O734">
        <v>8.2907929244651193E-2</v>
      </c>
      <c r="P734" t="e">
        <f t="shared" si="217"/>
        <v>#DIV/0!</v>
      </c>
      <c r="Q734">
        <f t="shared" si="218"/>
        <v>0</v>
      </c>
      <c r="R734">
        <f t="shared" si="219"/>
        <v>741.9099431943954</v>
      </c>
      <c r="T734" t="e">
        <f t="shared" si="220"/>
        <v>#DIV/0!</v>
      </c>
      <c r="U734" t="e">
        <f t="shared" si="221"/>
        <v>#DIV/0!</v>
      </c>
      <c r="V734">
        <f t="shared" si="222"/>
        <v>0</v>
      </c>
      <c r="W734" t="e">
        <f t="shared" si="223"/>
        <v>#DIV/0!</v>
      </c>
    </row>
    <row r="735" spans="1:23" x14ac:dyDescent="0.55000000000000004">
      <c r="A735">
        <f t="shared" si="207"/>
        <v>70.100000000000293</v>
      </c>
      <c r="B735">
        <f t="shared" si="208"/>
        <v>0.316</v>
      </c>
      <c r="C735">
        <f t="shared" si="209"/>
        <v>-40.71739130434802</v>
      </c>
      <c r="D735">
        <v>2.4152404310102824</v>
      </c>
      <c r="E735">
        <f t="shared" si="210"/>
        <v>0</v>
      </c>
      <c r="F735">
        <f t="shared" si="211"/>
        <v>4.8605058816845369E-2</v>
      </c>
      <c r="G735">
        <f t="shared" si="212"/>
        <v>39.513748498891111</v>
      </c>
      <c r="H735">
        <f t="shared" si="213"/>
        <v>0</v>
      </c>
      <c r="I735" s="1">
        <f t="shared" si="206"/>
        <v>0</v>
      </c>
      <c r="J735">
        <f t="shared" si="214"/>
        <v>0</v>
      </c>
      <c r="K735">
        <f t="shared" si="215"/>
        <v>0</v>
      </c>
      <c r="L735" cm="1">
        <f t="array" ref="L735">IF(E735*J735=0,0,$C$21*INDEX([3]Sheet1!$C$4:$Q$23,MATCH(K735,[3]Sheet1!$B$4:$B$23,1),MATCH(D735,[3]Sheet1!$C$3:$Q$3,1))
+(K735-INDEX([3]Sheet1!$B$4:$B$23,MATCH(K735,[3]Sheet1!$B$4:$B$23,1),1))/(INDEX([3]Sheet1!$B$4:$B$23,MATCH(K735,[3]Sheet1!$B$4:$B$23,1)+1,1)-INDEX([3]Sheet1!$B$4:$B$23,
MATCH(K735,[3]Sheet1!$B$4:$B$23,1),1))*(INDEX([3]Sheet1!$C$4:$Q$23,MATCH(K735,[3]Sheet1!$B$4:$B$23,1)+1,MATCH(D735,[3]Sheet1!$C$3:$Q$3,1))-INDEX([3]Sheet1!$C$4:$Q$23,
MATCH(K735,[3]Sheet1!$B$4:$B$23,1),MATCH(D735,[3]Sheet1!$C$3:$Q$3,1)))
+(D735-INDEX([3]Sheet1!$C$3:$Q$3,1,MATCH(D735,[3]Sheet1!$C$3:$Q$3)))/(INDEX([3]Sheet1!$C$3:$Q$3,1,MATCH(D735,[3]Sheet1!$C$3:$Q$3)+1)-INDEX([3]Sheet1!$C$3:$Q$3,1,MATCH(
D735,[3]Sheet1!$C$3:$Q$3)))*(INDEX([3]Sheet1!$C$4:$Q$23,MATCH(K735,[3]Sheet1!$B$4:$B$23,1),MATCH(D735,[3]Sheet1!$C$3:$Q$3,1)+1)-INDEX([3]Sheet1!$C$4:$Q$23,MATCH(K735,[3]Sheet1!$B$4:$B$23,1),MATCH(D735,[3]Sheet1!$C$3:$Q$3,1))))</f>
        <v>0</v>
      </c>
      <c r="M735" cm="1">
        <f t="array" ref="M735" xml:space="preserve"> IF(E735*J735=0,0,(INDEX([2]Sheet1!$C$4:$Q$23,MATCH(K735,[2]Sheet1!$B$4:$B$23,1),MATCH(D735,[2]Sheet1!$C$3:$Q$3,1))
+ (K735 - INDEX([2]Sheet1!$B$4:$B$23,MATCH(K735,[2]Sheet1!$B$4:$B$23,1),1))/(INDEX([2]Sheet1!$B$4:$B$23,MATCH(K735,[2]Sheet1!$B$4:$B$23,1)+1,1) - INDEX([2]Sheet1!$B$4:$B$23,MATCH(K735,[2]Sheet1!$B$4:$B$23,1),1))*(INDEX([2]Sheet1!$C$4:$Q$23,MATCH(K735,[2]Sheet1!$B$4:$B$23,1)+1,MATCH(D735,[2]Sheet1!$C$3:$Q$3,1)) - INDEX([2]Sheet1!$C$4:$Q$23,MATCH(K735,[2]Sheet1!$B$4:$B$23,1),MATCH(D735,[2]Sheet1!$C$3:$Q$3,1)))
+ (D735 - INDEX([2]Sheet1!$C$3:$Q$3,1,MATCH(D735,[2]Sheet1!$C$3:$Q$3)))/(INDEX([2]Sheet1!$C$3:$Q$3,1,MATCH(D735,[2]Sheet1!$C$3:$Q$3)+1) - INDEX([2]Sheet1!$C$3:$Q$3,1,MATCH(D735,[2]Sheet1!$C$3:$Q$3)))*(
INDEX([2]Sheet1!$C$4:$Q$23,MATCH(K735,[2]Sheet1!$B$4:$B$23,1),MATCH(D735,[2]Sheet1!$C$3:$Q$3,1)+1) - INDEX([2]Sheet1!$C$4:$Q$23,MATCH(K735,[2]Sheet1!$B$4:$B$23,1),MATCH(D735,[2]Sheet1!$C$3:$Q$3,1)))))</f>
        <v>0</v>
      </c>
      <c r="N735">
        <f t="shared" si="216"/>
        <v>12</v>
      </c>
      <c r="O735">
        <v>8.2896982320870172E-2</v>
      </c>
      <c r="P735" t="e">
        <f t="shared" si="217"/>
        <v>#DIV/0!</v>
      </c>
      <c r="Q735">
        <f t="shared" si="218"/>
        <v>0</v>
      </c>
      <c r="R735">
        <f t="shared" si="219"/>
        <v>741.9099431943954</v>
      </c>
      <c r="T735" t="e">
        <f t="shared" si="220"/>
        <v>#DIV/0!</v>
      </c>
      <c r="U735" t="e">
        <f t="shared" si="221"/>
        <v>#DIV/0!</v>
      </c>
      <c r="V735">
        <f t="shared" si="222"/>
        <v>0</v>
      </c>
      <c r="W735" t="e">
        <f t="shared" si="223"/>
        <v>#DIV/0!</v>
      </c>
    </row>
    <row r="736" spans="1:23" x14ac:dyDescent="0.55000000000000004">
      <c r="A736">
        <f t="shared" si="207"/>
        <v>70.200000000000287</v>
      </c>
      <c r="B736">
        <f t="shared" si="208"/>
        <v>0.316</v>
      </c>
      <c r="C736">
        <f t="shared" si="209"/>
        <v>-40.782608695652371</v>
      </c>
      <c r="D736">
        <v>2.4151841086679964</v>
      </c>
      <c r="E736">
        <f t="shared" si="210"/>
        <v>0</v>
      </c>
      <c r="F736">
        <f t="shared" si="211"/>
        <v>4.8605058816845369E-2</v>
      </c>
      <c r="G736">
        <f t="shared" si="212"/>
        <v>39.513748498891111</v>
      </c>
      <c r="H736">
        <f t="shared" si="213"/>
        <v>0</v>
      </c>
      <c r="I736" s="1">
        <f t="shared" si="206"/>
        <v>0</v>
      </c>
      <c r="J736">
        <f t="shared" si="214"/>
        <v>0</v>
      </c>
      <c r="K736">
        <f t="shared" si="215"/>
        <v>0</v>
      </c>
      <c r="L736" cm="1">
        <f t="array" ref="L736">IF(E736*J736=0,0,$C$21*INDEX([3]Sheet1!$C$4:$Q$23,MATCH(K736,[3]Sheet1!$B$4:$B$23,1),MATCH(D736,[3]Sheet1!$C$3:$Q$3,1))
+(K736-INDEX([3]Sheet1!$B$4:$B$23,MATCH(K736,[3]Sheet1!$B$4:$B$23,1),1))/(INDEX([3]Sheet1!$B$4:$B$23,MATCH(K736,[3]Sheet1!$B$4:$B$23,1)+1,1)-INDEX([3]Sheet1!$B$4:$B$23,
MATCH(K736,[3]Sheet1!$B$4:$B$23,1),1))*(INDEX([3]Sheet1!$C$4:$Q$23,MATCH(K736,[3]Sheet1!$B$4:$B$23,1)+1,MATCH(D736,[3]Sheet1!$C$3:$Q$3,1))-INDEX([3]Sheet1!$C$4:$Q$23,
MATCH(K736,[3]Sheet1!$B$4:$B$23,1),MATCH(D736,[3]Sheet1!$C$3:$Q$3,1)))
+(D736-INDEX([3]Sheet1!$C$3:$Q$3,1,MATCH(D736,[3]Sheet1!$C$3:$Q$3)))/(INDEX([3]Sheet1!$C$3:$Q$3,1,MATCH(D736,[3]Sheet1!$C$3:$Q$3)+1)-INDEX([3]Sheet1!$C$3:$Q$3,1,MATCH(
D736,[3]Sheet1!$C$3:$Q$3)))*(INDEX([3]Sheet1!$C$4:$Q$23,MATCH(K736,[3]Sheet1!$B$4:$B$23,1),MATCH(D736,[3]Sheet1!$C$3:$Q$3,1)+1)-INDEX([3]Sheet1!$C$4:$Q$23,MATCH(K736,[3]Sheet1!$B$4:$B$23,1),MATCH(D736,[3]Sheet1!$C$3:$Q$3,1))))</f>
        <v>0</v>
      </c>
      <c r="M736" cm="1">
        <f t="array" ref="M736" xml:space="preserve"> IF(E736*J736=0,0,(INDEX([2]Sheet1!$C$4:$Q$23,MATCH(K736,[2]Sheet1!$B$4:$B$23,1),MATCH(D736,[2]Sheet1!$C$3:$Q$3,1))
+ (K736 - INDEX([2]Sheet1!$B$4:$B$23,MATCH(K736,[2]Sheet1!$B$4:$B$23,1),1))/(INDEX([2]Sheet1!$B$4:$B$23,MATCH(K736,[2]Sheet1!$B$4:$B$23,1)+1,1) - INDEX([2]Sheet1!$B$4:$B$23,MATCH(K736,[2]Sheet1!$B$4:$B$23,1),1))*(INDEX([2]Sheet1!$C$4:$Q$23,MATCH(K736,[2]Sheet1!$B$4:$B$23,1)+1,MATCH(D736,[2]Sheet1!$C$3:$Q$3,1)) - INDEX([2]Sheet1!$C$4:$Q$23,MATCH(K736,[2]Sheet1!$B$4:$B$23,1),MATCH(D736,[2]Sheet1!$C$3:$Q$3,1)))
+ (D736 - INDEX([2]Sheet1!$C$3:$Q$3,1,MATCH(D736,[2]Sheet1!$C$3:$Q$3)))/(INDEX([2]Sheet1!$C$3:$Q$3,1,MATCH(D736,[2]Sheet1!$C$3:$Q$3)+1) - INDEX([2]Sheet1!$C$3:$Q$3,1,MATCH(D736,[2]Sheet1!$C$3:$Q$3)))*(
INDEX([2]Sheet1!$C$4:$Q$23,MATCH(K736,[2]Sheet1!$B$4:$B$23,1),MATCH(D736,[2]Sheet1!$C$3:$Q$3,1)+1) - INDEX([2]Sheet1!$C$4:$Q$23,MATCH(K736,[2]Sheet1!$B$4:$B$23,1),MATCH(D736,[2]Sheet1!$C$3:$Q$3,1)))))</f>
        <v>0</v>
      </c>
      <c r="N736">
        <f t="shared" si="216"/>
        <v>12</v>
      </c>
      <c r="O736">
        <v>8.2886048378917609E-2</v>
      </c>
      <c r="P736" t="e">
        <f t="shared" si="217"/>
        <v>#DIV/0!</v>
      </c>
      <c r="Q736">
        <f t="shared" si="218"/>
        <v>0</v>
      </c>
      <c r="R736">
        <f t="shared" si="219"/>
        <v>741.9099431943954</v>
      </c>
      <c r="T736" t="e">
        <f t="shared" si="220"/>
        <v>#DIV/0!</v>
      </c>
      <c r="U736" t="e">
        <f t="shared" si="221"/>
        <v>#DIV/0!</v>
      </c>
      <c r="V736">
        <f t="shared" si="222"/>
        <v>0</v>
      </c>
      <c r="W736" t="e">
        <f t="shared" si="223"/>
        <v>#DIV/0!</v>
      </c>
    </row>
    <row r="737" spans="1:23" x14ac:dyDescent="0.55000000000000004">
      <c r="A737">
        <f t="shared" si="207"/>
        <v>70.300000000000281</v>
      </c>
      <c r="B737">
        <f t="shared" si="208"/>
        <v>0.316</v>
      </c>
      <c r="C737">
        <f t="shared" si="209"/>
        <v>-40.847826086956708</v>
      </c>
      <c r="D737">
        <v>2.415127845664836</v>
      </c>
      <c r="E737">
        <f t="shared" si="210"/>
        <v>0</v>
      </c>
      <c r="F737">
        <f t="shared" si="211"/>
        <v>4.8605058816845369E-2</v>
      </c>
      <c r="G737">
        <f t="shared" si="212"/>
        <v>39.513748498891111</v>
      </c>
      <c r="H737">
        <f t="shared" si="213"/>
        <v>0</v>
      </c>
      <c r="I737" s="1">
        <f t="shared" si="206"/>
        <v>0</v>
      </c>
      <c r="J737">
        <f t="shared" si="214"/>
        <v>0</v>
      </c>
      <c r="K737">
        <f t="shared" si="215"/>
        <v>0</v>
      </c>
      <c r="L737" cm="1">
        <f t="array" ref="L737">IF(E737*J737=0,0,$C$21*INDEX([3]Sheet1!$C$4:$Q$23,MATCH(K737,[3]Sheet1!$B$4:$B$23,1),MATCH(D737,[3]Sheet1!$C$3:$Q$3,1))
+(K737-INDEX([3]Sheet1!$B$4:$B$23,MATCH(K737,[3]Sheet1!$B$4:$B$23,1),1))/(INDEX([3]Sheet1!$B$4:$B$23,MATCH(K737,[3]Sheet1!$B$4:$B$23,1)+1,1)-INDEX([3]Sheet1!$B$4:$B$23,
MATCH(K737,[3]Sheet1!$B$4:$B$23,1),1))*(INDEX([3]Sheet1!$C$4:$Q$23,MATCH(K737,[3]Sheet1!$B$4:$B$23,1)+1,MATCH(D737,[3]Sheet1!$C$3:$Q$3,1))-INDEX([3]Sheet1!$C$4:$Q$23,
MATCH(K737,[3]Sheet1!$B$4:$B$23,1),MATCH(D737,[3]Sheet1!$C$3:$Q$3,1)))
+(D737-INDEX([3]Sheet1!$C$3:$Q$3,1,MATCH(D737,[3]Sheet1!$C$3:$Q$3)))/(INDEX([3]Sheet1!$C$3:$Q$3,1,MATCH(D737,[3]Sheet1!$C$3:$Q$3)+1)-INDEX([3]Sheet1!$C$3:$Q$3,1,MATCH(
D737,[3]Sheet1!$C$3:$Q$3)))*(INDEX([3]Sheet1!$C$4:$Q$23,MATCH(K737,[3]Sheet1!$B$4:$B$23,1),MATCH(D737,[3]Sheet1!$C$3:$Q$3,1)+1)-INDEX([3]Sheet1!$C$4:$Q$23,MATCH(K737,[3]Sheet1!$B$4:$B$23,1),MATCH(D737,[3]Sheet1!$C$3:$Q$3,1))))</f>
        <v>0</v>
      </c>
      <c r="M737" cm="1">
        <f t="array" ref="M737" xml:space="preserve"> IF(E737*J737=0,0,(INDEX([2]Sheet1!$C$4:$Q$23,MATCH(K737,[2]Sheet1!$B$4:$B$23,1),MATCH(D737,[2]Sheet1!$C$3:$Q$3,1))
+ (K737 - INDEX([2]Sheet1!$B$4:$B$23,MATCH(K737,[2]Sheet1!$B$4:$B$23,1),1))/(INDEX([2]Sheet1!$B$4:$B$23,MATCH(K737,[2]Sheet1!$B$4:$B$23,1)+1,1) - INDEX([2]Sheet1!$B$4:$B$23,MATCH(K737,[2]Sheet1!$B$4:$B$23,1),1))*(INDEX([2]Sheet1!$C$4:$Q$23,MATCH(K737,[2]Sheet1!$B$4:$B$23,1)+1,MATCH(D737,[2]Sheet1!$C$3:$Q$3,1)) - INDEX([2]Sheet1!$C$4:$Q$23,MATCH(K737,[2]Sheet1!$B$4:$B$23,1),MATCH(D737,[2]Sheet1!$C$3:$Q$3,1)))
+ (D737 - INDEX([2]Sheet1!$C$3:$Q$3,1,MATCH(D737,[2]Sheet1!$C$3:$Q$3)))/(INDEX([2]Sheet1!$C$3:$Q$3,1,MATCH(D737,[2]Sheet1!$C$3:$Q$3)+1) - INDEX([2]Sheet1!$C$3:$Q$3,1,MATCH(D737,[2]Sheet1!$C$3:$Q$3)))*(
INDEX([2]Sheet1!$C$4:$Q$23,MATCH(K737,[2]Sheet1!$B$4:$B$23,1),MATCH(D737,[2]Sheet1!$C$3:$Q$3,1)+1) - INDEX([2]Sheet1!$C$4:$Q$23,MATCH(K737,[2]Sheet1!$B$4:$B$23,1),MATCH(D737,[2]Sheet1!$C$3:$Q$3,1)))))</f>
        <v>0</v>
      </c>
      <c r="N737">
        <f t="shared" si="216"/>
        <v>12</v>
      </c>
      <c r="O737">
        <v>8.2875127389008443E-2</v>
      </c>
      <c r="P737" t="e">
        <f t="shared" si="217"/>
        <v>#DIV/0!</v>
      </c>
      <c r="Q737">
        <f t="shared" si="218"/>
        <v>0</v>
      </c>
      <c r="R737">
        <f t="shared" si="219"/>
        <v>741.9099431943954</v>
      </c>
      <c r="T737" t="e">
        <f t="shared" si="220"/>
        <v>#DIV/0!</v>
      </c>
      <c r="U737" t="e">
        <f t="shared" si="221"/>
        <v>#DIV/0!</v>
      </c>
      <c r="V737">
        <f t="shared" si="222"/>
        <v>0</v>
      </c>
      <c r="W737" t="e">
        <f t="shared" si="223"/>
        <v>#DIV/0!</v>
      </c>
    </row>
    <row r="738" spans="1:23" x14ac:dyDescent="0.55000000000000004">
      <c r="A738">
        <f t="shared" si="207"/>
        <v>70.400000000000276</v>
      </c>
      <c r="B738">
        <f t="shared" si="208"/>
        <v>0.316</v>
      </c>
      <c r="C738">
        <f t="shared" si="209"/>
        <v>-40.913043478261059</v>
      </c>
      <c r="D738">
        <v>2.4150716418713087</v>
      </c>
      <c r="E738">
        <f t="shared" si="210"/>
        <v>0</v>
      </c>
      <c r="F738">
        <f t="shared" si="211"/>
        <v>4.8605058816845369E-2</v>
      </c>
      <c r="G738">
        <f t="shared" si="212"/>
        <v>39.513748498891111</v>
      </c>
      <c r="H738">
        <f t="shared" si="213"/>
        <v>0</v>
      </c>
      <c r="I738" s="1">
        <f t="shared" si="206"/>
        <v>0</v>
      </c>
      <c r="J738">
        <f t="shared" si="214"/>
        <v>0</v>
      </c>
      <c r="K738">
        <f t="shared" si="215"/>
        <v>0</v>
      </c>
      <c r="L738" cm="1">
        <f t="array" ref="L738">IF(E738*J738=0,0,$C$21*INDEX([3]Sheet1!$C$4:$Q$23,MATCH(K738,[3]Sheet1!$B$4:$B$23,1),MATCH(D738,[3]Sheet1!$C$3:$Q$3,1))
+(K738-INDEX([3]Sheet1!$B$4:$B$23,MATCH(K738,[3]Sheet1!$B$4:$B$23,1),1))/(INDEX([3]Sheet1!$B$4:$B$23,MATCH(K738,[3]Sheet1!$B$4:$B$23,1)+1,1)-INDEX([3]Sheet1!$B$4:$B$23,
MATCH(K738,[3]Sheet1!$B$4:$B$23,1),1))*(INDEX([3]Sheet1!$C$4:$Q$23,MATCH(K738,[3]Sheet1!$B$4:$B$23,1)+1,MATCH(D738,[3]Sheet1!$C$3:$Q$3,1))-INDEX([3]Sheet1!$C$4:$Q$23,
MATCH(K738,[3]Sheet1!$B$4:$B$23,1),MATCH(D738,[3]Sheet1!$C$3:$Q$3,1)))
+(D738-INDEX([3]Sheet1!$C$3:$Q$3,1,MATCH(D738,[3]Sheet1!$C$3:$Q$3)))/(INDEX([3]Sheet1!$C$3:$Q$3,1,MATCH(D738,[3]Sheet1!$C$3:$Q$3)+1)-INDEX([3]Sheet1!$C$3:$Q$3,1,MATCH(
D738,[3]Sheet1!$C$3:$Q$3)))*(INDEX([3]Sheet1!$C$4:$Q$23,MATCH(K738,[3]Sheet1!$B$4:$B$23,1),MATCH(D738,[3]Sheet1!$C$3:$Q$3,1)+1)-INDEX([3]Sheet1!$C$4:$Q$23,MATCH(K738,[3]Sheet1!$B$4:$B$23,1),MATCH(D738,[3]Sheet1!$C$3:$Q$3,1))))</f>
        <v>0</v>
      </c>
      <c r="M738" cm="1">
        <f t="array" ref="M738" xml:space="preserve"> IF(E738*J738=0,0,(INDEX([2]Sheet1!$C$4:$Q$23,MATCH(K738,[2]Sheet1!$B$4:$B$23,1),MATCH(D738,[2]Sheet1!$C$3:$Q$3,1))
+ (K738 - INDEX([2]Sheet1!$B$4:$B$23,MATCH(K738,[2]Sheet1!$B$4:$B$23,1),1))/(INDEX([2]Sheet1!$B$4:$B$23,MATCH(K738,[2]Sheet1!$B$4:$B$23,1)+1,1) - INDEX([2]Sheet1!$B$4:$B$23,MATCH(K738,[2]Sheet1!$B$4:$B$23,1),1))*(INDEX([2]Sheet1!$C$4:$Q$23,MATCH(K738,[2]Sheet1!$B$4:$B$23,1)+1,MATCH(D738,[2]Sheet1!$C$3:$Q$3,1)) - INDEX([2]Sheet1!$C$4:$Q$23,MATCH(K738,[2]Sheet1!$B$4:$B$23,1),MATCH(D738,[2]Sheet1!$C$3:$Q$3,1)))
+ (D738 - INDEX([2]Sheet1!$C$3:$Q$3,1,MATCH(D738,[2]Sheet1!$C$3:$Q$3)))/(INDEX([2]Sheet1!$C$3:$Q$3,1,MATCH(D738,[2]Sheet1!$C$3:$Q$3)+1) - INDEX([2]Sheet1!$C$3:$Q$3,1,MATCH(D738,[2]Sheet1!$C$3:$Q$3)))*(
INDEX([2]Sheet1!$C$4:$Q$23,MATCH(K738,[2]Sheet1!$B$4:$B$23,1),MATCH(D738,[2]Sheet1!$C$3:$Q$3,1)+1) - INDEX([2]Sheet1!$C$4:$Q$23,MATCH(K738,[2]Sheet1!$B$4:$B$23,1),MATCH(D738,[2]Sheet1!$C$3:$Q$3,1)))))</f>
        <v>0</v>
      </c>
      <c r="N738">
        <f t="shared" si="216"/>
        <v>12</v>
      </c>
      <c r="O738">
        <v>8.2864219321458807E-2</v>
      </c>
      <c r="P738" t="e">
        <f t="shared" si="217"/>
        <v>#DIV/0!</v>
      </c>
      <c r="Q738">
        <f t="shared" si="218"/>
        <v>0</v>
      </c>
      <c r="R738">
        <f t="shared" si="219"/>
        <v>741.9099431943954</v>
      </c>
      <c r="T738" t="e">
        <f t="shared" si="220"/>
        <v>#DIV/0!</v>
      </c>
      <c r="U738" t="e">
        <f t="shared" si="221"/>
        <v>#DIV/0!</v>
      </c>
      <c r="V738">
        <f t="shared" si="222"/>
        <v>0</v>
      </c>
      <c r="W738" t="e">
        <f t="shared" si="223"/>
        <v>#DIV/0!</v>
      </c>
    </row>
    <row r="739" spans="1:23" x14ac:dyDescent="0.55000000000000004">
      <c r="A739">
        <f t="shared" si="207"/>
        <v>70.50000000000027</v>
      </c>
      <c r="B739">
        <f t="shared" si="208"/>
        <v>0.316</v>
      </c>
      <c r="C739">
        <f t="shared" si="209"/>
        <v>-40.978260869565396</v>
      </c>
      <c r="D739">
        <v>2.4150154971583477</v>
      </c>
      <c r="E739">
        <f t="shared" si="210"/>
        <v>0</v>
      </c>
      <c r="F739">
        <f t="shared" si="211"/>
        <v>4.8605058816845369E-2</v>
      </c>
      <c r="G739">
        <f t="shared" si="212"/>
        <v>39.513748498891111</v>
      </c>
      <c r="H739">
        <f t="shared" si="213"/>
        <v>0</v>
      </c>
      <c r="I739" s="1">
        <f t="shared" ref="I739:I802" si="224">IF(G739=$C$14,0,$C$16*(H739)^$C$17)</f>
        <v>0</v>
      </c>
      <c r="J739">
        <f t="shared" si="214"/>
        <v>0</v>
      </c>
      <c r="K739">
        <f t="shared" si="215"/>
        <v>0</v>
      </c>
      <c r="L739" cm="1">
        <f t="array" ref="L739">IF(E739*J739=0,0,$C$21*INDEX([3]Sheet1!$C$4:$Q$23,MATCH(K739,[3]Sheet1!$B$4:$B$23,1),MATCH(D739,[3]Sheet1!$C$3:$Q$3,1))
+(K739-INDEX([3]Sheet1!$B$4:$B$23,MATCH(K739,[3]Sheet1!$B$4:$B$23,1),1))/(INDEX([3]Sheet1!$B$4:$B$23,MATCH(K739,[3]Sheet1!$B$4:$B$23,1)+1,1)-INDEX([3]Sheet1!$B$4:$B$23,
MATCH(K739,[3]Sheet1!$B$4:$B$23,1),1))*(INDEX([3]Sheet1!$C$4:$Q$23,MATCH(K739,[3]Sheet1!$B$4:$B$23,1)+1,MATCH(D739,[3]Sheet1!$C$3:$Q$3,1))-INDEX([3]Sheet1!$C$4:$Q$23,
MATCH(K739,[3]Sheet1!$B$4:$B$23,1),MATCH(D739,[3]Sheet1!$C$3:$Q$3,1)))
+(D739-INDEX([3]Sheet1!$C$3:$Q$3,1,MATCH(D739,[3]Sheet1!$C$3:$Q$3)))/(INDEX([3]Sheet1!$C$3:$Q$3,1,MATCH(D739,[3]Sheet1!$C$3:$Q$3)+1)-INDEX([3]Sheet1!$C$3:$Q$3,1,MATCH(
D739,[3]Sheet1!$C$3:$Q$3)))*(INDEX([3]Sheet1!$C$4:$Q$23,MATCH(K739,[3]Sheet1!$B$4:$B$23,1),MATCH(D739,[3]Sheet1!$C$3:$Q$3,1)+1)-INDEX([3]Sheet1!$C$4:$Q$23,MATCH(K739,[3]Sheet1!$B$4:$B$23,1),MATCH(D739,[3]Sheet1!$C$3:$Q$3,1))))</f>
        <v>0</v>
      </c>
      <c r="M739" cm="1">
        <f t="array" ref="M739" xml:space="preserve"> IF(E739*J739=0,0,(INDEX([2]Sheet1!$C$4:$Q$23,MATCH(K739,[2]Sheet1!$B$4:$B$23,1),MATCH(D739,[2]Sheet1!$C$3:$Q$3,1))
+ (K739 - INDEX([2]Sheet1!$B$4:$B$23,MATCH(K739,[2]Sheet1!$B$4:$B$23,1),1))/(INDEX([2]Sheet1!$B$4:$B$23,MATCH(K739,[2]Sheet1!$B$4:$B$23,1)+1,1) - INDEX([2]Sheet1!$B$4:$B$23,MATCH(K739,[2]Sheet1!$B$4:$B$23,1),1))*(INDEX([2]Sheet1!$C$4:$Q$23,MATCH(K739,[2]Sheet1!$B$4:$B$23,1)+1,MATCH(D739,[2]Sheet1!$C$3:$Q$3,1)) - INDEX([2]Sheet1!$C$4:$Q$23,MATCH(K739,[2]Sheet1!$B$4:$B$23,1),MATCH(D739,[2]Sheet1!$C$3:$Q$3,1)))
+ (D739 - INDEX([2]Sheet1!$C$3:$Q$3,1,MATCH(D739,[2]Sheet1!$C$3:$Q$3)))/(INDEX([2]Sheet1!$C$3:$Q$3,1,MATCH(D739,[2]Sheet1!$C$3:$Q$3)+1) - INDEX([2]Sheet1!$C$3:$Q$3,1,MATCH(D739,[2]Sheet1!$C$3:$Q$3)))*(
INDEX([2]Sheet1!$C$4:$Q$23,MATCH(K739,[2]Sheet1!$B$4:$B$23,1),MATCH(D739,[2]Sheet1!$C$3:$Q$3,1)+1) - INDEX([2]Sheet1!$C$4:$Q$23,MATCH(K739,[2]Sheet1!$B$4:$B$23,1),MATCH(D739,[2]Sheet1!$C$3:$Q$3,1)))))</f>
        <v>0</v>
      </c>
      <c r="N739">
        <f t="shared" si="216"/>
        <v>12</v>
      </c>
      <c r="O739">
        <v>8.2853324146686724E-2</v>
      </c>
      <c r="P739" t="e">
        <f t="shared" si="217"/>
        <v>#DIV/0!</v>
      </c>
      <c r="Q739">
        <f t="shared" si="218"/>
        <v>0</v>
      </c>
      <c r="R739">
        <f t="shared" si="219"/>
        <v>741.9099431943954</v>
      </c>
      <c r="T739" t="e">
        <f t="shared" si="220"/>
        <v>#DIV/0!</v>
      </c>
      <c r="U739" t="e">
        <f t="shared" si="221"/>
        <v>#DIV/0!</v>
      </c>
      <c r="V739">
        <f t="shared" si="222"/>
        <v>0</v>
      </c>
      <c r="W739" t="e">
        <f t="shared" si="223"/>
        <v>#DIV/0!</v>
      </c>
    </row>
    <row r="740" spans="1:23" x14ac:dyDescent="0.55000000000000004">
      <c r="A740">
        <f t="shared" ref="A740:A803" si="225">A739+$C$29</f>
        <v>70.600000000000264</v>
      </c>
      <c r="B740">
        <f t="shared" si="208"/>
        <v>0.316</v>
      </c>
      <c r="C740">
        <f t="shared" si="209"/>
        <v>-41.043478260869747</v>
      </c>
      <c r="D740">
        <v>2.4149594113973127</v>
      </c>
      <c r="E740">
        <f t="shared" si="210"/>
        <v>0</v>
      </c>
      <c r="F740">
        <f t="shared" si="211"/>
        <v>4.8605058816845369E-2</v>
      </c>
      <c r="G740">
        <f t="shared" si="212"/>
        <v>39.513748498891111</v>
      </c>
      <c r="H740">
        <f t="shared" si="213"/>
        <v>0</v>
      </c>
      <c r="I740" s="1">
        <f t="shared" si="224"/>
        <v>0</v>
      </c>
      <c r="J740">
        <f t="shared" si="214"/>
        <v>0</v>
      </c>
      <c r="K740">
        <f t="shared" si="215"/>
        <v>0</v>
      </c>
      <c r="L740" cm="1">
        <f t="array" ref="L740">IF(E740*J740=0,0,$C$21*INDEX([3]Sheet1!$C$4:$Q$23,MATCH(K740,[3]Sheet1!$B$4:$B$23,1),MATCH(D740,[3]Sheet1!$C$3:$Q$3,1))
+(K740-INDEX([3]Sheet1!$B$4:$B$23,MATCH(K740,[3]Sheet1!$B$4:$B$23,1),1))/(INDEX([3]Sheet1!$B$4:$B$23,MATCH(K740,[3]Sheet1!$B$4:$B$23,1)+1,1)-INDEX([3]Sheet1!$B$4:$B$23,
MATCH(K740,[3]Sheet1!$B$4:$B$23,1),1))*(INDEX([3]Sheet1!$C$4:$Q$23,MATCH(K740,[3]Sheet1!$B$4:$B$23,1)+1,MATCH(D740,[3]Sheet1!$C$3:$Q$3,1))-INDEX([3]Sheet1!$C$4:$Q$23,
MATCH(K740,[3]Sheet1!$B$4:$B$23,1),MATCH(D740,[3]Sheet1!$C$3:$Q$3,1)))
+(D740-INDEX([3]Sheet1!$C$3:$Q$3,1,MATCH(D740,[3]Sheet1!$C$3:$Q$3)))/(INDEX([3]Sheet1!$C$3:$Q$3,1,MATCH(D740,[3]Sheet1!$C$3:$Q$3)+1)-INDEX([3]Sheet1!$C$3:$Q$3,1,MATCH(
D740,[3]Sheet1!$C$3:$Q$3)))*(INDEX([3]Sheet1!$C$4:$Q$23,MATCH(K740,[3]Sheet1!$B$4:$B$23,1),MATCH(D740,[3]Sheet1!$C$3:$Q$3,1)+1)-INDEX([3]Sheet1!$C$4:$Q$23,MATCH(K740,[3]Sheet1!$B$4:$B$23,1),MATCH(D740,[3]Sheet1!$C$3:$Q$3,1))))</f>
        <v>0</v>
      </c>
      <c r="M740" cm="1">
        <f t="array" ref="M740" xml:space="preserve"> IF(E740*J740=0,0,(INDEX([2]Sheet1!$C$4:$Q$23,MATCH(K740,[2]Sheet1!$B$4:$B$23,1),MATCH(D740,[2]Sheet1!$C$3:$Q$3,1))
+ (K740 - INDEX([2]Sheet1!$B$4:$B$23,MATCH(K740,[2]Sheet1!$B$4:$B$23,1),1))/(INDEX([2]Sheet1!$B$4:$B$23,MATCH(K740,[2]Sheet1!$B$4:$B$23,1)+1,1) - INDEX([2]Sheet1!$B$4:$B$23,MATCH(K740,[2]Sheet1!$B$4:$B$23,1),1))*(INDEX([2]Sheet1!$C$4:$Q$23,MATCH(K740,[2]Sheet1!$B$4:$B$23,1)+1,MATCH(D740,[2]Sheet1!$C$3:$Q$3,1)) - INDEX([2]Sheet1!$C$4:$Q$23,MATCH(K740,[2]Sheet1!$B$4:$B$23,1),MATCH(D740,[2]Sheet1!$C$3:$Q$3,1)))
+ (D740 - INDEX([2]Sheet1!$C$3:$Q$3,1,MATCH(D740,[2]Sheet1!$C$3:$Q$3)))/(INDEX([2]Sheet1!$C$3:$Q$3,1,MATCH(D740,[2]Sheet1!$C$3:$Q$3)+1) - INDEX([2]Sheet1!$C$3:$Q$3,1,MATCH(D740,[2]Sheet1!$C$3:$Q$3)))*(
INDEX([2]Sheet1!$C$4:$Q$23,MATCH(K740,[2]Sheet1!$B$4:$B$23,1),MATCH(D740,[2]Sheet1!$C$3:$Q$3,1)+1) - INDEX([2]Sheet1!$C$4:$Q$23,MATCH(K740,[2]Sheet1!$B$4:$B$23,1),MATCH(D740,[2]Sheet1!$C$3:$Q$3,1)))))</f>
        <v>0</v>
      </c>
      <c r="N740">
        <f t="shared" si="216"/>
        <v>12</v>
      </c>
      <c r="O740">
        <v>8.2842441835210709E-2</v>
      </c>
      <c r="P740" t="e">
        <f t="shared" si="217"/>
        <v>#DIV/0!</v>
      </c>
      <c r="Q740">
        <f t="shared" si="218"/>
        <v>0</v>
      </c>
      <c r="R740">
        <f t="shared" si="219"/>
        <v>741.9099431943954</v>
      </c>
      <c r="T740" t="e">
        <f t="shared" si="220"/>
        <v>#DIV/0!</v>
      </c>
      <c r="U740" t="e">
        <f t="shared" si="221"/>
        <v>#DIV/0!</v>
      </c>
      <c r="V740">
        <f t="shared" si="222"/>
        <v>0</v>
      </c>
      <c r="W740" t="e">
        <f t="shared" si="223"/>
        <v>#DIV/0!</v>
      </c>
    </row>
    <row r="741" spans="1:23" x14ac:dyDescent="0.55000000000000004">
      <c r="A741">
        <f t="shared" si="225"/>
        <v>70.700000000000259</v>
      </c>
      <c r="B741">
        <f t="shared" si="208"/>
        <v>0.316</v>
      </c>
      <c r="C741">
        <f t="shared" si="209"/>
        <v>-41.108695652174085</v>
      </c>
      <c r="D741">
        <v>2.4149033844599832</v>
      </c>
      <c r="E741">
        <f t="shared" si="210"/>
        <v>0</v>
      </c>
      <c r="F741">
        <f t="shared" si="211"/>
        <v>4.8605058816845369E-2</v>
      </c>
      <c r="G741">
        <f t="shared" si="212"/>
        <v>39.513748498891111</v>
      </c>
      <c r="H741">
        <f t="shared" si="213"/>
        <v>0</v>
      </c>
      <c r="I741" s="1">
        <f t="shared" si="224"/>
        <v>0</v>
      </c>
      <c r="J741">
        <f t="shared" si="214"/>
        <v>0</v>
      </c>
      <c r="K741">
        <f t="shared" si="215"/>
        <v>0</v>
      </c>
      <c r="L741" cm="1">
        <f t="array" ref="L741">IF(E741*J741=0,0,$C$21*INDEX([3]Sheet1!$C$4:$Q$23,MATCH(K741,[3]Sheet1!$B$4:$B$23,1),MATCH(D741,[3]Sheet1!$C$3:$Q$3,1))
+(K741-INDEX([3]Sheet1!$B$4:$B$23,MATCH(K741,[3]Sheet1!$B$4:$B$23,1),1))/(INDEX([3]Sheet1!$B$4:$B$23,MATCH(K741,[3]Sheet1!$B$4:$B$23,1)+1,1)-INDEX([3]Sheet1!$B$4:$B$23,
MATCH(K741,[3]Sheet1!$B$4:$B$23,1),1))*(INDEX([3]Sheet1!$C$4:$Q$23,MATCH(K741,[3]Sheet1!$B$4:$B$23,1)+1,MATCH(D741,[3]Sheet1!$C$3:$Q$3,1))-INDEX([3]Sheet1!$C$4:$Q$23,
MATCH(K741,[3]Sheet1!$B$4:$B$23,1),MATCH(D741,[3]Sheet1!$C$3:$Q$3,1)))
+(D741-INDEX([3]Sheet1!$C$3:$Q$3,1,MATCH(D741,[3]Sheet1!$C$3:$Q$3)))/(INDEX([3]Sheet1!$C$3:$Q$3,1,MATCH(D741,[3]Sheet1!$C$3:$Q$3)+1)-INDEX([3]Sheet1!$C$3:$Q$3,1,MATCH(
D741,[3]Sheet1!$C$3:$Q$3)))*(INDEX([3]Sheet1!$C$4:$Q$23,MATCH(K741,[3]Sheet1!$B$4:$B$23,1),MATCH(D741,[3]Sheet1!$C$3:$Q$3,1)+1)-INDEX([3]Sheet1!$C$4:$Q$23,MATCH(K741,[3]Sheet1!$B$4:$B$23,1),MATCH(D741,[3]Sheet1!$C$3:$Q$3,1))))</f>
        <v>0</v>
      </c>
      <c r="M741" cm="1">
        <f t="array" ref="M741" xml:space="preserve"> IF(E741*J741=0,0,(INDEX([2]Sheet1!$C$4:$Q$23,MATCH(K741,[2]Sheet1!$B$4:$B$23,1),MATCH(D741,[2]Sheet1!$C$3:$Q$3,1))
+ (K741 - INDEX([2]Sheet1!$B$4:$B$23,MATCH(K741,[2]Sheet1!$B$4:$B$23,1),1))/(INDEX([2]Sheet1!$B$4:$B$23,MATCH(K741,[2]Sheet1!$B$4:$B$23,1)+1,1) - INDEX([2]Sheet1!$B$4:$B$23,MATCH(K741,[2]Sheet1!$B$4:$B$23,1),1))*(INDEX([2]Sheet1!$C$4:$Q$23,MATCH(K741,[2]Sheet1!$B$4:$B$23,1)+1,MATCH(D741,[2]Sheet1!$C$3:$Q$3,1)) - INDEX([2]Sheet1!$C$4:$Q$23,MATCH(K741,[2]Sheet1!$B$4:$B$23,1),MATCH(D741,[2]Sheet1!$C$3:$Q$3,1)))
+ (D741 - INDEX([2]Sheet1!$C$3:$Q$3,1,MATCH(D741,[2]Sheet1!$C$3:$Q$3)))/(INDEX([2]Sheet1!$C$3:$Q$3,1,MATCH(D741,[2]Sheet1!$C$3:$Q$3)+1) - INDEX([2]Sheet1!$C$3:$Q$3,1,MATCH(D741,[2]Sheet1!$C$3:$Q$3)))*(
INDEX([2]Sheet1!$C$4:$Q$23,MATCH(K741,[2]Sheet1!$B$4:$B$23,1),MATCH(D741,[2]Sheet1!$C$3:$Q$3,1)+1) - INDEX([2]Sheet1!$C$4:$Q$23,MATCH(K741,[2]Sheet1!$B$4:$B$23,1),MATCH(D741,[2]Sheet1!$C$3:$Q$3,1)))))</f>
        <v>0</v>
      </c>
      <c r="N741">
        <f t="shared" si="216"/>
        <v>12</v>
      </c>
      <c r="O741">
        <v>8.2831572357649361E-2</v>
      </c>
      <c r="P741" t="e">
        <f t="shared" si="217"/>
        <v>#DIV/0!</v>
      </c>
      <c r="Q741">
        <f t="shared" si="218"/>
        <v>0</v>
      </c>
      <c r="R741">
        <f t="shared" si="219"/>
        <v>741.9099431943954</v>
      </c>
      <c r="T741" t="e">
        <f t="shared" si="220"/>
        <v>#DIV/0!</v>
      </c>
      <c r="U741" t="e">
        <f t="shared" si="221"/>
        <v>#DIV/0!</v>
      </c>
      <c r="V741">
        <f t="shared" si="222"/>
        <v>0</v>
      </c>
      <c r="W741" t="e">
        <f t="shared" si="223"/>
        <v>#DIV/0!</v>
      </c>
    </row>
    <row r="742" spans="1:23" x14ac:dyDescent="0.55000000000000004">
      <c r="A742">
        <f t="shared" si="225"/>
        <v>70.800000000000253</v>
      </c>
      <c r="B742">
        <f t="shared" ref="B742:B805" si="226">IF(B741+(E741+E740)*(A741-A740)/2&lt;$C$5*$C$6*10^-6,B741+(E741+E740)*(A741-A740)/2,$C$5*$C$6*10^-6)</f>
        <v>0.316</v>
      </c>
      <c r="C742">
        <f t="shared" si="209"/>
        <v>-41.173913043478436</v>
      </c>
      <c r="D742">
        <v>2.4148474162185631</v>
      </c>
      <c r="E742">
        <f t="shared" si="210"/>
        <v>0</v>
      </c>
      <c r="F742">
        <f t="shared" si="211"/>
        <v>4.8605058816845369E-2</v>
      </c>
      <c r="G742">
        <f t="shared" si="212"/>
        <v>39.513748498891111</v>
      </c>
      <c r="H742">
        <f t="shared" si="213"/>
        <v>0</v>
      </c>
      <c r="I742" s="1">
        <f t="shared" si="224"/>
        <v>0</v>
      </c>
      <c r="J742">
        <f t="shared" si="214"/>
        <v>0</v>
      </c>
      <c r="K742">
        <f t="shared" si="215"/>
        <v>0</v>
      </c>
      <c r="L742" cm="1">
        <f t="array" ref="L742">IF(E742*J742=0,0,$C$21*INDEX([3]Sheet1!$C$4:$Q$23,MATCH(K742,[3]Sheet1!$B$4:$B$23,1),MATCH(D742,[3]Sheet1!$C$3:$Q$3,1))
+(K742-INDEX([3]Sheet1!$B$4:$B$23,MATCH(K742,[3]Sheet1!$B$4:$B$23,1),1))/(INDEX([3]Sheet1!$B$4:$B$23,MATCH(K742,[3]Sheet1!$B$4:$B$23,1)+1,1)-INDEX([3]Sheet1!$B$4:$B$23,
MATCH(K742,[3]Sheet1!$B$4:$B$23,1),1))*(INDEX([3]Sheet1!$C$4:$Q$23,MATCH(K742,[3]Sheet1!$B$4:$B$23,1)+1,MATCH(D742,[3]Sheet1!$C$3:$Q$3,1))-INDEX([3]Sheet1!$C$4:$Q$23,
MATCH(K742,[3]Sheet1!$B$4:$B$23,1),MATCH(D742,[3]Sheet1!$C$3:$Q$3,1)))
+(D742-INDEX([3]Sheet1!$C$3:$Q$3,1,MATCH(D742,[3]Sheet1!$C$3:$Q$3)))/(INDEX([3]Sheet1!$C$3:$Q$3,1,MATCH(D742,[3]Sheet1!$C$3:$Q$3)+1)-INDEX([3]Sheet1!$C$3:$Q$3,1,MATCH(
D742,[3]Sheet1!$C$3:$Q$3)))*(INDEX([3]Sheet1!$C$4:$Q$23,MATCH(K742,[3]Sheet1!$B$4:$B$23,1),MATCH(D742,[3]Sheet1!$C$3:$Q$3,1)+1)-INDEX([3]Sheet1!$C$4:$Q$23,MATCH(K742,[3]Sheet1!$B$4:$B$23,1),MATCH(D742,[3]Sheet1!$C$3:$Q$3,1))))</f>
        <v>0</v>
      </c>
      <c r="M742" cm="1">
        <f t="array" ref="M742" xml:space="preserve"> IF(E742*J742=0,0,(INDEX([2]Sheet1!$C$4:$Q$23,MATCH(K742,[2]Sheet1!$B$4:$B$23,1),MATCH(D742,[2]Sheet1!$C$3:$Q$3,1))
+ (K742 - INDEX([2]Sheet1!$B$4:$B$23,MATCH(K742,[2]Sheet1!$B$4:$B$23,1),1))/(INDEX([2]Sheet1!$B$4:$B$23,MATCH(K742,[2]Sheet1!$B$4:$B$23,1)+1,1) - INDEX([2]Sheet1!$B$4:$B$23,MATCH(K742,[2]Sheet1!$B$4:$B$23,1),1))*(INDEX([2]Sheet1!$C$4:$Q$23,MATCH(K742,[2]Sheet1!$B$4:$B$23,1)+1,MATCH(D742,[2]Sheet1!$C$3:$Q$3,1)) - INDEX([2]Sheet1!$C$4:$Q$23,MATCH(K742,[2]Sheet1!$B$4:$B$23,1),MATCH(D742,[2]Sheet1!$C$3:$Q$3,1)))
+ (D742 - INDEX([2]Sheet1!$C$3:$Q$3,1,MATCH(D742,[2]Sheet1!$C$3:$Q$3)))/(INDEX([2]Sheet1!$C$3:$Q$3,1,MATCH(D742,[2]Sheet1!$C$3:$Q$3)+1) - INDEX([2]Sheet1!$C$3:$Q$3,1,MATCH(D742,[2]Sheet1!$C$3:$Q$3)))*(
INDEX([2]Sheet1!$C$4:$Q$23,MATCH(K742,[2]Sheet1!$B$4:$B$23,1),MATCH(D742,[2]Sheet1!$C$3:$Q$3,1)+1) - INDEX([2]Sheet1!$C$4:$Q$23,MATCH(K742,[2]Sheet1!$B$4:$B$23,1),MATCH(D742,[2]Sheet1!$C$3:$Q$3,1)))))</f>
        <v>0</v>
      </c>
      <c r="N742">
        <f t="shared" si="216"/>
        <v>12</v>
      </c>
      <c r="O742">
        <v>8.282071568472156E-2</v>
      </c>
      <c r="P742" t="e">
        <f t="shared" si="217"/>
        <v>#DIV/0!</v>
      </c>
      <c r="Q742">
        <f t="shared" si="218"/>
        <v>0</v>
      </c>
      <c r="R742">
        <f t="shared" si="219"/>
        <v>741.9099431943954</v>
      </c>
      <c r="T742" t="e">
        <f t="shared" si="220"/>
        <v>#DIV/0!</v>
      </c>
      <c r="U742" t="e">
        <f t="shared" si="221"/>
        <v>#DIV/0!</v>
      </c>
      <c r="V742">
        <f t="shared" si="222"/>
        <v>0</v>
      </c>
      <c r="W742" t="e">
        <f t="shared" si="223"/>
        <v>#DIV/0!</v>
      </c>
    </row>
    <row r="743" spans="1:23" x14ac:dyDescent="0.55000000000000004">
      <c r="A743">
        <f t="shared" si="225"/>
        <v>70.900000000000247</v>
      </c>
      <c r="B743">
        <f t="shared" si="226"/>
        <v>0.316</v>
      </c>
      <c r="C743">
        <f t="shared" si="209"/>
        <v>-41.239130434782773</v>
      </c>
      <c r="D743">
        <v>2.4147915065456735</v>
      </c>
      <c r="E743">
        <f t="shared" si="210"/>
        <v>0</v>
      </c>
      <c r="F743">
        <f t="shared" si="211"/>
        <v>4.8605058816845369E-2</v>
      </c>
      <c r="G743">
        <f t="shared" si="212"/>
        <v>39.513748498891111</v>
      </c>
      <c r="H743">
        <f t="shared" si="213"/>
        <v>0</v>
      </c>
      <c r="I743" s="1">
        <f t="shared" si="224"/>
        <v>0</v>
      </c>
      <c r="J743">
        <f t="shared" si="214"/>
        <v>0</v>
      </c>
      <c r="K743">
        <f t="shared" si="215"/>
        <v>0</v>
      </c>
      <c r="L743" cm="1">
        <f t="array" ref="L743">IF(E743*J743=0,0,$C$21*INDEX([3]Sheet1!$C$4:$Q$23,MATCH(K743,[3]Sheet1!$B$4:$B$23,1),MATCH(D743,[3]Sheet1!$C$3:$Q$3,1))
+(K743-INDEX([3]Sheet1!$B$4:$B$23,MATCH(K743,[3]Sheet1!$B$4:$B$23,1),1))/(INDEX([3]Sheet1!$B$4:$B$23,MATCH(K743,[3]Sheet1!$B$4:$B$23,1)+1,1)-INDEX([3]Sheet1!$B$4:$B$23,
MATCH(K743,[3]Sheet1!$B$4:$B$23,1),1))*(INDEX([3]Sheet1!$C$4:$Q$23,MATCH(K743,[3]Sheet1!$B$4:$B$23,1)+1,MATCH(D743,[3]Sheet1!$C$3:$Q$3,1))-INDEX([3]Sheet1!$C$4:$Q$23,
MATCH(K743,[3]Sheet1!$B$4:$B$23,1),MATCH(D743,[3]Sheet1!$C$3:$Q$3,1)))
+(D743-INDEX([3]Sheet1!$C$3:$Q$3,1,MATCH(D743,[3]Sheet1!$C$3:$Q$3)))/(INDEX([3]Sheet1!$C$3:$Q$3,1,MATCH(D743,[3]Sheet1!$C$3:$Q$3)+1)-INDEX([3]Sheet1!$C$3:$Q$3,1,MATCH(
D743,[3]Sheet1!$C$3:$Q$3)))*(INDEX([3]Sheet1!$C$4:$Q$23,MATCH(K743,[3]Sheet1!$B$4:$B$23,1),MATCH(D743,[3]Sheet1!$C$3:$Q$3,1)+1)-INDEX([3]Sheet1!$C$4:$Q$23,MATCH(K743,[3]Sheet1!$B$4:$B$23,1),MATCH(D743,[3]Sheet1!$C$3:$Q$3,1))))</f>
        <v>0</v>
      </c>
      <c r="M743" cm="1">
        <f t="array" ref="M743" xml:space="preserve"> IF(E743*J743=0,0,(INDEX([2]Sheet1!$C$4:$Q$23,MATCH(K743,[2]Sheet1!$B$4:$B$23,1),MATCH(D743,[2]Sheet1!$C$3:$Q$3,1))
+ (K743 - INDEX([2]Sheet1!$B$4:$B$23,MATCH(K743,[2]Sheet1!$B$4:$B$23,1),1))/(INDEX([2]Sheet1!$B$4:$B$23,MATCH(K743,[2]Sheet1!$B$4:$B$23,1)+1,1) - INDEX([2]Sheet1!$B$4:$B$23,MATCH(K743,[2]Sheet1!$B$4:$B$23,1),1))*(INDEX([2]Sheet1!$C$4:$Q$23,MATCH(K743,[2]Sheet1!$B$4:$B$23,1)+1,MATCH(D743,[2]Sheet1!$C$3:$Q$3,1)) - INDEX([2]Sheet1!$C$4:$Q$23,MATCH(K743,[2]Sheet1!$B$4:$B$23,1),MATCH(D743,[2]Sheet1!$C$3:$Q$3,1)))
+ (D743 - INDEX([2]Sheet1!$C$3:$Q$3,1,MATCH(D743,[2]Sheet1!$C$3:$Q$3)))/(INDEX([2]Sheet1!$C$3:$Q$3,1,MATCH(D743,[2]Sheet1!$C$3:$Q$3)+1) - INDEX([2]Sheet1!$C$3:$Q$3,1,MATCH(D743,[2]Sheet1!$C$3:$Q$3)))*(
INDEX([2]Sheet1!$C$4:$Q$23,MATCH(K743,[2]Sheet1!$B$4:$B$23,1),MATCH(D743,[2]Sheet1!$C$3:$Q$3,1)+1) - INDEX([2]Sheet1!$C$4:$Q$23,MATCH(K743,[2]Sheet1!$B$4:$B$23,1),MATCH(D743,[2]Sheet1!$C$3:$Q$3,1)))))</f>
        <v>0</v>
      </c>
      <c r="N743">
        <f t="shared" si="216"/>
        <v>12</v>
      </c>
      <c r="O743">
        <v>8.2809871787245734E-2</v>
      </c>
      <c r="P743" t="e">
        <f t="shared" si="217"/>
        <v>#DIV/0!</v>
      </c>
      <c r="Q743">
        <f t="shared" si="218"/>
        <v>0</v>
      </c>
      <c r="R743">
        <f t="shared" si="219"/>
        <v>741.9099431943954</v>
      </c>
      <c r="T743" t="e">
        <f t="shared" si="220"/>
        <v>#DIV/0!</v>
      </c>
      <c r="U743" t="e">
        <f t="shared" si="221"/>
        <v>#DIV/0!</v>
      </c>
      <c r="V743">
        <f t="shared" si="222"/>
        <v>0</v>
      </c>
      <c r="W743" t="e">
        <f t="shared" si="223"/>
        <v>#DIV/0!</v>
      </c>
    </row>
    <row r="744" spans="1:23" x14ac:dyDescent="0.55000000000000004">
      <c r="A744">
        <f t="shared" si="225"/>
        <v>71.000000000000242</v>
      </c>
      <c r="B744">
        <f t="shared" si="226"/>
        <v>0.316</v>
      </c>
      <c r="C744">
        <f t="shared" si="209"/>
        <v>-41.304347826087124</v>
      </c>
      <c r="D744">
        <v>2.4147356553144266</v>
      </c>
      <c r="E744">
        <f t="shared" si="210"/>
        <v>0</v>
      </c>
      <c r="F744">
        <f t="shared" si="211"/>
        <v>4.8605058816845369E-2</v>
      </c>
      <c r="G744">
        <f t="shared" si="212"/>
        <v>39.513748498891111</v>
      </c>
      <c r="H744">
        <f t="shared" si="213"/>
        <v>0</v>
      </c>
      <c r="I744" s="1">
        <f t="shared" si="224"/>
        <v>0</v>
      </c>
      <c r="J744">
        <f t="shared" si="214"/>
        <v>0</v>
      </c>
      <c r="K744">
        <f t="shared" si="215"/>
        <v>0</v>
      </c>
      <c r="L744" cm="1">
        <f t="array" ref="L744">IF(E744*J744=0,0,$C$21*INDEX([3]Sheet1!$C$4:$Q$23,MATCH(K744,[3]Sheet1!$B$4:$B$23,1),MATCH(D744,[3]Sheet1!$C$3:$Q$3,1))
+(K744-INDEX([3]Sheet1!$B$4:$B$23,MATCH(K744,[3]Sheet1!$B$4:$B$23,1),1))/(INDEX([3]Sheet1!$B$4:$B$23,MATCH(K744,[3]Sheet1!$B$4:$B$23,1)+1,1)-INDEX([3]Sheet1!$B$4:$B$23,
MATCH(K744,[3]Sheet1!$B$4:$B$23,1),1))*(INDEX([3]Sheet1!$C$4:$Q$23,MATCH(K744,[3]Sheet1!$B$4:$B$23,1)+1,MATCH(D744,[3]Sheet1!$C$3:$Q$3,1))-INDEX([3]Sheet1!$C$4:$Q$23,
MATCH(K744,[3]Sheet1!$B$4:$B$23,1),MATCH(D744,[3]Sheet1!$C$3:$Q$3,1)))
+(D744-INDEX([3]Sheet1!$C$3:$Q$3,1,MATCH(D744,[3]Sheet1!$C$3:$Q$3)))/(INDEX([3]Sheet1!$C$3:$Q$3,1,MATCH(D744,[3]Sheet1!$C$3:$Q$3)+1)-INDEX([3]Sheet1!$C$3:$Q$3,1,MATCH(
D744,[3]Sheet1!$C$3:$Q$3)))*(INDEX([3]Sheet1!$C$4:$Q$23,MATCH(K744,[3]Sheet1!$B$4:$B$23,1),MATCH(D744,[3]Sheet1!$C$3:$Q$3,1)+1)-INDEX([3]Sheet1!$C$4:$Q$23,MATCH(K744,[3]Sheet1!$B$4:$B$23,1),MATCH(D744,[3]Sheet1!$C$3:$Q$3,1))))</f>
        <v>0</v>
      </c>
      <c r="M744" cm="1">
        <f t="array" ref="M744" xml:space="preserve"> IF(E744*J744=0,0,(INDEX([2]Sheet1!$C$4:$Q$23,MATCH(K744,[2]Sheet1!$B$4:$B$23,1),MATCH(D744,[2]Sheet1!$C$3:$Q$3,1))
+ (K744 - INDEX([2]Sheet1!$B$4:$B$23,MATCH(K744,[2]Sheet1!$B$4:$B$23,1),1))/(INDEX([2]Sheet1!$B$4:$B$23,MATCH(K744,[2]Sheet1!$B$4:$B$23,1)+1,1) - INDEX([2]Sheet1!$B$4:$B$23,MATCH(K744,[2]Sheet1!$B$4:$B$23,1),1))*(INDEX([2]Sheet1!$C$4:$Q$23,MATCH(K744,[2]Sheet1!$B$4:$B$23,1)+1,MATCH(D744,[2]Sheet1!$C$3:$Q$3,1)) - INDEX([2]Sheet1!$C$4:$Q$23,MATCH(K744,[2]Sheet1!$B$4:$B$23,1),MATCH(D744,[2]Sheet1!$C$3:$Q$3,1)))
+ (D744 - INDEX([2]Sheet1!$C$3:$Q$3,1,MATCH(D744,[2]Sheet1!$C$3:$Q$3)))/(INDEX([2]Sheet1!$C$3:$Q$3,1,MATCH(D744,[2]Sheet1!$C$3:$Q$3)+1) - INDEX([2]Sheet1!$C$3:$Q$3,1,MATCH(D744,[2]Sheet1!$C$3:$Q$3)))*(
INDEX([2]Sheet1!$C$4:$Q$23,MATCH(K744,[2]Sheet1!$B$4:$B$23,1),MATCH(D744,[2]Sheet1!$C$3:$Q$3,1)+1) - INDEX([2]Sheet1!$C$4:$Q$23,MATCH(K744,[2]Sheet1!$B$4:$B$23,1),MATCH(D744,[2]Sheet1!$C$3:$Q$3,1)))))</f>
        <v>0</v>
      </c>
      <c r="N744">
        <f t="shared" si="216"/>
        <v>12</v>
      </c>
      <c r="O744">
        <v>8.2799040636151788E-2</v>
      </c>
      <c r="P744" t="e">
        <f t="shared" si="217"/>
        <v>#DIV/0!</v>
      </c>
      <c r="Q744">
        <f t="shared" si="218"/>
        <v>0</v>
      </c>
      <c r="R744">
        <f t="shared" si="219"/>
        <v>741.9099431943954</v>
      </c>
      <c r="T744" t="e">
        <f t="shared" si="220"/>
        <v>#DIV/0!</v>
      </c>
      <c r="U744" t="e">
        <f t="shared" si="221"/>
        <v>#DIV/0!</v>
      </c>
      <c r="V744">
        <f t="shared" si="222"/>
        <v>0</v>
      </c>
      <c r="W744" t="e">
        <f t="shared" si="223"/>
        <v>#DIV/0!</v>
      </c>
    </row>
    <row r="745" spans="1:23" x14ac:dyDescent="0.55000000000000004">
      <c r="A745">
        <f t="shared" si="225"/>
        <v>71.100000000000236</v>
      </c>
      <c r="B745">
        <f t="shared" si="226"/>
        <v>0.316</v>
      </c>
      <c r="C745">
        <f t="shared" si="209"/>
        <v>-41.369565217391461</v>
      </c>
      <c r="D745">
        <v>2.4146798623983483</v>
      </c>
      <c r="E745">
        <f t="shared" si="210"/>
        <v>0</v>
      </c>
      <c r="F745">
        <f t="shared" si="211"/>
        <v>4.8605058816845369E-2</v>
      </c>
      <c r="G745">
        <f t="shared" si="212"/>
        <v>39.513748498891111</v>
      </c>
      <c r="H745">
        <f t="shared" si="213"/>
        <v>0</v>
      </c>
      <c r="I745" s="1">
        <f t="shared" si="224"/>
        <v>0</v>
      </c>
      <c r="J745">
        <f t="shared" si="214"/>
        <v>0</v>
      </c>
      <c r="K745">
        <f t="shared" si="215"/>
        <v>0</v>
      </c>
      <c r="L745" cm="1">
        <f t="array" ref="L745">IF(E745*J745=0,0,$C$21*INDEX([3]Sheet1!$C$4:$Q$23,MATCH(K745,[3]Sheet1!$B$4:$B$23,1),MATCH(D745,[3]Sheet1!$C$3:$Q$3,1))
+(K745-INDEX([3]Sheet1!$B$4:$B$23,MATCH(K745,[3]Sheet1!$B$4:$B$23,1),1))/(INDEX([3]Sheet1!$B$4:$B$23,MATCH(K745,[3]Sheet1!$B$4:$B$23,1)+1,1)-INDEX([3]Sheet1!$B$4:$B$23,
MATCH(K745,[3]Sheet1!$B$4:$B$23,1),1))*(INDEX([3]Sheet1!$C$4:$Q$23,MATCH(K745,[3]Sheet1!$B$4:$B$23,1)+1,MATCH(D745,[3]Sheet1!$C$3:$Q$3,1))-INDEX([3]Sheet1!$C$4:$Q$23,
MATCH(K745,[3]Sheet1!$B$4:$B$23,1),MATCH(D745,[3]Sheet1!$C$3:$Q$3,1)))
+(D745-INDEX([3]Sheet1!$C$3:$Q$3,1,MATCH(D745,[3]Sheet1!$C$3:$Q$3)))/(INDEX([3]Sheet1!$C$3:$Q$3,1,MATCH(D745,[3]Sheet1!$C$3:$Q$3)+1)-INDEX([3]Sheet1!$C$3:$Q$3,1,MATCH(
D745,[3]Sheet1!$C$3:$Q$3)))*(INDEX([3]Sheet1!$C$4:$Q$23,MATCH(K745,[3]Sheet1!$B$4:$B$23,1),MATCH(D745,[3]Sheet1!$C$3:$Q$3,1)+1)-INDEX([3]Sheet1!$C$4:$Q$23,MATCH(K745,[3]Sheet1!$B$4:$B$23,1),MATCH(D745,[3]Sheet1!$C$3:$Q$3,1))))</f>
        <v>0</v>
      </c>
      <c r="M745" cm="1">
        <f t="array" ref="M745" xml:space="preserve"> IF(E745*J745=0,0,(INDEX([2]Sheet1!$C$4:$Q$23,MATCH(K745,[2]Sheet1!$B$4:$B$23,1),MATCH(D745,[2]Sheet1!$C$3:$Q$3,1))
+ (K745 - INDEX([2]Sheet1!$B$4:$B$23,MATCH(K745,[2]Sheet1!$B$4:$B$23,1),1))/(INDEX([2]Sheet1!$B$4:$B$23,MATCH(K745,[2]Sheet1!$B$4:$B$23,1)+1,1) - INDEX([2]Sheet1!$B$4:$B$23,MATCH(K745,[2]Sheet1!$B$4:$B$23,1),1))*(INDEX([2]Sheet1!$C$4:$Q$23,MATCH(K745,[2]Sheet1!$B$4:$B$23,1)+1,MATCH(D745,[2]Sheet1!$C$3:$Q$3,1)) - INDEX([2]Sheet1!$C$4:$Q$23,MATCH(K745,[2]Sheet1!$B$4:$B$23,1),MATCH(D745,[2]Sheet1!$C$3:$Q$3,1)))
+ (D745 - INDEX([2]Sheet1!$C$3:$Q$3,1,MATCH(D745,[2]Sheet1!$C$3:$Q$3)))/(INDEX([2]Sheet1!$C$3:$Q$3,1,MATCH(D745,[2]Sheet1!$C$3:$Q$3)+1) - INDEX([2]Sheet1!$C$3:$Q$3,1,MATCH(D745,[2]Sheet1!$C$3:$Q$3)))*(
INDEX([2]Sheet1!$C$4:$Q$23,MATCH(K745,[2]Sheet1!$B$4:$B$23,1),MATCH(D745,[2]Sheet1!$C$3:$Q$3,1)+1) - INDEX([2]Sheet1!$C$4:$Q$23,MATCH(K745,[2]Sheet1!$B$4:$B$23,1),MATCH(D745,[2]Sheet1!$C$3:$Q$3,1)))))</f>
        <v>0</v>
      </c>
      <c r="N745">
        <f t="shared" si="216"/>
        <v>12</v>
      </c>
      <c r="O745">
        <v>8.2788222202468453E-2</v>
      </c>
      <c r="P745" t="e">
        <f t="shared" si="217"/>
        <v>#DIV/0!</v>
      </c>
      <c r="Q745">
        <f t="shared" si="218"/>
        <v>0</v>
      </c>
      <c r="R745">
        <f t="shared" si="219"/>
        <v>741.9099431943954</v>
      </c>
      <c r="T745" t="e">
        <f t="shared" si="220"/>
        <v>#DIV/0!</v>
      </c>
      <c r="U745" t="e">
        <f t="shared" si="221"/>
        <v>#DIV/0!</v>
      </c>
      <c r="V745">
        <f t="shared" si="222"/>
        <v>0</v>
      </c>
      <c r="W745" t="e">
        <f t="shared" si="223"/>
        <v>#DIV/0!</v>
      </c>
    </row>
    <row r="746" spans="1:23" x14ac:dyDescent="0.55000000000000004">
      <c r="A746">
        <f t="shared" si="225"/>
        <v>71.20000000000023</v>
      </c>
      <c r="B746">
        <f t="shared" si="226"/>
        <v>0.316</v>
      </c>
      <c r="C746">
        <f t="shared" si="209"/>
        <v>-41.434782608695812</v>
      </c>
      <c r="D746">
        <v>2.4146241276711615</v>
      </c>
      <c r="E746">
        <f t="shared" si="210"/>
        <v>0</v>
      </c>
      <c r="F746">
        <f t="shared" si="211"/>
        <v>4.8605058816845369E-2</v>
      </c>
      <c r="G746">
        <f t="shared" si="212"/>
        <v>39.513748498891111</v>
      </c>
      <c r="H746">
        <f t="shared" si="213"/>
        <v>0</v>
      </c>
      <c r="I746" s="1">
        <f t="shared" si="224"/>
        <v>0</v>
      </c>
      <c r="J746">
        <f t="shared" si="214"/>
        <v>0</v>
      </c>
      <c r="K746">
        <f t="shared" si="215"/>
        <v>0</v>
      </c>
      <c r="L746" cm="1">
        <f t="array" ref="L746">IF(E746*J746=0,0,$C$21*INDEX([3]Sheet1!$C$4:$Q$23,MATCH(K746,[3]Sheet1!$B$4:$B$23,1),MATCH(D746,[3]Sheet1!$C$3:$Q$3,1))
+(K746-INDEX([3]Sheet1!$B$4:$B$23,MATCH(K746,[3]Sheet1!$B$4:$B$23,1),1))/(INDEX([3]Sheet1!$B$4:$B$23,MATCH(K746,[3]Sheet1!$B$4:$B$23,1)+1,1)-INDEX([3]Sheet1!$B$4:$B$23,
MATCH(K746,[3]Sheet1!$B$4:$B$23,1),1))*(INDEX([3]Sheet1!$C$4:$Q$23,MATCH(K746,[3]Sheet1!$B$4:$B$23,1)+1,MATCH(D746,[3]Sheet1!$C$3:$Q$3,1))-INDEX([3]Sheet1!$C$4:$Q$23,
MATCH(K746,[3]Sheet1!$B$4:$B$23,1),MATCH(D746,[3]Sheet1!$C$3:$Q$3,1)))
+(D746-INDEX([3]Sheet1!$C$3:$Q$3,1,MATCH(D746,[3]Sheet1!$C$3:$Q$3)))/(INDEX([3]Sheet1!$C$3:$Q$3,1,MATCH(D746,[3]Sheet1!$C$3:$Q$3)+1)-INDEX([3]Sheet1!$C$3:$Q$3,1,MATCH(
D746,[3]Sheet1!$C$3:$Q$3)))*(INDEX([3]Sheet1!$C$4:$Q$23,MATCH(K746,[3]Sheet1!$B$4:$B$23,1),MATCH(D746,[3]Sheet1!$C$3:$Q$3,1)+1)-INDEX([3]Sheet1!$C$4:$Q$23,MATCH(K746,[3]Sheet1!$B$4:$B$23,1),MATCH(D746,[3]Sheet1!$C$3:$Q$3,1))))</f>
        <v>0</v>
      </c>
      <c r="M746" cm="1">
        <f t="array" ref="M746" xml:space="preserve"> IF(E746*J746=0,0,(INDEX([2]Sheet1!$C$4:$Q$23,MATCH(K746,[2]Sheet1!$B$4:$B$23,1),MATCH(D746,[2]Sheet1!$C$3:$Q$3,1))
+ (K746 - INDEX([2]Sheet1!$B$4:$B$23,MATCH(K746,[2]Sheet1!$B$4:$B$23,1),1))/(INDEX([2]Sheet1!$B$4:$B$23,MATCH(K746,[2]Sheet1!$B$4:$B$23,1)+1,1) - INDEX([2]Sheet1!$B$4:$B$23,MATCH(K746,[2]Sheet1!$B$4:$B$23,1),1))*(INDEX([2]Sheet1!$C$4:$Q$23,MATCH(K746,[2]Sheet1!$B$4:$B$23,1)+1,MATCH(D746,[2]Sheet1!$C$3:$Q$3,1)) - INDEX([2]Sheet1!$C$4:$Q$23,MATCH(K746,[2]Sheet1!$B$4:$B$23,1),MATCH(D746,[2]Sheet1!$C$3:$Q$3,1)))
+ (D746 - INDEX([2]Sheet1!$C$3:$Q$3,1,MATCH(D746,[2]Sheet1!$C$3:$Q$3)))/(INDEX([2]Sheet1!$C$3:$Q$3,1,MATCH(D746,[2]Sheet1!$C$3:$Q$3)+1) - INDEX([2]Sheet1!$C$3:$Q$3,1,MATCH(D746,[2]Sheet1!$C$3:$Q$3)))*(
INDEX([2]Sheet1!$C$4:$Q$23,MATCH(K746,[2]Sheet1!$B$4:$B$23,1),MATCH(D746,[2]Sheet1!$C$3:$Q$3,1)+1) - INDEX([2]Sheet1!$C$4:$Q$23,MATCH(K746,[2]Sheet1!$B$4:$B$23,1),MATCH(D746,[2]Sheet1!$C$3:$Q$3,1)))))</f>
        <v>0</v>
      </c>
      <c r="N746">
        <f t="shared" si="216"/>
        <v>12</v>
      </c>
      <c r="O746">
        <v>8.2777416457283343E-2</v>
      </c>
      <c r="P746" t="e">
        <f t="shared" si="217"/>
        <v>#DIV/0!</v>
      </c>
      <c r="Q746">
        <f t="shared" si="218"/>
        <v>0</v>
      </c>
      <c r="R746">
        <f t="shared" si="219"/>
        <v>741.9099431943954</v>
      </c>
      <c r="T746" t="e">
        <f t="shared" si="220"/>
        <v>#DIV/0!</v>
      </c>
      <c r="U746" t="e">
        <f t="shared" si="221"/>
        <v>#DIV/0!</v>
      </c>
      <c r="V746">
        <f t="shared" si="222"/>
        <v>0</v>
      </c>
      <c r="W746" t="e">
        <f t="shared" si="223"/>
        <v>#DIV/0!</v>
      </c>
    </row>
    <row r="747" spans="1:23" x14ac:dyDescent="0.55000000000000004">
      <c r="A747">
        <f t="shared" si="225"/>
        <v>71.300000000000225</v>
      </c>
      <c r="B747">
        <f t="shared" si="226"/>
        <v>0.316</v>
      </c>
      <c r="C747">
        <f t="shared" si="209"/>
        <v>-41.500000000000149</v>
      </c>
      <c r="D747">
        <v>2.4145684510071468</v>
      </c>
      <c r="E747">
        <f t="shared" si="210"/>
        <v>0</v>
      </c>
      <c r="F747">
        <f t="shared" si="211"/>
        <v>4.8605058816845369E-2</v>
      </c>
      <c r="G747">
        <f t="shared" si="212"/>
        <v>39.513748498891111</v>
      </c>
      <c r="H747">
        <f t="shared" si="213"/>
        <v>0</v>
      </c>
      <c r="I747" s="1">
        <f t="shared" si="224"/>
        <v>0</v>
      </c>
      <c r="J747">
        <f t="shared" si="214"/>
        <v>0</v>
      </c>
      <c r="K747">
        <f t="shared" si="215"/>
        <v>0</v>
      </c>
      <c r="L747" cm="1">
        <f t="array" ref="L747">IF(E747*J747=0,0,$C$21*INDEX([3]Sheet1!$C$4:$Q$23,MATCH(K747,[3]Sheet1!$B$4:$B$23,1),MATCH(D747,[3]Sheet1!$C$3:$Q$3,1))
+(K747-INDEX([3]Sheet1!$B$4:$B$23,MATCH(K747,[3]Sheet1!$B$4:$B$23,1),1))/(INDEX([3]Sheet1!$B$4:$B$23,MATCH(K747,[3]Sheet1!$B$4:$B$23,1)+1,1)-INDEX([3]Sheet1!$B$4:$B$23,
MATCH(K747,[3]Sheet1!$B$4:$B$23,1),1))*(INDEX([3]Sheet1!$C$4:$Q$23,MATCH(K747,[3]Sheet1!$B$4:$B$23,1)+1,MATCH(D747,[3]Sheet1!$C$3:$Q$3,1))-INDEX([3]Sheet1!$C$4:$Q$23,
MATCH(K747,[3]Sheet1!$B$4:$B$23,1),MATCH(D747,[3]Sheet1!$C$3:$Q$3,1)))
+(D747-INDEX([3]Sheet1!$C$3:$Q$3,1,MATCH(D747,[3]Sheet1!$C$3:$Q$3)))/(INDEX([3]Sheet1!$C$3:$Q$3,1,MATCH(D747,[3]Sheet1!$C$3:$Q$3)+1)-INDEX([3]Sheet1!$C$3:$Q$3,1,MATCH(
D747,[3]Sheet1!$C$3:$Q$3)))*(INDEX([3]Sheet1!$C$4:$Q$23,MATCH(K747,[3]Sheet1!$B$4:$B$23,1),MATCH(D747,[3]Sheet1!$C$3:$Q$3,1)+1)-INDEX([3]Sheet1!$C$4:$Q$23,MATCH(K747,[3]Sheet1!$B$4:$B$23,1),MATCH(D747,[3]Sheet1!$C$3:$Q$3,1))))</f>
        <v>0</v>
      </c>
      <c r="M747" cm="1">
        <f t="array" ref="M747" xml:space="preserve"> IF(E747*J747=0,0,(INDEX([2]Sheet1!$C$4:$Q$23,MATCH(K747,[2]Sheet1!$B$4:$B$23,1),MATCH(D747,[2]Sheet1!$C$3:$Q$3,1))
+ (K747 - INDEX([2]Sheet1!$B$4:$B$23,MATCH(K747,[2]Sheet1!$B$4:$B$23,1),1))/(INDEX([2]Sheet1!$B$4:$B$23,MATCH(K747,[2]Sheet1!$B$4:$B$23,1)+1,1) - INDEX([2]Sheet1!$B$4:$B$23,MATCH(K747,[2]Sheet1!$B$4:$B$23,1),1))*(INDEX([2]Sheet1!$C$4:$Q$23,MATCH(K747,[2]Sheet1!$B$4:$B$23,1)+1,MATCH(D747,[2]Sheet1!$C$3:$Q$3,1)) - INDEX([2]Sheet1!$C$4:$Q$23,MATCH(K747,[2]Sheet1!$B$4:$B$23,1),MATCH(D747,[2]Sheet1!$C$3:$Q$3,1)))
+ (D747 - INDEX([2]Sheet1!$C$3:$Q$3,1,MATCH(D747,[2]Sheet1!$C$3:$Q$3)))/(INDEX([2]Sheet1!$C$3:$Q$3,1,MATCH(D747,[2]Sheet1!$C$3:$Q$3)+1) - INDEX([2]Sheet1!$C$3:$Q$3,1,MATCH(D747,[2]Sheet1!$C$3:$Q$3)))*(
INDEX([2]Sheet1!$C$4:$Q$23,MATCH(K747,[2]Sheet1!$B$4:$B$23,1),MATCH(D747,[2]Sheet1!$C$3:$Q$3,1)+1) - INDEX([2]Sheet1!$C$4:$Q$23,MATCH(K747,[2]Sheet1!$B$4:$B$23,1),MATCH(D747,[2]Sheet1!$C$3:$Q$3,1)))))</f>
        <v>0</v>
      </c>
      <c r="N747">
        <f t="shared" si="216"/>
        <v>12</v>
      </c>
      <c r="O747">
        <v>8.276662337180854E-2</v>
      </c>
      <c r="P747" t="e">
        <f t="shared" si="217"/>
        <v>#DIV/0!</v>
      </c>
      <c r="Q747">
        <f t="shared" si="218"/>
        <v>0</v>
      </c>
      <c r="R747">
        <f t="shared" si="219"/>
        <v>741.9099431943954</v>
      </c>
      <c r="T747" t="e">
        <f t="shared" si="220"/>
        <v>#DIV/0!</v>
      </c>
      <c r="U747" t="e">
        <f t="shared" si="221"/>
        <v>#DIV/0!</v>
      </c>
      <c r="V747">
        <f t="shared" si="222"/>
        <v>0</v>
      </c>
      <c r="W747" t="e">
        <f t="shared" si="223"/>
        <v>#DIV/0!</v>
      </c>
    </row>
    <row r="748" spans="1:23" x14ac:dyDescent="0.55000000000000004">
      <c r="A748">
        <f t="shared" si="225"/>
        <v>71.400000000000219</v>
      </c>
      <c r="B748">
        <f t="shared" si="226"/>
        <v>0.316</v>
      </c>
      <c r="C748">
        <f t="shared" si="209"/>
        <v>-41.5652173913045</v>
      </c>
      <c r="D748">
        <v>2.4145128322809937</v>
      </c>
      <c r="E748">
        <f t="shared" si="210"/>
        <v>0</v>
      </c>
      <c r="F748">
        <f t="shared" si="211"/>
        <v>4.8605058816845369E-2</v>
      </c>
      <c r="G748">
        <f t="shared" si="212"/>
        <v>39.513748498891111</v>
      </c>
      <c r="H748">
        <f t="shared" si="213"/>
        <v>0</v>
      </c>
      <c r="I748" s="1">
        <f t="shared" si="224"/>
        <v>0</v>
      </c>
      <c r="J748">
        <f t="shared" si="214"/>
        <v>0</v>
      </c>
      <c r="K748">
        <f t="shared" si="215"/>
        <v>0</v>
      </c>
      <c r="L748" cm="1">
        <f t="array" ref="L748">IF(E748*J748=0,0,$C$21*INDEX([3]Sheet1!$C$4:$Q$23,MATCH(K748,[3]Sheet1!$B$4:$B$23,1),MATCH(D748,[3]Sheet1!$C$3:$Q$3,1))
+(K748-INDEX([3]Sheet1!$B$4:$B$23,MATCH(K748,[3]Sheet1!$B$4:$B$23,1),1))/(INDEX([3]Sheet1!$B$4:$B$23,MATCH(K748,[3]Sheet1!$B$4:$B$23,1)+1,1)-INDEX([3]Sheet1!$B$4:$B$23,
MATCH(K748,[3]Sheet1!$B$4:$B$23,1),1))*(INDEX([3]Sheet1!$C$4:$Q$23,MATCH(K748,[3]Sheet1!$B$4:$B$23,1)+1,MATCH(D748,[3]Sheet1!$C$3:$Q$3,1))-INDEX([3]Sheet1!$C$4:$Q$23,
MATCH(K748,[3]Sheet1!$B$4:$B$23,1),MATCH(D748,[3]Sheet1!$C$3:$Q$3,1)))
+(D748-INDEX([3]Sheet1!$C$3:$Q$3,1,MATCH(D748,[3]Sheet1!$C$3:$Q$3)))/(INDEX([3]Sheet1!$C$3:$Q$3,1,MATCH(D748,[3]Sheet1!$C$3:$Q$3)+1)-INDEX([3]Sheet1!$C$3:$Q$3,1,MATCH(
D748,[3]Sheet1!$C$3:$Q$3)))*(INDEX([3]Sheet1!$C$4:$Q$23,MATCH(K748,[3]Sheet1!$B$4:$B$23,1),MATCH(D748,[3]Sheet1!$C$3:$Q$3,1)+1)-INDEX([3]Sheet1!$C$4:$Q$23,MATCH(K748,[3]Sheet1!$B$4:$B$23,1),MATCH(D748,[3]Sheet1!$C$3:$Q$3,1))))</f>
        <v>0</v>
      </c>
      <c r="M748" cm="1">
        <f t="array" ref="M748" xml:space="preserve"> IF(E748*J748=0,0,(INDEX([2]Sheet1!$C$4:$Q$23,MATCH(K748,[2]Sheet1!$B$4:$B$23,1),MATCH(D748,[2]Sheet1!$C$3:$Q$3,1))
+ (K748 - INDEX([2]Sheet1!$B$4:$B$23,MATCH(K748,[2]Sheet1!$B$4:$B$23,1),1))/(INDEX([2]Sheet1!$B$4:$B$23,MATCH(K748,[2]Sheet1!$B$4:$B$23,1)+1,1) - INDEX([2]Sheet1!$B$4:$B$23,MATCH(K748,[2]Sheet1!$B$4:$B$23,1),1))*(INDEX([2]Sheet1!$C$4:$Q$23,MATCH(K748,[2]Sheet1!$B$4:$B$23,1)+1,MATCH(D748,[2]Sheet1!$C$3:$Q$3,1)) - INDEX([2]Sheet1!$C$4:$Q$23,MATCH(K748,[2]Sheet1!$B$4:$B$23,1),MATCH(D748,[2]Sheet1!$C$3:$Q$3,1)))
+ (D748 - INDEX([2]Sheet1!$C$3:$Q$3,1,MATCH(D748,[2]Sheet1!$C$3:$Q$3)))/(INDEX([2]Sheet1!$C$3:$Q$3,1,MATCH(D748,[2]Sheet1!$C$3:$Q$3)+1) - INDEX([2]Sheet1!$C$3:$Q$3,1,MATCH(D748,[2]Sheet1!$C$3:$Q$3)))*(
INDEX([2]Sheet1!$C$4:$Q$23,MATCH(K748,[2]Sheet1!$B$4:$B$23,1),MATCH(D748,[2]Sheet1!$C$3:$Q$3,1)+1) - INDEX([2]Sheet1!$C$4:$Q$23,MATCH(K748,[2]Sheet1!$B$4:$B$23,1),MATCH(D748,[2]Sheet1!$C$3:$Q$3,1)))))</f>
        <v>0</v>
      </c>
      <c r="N748">
        <f t="shared" si="216"/>
        <v>12</v>
      </c>
      <c r="O748">
        <v>8.2755842917352149E-2</v>
      </c>
      <c r="P748" t="e">
        <f t="shared" si="217"/>
        <v>#DIV/0!</v>
      </c>
      <c r="Q748">
        <f t="shared" si="218"/>
        <v>0</v>
      </c>
      <c r="R748">
        <f t="shared" si="219"/>
        <v>741.9099431943954</v>
      </c>
      <c r="T748" t="e">
        <f t="shared" si="220"/>
        <v>#DIV/0!</v>
      </c>
      <c r="U748" t="e">
        <f t="shared" si="221"/>
        <v>#DIV/0!</v>
      </c>
      <c r="V748">
        <f t="shared" si="222"/>
        <v>0</v>
      </c>
      <c r="W748" t="e">
        <f t="shared" si="223"/>
        <v>#DIV/0!</v>
      </c>
    </row>
    <row r="749" spans="1:23" x14ac:dyDescent="0.55000000000000004">
      <c r="A749">
        <f t="shared" si="225"/>
        <v>71.500000000000213</v>
      </c>
      <c r="B749">
        <f t="shared" si="226"/>
        <v>0.316</v>
      </c>
      <c r="C749">
        <f t="shared" si="209"/>
        <v>-41.630434782608837</v>
      </c>
      <c r="D749">
        <v>115.43984551913201</v>
      </c>
      <c r="E749">
        <f t="shared" si="210"/>
        <v>0</v>
      </c>
      <c r="F749">
        <f t="shared" si="211"/>
        <v>4.8605058816845369E-2</v>
      </c>
      <c r="G749">
        <f t="shared" si="212"/>
        <v>39.513748498891111</v>
      </c>
      <c r="H749">
        <f t="shared" si="213"/>
        <v>0</v>
      </c>
      <c r="I749" s="1">
        <f t="shared" si="224"/>
        <v>0</v>
      </c>
      <c r="J749">
        <f t="shared" si="214"/>
        <v>0</v>
      </c>
      <c r="K749">
        <f t="shared" si="215"/>
        <v>0</v>
      </c>
      <c r="L749" cm="1">
        <f t="array" ref="L749">IF(E749*J749=0,0,$C$21*INDEX([3]Sheet1!$C$4:$Q$23,MATCH(K749,[3]Sheet1!$B$4:$B$23,1),MATCH(D749,[3]Sheet1!$C$3:$Q$3,1))
+(K749-INDEX([3]Sheet1!$B$4:$B$23,MATCH(K749,[3]Sheet1!$B$4:$B$23,1),1))/(INDEX([3]Sheet1!$B$4:$B$23,MATCH(K749,[3]Sheet1!$B$4:$B$23,1)+1,1)-INDEX([3]Sheet1!$B$4:$B$23,
MATCH(K749,[3]Sheet1!$B$4:$B$23,1),1))*(INDEX([3]Sheet1!$C$4:$Q$23,MATCH(K749,[3]Sheet1!$B$4:$B$23,1)+1,MATCH(D749,[3]Sheet1!$C$3:$Q$3,1))-INDEX([3]Sheet1!$C$4:$Q$23,
MATCH(K749,[3]Sheet1!$B$4:$B$23,1),MATCH(D749,[3]Sheet1!$C$3:$Q$3,1)))
+(D749-INDEX([3]Sheet1!$C$3:$Q$3,1,MATCH(D749,[3]Sheet1!$C$3:$Q$3)))/(INDEX([3]Sheet1!$C$3:$Q$3,1,MATCH(D749,[3]Sheet1!$C$3:$Q$3)+1)-INDEX([3]Sheet1!$C$3:$Q$3,1,MATCH(
D749,[3]Sheet1!$C$3:$Q$3)))*(INDEX([3]Sheet1!$C$4:$Q$23,MATCH(K749,[3]Sheet1!$B$4:$B$23,1),MATCH(D749,[3]Sheet1!$C$3:$Q$3,1)+1)-INDEX([3]Sheet1!$C$4:$Q$23,MATCH(K749,[3]Sheet1!$B$4:$B$23,1),MATCH(D749,[3]Sheet1!$C$3:$Q$3,1))))</f>
        <v>0</v>
      </c>
      <c r="M749" cm="1">
        <f t="array" ref="M749" xml:space="preserve"> IF(E749*J749=0,0,(INDEX([2]Sheet1!$C$4:$Q$23,MATCH(K749,[2]Sheet1!$B$4:$B$23,1),MATCH(D749,[2]Sheet1!$C$3:$Q$3,1))
+ (K749 - INDEX([2]Sheet1!$B$4:$B$23,MATCH(K749,[2]Sheet1!$B$4:$B$23,1),1))/(INDEX([2]Sheet1!$B$4:$B$23,MATCH(K749,[2]Sheet1!$B$4:$B$23,1)+1,1) - INDEX([2]Sheet1!$B$4:$B$23,MATCH(K749,[2]Sheet1!$B$4:$B$23,1),1))*(INDEX([2]Sheet1!$C$4:$Q$23,MATCH(K749,[2]Sheet1!$B$4:$B$23,1)+1,MATCH(D749,[2]Sheet1!$C$3:$Q$3,1)) - INDEX([2]Sheet1!$C$4:$Q$23,MATCH(K749,[2]Sheet1!$B$4:$B$23,1),MATCH(D749,[2]Sheet1!$C$3:$Q$3,1)))
+ (D749 - INDEX([2]Sheet1!$C$3:$Q$3,1,MATCH(D749,[2]Sheet1!$C$3:$Q$3)))/(INDEX([2]Sheet1!$C$3:$Q$3,1,MATCH(D749,[2]Sheet1!$C$3:$Q$3)+1) - INDEX([2]Sheet1!$C$3:$Q$3,1,MATCH(D749,[2]Sheet1!$C$3:$Q$3)))*(
INDEX([2]Sheet1!$C$4:$Q$23,MATCH(K749,[2]Sheet1!$B$4:$B$23,1),MATCH(D749,[2]Sheet1!$C$3:$Q$3,1)+1) - INDEX([2]Sheet1!$C$4:$Q$23,MATCH(K749,[2]Sheet1!$B$4:$B$23,1),MATCH(D749,[2]Sheet1!$C$3:$Q$3,1)))))</f>
        <v>0</v>
      </c>
      <c r="N749">
        <f t="shared" si="216"/>
        <v>12</v>
      </c>
      <c r="O749">
        <v>115.02450568394001</v>
      </c>
      <c r="P749" t="e">
        <f t="shared" si="217"/>
        <v>#DIV/0!</v>
      </c>
      <c r="Q749">
        <f t="shared" si="218"/>
        <v>0</v>
      </c>
      <c r="R749">
        <f t="shared" si="219"/>
        <v>741.9099431943954</v>
      </c>
      <c r="T749" t="e">
        <f t="shared" si="220"/>
        <v>#DIV/0!</v>
      </c>
      <c r="U749" t="e">
        <f t="shared" si="221"/>
        <v>#DIV/0!</v>
      </c>
      <c r="V749">
        <f t="shared" si="222"/>
        <v>0</v>
      </c>
      <c r="W749" t="e">
        <f t="shared" si="223"/>
        <v>#DIV/0!</v>
      </c>
    </row>
    <row r="750" spans="1:23" x14ac:dyDescent="0.55000000000000004">
      <c r="A750">
        <f t="shared" si="225"/>
        <v>71.600000000000207</v>
      </c>
      <c r="B750">
        <f t="shared" si="226"/>
        <v>0.316</v>
      </c>
      <c r="C750">
        <f t="shared" si="209"/>
        <v>-41.695652173913189</v>
      </c>
      <c r="D750">
        <v>116.43984551913201</v>
      </c>
      <c r="E750">
        <f t="shared" si="210"/>
        <v>0</v>
      </c>
      <c r="F750">
        <f t="shared" si="211"/>
        <v>4.8605058816845369E-2</v>
      </c>
      <c r="G750">
        <f t="shared" si="212"/>
        <v>39.513748498891111</v>
      </c>
      <c r="H750">
        <f t="shared" si="213"/>
        <v>0</v>
      </c>
      <c r="I750" s="1">
        <f t="shared" si="224"/>
        <v>0</v>
      </c>
      <c r="J750">
        <f t="shared" si="214"/>
        <v>0</v>
      </c>
      <c r="K750">
        <f t="shared" si="215"/>
        <v>0</v>
      </c>
      <c r="L750" cm="1">
        <f t="array" ref="L750">IF(E750*J750=0,0,$C$21*INDEX([3]Sheet1!$C$4:$Q$23,MATCH(K750,[3]Sheet1!$B$4:$B$23,1),MATCH(D750,[3]Sheet1!$C$3:$Q$3,1))
+(K750-INDEX([3]Sheet1!$B$4:$B$23,MATCH(K750,[3]Sheet1!$B$4:$B$23,1),1))/(INDEX([3]Sheet1!$B$4:$B$23,MATCH(K750,[3]Sheet1!$B$4:$B$23,1)+1,1)-INDEX([3]Sheet1!$B$4:$B$23,
MATCH(K750,[3]Sheet1!$B$4:$B$23,1),1))*(INDEX([3]Sheet1!$C$4:$Q$23,MATCH(K750,[3]Sheet1!$B$4:$B$23,1)+1,MATCH(D750,[3]Sheet1!$C$3:$Q$3,1))-INDEX([3]Sheet1!$C$4:$Q$23,
MATCH(K750,[3]Sheet1!$B$4:$B$23,1),MATCH(D750,[3]Sheet1!$C$3:$Q$3,1)))
+(D750-INDEX([3]Sheet1!$C$3:$Q$3,1,MATCH(D750,[3]Sheet1!$C$3:$Q$3)))/(INDEX([3]Sheet1!$C$3:$Q$3,1,MATCH(D750,[3]Sheet1!$C$3:$Q$3)+1)-INDEX([3]Sheet1!$C$3:$Q$3,1,MATCH(
D750,[3]Sheet1!$C$3:$Q$3)))*(INDEX([3]Sheet1!$C$4:$Q$23,MATCH(K750,[3]Sheet1!$B$4:$B$23,1),MATCH(D750,[3]Sheet1!$C$3:$Q$3,1)+1)-INDEX([3]Sheet1!$C$4:$Q$23,MATCH(K750,[3]Sheet1!$B$4:$B$23,1),MATCH(D750,[3]Sheet1!$C$3:$Q$3,1))))</f>
        <v>0</v>
      </c>
      <c r="M750" cm="1">
        <f t="array" ref="M750" xml:space="preserve"> IF(E750*J750=0,0,(INDEX([2]Sheet1!$C$4:$Q$23,MATCH(K750,[2]Sheet1!$B$4:$B$23,1),MATCH(D750,[2]Sheet1!$C$3:$Q$3,1))
+ (K750 - INDEX([2]Sheet1!$B$4:$B$23,MATCH(K750,[2]Sheet1!$B$4:$B$23,1),1))/(INDEX([2]Sheet1!$B$4:$B$23,MATCH(K750,[2]Sheet1!$B$4:$B$23,1)+1,1) - INDEX([2]Sheet1!$B$4:$B$23,MATCH(K750,[2]Sheet1!$B$4:$B$23,1),1))*(INDEX([2]Sheet1!$C$4:$Q$23,MATCH(K750,[2]Sheet1!$B$4:$B$23,1)+1,MATCH(D750,[2]Sheet1!$C$3:$Q$3,1)) - INDEX([2]Sheet1!$C$4:$Q$23,MATCH(K750,[2]Sheet1!$B$4:$B$23,1),MATCH(D750,[2]Sheet1!$C$3:$Q$3,1)))
+ (D750 - INDEX([2]Sheet1!$C$3:$Q$3,1,MATCH(D750,[2]Sheet1!$C$3:$Q$3)))/(INDEX([2]Sheet1!$C$3:$Q$3,1,MATCH(D750,[2]Sheet1!$C$3:$Q$3)+1) - INDEX([2]Sheet1!$C$3:$Q$3,1,MATCH(D750,[2]Sheet1!$C$3:$Q$3)))*(
INDEX([2]Sheet1!$C$4:$Q$23,MATCH(K750,[2]Sheet1!$B$4:$B$23,1),MATCH(D750,[2]Sheet1!$C$3:$Q$3,1)+1) - INDEX([2]Sheet1!$C$4:$Q$23,MATCH(K750,[2]Sheet1!$B$4:$B$23,1),MATCH(D750,[2]Sheet1!$C$3:$Q$3,1)))))</f>
        <v>0</v>
      </c>
      <c r="N750">
        <f t="shared" si="216"/>
        <v>12</v>
      </c>
      <c r="O750">
        <v>116.02450568394001</v>
      </c>
      <c r="P750" t="e">
        <f t="shared" si="217"/>
        <v>#DIV/0!</v>
      </c>
      <c r="Q750">
        <f t="shared" si="218"/>
        <v>0</v>
      </c>
      <c r="R750">
        <f t="shared" si="219"/>
        <v>741.9099431943954</v>
      </c>
      <c r="T750" t="e">
        <f t="shared" si="220"/>
        <v>#DIV/0!</v>
      </c>
      <c r="U750" t="e">
        <f t="shared" si="221"/>
        <v>#DIV/0!</v>
      </c>
      <c r="V750">
        <f t="shared" si="222"/>
        <v>0</v>
      </c>
      <c r="W750" t="e">
        <f t="shared" si="223"/>
        <v>#DIV/0!</v>
      </c>
    </row>
    <row r="751" spans="1:23" x14ac:dyDescent="0.55000000000000004">
      <c r="A751">
        <f t="shared" si="225"/>
        <v>71.700000000000202</v>
      </c>
      <c r="B751">
        <f t="shared" si="226"/>
        <v>0.316</v>
      </c>
      <c r="C751">
        <f t="shared" si="209"/>
        <v>-41.760869565217526</v>
      </c>
      <c r="D751">
        <v>117.43984551913201</v>
      </c>
      <c r="E751">
        <f t="shared" si="210"/>
        <v>0</v>
      </c>
      <c r="F751">
        <f t="shared" si="211"/>
        <v>4.8605058816845369E-2</v>
      </c>
      <c r="G751">
        <f t="shared" si="212"/>
        <v>39.513748498891111</v>
      </c>
      <c r="H751">
        <f t="shared" si="213"/>
        <v>0</v>
      </c>
      <c r="I751" s="1">
        <f t="shared" si="224"/>
        <v>0</v>
      </c>
      <c r="J751">
        <f t="shared" si="214"/>
        <v>0</v>
      </c>
      <c r="K751">
        <f t="shared" si="215"/>
        <v>0</v>
      </c>
      <c r="L751" cm="1">
        <f t="array" ref="L751">IF(E751*J751=0,0,$C$21*INDEX([3]Sheet1!$C$4:$Q$23,MATCH(K751,[3]Sheet1!$B$4:$B$23,1),MATCH(D751,[3]Sheet1!$C$3:$Q$3,1))
+(K751-INDEX([3]Sheet1!$B$4:$B$23,MATCH(K751,[3]Sheet1!$B$4:$B$23,1),1))/(INDEX([3]Sheet1!$B$4:$B$23,MATCH(K751,[3]Sheet1!$B$4:$B$23,1)+1,1)-INDEX([3]Sheet1!$B$4:$B$23,
MATCH(K751,[3]Sheet1!$B$4:$B$23,1),1))*(INDEX([3]Sheet1!$C$4:$Q$23,MATCH(K751,[3]Sheet1!$B$4:$B$23,1)+1,MATCH(D751,[3]Sheet1!$C$3:$Q$3,1))-INDEX([3]Sheet1!$C$4:$Q$23,
MATCH(K751,[3]Sheet1!$B$4:$B$23,1),MATCH(D751,[3]Sheet1!$C$3:$Q$3,1)))
+(D751-INDEX([3]Sheet1!$C$3:$Q$3,1,MATCH(D751,[3]Sheet1!$C$3:$Q$3)))/(INDEX([3]Sheet1!$C$3:$Q$3,1,MATCH(D751,[3]Sheet1!$C$3:$Q$3)+1)-INDEX([3]Sheet1!$C$3:$Q$3,1,MATCH(
D751,[3]Sheet1!$C$3:$Q$3)))*(INDEX([3]Sheet1!$C$4:$Q$23,MATCH(K751,[3]Sheet1!$B$4:$B$23,1),MATCH(D751,[3]Sheet1!$C$3:$Q$3,1)+1)-INDEX([3]Sheet1!$C$4:$Q$23,MATCH(K751,[3]Sheet1!$B$4:$B$23,1),MATCH(D751,[3]Sheet1!$C$3:$Q$3,1))))</f>
        <v>0</v>
      </c>
      <c r="M751" cm="1">
        <f t="array" ref="M751" xml:space="preserve"> IF(E751*J751=0,0,(INDEX([2]Sheet1!$C$4:$Q$23,MATCH(K751,[2]Sheet1!$B$4:$B$23,1),MATCH(D751,[2]Sheet1!$C$3:$Q$3,1))
+ (K751 - INDEX([2]Sheet1!$B$4:$B$23,MATCH(K751,[2]Sheet1!$B$4:$B$23,1),1))/(INDEX([2]Sheet1!$B$4:$B$23,MATCH(K751,[2]Sheet1!$B$4:$B$23,1)+1,1) - INDEX([2]Sheet1!$B$4:$B$23,MATCH(K751,[2]Sheet1!$B$4:$B$23,1),1))*(INDEX([2]Sheet1!$C$4:$Q$23,MATCH(K751,[2]Sheet1!$B$4:$B$23,1)+1,MATCH(D751,[2]Sheet1!$C$3:$Q$3,1)) - INDEX([2]Sheet1!$C$4:$Q$23,MATCH(K751,[2]Sheet1!$B$4:$B$23,1),MATCH(D751,[2]Sheet1!$C$3:$Q$3,1)))
+ (D751 - INDEX([2]Sheet1!$C$3:$Q$3,1,MATCH(D751,[2]Sheet1!$C$3:$Q$3)))/(INDEX([2]Sheet1!$C$3:$Q$3,1,MATCH(D751,[2]Sheet1!$C$3:$Q$3)+1) - INDEX([2]Sheet1!$C$3:$Q$3,1,MATCH(D751,[2]Sheet1!$C$3:$Q$3)))*(
INDEX([2]Sheet1!$C$4:$Q$23,MATCH(K751,[2]Sheet1!$B$4:$B$23,1),MATCH(D751,[2]Sheet1!$C$3:$Q$3,1)+1) - INDEX([2]Sheet1!$C$4:$Q$23,MATCH(K751,[2]Sheet1!$B$4:$B$23,1),MATCH(D751,[2]Sheet1!$C$3:$Q$3,1)))))</f>
        <v>0</v>
      </c>
      <c r="N751">
        <f t="shared" si="216"/>
        <v>12</v>
      </c>
      <c r="O751">
        <v>117.02450568394001</v>
      </c>
      <c r="P751" t="e">
        <f t="shared" si="217"/>
        <v>#DIV/0!</v>
      </c>
      <c r="Q751">
        <f t="shared" si="218"/>
        <v>0</v>
      </c>
      <c r="R751">
        <f t="shared" si="219"/>
        <v>741.9099431943954</v>
      </c>
      <c r="T751" t="e">
        <f t="shared" si="220"/>
        <v>#DIV/0!</v>
      </c>
      <c r="U751" t="e">
        <f t="shared" si="221"/>
        <v>#DIV/0!</v>
      </c>
      <c r="V751">
        <f t="shared" si="222"/>
        <v>0</v>
      </c>
      <c r="W751" t="e">
        <f t="shared" si="223"/>
        <v>#DIV/0!</v>
      </c>
    </row>
    <row r="752" spans="1:23" x14ac:dyDescent="0.55000000000000004">
      <c r="A752">
        <f t="shared" si="225"/>
        <v>71.800000000000196</v>
      </c>
      <c r="B752">
        <f t="shared" si="226"/>
        <v>0.316</v>
      </c>
      <c r="C752">
        <f t="shared" si="209"/>
        <v>-41.826086956521877</v>
      </c>
      <c r="D752">
        <v>118.43984551913201</v>
      </c>
      <c r="E752">
        <f t="shared" si="210"/>
        <v>0</v>
      </c>
      <c r="F752">
        <f t="shared" si="211"/>
        <v>4.8605058816845369E-2</v>
      </c>
      <c r="G752">
        <f t="shared" si="212"/>
        <v>39.513748498891111</v>
      </c>
      <c r="H752">
        <f t="shared" si="213"/>
        <v>0</v>
      </c>
      <c r="I752" s="1">
        <f t="shared" si="224"/>
        <v>0</v>
      </c>
      <c r="J752">
        <f t="shared" si="214"/>
        <v>0</v>
      </c>
      <c r="K752">
        <f t="shared" si="215"/>
        <v>0</v>
      </c>
      <c r="L752" cm="1">
        <f t="array" ref="L752">IF(E752*J752=0,0,$C$21*INDEX([3]Sheet1!$C$4:$Q$23,MATCH(K752,[3]Sheet1!$B$4:$B$23,1),MATCH(D752,[3]Sheet1!$C$3:$Q$3,1))
+(K752-INDEX([3]Sheet1!$B$4:$B$23,MATCH(K752,[3]Sheet1!$B$4:$B$23,1),1))/(INDEX([3]Sheet1!$B$4:$B$23,MATCH(K752,[3]Sheet1!$B$4:$B$23,1)+1,1)-INDEX([3]Sheet1!$B$4:$B$23,
MATCH(K752,[3]Sheet1!$B$4:$B$23,1),1))*(INDEX([3]Sheet1!$C$4:$Q$23,MATCH(K752,[3]Sheet1!$B$4:$B$23,1)+1,MATCH(D752,[3]Sheet1!$C$3:$Q$3,1))-INDEX([3]Sheet1!$C$4:$Q$23,
MATCH(K752,[3]Sheet1!$B$4:$B$23,1),MATCH(D752,[3]Sheet1!$C$3:$Q$3,1)))
+(D752-INDEX([3]Sheet1!$C$3:$Q$3,1,MATCH(D752,[3]Sheet1!$C$3:$Q$3)))/(INDEX([3]Sheet1!$C$3:$Q$3,1,MATCH(D752,[3]Sheet1!$C$3:$Q$3)+1)-INDEX([3]Sheet1!$C$3:$Q$3,1,MATCH(
D752,[3]Sheet1!$C$3:$Q$3)))*(INDEX([3]Sheet1!$C$4:$Q$23,MATCH(K752,[3]Sheet1!$B$4:$B$23,1),MATCH(D752,[3]Sheet1!$C$3:$Q$3,1)+1)-INDEX([3]Sheet1!$C$4:$Q$23,MATCH(K752,[3]Sheet1!$B$4:$B$23,1),MATCH(D752,[3]Sheet1!$C$3:$Q$3,1))))</f>
        <v>0</v>
      </c>
      <c r="M752" cm="1">
        <f t="array" ref="M752" xml:space="preserve"> IF(E752*J752=0,0,(INDEX([2]Sheet1!$C$4:$Q$23,MATCH(K752,[2]Sheet1!$B$4:$B$23,1),MATCH(D752,[2]Sheet1!$C$3:$Q$3,1))
+ (K752 - INDEX([2]Sheet1!$B$4:$B$23,MATCH(K752,[2]Sheet1!$B$4:$B$23,1),1))/(INDEX([2]Sheet1!$B$4:$B$23,MATCH(K752,[2]Sheet1!$B$4:$B$23,1)+1,1) - INDEX([2]Sheet1!$B$4:$B$23,MATCH(K752,[2]Sheet1!$B$4:$B$23,1),1))*(INDEX([2]Sheet1!$C$4:$Q$23,MATCH(K752,[2]Sheet1!$B$4:$B$23,1)+1,MATCH(D752,[2]Sheet1!$C$3:$Q$3,1)) - INDEX([2]Sheet1!$C$4:$Q$23,MATCH(K752,[2]Sheet1!$B$4:$B$23,1),MATCH(D752,[2]Sheet1!$C$3:$Q$3,1)))
+ (D752 - INDEX([2]Sheet1!$C$3:$Q$3,1,MATCH(D752,[2]Sheet1!$C$3:$Q$3)))/(INDEX([2]Sheet1!$C$3:$Q$3,1,MATCH(D752,[2]Sheet1!$C$3:$Q$3)+1) - INDEX([2]Sheet1!$C$3:$Q$3,1,MATCH(D752,[2]Sheet1!$C$3:$Q$3)))*(
INDEX([2]Sheet1!$C$4:$Q$23,MATCH(K752,[2]Sheet1!$B$4:$B$23,1),MATCH(D752,[2]Sheet1!$C$3:$Q$3,1)+1) - INDEX([2]Sheet1!$C$4:$Q$23,MATCH(K752,[2]Sheet1!$B$4:$B$23,1),MATCH(D752,[2]Sheet1!$C$3:$Q$3,1)))))</f>
        <v>0</v>
      </c>
      <c r="N752">
        <f t="shared" si="216"/>
        <v>12</v>
      </c>
      <c r="O752">
        <v>118.02450568394001</v>
      </c>
      <c r="P752" t="e">
        <f t="shared" si="217"/>
        <v>#DIV/0!</v>
      </c>
      <c r="Q752">
        <f t="shared" si="218"/>
        <v>0</v>
      </c>
      <c r="R752">
        <f t="shared" si="219"/>
        <v>741.9099431943954</v>
      </c>
      <c r="T752" t="e">
        <f t="shared" si="220"/>
        <v>#DIV/0!</v>
      </c>
      <c r="U752" t="e">
        <f t="shared" si="221"/>
        <v>#DIV/0!</v>
      </c>
      <c r="V752">
        <f t="shared" si="222"/>
        <v>0</v>
      </c>
      <c r="W752" t="e">
        <f t="shared" si="223"/>
        <v>#DIV/0!</v>
      </c>
    </row>
    <row r="753" spans="1:23" x14ac:dyDescent="0.55000000000000004">
      <c r="A753">
        <f t="shared" si="225"/>
        <v>71.90000000000019</v>
      </c>
      <c r="B753">
        <f t="shared" si="226"/>
        <v>0.316</v>
      </c>
      <c r="C753">
        <f t="shared" si="209"/>
        <v>-41.891304347826214</v>
      </c>
      <c r="D753">
        <v>119.43984551913201</v>
      </c>
      <c r="E753">
        <f t="shared" si="210"/>
        <v>0</v>
      </c>
      <c r="F753">
        <f t="shared" si="211"/>
        <v>4.8605058816845369E-2</v>
      </c>
      <c r="G753">
        <f t="shared" si="212"/>
        <v>39.513748498891111</v>
      </c>
      <c r="H753">
        <f t="shared" si="213"/>
        <v>0</v>
      </c>
      <c r="I753" s="1">
        <f t="shared" si="224"/>
        <v>0</v>
      </c>
      <c r="J753">
        <f t="shared" si="214"/>
        <v>0</v>
      </c>
      <c r="K753">
        <f t="shared" si="215"/>
        <v>0</v>
      </c>
      <c r="L753" cm="1">
        <f t="array" ref="L753">IF(E753*J753=0,0,$C$21*INDEX([3]Sheet1!$C$4:$Q$23,MATCH(K753,[3]Sheet1!$B$4:$B$23,1),MATCH(D753,[3]Sheet1!$C$3:$Q$3,1))
+(K753-INDEX([3]Sheet1!$B$4:$B$23,MATCH(K753,[3]Sheet1!$B$4:$B$23,1),1))/(INDEX([3]Sheet1!$B$4:$B$23,MATCH(K753,[3]Sheet1!$B$4:$B$23,1)+1,1)-INDEX([3]Sheet1!$B$4:$B$23,
MATCH(K753,[3]Sheet1!$B$4:$B$23,1),1))*(INDEX([3]Sheet1!$C$4:$Q$23,MATCH(K753,[3]Sheet1!$B$4:$B$23,1)+1,MATCH(D753,[3]Sheet1!$C$3:$Q$3,1))-INDEX([3]Sheet1!$C$4:$Q$23,
MATCH(K753,[3]Sheet1!$B$4:$B$23,1),MATCH(D753,[3]Sheet1!$C$3:$Q$3,1)))
+(D753-INDEX([3]Sheet1!$C$3:$Q$3,1,MATCH(D753,[3]Sheet1!$C$3:$Q$3)))/(INDEX([3]Sheet1!$C$3:$Q$3,1,MATCH(D753,[3]Sheet1!$C$3:$Q$3)+1)-INDEX([3]Sheet1!$C$3:$Q$3,1,MATCH(
D753,[3]Sheet1!$C$3:$Q$3)))*(INDEX([3]Sheet1!$C$4:$Q$23,MATCH(K753,[3]Sheet1!$B$4:$B$23,1),MATCH(D753,[3]Sheet1!$C$3:$Q$3,1)+1)-INDEX([3]Sheet1!$C$4:$Q$23,MATCH(K753,[3]Sheet1!$B$4:$B$23,1),MATCH(D753,[3]Sheet1!$C$3:$Q$3,1))))</f>
        <v>0</v>
      </c>
      <c r="M753" cm="1">
        <f t="array" ref="M753" xml:space="preserve"> IF(E753*J753=0,0,(INDEX([2]Sheet1!$C$4:$Q$23,MATCH(K753,[2]Sheet1!$B$4:$B$23,1),MATCH(D753,[2]Sheet1!$C$3:$Q$3,1))
+ (K753 - INDEX([2]Sheet1!$B$4:$B$23,MATCH(K753,[2]Sheet1!$B$4:$B$23,1),1))/(INDEX([2]Sheet1!$B$4:$B$23,MATCH(K753,[2]Sheet1!$B$4:$B$23,1)+1,1) - INDEX([2]Sheet1!$B$4:$B$23,MATCH(K753,[2]Sheet1!$B$4:$B$23,1),1))*(INDEX([2]Sheet1!$C$4:$Q$23,MATCH(K753,[2]Sheet1!$B$4:$B$23,1)+1,MATCH(D753,[2]Sheet1!$C$3:$Q$3,1)) - INDEX([2]Sheet1!$C$4:$Q$23,MATCH(K753,[2]Sheet1!$B$4:$B$23,1),MATCH(D753,[2]Sheet1!$C$3:$Q$3,1)))
+ (D753 - INDEX([2]Sheet1!$C$3:$Q$3,1,MATCH(D753,[2]Sheet1!$C$3:$Q$3)))/(INDEX([2]Sheet1!$C$3:$Q$3,1,MATCH(D753,[2]Sheet1!$C$3:$Q$3)+1) - INDEX([2]Sheet1!$C$3:$Q$3,1,MATCH(D753,[2]Sheet1!$C$3:$Q$3)))*(
INDEX([2]Sheet1!$C$4:$Q$23,MATCH(K753,[2]Sheet1!$B$4:$B$23,1),MATCH(D753,[2]Sheet1!$C$3:$Q$3,1)+1) - INDEX([2]Sheet1!$C$4:$Q$23,MATCH(K753,[2]Sheet1!$B$4:$B$23,1),MATCH(D753,[2]Sheet1!$C$3:$Q$3,1)))))</f>
        <v>0</v>
      </c>
      <c r="N753">
        <f t="shared" si="216"/>
        <v>12</v>
      </c>
      <c r="O753">
        <v>119.02450568394001</v>
      </c>
      <c r="P753" t="e">
        <f t="shared" si="217"/>
        <v>#DIV/0!</v>
      </c>
      <c r="Q753">
        <f t="shared" si="218"/>
        <v>0</v>
      </c>
      <c r="R753">
        <f t="shared" si="219"/>
        <v>741.9099431943954</v>
      </c>
      <c r="T753" t="e">
        <f t="shared" si="220"/>
        <v>#DIV/0!</v>
      </c>
      <c r="U753" t="e">
        <f t="shared" si="221"/>
        <v>#DIV/0!</v>
      </c>
      <c r="V753">
        <f t="shared" si="222"/>
        <v>0</v>
      </c>
      <c r="W753" t="e">
        <f t="shared" si="223"/>
        <v>#DIV/0!</v>
      </c>
    </row>
    <row r="754" spans="1:23" x14ac:dyDescent="0.55000000000000004">
      <c r="A754">
        <f t="shared" si="225"/>
        <v>72.000000000000185</v>
      </c>
      <c r="B754">
        <f t="shared" si="226"/>
        <v>0.316</v>
      </c>
      <c r="C754">
        <f t="shared" si="209"/>
        <v>-41.956521739130565</v>
      </c>
      <c r="D754">
        <v>120.43984551913201</v>
      </c>
      <c r="E754">
        <f t="shared" si="210"/>
        <v>0</v>
      </c>
      <c r="F754">
        <f t="shared" si="211"/>
        <v>4.8605058816845369E-2</v>
      </c>
      <c r="G754">
        <f t="shared" si="212"/>
        <v>39.513748498891111</v>
      </c>
      <c r="H754">
        <f t="shared" si="213"/>
        <v>0</v>
      </c>
      <c r="I754" s="1">
        <f t="shared" si="224"/>
        <v>0</v>
      </c>
      <c r="J754">
        <f t="shared" si="214"/>
        <v>0</v>
      </c>
      <c r="K754">
        <f t="shared" si="215"/>
        <v>0</v>
      </c>
      <c r="L754" cm="1">
        <f t="array" ref="L754">IF(E754*J754=0,0,$C$21*INDEX([3]Sheet1!$C$4:$Q$23,MATCH(K754,[3]Sheet1!$B$4:$B$23,1),MATCH(D754,[3]Sheet1!$C$3:$Q$3,1))
+(K754-INDEX([3]Sheet1!$B$4:$B$23,MATCH(K754,[3]Sheet1!$B$4:$B$23,1),1))/(INDEX([3]Sheet1!$B$4:$B$23,MATCH(K754,[3]Sheet1!$B$4:$B$23,1)+1,1)-INDEX([3]Sheet1!$B$4:$B$23,
MATCH(K754,[3]Sheet1!$B$4:$B$23,1),1))*(INDEX([3]Sheet1!$C$4:$Q$23,MATCH(K754,[3]Sheet1!$B$4:$B$23,1)+1,MATCH(D754,[3]Sheet1!$C$3:$Q$3,1))-INDEX([3]Sheet1!$C$4:$Q$23,
MATCH(K754,[3]Sheet1!$B$4:$B$23,1),MATCH(D754,[3]Sheet1!$C$3:$Q$3,1)))
+(D754-INDEX([3]Sheet1!$C$3:$Q$3,1,MATCH(D754,[3]Sheet1!$C$3:$Q$3)))/(INDEX([3]Sheet1!$C$3:$Q$3,1,MATCH(D754,[3]Sheet1!$C$3:$Q$3)+1)-INDEX([3]Sheet1!$C$3:$Q$3,1,MATCH(
D754,[3]Sheet1!$C$3:$Q$3)))*(INDEX([3]Sheet1!$C$4:$Q$23,MATCH(K754,[3]Sheet1!$B$4:$B$23,1),MATCH(D754,[3]Sheet1!$C$3:$Q$3,1)+1)-INDEX([3]Sheet1!$C$4:$Q$23,MATCH(K754,[3]Sheet1!$B$4:$B$23,1),MATCH(D754,[3]Sheet1!$C$3:$Q$3,1))))</f>
        <v>0</v>
      </c>
      <c r="M754" cm="1">
        <f t="array" ref="M754" xml:space="preserve"> IF(E754*J754=0,0,(INDEX([2]Sheet1!$C$4:$Q$23,MATCH(K754,[2]Sheet1!$B$4:$B$23,1),MATCH(D754,[2]Sheet1!$C$3:$Q$3,1))
+ (K754 - INDEX([2]Sheet1!$B$4:$B$23,MATCH(K754,[2]Sheet1!$B$4:$B$23,1),1))/(INDEX([2]Sheet1!$B$4:$B$23,MATCH(K754,[2]Sheet1!$B$4:$B$23,1)+1,1) - INDEX([2]Sheet1!$B$4:$B$23,MATCH(K754,[2]Sheet1!$B$4:$B$23,1),1))*(INDEX([2]Sheet1!$C$4:$Q$23,MATCH(K754,[2]Sheet1!$B$4:$B$23,1)+1,MATCH(D754,[2]Sheet1!$C$3:$Q$3,1)) - INDEX([2]Sheet1!$C$4:$Q$23,MATCH(K754,[2]Sheet1!$B$4:$B$23,1),MATCH(D754,[2]Sheet1!$C$3:$Q$3,1)))
+ (D754 - INDEX([2]Sheet1!$C$3:$Q$3,1,MATCH(D754,[2]Sheet1!$C$3:$Q$3)))/(INDEX([2]Sheet1!$C$3:$Q$3,1,MATCH(D754,[2]Sheet1!$C$3:$Q$3)+1) - INDEX([2]Sheet1!$C$3:$Q$3,1,MATCH(D754,[2]Sheet1!$C$3:$Q$3)))*(
INDEX([2]Sheet1!$C$4:$Q$23,MATCH(K754,[2]Sheet1!$B$4:$B$23,1),MATCH(D754,[2]Sheet1!$C$3:$Q$3,1)+1) - INDEX([2]Sheet1!$C$4:$Q$23,MATCH(K754,[2]Sheet1!$B$4:$B$23,1),MATCH(D754,[2]Sheet1!$C$3:$Q$3,1)))))</f>
        <v>0</v>
      </c>
      <c r="N754">
        <f t="shared" si="216"/>
        <v>12</v>
      </c>
      <c r="O754">
        <v>120.02450568394001</v>
      </c>
      <c r="P754" t="e">
        <f t="shared" si="217"/>
        <v>#DIV/0!</v>
      </c>
      <c r="Q754">
        <f t="shared" si="218"/>
        <v>0</v>
      </c>
      <c r="R754">
        <f t="shared" si="219"/>
        <v>741.9099431943954</v>
      </c>
      <c r="T754" t="e">
        <f t="shared" si="220"/>
        <v>#DIV/0!</v>
      </c>
      <c r="U754" t="e">
        <f t="shared" si="221"/>
        <v>#DIV/0!</v>
      </c>
      <c r="V754">
        <f t="shared" si="222"/>
        <v>0</v>
      </c>
      <c r="W754" t="e">
        <f t="shared" si="223"/>
        <v>#DIV/0!</v>
      </c>
    </row>
    <row r="755" spans="1:23" x14ac:dyDescent="0.55000000000000004">
      <c r="A755">
        <f t="shared" si="225"/>
        <v>72.100000000000179</v>
      </c>
      <c r="B755">
        <f t="shared" si="226"/>
        <v>0.316</v>
      </c>
      <c r="C755">
        <f t="shared" si="209"/>
        <v>-42.021739130434902</v>
      </c>
      <c r="D755">
        <v>121.43984551913201</v>
      </c>
      <c r="E755">
        <f t="shared" si="210"/>
        <v>0</v>
      </c>
      <c r="F755">
        <f t="shared" si="211"/>
        <v>4.8605058816845369E-2</v>
      </c>
      <c r="G755">
        <f t="shared" si="212"/>
        <v>39.513748498891111</v>
      </c>
      <c r="H755">
        <f t="shared" si="213"/>
        <v>0</v>
      </c>
      <c r="I755" s="1">
        <f t="shared" si="224"/>
        <v>0</v>
      </c>
      <c r="J755">
        <f t="shared" si="214"/>
        <v>0</v>
      </c>
      <c r="K755">
        <f t="shared" si="215"/>
        <v>0</v>
      </c>
      <c r="L755" cm="1">
        <f t="array" ref="L755">IF(E755*J755=0,0,$C$21*INDEX([3]Sheet1!$C$4:$Q$23,MATCH(K755,[3]Sheet1!$B$4:$B$23,1),MATCH(D755,[3]Sheet1!$C$3:$Q$3,1))
+(K755-INDEX([3]Sheet1!$B$4:$B$23,MATCH(K755,[3]Sheet1!$B$4:$B$23,1),1))/(INDEX([3]Sheet1!$B$4:$B$23,MATCH(K755,[3]Sheet1!$B$4:$B$23,1)+1,1)-INDEX([3]Sheet1!$B$4:$B$23,
MATCH(K755,[3]Sheet1!$B$4:$B$23,1),1))*(INDEX([3]Sheet1!$C$4:$Q$23,MATCH(K755,[3]Sheet1!$B$4:$B$23,1)+1,MATCH(D755,[3]Sheet1!$C$3:$Q$3,1))-INDEX([3]Sheet1!$C$4:$Q$23,
MATCH(K755,[3]Sheet1!$B$4:$B$23,1),MATCH(D755,[3]Sheet1!$C$3:$Q$3,1)))
+(D755-INDEX([3]Sheet1!$C$3:$Q$3,1,MATCH(D755,[3]Sheet1!$C$3:$Q$3)))/(INDEX([3]Sheet1!$C$3:$Q$3,1,MATCH(D755,[3]Sheet1!$C$3:$Q$3)+1)-INDEX([3]Sheet1!$C$3:$Q$3,1,MATCH(
D755,[3]Sheet1!$C$3:$Q$3)))*(INDEX([3]Sheet1!$C$4:$Q$23,MATCH(K755,[3]Sheet1!$B$4:$B$23,1),MATCH(D755,[3]Sheet1!$C$3:$Q$3,1)+1)-INDEX([3]Sheet1!$C$4:$Q$23,MATCH(K755,[3]Sheet1!$B$4:$B$23,1),MATCH(D755,[3]Sheet1!$C$3:$Q$3,1))))</f>
        <v>0</v>
      </c>
      <c r="M755" cm="1">
        <f t="array" ref="M755" xml:space="preserve"> IF(E755*J755=0,0,(INDEX([2]Sheet1!$C$4:$Q$23,MATCH(K755,[2]Sheet1!$B$4:$B$23,1),MATCH(D755,[2]Sheet1!$C$3:$Q$3,1))
+ (K755 - INDEX([2]Sheet1!$B$4:$B$23,MATCH(K755,[2]Sheet1!$B$4:$B$23,1),1))/(INDEX([2]Sheet1!$B$4:$B$23,MATCH(K755,[2]Sheet1!$B$4:$B$23,1)+1,1) - INDEX([2]Sheet1!$B$4:$B$23,MATCH(K755,[2]Sheet1!$B$4:$B$23,1),1))*(INDEX([2]Sheet1!$C$4:$Q$23,MATCH(K755,[2]Sheet1!$B$4:$B$23,1)+1,MATCH(D755,[2]Sheet1!$C$3:$Q$3,1)) - INDEX([2]Sheet1!$C$4:$Q$23,MATCH(K755,[2]Sheet1!$B$4:$B$23,1),MATCH(D755,[2]Sheet1!$C$3:$Q$3,1)))
+ (D755 - INDEX([2]Sheet1!$C$3:$Q$3,1,MATCH(D755,[2]Sheet1!$C$3:$Q$3)))/(INDEX([2]Sheet1!$C$3:$Q$3,1,MATCH(D755,[2]Sheet1!$C$3:$Q$3)+1) - INDEX([2]Sheet1!$C$3:$Q$3,1,MATCH(D755,[2]Sheet1!$C$3:$Q$3)))*(
INDEX([2]Sheet1!$C$4:$Q$23,MATCH(K755,[2]Sheet1!$B$4:$B$23,1),MATCH(D755,[2]Sheet1!$C$3:$Q$3,1)+1) - INDEX([2]Sheet1!$C$4:$Q$23,MATCH(K755,[2]Sheet1!$B$4:$B$23,1),MATCH(D755,[2]Sheet1!$C$3:$Q$3,1)))))</f>
        <v>0</v>
      </c>
      <c r="N755">
        <f t="shared" si="216"/>
        <v>12</v>
      </c>
      <c r="O755">
        <v>121.02450568394001</v>
      </c>
      <c r="P755" t="e">
        <f t="shared" si="217"/>
        <v>#DIV/0!</v>
      </c>
      <c r="Q755">
        <f t="shared" si="218"/>
        <v>0</v>
      </c>
      <c r="R755">
        <f t="shared" si="219"/>
        <v>741.9099431943954</v>
      </c>
      <c r="T755" t="e">
        <f t="shared" si="220"/>
        <v>#DIV/0!</v>
      </c>
      <c r="U755" t="e">
        <f t="shared" si="221"/>
        <v>#DIV/0!</v>
      </c>
      <c r="V755">
        <f t="shared" si="222"/>
        <v>0</v>
      </c>
      <c r="W755" t="e">
        <f t="shared" si="223"/>
        <v>#DIV/0!</v>
      </c>
    </row>
    <row r="756" spans="1:23" x14ac:dyDescent="0.55000000000000004">
      <c r="A756">
        <f t="shared" si="225"/>
        <v>72.200000000000173</v>
      </c>
      <c r="B756">
        <f t="shared" si="226"/>
        <v>0.316</v>
      </c>
      <c r="C756">
        <f t="shared" si="209"/>
        <v>-42.086956521739253</v>
      </c>
      <c r="D756">
        <v>122.43984551913201</v>
      </c>
      <c r="E756">
        <f t="shared" si="210"/>
        <v>0</v>
      </c>
      <c r="F756">
        <f t="shared" si="211"/>
        <v>4.8605058816845369E-2</v>
      </c>
      <c r="G756">
        <f t="shared" si="212"/>
        <v>39.513748498891111</v>
      </c>
      <c r="H756">
        <f t="shared" si="213"/>
        <v>0</v>
      </c>
      <c r="I756" s="1">
        <f t="shared" si="224"/>
        <v>0</v>
      </c>
      <c r="J756">
        <f t="shared" si="214"/>
        <v>0</v>
      </c>
      <c r="K756">
        <f t="shared" si="215"/>
        <v>0</v>
      </c>
      <c r="L756" cm="1">
        <f t="array" ref="L756">IF(E756*J756=0,0,$C$21*INDEX([3]Sheet1!$C$4:$Q$23,MATCH(K756,[3]Sheet1!$B$4:$B$23,1),MATCH(D756,[3]Sheet1!$C$3:$Q$3,1))
+(K756-INDEX([3]Sheet1!$B$4:$B$23,MATCH(K756,[3]Sheet1!$B$4:$B$23,1),1))/(INDEX([3]Sheet1!$B$4:$B$23,MATCH(K756,[3]Sheet1!$B$4:$B$23,1)+1,1)-INDEX([3]Sheet1!$B$4:$B$23,
MATCH(K756,[3]Sheet1!$B$4:$B$23,1),1))*(INDEX([3]Sheet1!$C$4:$Q$23,MATCH(K756,[3]Sheet1!$B$4:$B$23,1)+1,MATCH(D756,[3]Sheet1!$C$3:$Q$3,1))-INDEX([3]Sheet1!$C$4:$Q$23,
MATCH(K756,[3]Sheet1!$B$4:$B$23,1),MATCH(D756,[3]Sheet1!$C$3:$Q$3,1)))
+(D756-INDEX([3]Sheet1!$C$3:$Q$3,1,MATCH(D756,[3]Sheet1!$C$3:$Q$3)))/(INDEX([3]Sheet1!$C$3:$Q$3,1,MATCH(D756,[3]Sheet1!$C$3:$Q$3)+1)-INDEX([3]Sheet1!$C$3:$Q$3,1,MATCH(
D756,[3]Sheet1!$C$3:$Q$3)))*(INDEX([3]Sheet1!$C$4:$Q$23,MATCH(K756,[3]Sheet1!$B$4:$B$23,1),MATCH(D756,[3]Sheet1!$C$3:$Q$3,1)+1)-INDEX([3]Sheet1!$C$4:$Q$23,MATCH(K756,[3]Sheet1!$B$4:$B$23,1),MATCH(D756,[3]Sheet1!$C$3:$Q$3,1))))</f>
        <v>0</v>
      </c>
      <c r="M756" cm="1">
        <f t="array" ref="M756" xml:space="preserve"> IF(E756*J756=0,0,(INDEX([2]Sheet1!$C$4:$Q$23,MATCH(K756,[2]Sheet1!$B$4:$B$23,1),MATCH(D756,[2]Sheet1!$C$3:$Q$3,1))
+ (K756 - INDEX([2]Sheet1!$B$4:$B$23,MATCH(K756,[2]Sheet1!$B$4:$B$23,1),1))/(INDEX([2]Sheet1!$B$4:$B$23,MATCH(K756,[2]Sheet1!$B$4:$B$23,1)+1,1) - INDEX([2]Sheet1!$B$4:$B$23,MATCH(K756,[2]Sheet1!$B$4:$B$23,1),1))*(INDEX([2]Sheet1!$C$4:$Q$23,MATCH(K756,[2]Sheet1!$B$4:$B$23,1)+1,MATCH(D756,[2]Sheet1!$C$3:$Q$3,1)) - INDEX([2]Sheet1!$C$4:$Q$23,MATCH(K756,[2]Sheet1!$B$4:$B$23,1),MATCH(D756,[2]Sheet1!$C$3:$Q$3,1)))
+ (D756 - INDEX([2]Sheet1!$C$3:$Q$3,1,MATCH(D756,[2]Sheet1!$C$3:$Q$3)))/(INDEX([2]Sheet1!$C$3:$Q$3,1,MATCH(D756,[2]Sheet1!$C$3:$Q$3)+1) - INDEX([2]Sheet1!$C$3:$Q$3,1,MATCH(D756,[2]Sheet1!$C$3:$Q$3)))*(
INDEX([2]Sheet1!$C$4:$Q$23,MATCH(K756,[2]Sheet1!$B$4:$B$23,1),MATCH(D756,[2]Sheet1!$C$3:$Q$3,1)+1) - INDEX([2]Sheet1!$C$4:$Q$23,MATCH(K756,[2]Sheet1!$B$4:$B$23,1),MATCH(D756,[2]Sheet1!$C$3:$Q$3,1)))))</f>
        <v>0</v>
      </c>
      <c r="N756">
        <f t="shared" si="216"/>
        <v>12</v>
      </c>
      <c r="O756">
        <v>122.02450568394001</v>
      </c>
      <c r="P756" t="e">
        <f t="shared" si="217"/>
        <v>#DIV/0!</v>
      </c>
      <c r="Q756">
        <f t="shared" si="218"/>
        <v>0</v>
      </c>
      <c r="R756">
        <f t="shared" si="219"/>
        <v>741.9099431943954</v>
      </c>
      <c r="T756" t="e">
        <f t="shared" si="220"/>
        <v>#DIV/0!</v>
      </c>
      <c r="U756" t="e">
        <f t="shared" si="221"/>
        <v>#DIV/0!</v>
      </c>
      <c r="V756">
        <f t="shared" si="222"/>
        <v>0</v>
      </c>
      <c r="W756" t="e">
        <f t="shared" si="223"/>
        <v>#DIV/0!</v>
      </c>
    </row>
    <row r="757" spans="1:23" x14ac:dyDescent="0.55000000000000004">
      <c r="A757">
        <f t="shared" si="225"/>
        <v>72.300000000000168</v>
      </c>
      <c r="B757">
        <f t="shared" si="226"/>
        <v>0.316</v>
      </c>
      <c r="C757">
        <f t="shared" si="209"/>
        <v>-42.15217391304359</v>
      </c>
      <c r="D757">
        <v>123.43984551913201</v>
      </c>
      <c r="E757">
        <f t="shared" si="210"/>
        <v>0</v>
      </c>
      <c r="F757">
        <f t="shared" si="211"/>
        <v>4.8605058816845369E-2</v>
      </c>
      <c r="G757">
        <f t="shared" si="212"/>
        <v>39.513748498891111</v>
      </c>
      <c r="H757">
        <f t="shared" si="213"/>
        <v>0</v>
      </c>
      <c r="I757" s="1">
        <f t="shared" si="224"/>
        <v>0</v>
      </c>
      <c r="J757">
        <f t="shared" si="214"/>
        <v>0</v>
      </c>
      <c r="K757">
        <f t="shared" si="215"/>
        <v>0</v>
      </c>
      <c r="L757" cm="1">
        <f t="array" ref="L757">IF(E757*J757=0,0,$C$21*INDEX([3]Sheet1!$C$4:$Q$23,MATCH(K757,[3]Sheet1!$B$4:$B$23,1),MATCH(D757,[3]Sheet1!$C$3:$Q$3,1))
+(K757-INDEX([3]Sheet1!$B$4:$B$23,MATCH(K757,[3]Sheet1!$B$4:$B$23,1),1))/(INDEX([3]Sheet1!$B$4:$B$23,MATCH(K757,[3]Sheet1!$B$4:$B$23,1)+1,1)-INDEX([3]Sheet1!$B$4:$B$23,
MATCH(K757,[3]Sheet1!$B$4:$B$23,1),1))*(INDEX([3]Sheet1!$C$4:$Q$23,MATCH(K757,[3]Sheet1!$B$4:$B$23,1)+1,MATCH(D757,[3]Sheet1!$C$3:$Q$3,1))-INDEX([3]Sheet1!$C$4:$Q$23,
MATCH(K757,[3]Sheet1!$B$4:$B$23,1),MATCH(D757,[3]Sheet1!$C$3:$Q$3,1)))
+(D757-INDEX([3]Sheet1!$C$3:$Q$3,1,MATCH(D757,[3]Sheet1!$C$3:$Q$3)))/(INDEX([3]Sheet1!$C$3:$Q$3,1,MATCH(D757,[3]Sheet1!$C$3:$Q$3)+1)-INDEX([3]Sheet1!$C$3:$Q$3,1,MATCH(
D757,[3]Sheet1!$C$3:$Q$3)))*(INDEX([3]Sheet1!$C$4:$Q$23,MATCH(K757,[3]Sheet1!$B$4:$B$23,1),MATCH(D757,[3]Sheet1!$C$3:$Q$3,1)+1)-INDEX([3]Sheet1!$C$4:$Q$23,MATCH(K757,[3]Sheet1!$B$4:$B$23,1),MATCH(D757,[3]Sheet1!$C$3:$Q$3,1))))</f>
        <v>0</v>
      </c>
      <c r="M757" cm="1">
        <f t="array" ref="M757" xml:space="preserve"> IF(E757*J757=0,0,(INDEX([2]Sheet1!$C$4:$Q$23,MATCH(K757,[2]Sheet1!$B$4:$B$23,1),MATCH(D757,[2]Sheet1!$C$3:$Q$3,1))
+ (K757 - INDEX([2]Sheet1!$B$4:$B$23,MATCH(K757,[2]Sheet1!$B$4:$B$23,1),1))/(INDEX([2]Sheet1!$B$4:$B$23,MATCH(K757,[2]Sheet1!$B$4:$B$23,1)+1,1) - INDEX([2]Sheet1!$B$4:$B$23,MATCH(K757,[2]Sheet1!$B$4:$B$23,1),1))*(INDEX([2]Sheet1!$C$4:$Q$23,MATCH(K757,[2]Sheet1!$B$4:$B$23,1)+1,MATCH(D757,[2]Sheet1!$C$3:$Q$3,1)) - INDEX([2]Sheet1!$C$4:$Q$23,MATCH(K757,[2]Sheet1!$B$4:$B$23,1),MATCH(D757,[2]Sheet1!$C$3:$Q$3,1)))
+ (D757 - INDEX([2]Sheet1!$C$3:$Q$3,1,MATCH(D757,[2]Sheet1!$C$3:$Q$3)))/(INDEX([2]Sheet1!$C$3:$Q$3,1,MATCH(D757,[2]Sheet1!$C$3:$Q$3)+1) - INDEX([2]Sheet1!$C$3:$Q$3,1,MATCH(D757,[2]Sheet1!$C$3:$Q$3)))*(
INDEX([2]Sheet1!$C$4:$Q$23,MATCH(K757,[2]Sheet1!$B$4:$B$23,1),MATCH(D757,[2]Sheet1!$C$3:$Q$3,1)+1) - INDEX([2]Sheet1!$C$4:$Q$23,MATCH(K757,[2]Sheet1!$B$4:$B$23,1),MATCH(D757,[2]Sheet1!$C$3:$Q$3,1)))))</f>
        <v>0</v>
      </c>
      <c r="N757">
        <f t="shared" si="216"/>
        <v>12</v>
      </c>
      <c r="O757">
        <v>123.02450568394001</v>
      </c>
      <c r="P757" t="e">
        <f t="shared" si="217"/>
        <v>#DIV/0!</v>
      </c>
      <c r="Q757">
        <f t="shared" si="218"/>
        <v>0</v>
      </c>
      <c r="R757">
        <f t="shared" si="219"/>
        <v>741.9099431943954</v>
      </c>
      <c r="T757" t="e">
        <f t="shared" si="220"/>
        <v>#DIV/0!</v>
      </c>
      <c r="U757" t="e">
        <f t="shared" si="221"/>
        <v>#DIV/0!</v>
      </c>
      <c r="V757">
        <f t="shared" si="222"/>
        <v>0</v>
      </c>
      <c r="W757" t="e">
        <f t="shared" si="223"/>
        <v>#DIV/0!</v>
      </c>
    </row>
    <row r="758" spans="1:23" x14ac:dyDescent="0.55000000000000004">
      <c r="A758">
        <f t="shared" si="225"/>
        <v>72.400000000000162</v>
      </c>
      <c r="B758">
        <f t="shared" si="226"/>
        <v>0.316</v>
      </c>
      <c r="C758">
        <f t="shared" si="209"/>
        <v>-42.217391304347942</v>
      </c>
      <c r="D758">
        <v>124.43984551913201</v>
      </c>
      <c r="E758">
        <f t="shared" si="210"/>
        <v>0</v>
      </c>
      <c r="F758">
        <f t="shared" si="211"/>
        <v>4.8605058816845369E-2</v>
      </c>
      <c r="G758">
        <f t="shared" si="212"/>
        <v>39.513748498891111</v>
      </c>
      <c r="H758">
        <f t="shared" si="213"/>
        <v>0</v>
      </c>
      <c r="I758" s="1">
        <f t="shared" si="224"/>
        <v>0</v>
      </c>
      <c r="J758">
        <f t="shared" si="214"/>
        <v>0</v>
      </c>
      <c r="K758">
        <f t="shared" si="215"/>
        <v>0</v>
      </c>
      <c r="L758" cm="1">
        <f t="array" ref="L758">IF(E758*J758=0,0,$C$21*INDEX([3]Sheet1!$C$4:$Q$23,MATCH(K758,[3]Sheet1!$B$4:$B$23,1),MATCH(D758,[3]Sheet1!$C$3:$Q$3,1))
+(K758-INDEX([3]Sheet1!$B$4:$B$23,MATCH(K758,[3]Sheet1!$B$4:$B$23,1),1))/(INDEX([3]Sheet1!$B$4:$B$23,MATCH(K758,[3]Sheet1!$B$4:$B$23,1)+1,1)-INDEX([3]Sheet1!$B$4:$B$23,
MATCH(K758,[3]Sheet1!$B$4:$B$23,1),1))*(INDEX([3]Sheet1!$C$4:$Q$23,MATCH(K758,[3]Sheet1!$B$4:$B$23,1)+1,MATCH(D758,[3]Sheet1!$C$3:$Q$3,1))-INDEX([3]Sheet1!$C$4:$Q$23,
MATCH(K758,[3]Sheet1!$B$4:$B$23,1),MATCH(D758,[3]Sheet1!$C$3:$Q$3,1)))
+(D758-INDEX([3]Sheet1!$C$3:$Q$3,1,MATCH(D758,[3]Sheet1!$C$3:$Q$3)))/(INDEX([3]Sheet1!$C$3:$Q$3,1,MATCH(D758,[3]Sheet1!$C$3:$Q$3)+1)-INDEX([3]Sheet1!$C$3:$Q$3,1,MATCH(
D758,[3]Sheet1!$C$3:$Q$3)))*(INDEX([3]Sheet1!$C$4:$Q$23,MATCH(K758,[3]Sheet1!$B$4:$B$23,1),MATCH(D758,[3]Sheet1!$C$3:$Q$3,1)+1)-INDEX([3]Sheet1!$C$4:$Q$23,MATCH(K758,[3]Sheet1!$B$4:$B$23,1),MATCH(D758,[3]Sheet1!$C$3:$Q$3,1))))</f>
        <v>0</v>
      </c>
      <c r="M758" cm="1">
        <f t="array" ref="M758" xml:space="preserve"> IF(E758*J758=0,0,(INDEX([2]Sheet1!$C$4:$Q$23,MATCH(K758,[2]Sheet1!$B$4:$B$23,1),MATCH(D758,[2]Sheet1!$C$3:$Q$3,1))
+ (K758 - INDEX([2]Sheet1!$B$4:$B$23,MATCH(K758,[2]Sheet1!$B$4:$B$23,1),1))/(INDEX([2]Sheet1!$B$4:$B$23,MATCH(K758,[2]Sheet1!$B$4:$B$23,1)+1,1) - INDEX([2]Sheet1!$B$4:$B$23,MATCH(K758,[2]Sheet1!$B$4:$B$23,1),1))*(INDEX([2]Sheet1!$C$4:$Q$23,MATCH(K758,[2]Sheet1!$B$4:$B$23,1)+1,MATCH(D758,[2]Sheet1!$C$3:$Q$3,1)) - INDEX([2]Sheet1!$C$4:$Q$23,MATCH(K758,[2]Sheet1!$B$4:$B$23,1),MATCH(D758,[2]Sheet1!$C$3:$Q$3,1)))
+ (D758 - INDEX([2]Sheet1!$C$3:$Q$3,1,MATCH(D758,[2]Sheet1!$C$3:$Q$3)))/(INDEX([2]Sheet1!$C$3:$Q$3,1,MATCH(D758,[2]Sheet1!$C$3:$Q$3)+1) - INDEX([2]Sheet1!$C$3:$Q$3,1,MATCH(D758,[2]Sheet1!$C$3:$Q$3)))*(
INDEX([2]Sheet1!$C$4:$Q$23,MATCH(K758,[2]Sheet1!$B$4:$B$23,1),MATCH(D758,[2]Sheet1!$C$3:$Q$3,1)+1) - INDEX([2]Sheet1!$C$4:$Q$23,MATCH(K758,[2]Sheet1!$B$4:$B$23,1),MATCH(D758,[2]Sheet1!$C$3:$Q$3,1)))))</f>
        <v>0</v>
      </c>
      <c r="N758">
        <f t="shared" si="216"/>
        <v>12</v>
      </c>
      <c r="O758">
        <v>124.02450568394001</v>
      </c>
      <c r="P758" t="e">
        <f t="shared" si="217"/>
        <v>#DIV/0!</v>
      </c>
      <c r="Q758">
        <f t="shared" si="218"/>
        <v>0</v>
      </c>
      <c r="R758">
        <f t="shared" si="219"/>
        <v>741.9099431943954</v>
      </c>
      <c r="T758" t="e">
        <f t="shared" si="220"/>
        <v>#DIV/0!</v>
      </c>
      <c r="U758" t="e">
        <f t="shared" si="221"/>
        <v>#DIV/0!</v>
      </c>
      <c r="V758">
        <f t="shared" si="222"/>
        <v>0</v>
      </c>
      <c r="W758" t="e">
        <f t="shared" si="223"/>
        <v>#DIV/0!</v>
      </c>
    </row>
    <row r="759" spans="1:23" x14ac:dyDescent="0.55000000000000004">
      <c r="A759">
        <f t="shared" si="225"/>
        <v>72.500000000000156</v>
      </c>
      <c r="B759">
        <f t="shared" si="226"/>
        <v>0.316</v>
      </c>
      <c r="C759">
        <f t="shared" si="209"/>
        <v>-42.282608695652279</v>
      </c>
      <c r="D759">
        <v>125.43984551913201</v>
      </c>
      <c r="E759">
        <f t="shared" si="210"/>
        <v>0</v>
      </c>
      <c r="F759">
        <f t="shared" si="211"/>
        <v>4.8605058816845369E-2</v>
      </c>
      <c r="G759">
        <f t="shared" si="212"/>
        <v>39.513748498891111</v>
      </c>
      <c r="H759">
        <f t="shared" si="213"/>
        <v>0</v>
      </c>
      <c r="I759" s="1">
        <f t="shared" si="224"/>
        <v>0</v>
      </c>
      <c r="J759">
        <f t="shared" si="214"/>
        <v>0</v>
      </c>
      <c r="K759">
        <f t="shared" si="215"/>
        <v>0</v>
      </c>
      <c r="L759" cm="1">
        <f t="array" ref="L759">IF(E759*J759=0,0,$C$21*INDEX([3]Sheet1!$C$4:$Q$23,MATCH(K759,[3]Sheet1!$B$4:$B$23,1),MATCH(D759,[3]Sheet1!$C$3:$Q$3,1))
+(K759-INDEX([3]Sheet1!$B$4:$B$23,MATCH(K759,[3]Sheet1!$B$4:$B$23,1),1))/(INDEX([3]Sheet1!$B$4:$B$23,MATCH(K759,[3]Sheet1!$B$4:$B$23,1)+1,1)-INDEX([3]Sheet1!$B$4:$B$23,
MATCH(K759,[3]Sheet1!$B$4:$B$23,1),1))*(INDEX([3]Sheet1!$C$4:$Q$23,MATCH(K759,[3]Sheet1!$B$4:$B$23,1)+1,MATCH(D759,[3]Sheet1!$C$3:$Q$3,1))-INDEX([3]Sheet1!$C$4:$Q$23,
MATCH(K759,[3]Sheet1!$B$4:$B$23,1),MATCH(D759,[3]Sheet1!$C$3:$Q$3,1)))
+(D759-INDEX([3]Sheet1!$C$3:$Q$3,1,MATCH(D759,[3]Sheet1!$C$3:$Q$3)))/(INDEX([3]Sheet1!$C$3:$Q$3,1,MATCH(D759,[3]Sheet1!$C$3:$Q$3)+1)-INDEX([3]Sheet1!$C$3:$Q$3,1,MATCH(
D759,[3]Sheet1!$C$3:$Q$3)))*(INDEX([3]Sheet1!$C$4:$Q$23,MATCH(K759,[3]Sheet1!$B$4:$B$23,1),MATCH(D759,[3]Sheet1!$C$3:$Q$3,1)+1)-INDEX([3]Sheet1!$C$4:$Q$23,MATCH(K759,[3]Sheet1!$B$4:$B$23,1),MATCH(D759,[3]Sheet1!$C$3:$Q$3,1))))</f>
        <v>0</v>
      </c>
      <c r="M759" cm="1">
        <f t="array" ref="M759" xml:space="preserve"> IF(E759*J759=0,0,(INDEX([2]Sheet1!$C$4:$Q$23,MATCH(K759,[2]Sheet1!$B$4:$B$23,1),MATCH(D759,[2]Sheet1!$C$3:$Q$3,1))
+ (K759 - INDEX([2]Sheet1!$B$4:$B$23,MATCH(K759,[2]Sheet1!$B$4:$B$23,1),1))/(INDEX([2]Sheet1!$B$4:$B$23,MATCH(K759,[2]Sheet1!$B$4:$B$23,1)+1,1) - INDEX([2]Sheet1!$B$4:$B$23,MATCH(K759,[2]Sheet1!$B$4:$B$23,1),1))*(INDEX([2]Sheet1!$C$4:$Q$23,MATCH(K759,[2]Sheet1!$B$4:$B$23,1)+1,MATCH(D759,[2]Sheet1!$C$3:$Q$3,1)) - INDEX([2]Sheet1!$C$4:$Q$23,MATCH(K759,[2]Sheet1!$B$4:$B$23,1),MATCH(D759,[2]Sheet1!$C$3:$Q$3,1)))
+ (D759 - INDEX([2]Sheet1!$C$3:$Q$3,1,MATCH(D759,[2]Sheet1!$C$3:$Q$3)))/(INDEX([2]Sheet1!$C$3:$Q$3,1,MATCH(D759,[2]Sheet1!$C$3:$Q$3)+1) - INDEX([2]Sheet1!$C$3:$Q$3,1,MATCH(D759,[2]Sheet1!$C$3:$Q$3)))*(
INDEX([2]Sheet1!$C$4:$Q$23,MATCH(K759,[2]Sheet1!$B$4:$B$23,1),MATCH(D759,[2]Sheet1!$C$3:$Q$3,1)+1) - INDEX([2]Sheet1!$C$4:$Q$23,MATCH(K759,[2]Sheet1!$B$4:$B$23,1),MATCH(D759,[2]Sheet1!$C$3:$Q$3,1)))))</f>
        <v>0</v>
      </c>
      <c r="N759">
        <f t="shared" si="216"/>
        <v>12</v>
      </c>
      <c r="O759">
        <v>125.02450568394001</v>
      </c>
      <c r="P759" t="e">
        <f t="shared" si="217"/>
        <v>#DIV/0!</v>
      </c>
      <c r="Q759">
        <f t="shared" si="218"/>
        <v>0</v>
      </c>
      <c r="R759">
        <f t="shared" si="219"/>
        <v>741.9099431943954</v>
      </c>
      <c r="T759" t="e">
        <f t="shared" si="220"/>
        <v>#DIV/0!</v>
      </c>
      <c r="U759" t="e">
        <f t="shared" si="221"/>
        <v>#DIV/0!</v>
      </c>
      <c r="V759">
        <f t="shared" si="222"/>
        <v>0</v>
      </c>
      <c r="W759" t="e">
        <f t="shared" si="223"/>
        <v>#DIV/0!</v>
      </c>
    </row>
    <row r="760" spans="1:23" x14ac:dyDescent="0.55000000000000004">
      <c r="A760">
        <f t="shared" si="225"/>
        <v>72.600000000000151</v>
      </c>
      <c r="B760">
        <f t="shared" si="226"/>
        <v>0.316</v>
      </c>
      <c r="C760">
        <f t="shared" si="209"/>
        <v>-42.34782608695663</v>
      </c>
      <c r="D760">
        <v>126.43984551913201</v>
      </c>
      <c r="E760">
        <f t="shared" si="210"/>
        <v>0</v>
      </c>
      <c r="F760">
        <f t="shared" si="211"/>
        <v>4.8605058816845369E-2</v>
      </c>
      <c r="G760">
        <f t="shared" si="212"/>
        <v>39.513748498891111</v>
      </c>
      <c r="H760">
        <f t="shared" si="213"/>
        <v>0</v>
      </c>
      <c r="I760" s="1">
        <f t="shared" si="224"/>
        <v>0</v>
      </c>
      <c r="J760">
        <f t="shared" si="214"/>
        <v>0</v>
      </c>
      <c r="K760">
        <f t="shared" si="215"/>
        <v>0</v>
      </c>
      <c r="L760" cm="1">
        <f t="array" ref="L760">IF(E760*J760=0,0,$C$21*INDEX([3]Sheet1!$C$4:$Q$23,MATCH(K760,[3]Sheet1!$B$4:$B$23,1),MATCH(D760,[3]Sheet1!$C$3:$Q$3,1))
+(K760-INDEX([3]Sheet1!$B$4:$B$23,MATCH(K760,[3]Sheet1!$B$4:$B$23,1),1))/(INDEX([3]Sheet1!$B$4:$B$23,MATCH(K760,[3]Sheet1!$B$4:$B$23,1)+1,1)-INDEX([3]Sheet1!$B$4:$B$23,
MATCH(K760,[3]Sheet1!$B$4:$B$23,1),1))*(INDEX([3]Sheet1!$C$4:$Q$23,MATCH(K760,[3]Sheet1!$B$4:$B$23,1)+1,MATCH(D760,[3]Sheet1!$C$3:$Q$3,1))-INDEX([3]Sheet1!$C$4:$Q$23,
MATCH(K760,[3]Sheet1!$B$4:$B$23,1),MATCH(D760,[3]Sheet1!$C$3:$Q$3,1)))
+(D760-INDEX([3]Sheet1!$C$3:$Q$3,1,MATCH(D760,[3]Sheet1!$C$3:$Q$3)))/(INDEX([3]Sheet1!$C$3:$Q$3,1,MATCH(D760,[3]Sheet1!$C$3:$Q$3)+1)-INDEX([3]Sheet1!$C$3:$Q$3,1,MATCH(
D760,[3]Sheet1!$C$3:$Q$3)))*(INDEX([3]Sheet1!$C$4:$Q$23,MATCH(K760,[3]Sheet1!$B$4:$B$23,1),MATCH(D760,[3]Sheet1!$C$3:$Q$3,1)+1)-INDEX([3]Sheet1!$C$4:$Q$23,MATCH(K760,[3]Sheet1!$B$4:$B$23,1),MATCH(D760,[3]Sheet1!$C$3:$Q$3,1))))</f>
        <v>0</v>
      </c>
      <c r="M760" cm="1">
        <f t="array" ref="M760" xml:space="preserve"> IF(E760*J760=0,0,(INDEX([2]Sheet1!$C$4:$Q$23,MATCH(K760,[2]Sheet1!$B$4:$B$23,1),MATCH(D760,[2]Sheet1!$C$3:$Q$3,1))
+ (K760 - INDEX([2]Sheet1!$B$4:$B$23,MATCH(K760,[2]Sheet1!$B$4:$B$23,1),1))/(INDEX([2]Sheet1!$B$4:$B$23,MATCH(K760,[2]Sheet1!$B$4:$B$23,1)+1,1) - INDEX([2]Sheet1!$B$4:$B$23,MATCH(K760,[2]Sheet1!$B$4:$B$23,1),1))*(INDEX([2]Sheet1!$C$4:$Q$23,MATCH(K760,[2]Sheet1!$B$4:$B$23,1)+1,MATCH(D760,[2]Sheet1!$C$3:$Q$3,1)) - INDEX([2]Sheet1!$C$4:$Q$23,MATCH(K760,[2]Sheet1!$B$4:$B$23,1),MATCH(D760,[2]Sheet1!$C$3:$Q$3,1)))
+ (D760 - INDEX([2]Sheet1!$C$3:$Q$3,1,MATCH(D760,[2]Sheet1!$C$3:$Q$3)))/(INDEX([2]Sheet1!$C$3:$Q$3,1,MATCH(D760,[2]Sheet1!$C$3:$Q$3)+1) - INDEX([2]Sheet1!$C$3:$Q$3,1,MATCH(D760,[2]Sheet1!$C$3:$Q$3)))*(
INDEX([2]Sheet1!$C$4:$Q$23,MATCH(K760,[2]Sheet1!$B$4:$B$23,1),MATCH(D760,[2]Sheet1!$C$3:$Q$3,1)+1) - INDEX([2]Sheet1!$C$4:$Q$23,MATCH(K760,[2]Sheet1!$B$4:$B$23,1),MATCH(D760,[2]Sheet1!$C$3:$Q$3,1)))))</f>
        <v>0</v>
      </c>
      <c r="N760">
        <f t="shared" si="216"/>
        <v>12</v>
      </c>
      <c r="O760">
        <v>126.02450568394001</v>
      </c>
      <c r="P760" t="e">
        <f t="shared" si="217"/>
        <v>#DIV/0!</v>
      </c>
      <c r="Q760">
        <f t="shared" si="218"/>
        <v>0</v>
      </c>
      <c r="R760">
        <f t="shared" si="219"/>
        <v>741.9099431943954</v>
      </c>
      <c r="T760" t="e">
        <f t="shared" si="220"/>
        <v>#DIV/0!</v>
      </c>
      <c r="U760" t="e">
        <f t="shared" si="221"/>
        <v>#DIV/0!</v>
      </c>
      <c r="V760">
        <f t="shared" si="222"/>
        <v>0</v>
      </c>
      <c r="W760" t="e">
        <f t="shared" si="223"/>
        <v>#DIV/0!</v>
      </c>
    </row>
    <row r="761" spans="1:23" x14ac:dyDescent="0.55000000000000004">
      <c r="A761">
        <f t="shared" si="225"/>
        <v>72.700000000000145</v>
      </c>
      <c r="B761">
        <f t="shared" si="226"/>
        <v>0.316</v>
      </c>
      <c r="C761">
        <f t="shared" si="209"/>
        <v>-42.413043478260967</v>
      </c>
      <c r="D761">
        <v>127.43984551913201</v>
      </c>
      <c r="E761">
        <f t="shared" si="210"/>
        <v>0</v>
      </c>
      <c r="F761">
        <f t="shared" si="211"/>
        <v>4.8605058816845369E-2</v>
      </c>
      <c r="G761">
        <f t="shared" si="212"/>
        <v>39.513748498891111</v>
      </c>
      <c r="H761">
        <f t="shared" si="213"/>
        <v>0</v>
      </c>
      <c r="I761" s="1">
        <f t="shared" si="224"/>
        <v>0</v>
      </c>
      <c r="J761">
        <f t="shared" si="214"/>
        <v>0</v>
      </c>
      <c r="K761">
        <f t="shared" si="215"/>
        <v>0</v>
      </c>
      <c r="L761" cm="1">
        <f t="array" ref="L761">IF(E761*J761=0,0,$C$21*INDEX([3]Sheet1!$C$4:$Q$23,MATCH(K761,[3]Sheet1!$B$4:$B$23,1),MATCH(D761,[3]Sheet1!$C$3:$Q$3,1))
+(K761-INDEX([3]Sheet1!$B$4:$B$23,MATCH(K761,[3]Sheet1!$B$4:$B$23,1),1))/(INDEX([3]Sheet1!$B$4:$B$23,MATCH(K761,[3]Sheet1!$B$4:$B$23,1)+1,1)-INDEX([3]Sheet1!$B$4:$B$23,
MATCH(K761,[3]Sheet1!$B$4:$B$23,1),1))*(INDEX([3]Sheet1!$C$4:$Q$23,MATCH(K761,[3]Sheet1!$B$4:$B$23,1)+1,MATCH(D761,[3]Sheet1!$C$3:$Q$3,1))-INDEX([3]Sheet1!$C$4:$Q$23,
MATCH(K761,[3]Sheet1!$B$4:$B$23,1),MATCH(D761,[3]Sheet1!$C$3:$Q$3,1)))
+(D761-INDEX([3]Sheet1!$C$3:$Q$3,1,MATCH(D761,[3]Sheet1!$C$3:$Q$3)))/(INDEX([3]Sheet1!$C$3:$Q$3,1,MATCH(D761,[3]Sheet1!$C$3:$Q$3)+1)-INDEX([3]Sheet1!$C$3:$Q$3,1,MATCH(
D761,[3]Sheet1!$C$3:$Q$3)))*(INDEX([3]Sheet1!$C$4:$Q$23,MATCH(K761,[3]Sheet1!$B$4:$B$23,1),MATCH(D761,[3]Sheet1!$C$3:$Q$3,1)+1)-INDEX([3]Sheet1!$C$4:$Q$23,MATCH(K761,[3]Sheet1!$B$4:$B$23,1),MATCH(D761,[3]Sheet1!$C$3:$Q$3,1))))</f>
        <v>0</v>
      </c>
      <c r="M761" cm="1">
        <f t="array" ref="M761" xml:space="preserve"> IF(E761*J761=0,0,(INDEX([2]Sheet1!$C$4:$Q$23,MATCH(K761,[2]Sheet1!$B$4:$B$23,1),MATCH(D761,[2]Sheet1!$C$3:$Q$3,1))
+ (K761 - INDEX([2]Sheet1!$B$4:$B$23,MATCH(K761,[2]Sheet1!$B$4:$B$23,1),1))/(INDEX([2]Sheet1!$B$4:$B$23,MATCH(K761,[2]Sheet1!$B$4:$B$23,1)+1,1) - INDEX([2]Sheet1!$B$4:$B$23,MATCH(K761,[2]Sheet1!$B$4:$B$23,1),1))*(INDEX([2]Sheet1!$C$4:$Q$23,MATCH(K761,[2]Sheet1!$B$4:$B$23,1)+1,MATCH(D761,[2]Sheet1!$C$3:$Q$3,1)) - INDEX([2]Sheet1!$C$4:$Q$23,MATCH(K761,[2]Sheet1!$B$4:$B$23,1),MATCH(D761,[2]Sheet1!$C$3:$Q$3,1)))
+ (D761 - INDEX([2]Sheet1!$C$3:$Q$3,1,MATCH(D761,[2]Sheet1!$C$3:$Q$3)))/(INDEX([2]Sheet1!$C$3:$Q$3,1,MATCH(D761,[2]Sheet1!$C$3:$Q$3)+1) - INDEX([2]Sheet1!$C$3:$Q$3,1,MATCH(D761,[2]Sheet1!$C$3:$Q$3)))*(
INDEX([2]Sheet1!$C$4:$Q$23,MATCH(K761,[2]Sheet1!$B$4:$B$23,1),MATCH(D761,[2]Sheet1!$C$3:$Q$3,1)+1) - INDEX([2]Sheet1!$C$4:$Q$23,MATCH(K761,[2]Sheet1!$B$4:$B$23,1),MATCH(D761,[2]Sheet1!$C$3:$Q$3,1)))))</f>
        <v>0</v>
      </c>
      <c r="N761">
        <f t="shared" si="216"/>
        <v>12</v>
      </c>
      <c r="O761">
        <v>127.02450568394001</v>
      </c>
      <c r="P761" t="e">
        <f t="shared" si="217"/>
        <v>#DIV/0!</v>
      </c>
      <c r="Q761">
        <f t="shared" si="218"/>
        <v>0</v>
      </c>
      <c r="R761">
        <f t="shared" si="219"/>
        <v>741.9099431943954</v>
      </c>
      <c r="T761" t="e">
        <f t="shared" si="220"/>
        <v>#DIV/0!</v>
      </c>
      <c r="U761" t="e">
        <f t="shared" si="221"/>
        <v>#DIV/0!</v>
      </c>
      <c r="V761">
        <f t="shared" si="222"/>
        <v>0</v>
      </c>
      <c r="W761" t="e">
        <f t="shared" si="223"/>
        <v>#DIV/0!</v>
      </c>
    </row>
    <row r="762" spans="1:23" x14ac:dyDescent="0.55000000000000004">
      <c r="A762">
        <f t="shared" si="225"/>
        <v>72.800000000000139</v>
      </c>
      <c r="B762">
        <f t="shared" si="226"/>
        <v>0.316</v>
      </c>
      <c r="C762">
        <f t="shared" si="209"/>
        <v>-42.478260869565318</v>
      </c>
      <c r="D762">
        <v>128.43984551913201</v>
      </c>
      <c r="E762">
        <f t="shared" si="210"/>
        <v>0</v>
      </c>
      <c r="F762">
        <f t="shared" si="211"/>
        <v>4.8605058816845369E-2</v>
      </c>
      <c r="G762">
        <f t="shared" si="212"/>
        <v>39.513748498891111</v>
      </c>
      <c r="H762">
        <f t="shared" si="213"/>
        <v>0</v>
      </c>
      <c r="I762" s="1">
        <f t="shared" si="224"/>
        <v>0</v>
      </c>
      <c r="J762">
        <f t="shared" si="214"/>
        <v>0</v>
      </c>
      <c r="K762">
        <f t="shared" si="215"/>
        <v>0</v>
      </c>
      <c r="L762" cm="1">
        <f t="array" ref="L762">IF(E762*J762=0,0,$C$21*INDEX([3]Sheet1!$C$4:$Q$23,MATCH(K762,[3]Sheet1!$B$4:$B$23,1),MATCH(D762,[3]Sheet1!$C$3:$Q$3,1))
+(K762-INDEX([3]Sheet1!$B$4:$B$23,MATCH(K762,[3]Sheet1!$B$4:$B$23,1),1))/(INDEX([3]Sheet1!$B$4:$B$23,MATCH(K762,[3]Sheet1!$B$4:$B$23,1)+1,1)-INDEX([3]Sheet1!$B$4:$B$23,
MATCH(K762,[3]Sheet1!$B$4:$B$23,1),1))*(INDEX([3]Sheet1!$C$4:$Q$23,MATCH(K762,[3]Sheet1!$B$4:$B$23,1)+1,MATCH(D762,[3]Sheet1!$C$3:$Q$3,1))-INDEX([3]Sheet1!$C$4:$Q$23,
MATCH(K762,[3]Sheet1!$B$4:$B$23,1),MATCH(D762,[3]Sheet1!$C$3:$Q$3,1)))
+(D762-INDEX([3]Sheet1!$C$3:$Q$3,1,MATCH(D762,[3]Sheet1!$C$3:$Q$3)))/(INDEX([3]Sheet1!$C$3:$Q$3,1,MATCH(D762,[3]Sheet1!$C$3:$Q$3)+1)-INDEX([3]Sheet1!$C$3:$Q$3,1,MATCH(
D762,[3]Sheet1!$C$3:$Q$3)))*(INDEX([3]Sheet1!$C$4:$Q$23,MATCH(K762,[3]Sheet1!$B$4:$B$23,1),MATCH(D762,[3]Sheet1!$C$3:$Q$3,1)+1)-INDEX([3]Sheet1!$C$4:$Q$23,MATCH(K762,[3]Sheet1!$B$4:$B$23,1),MATCH(D762,[3]Sheet1!$C$3:$Q$3,1))))</f>
        <v>0</v>
      </c>
      <c r="M762" cm="1">
        <f t="array" ref="M762" xml:space="preserve"> IF(E762*J762=0,0,(INDEX([2]Sheet1!$C$4:$Q$23,MATCH(K762,[2]Sheet1!$B$4:$B$23,1),MATCH(D762,[2]Sheet1!$C$3:$Q$3,1))
+ (K762 - INDEX([2]Sheet1!$B$4:$B$23,MATCH(K762,[2]Sheet1!$B$4:$B$23,1),1))/(INDEX([2]Sheet1!$B$4:$B$23,MATCH(K762,[2]Sheet1!$B$4:$B$23,1)+1,1) - INDEX([2]Sheet1!$B$4:$B$23,MATCH(K762,[2]Sheet1!$B$4:$B$23,1),1))*(INDEX([2]Sheet1!$C$4:$Q$23,MATCH(K762,[2]Sheet1!$B$4:$B$23,1)+1,MATCH(D762,[2]Sheet1!$C$3:$Q$3,1)) - INDEX([2]Sheet1!$C$4:$Q$23,MATCH(K762,[2]Sheet1!$B$4:$B$23,1),MATCH(D762,[2]Sheet1!$C$3:$Q$3,1)))
+ (D762 - INDEX([2]Sheet1!$C$3:$Q$3,1,MATCH(D762,[2]Sheet1!$C$3:$Q$3)))/(INDEX([2]Sheet1!$C$3:$Q$3,1,MATCH(D762,[2]Sheet1!$C$3:$Q$3)+1) - INDEX([2]Sheet1!$C$3:$Q$3,1,MATCH(D762,[2]Sheet1!$C$3:$Q$3)))*(
INDEX([2]Sheet1!$C$4:$Q$23,MATCH(K762,[2]Sheet1!$B$4:$B$23,1),MATCH(D762,[2]Sheet1!$C$3:$Q$3,1)+1) - INDEX([2]Sheet1!$C$4:$Q$23,MATCH(K762,[2]Sheet1!$B$4:$B$23,1),MATCH(D762,[2]Sheet1!$C$3:$Q$3,1)))))</f>
        <v>0</v>
      </c>
      <c r="N762">
        <f t="shared" si="216"/>
        <v>12</v>
      </c>
      <c r="O762">
        <v>128.02450568394099</v>
      </c>
      <c r="P762" t="e">
        <f t="shared" si="217"/>
        <v>#DIV/0!</v>
      </c>
      <c r="Q762">
        <f t="shared" si="218"/>
        <v>0</v>
      </c>
      <c r="R762">
        <f t="shared" si="219"/>
        <v>741.9099431943954</v>
      </c>
      <c r="T762" t="e">
        <f t="shared" si="220"/>
        <v>#DIV/0!</v>
      </c>
      <c r="U762" t="e">
        <f t="shared" si="221"/>
        <v>#DIV/0!</v>
      </c>
      <c r="V762">
        <f t="shared" si="222"/>
        <v>0</v>
      </c>
      <c r="W762" t="e">
        <f t="shared" si="223"/>
        <v>#DIV/0!</v>
      </c>
    </row>
    <row r="763" spans="1:23" x14ac:dyDescent="0.55000000000000004">
      <c r="A763">
        <f t="shared" si="225"/>
        <v>72.900000000000134</v>
      </c>
      <c r="B763">
        <f t="shared" si="226"/>
        <v>0.316</v>
      </c>
      <c r="C763">
        <f t="shared" ref="C763:C826" si="227">($C$3-$C$2)*A763/$C$4+$C$2</f>
        <v>-42.543478260869655</v>
      </c>
      <c r="D763">
        <v>129.43984551913201</v>
      </c>
      <c r="E763">
        <f t="shared" ref="E763:E826" si="228">IF(B763&lt;($C$5*$C$6*10^-6),$C$9*(PI()/4*($C$8*0.001)^2)*SQRT(2*$C$6*IF(C763&gt;D763,(C763-D763),0)*10^6),0)</f>
        <v>0</v>
      </c>
      <c r="F763">
        <f t="shared" ref="F763:F826" si="229">F762+(J762+J761)*(A763-A762)/2</f>
        <v>4.8605058816845369E-2</v>
      </c>
      <c r="G763">
        <f t="shared" ref="G763:G826" si="230">IF(SQRT(4*F763/($C$15*PI()*$C$11*$C$12*0.001)+($C$13*0.001)^2)*1000&lt;$C$14,SQRT(4*F763/($C$15*PI()*$C$11*$C$12*0.001)+($C$13*0.001)^2)*1000,$C$14)</f>
        <v>39.513748498891111</v>
      </c>
      <c r="H763">
        <f t="shared" ref="H763:H826" si="231">4*E763/($C$15*PI()*(G763*0.001)^2)</f>
        <v>0</v>
      </c>
      <c r="I763" s="1">
        <f t="shared" si="224"/>
        <v>0</v>
      </c>
      <c r="J763">
        <f t="shared" ref="J763:J826" si="232">($C$12*10^-3)*PI()*(G763*10^-3)*$C$11*(I763*10^-3)*$C$15</f>
        <v>0</v>
      </c>
      <c r="K763">
        <f t="shared" ref="K763:K826" si="233">IF(E763*J763=0,0,E763/J763)</f>
        <v>0</v>
      </c>
      <c r="L763" cm="1">
        <f t="array" ref="L763">IF(E763*J763=0,0,$C$21*INDEX([3]Sheet1!$C$4:$Q$23,MATCH(K763,[3]Sheet1!$B$4:$B$23,1),MATCH(D763,[3]Sheet1!$C$3:$Q$3,1))
+(K763-INDEX([3]Sheet1!$B$4:$B$23,MATCH(K763,[3]Sheet1!$B$4:$B$23,1),1))/(INDEX([3]Sheet1!$B$4:$B$23,MATCH(K763,[3]Sheet1!$B$4:$B$23,1)+1,1)-INDEX([3]Sheet1!$B$4:$B$23,
MATCH(K763,[3]Sheet1!$B$4:$B$23,1),1))*(INDEX([3]Sheet1!$C$4:$Q$23,MATCH(K763,[3]Sheet1!$B$4:$B$23,1)+1,MATCH(D763,[3]Sheet1!$C$3:$Q$3,1))-INDEX([3]Sheet1!$C$4:$Q$23,
MATCH(K763,[3]Sheet1!$B$4:$B$23,1),MATCH(D763,[3]Sheet1!$C$3:$Q$3,1)))
+(D763-INDEX([3]Sheet1!$C$3:$Q$3,1,MATCH(D763,[3]Sheet1!$C$3:$Q$3)))/(INDEX([3]Sheet1!$C$3:$Q$3,1,MATCH(D763,[3]Sheet1!$C$3:$Q$3)+1)-INDEX([3]Sheet1!$C$3:$Q$3,1,MATCH(
D763,[3]Sheet1!$C$3:$Q$3)))*(INDEX([3]Sheet1!$C$4:$Q$23,MATCH(K763,[3]Sheet1!$B$4:$B$23,1),MATCH(D763,[3]Sheet1!$C$3:$Q$3,1)+1)-INDEX([3]Sheet1!$C$4:$Q$23,MATCH(K763,[3]Sheet1!$B$4:$B$23,1),MATCH(D763,[3]Sheet1!$C$3:$Q$3,1))))</f>
        <v>0</v>
      </c>
      <c r="M763" cm="1">
        <f t="array" ref="M763" xml:space="preserve"> IF(E763*J763=0,0,(INDEX([2]Sheet1!$C$4:$Q$23,MATCH(K763,[2]Sheet1!$B$4:$B$23,1),MATCH(D763,[2]Sheet1!$C$3:$Q$3,1))
+ (K763 - INDEX([2]Sheet1!$B$4:$B$23,MATCH(K763,[2]Sheet1!$B$4:$B$23,1),1))/(INDEX([2]Sheet1!$B$4:$B$23,MATCH(K763,[2]Sheet1!$B$4:$B$23,1)+1,1) - INDEX([2]Sheet1!$B$4:$B$23,MATCH(K763,[2]Sheet1!$B$4:$B$23,1),1))*(INDEX([2]Sheet1!$C$4:$Q$23,MATCH(K763,[2]Sheet1!$B$4:$B$23,1)+1,MATCH(D763,[2]Sheet1!$C$3:$Q$3,1)) - INDEX([2]Sheet1!$C$4:$Q$23,MATCH(K763,[2]Sheet1!$B$4:$B$23,1),MATCH(D763,[2]Sheet1!$C$3:$Q$3,1)))
+ (D763 - INDEX([2]Sheet1!$C$3:$Q$3,1,MATCH(D763,[2]Sheet1!$C$3:$Q$3)))/(INDEX([2]Sheet1!$C$3:$Q$3,1,MATCH(D763,[2]Sheet1!$C$3:$Q$3)+1) - INDEX([2]Sheet1!$C$3:$Q$3,1,MATCH(D763,[2]Sheet1!$C$3:$Q$3)))*(
INDEX([2]Sheet1!$C$4:$Q$23,MATCH(K763,[2]Sheet1!$B$4:$B$23,1),MATCH(D763,[2]Sheet1!$C$3:$Q$3,1)+1) - INDEX([2]Sheet1!$C$4:$Q$23,MATCH(K763,[2]Sheet1!$B$4:$B$23,1),MATCH(D763,[2]Sheet1!$C$3:$Q$3,1)))))</f>
        <v>0</v>
      </c>
      <c r="N763">
        <f t="shared" ref="N763:N826" si="234">C$23+$C$26*(A764-A763)</f>
        <v>12</v>
      </c>
      <c r="O763">
        <v>129.02450568394099</v>
      </c>
      <c r="P763" t="e">
        <f t="shared" ref="P763:P826" si="235">SQRT(2*(M763^2)/(M763-1)*((2/(M763+1))^((M763+1)/(M763-1)))*(1-(O763/D763)^((M763-1)/M763)))+((O763-$C$22)/D763)*(($C$24^2)/($C$23^2))</f>
        <v>#DIV/0!</v>
      </c>
      <c r="Q763">
        <f t="shared" ref="Q763:Q826" si="236">IF(E763*J763=0,0,((1+COS(RADIANS($C$25)))/2)*P763*D763*(PI()*($C$23^2)/4))</f>
        <v>0</v>
      </c>
      <c r="R763">
        <f t="shared" ref="R763:R826" si="237">R762+(Q763+Q762)*(A763-A762)/2</f>
        <v>741.9099431943954</v>
      </c>
      <c r="T763" t="e">
        <f t="shared" ref="T763:T826" si="238">((2/(M763+1))^(1/(M763-1)))*((D763/O763)^(1/M763))/SQRT(((M763+1)/(M763-1))*(1-(O763/D763)^((M763-1)/M763)))</f>
        <v>#DIV/0!</v>
      </c>
      <c r="U763" t="e">
        <f t="shared" ref="U763:U826" si="239">(T763-(($C$24^2)/(N763^2)))/(($C$24^2)/(N763^2))*100</f>
        <v>#DIV/0!</v>
      </c>
      <c r="V763">
        <f t="shared" ref="V763:V826" si="240">4*L763*(E763+J763)/(PI()*N763^2)</f>
        <v>0</v>
      </c>
      <c r="W763" t="e">
        <f t="shared" ref="W763:W826" si="241">(D763-V763)/V763*100</f>
        <v>#DIV/0!</v>
      </c>
    </row>
    <row r="764" spans="1:23" x14ac:dyDescent="0.55000000000000004">
      <c r="A764">
        <f t="shared" si="225"/>
        <v>73.000000000000128</v>
      </c>
      <c r="B764">
        <f t="shared" si="226"/>
        <v>0.316</v>
      </c>
      <c r="C764">
        <f t="shared" si="227"/>
        <v>-42.608695652174006</v>
      </c>
      <c r="D764">
        <v>130.43984551913201</v>
      </c>
      <c r="E764">
        <f t="shared" si="228"/>
        <v>0</v>
      </c>
      <c r="F764">
        <f t="shared" si="229"/>
        <v>4.8605058816845369E-2</v>
      </c>
      <c r="G764">
        <f t="shared" si="230"/>
        <v>39.513748498891111</v>
      </c>
      <c r="H764">
        <f t="shared" si="231"/>
        <v>0</v>
      </c>
      <c r="I764" s="1">
        <f t="shared" si="224"/>
        <v>0</v>
      </c>
      <c r="J764">
        <f t="shared" si="232"/>
        <v>0</v>
      </c>
      <c r="K764">
        <f t="shared" si="233"/>
        <v>0</v>
      </c>
      <c r="L764" cm="1">
        <f t="array" ref="L764">IF(E764*J764=0,0,$C$21*INDEX([3]Sheet1!$C$4:$Q$23,MATCH(K764,[3]Sheet1!$B$4:$B$23,1),MATCH(D764,[3]Sheet1!$C$3:$Q$3,1))
+(K764-INDEX([3]Sheet1!$B$4:$B$23,MATCH(K764,[3]Sheet1!$B$4:$B$23,1),1))/(INDEX([3]Sheet1!$B$4:$B$23,MATCH(K764,[3]Sheet1!$B$4:$B$23,1)+1,1)-INDEX([3]Sheet1!$B$4:$B$23,
MATCH(K764,[3]Sheet1!$B$4:$B$23,1),1))*(INDEX([3]Sheet1!$C$4:$Q$23,MATCH(K764,[3]Sheet1!$B$4:$B$23,1)+1,MATCH(D764,[3]Sheet1!$C$3:$Q$3,1))-INDEX([3]Sheet1!$C$4:$Q$23,
MATCH(K764,[3]Sheet1!$B$4:$B$23,1),MATCH(D764,[3]Sheet1!$C$3:$Q$3,1)))
+(D764-INDEX([3]Sheet1!$C$3:$Q$3,1,MATCH(D764,[3]Sheet1!$C$3:$Q$3)))/(INDEX([3]Sheet1!$C$3:$Q$3,1,MATCH(D764,[3]Sheet1!$C$3:$Q$3)+1)-INDEX([3]Sheet1!$C$3:$Q$3,1,MATCH(
D764,[3]Sheet1!$C$3:$Q$3)))*(INDEX([3]Sheet1!$C$4:$Q$23,MATCH(K764,[3]Sheet1!$B$4:$B$23,1),MATCH(D764,[3]Sheet1!$C$3:$Q$3,1)+1)-INDEX([3]Sheet1!$C$4:$Q$23,MATCH(K764,[3]Sheet1!$B$4:$B$23,1),MATCH(D764,[3]Sheet1!$C$3:$Q$3,1))))</f>
        <v>0</v>
      </c>
      <c r="M764" cm="1">
        <f t="array" ref="M764" xml:space="preserve"> IF(E764*J764=0,0,(INDEX([2]Sheet1!$C$4:$Q$23,MATCH(K764,[2]Sheet1!$B$4:$B$23,1),MATCH(D764,[2]Sheet1!$C$3:$Q$3,1))
+ (K764 - INDEX([2]Sheet1!$B$4:$B$23,MATCH(K764,[2]Sheet1!$B$4:$B$23,1),1))/(INDEX([2]Sheet1!$B$4:$B$23,MATCH(K764,[2]Sheet1!$B$4:$B$23,1)+1,1) - INDEX([2]Sheet1!$B$4:$B$23,MATCH(K764,[2]Sheet1!$B$4:$B$23,1),1))*(INDEX([2]Sheet1!$C$4:$Q$23,MATCH(K764,[2]Sheet1!$B$4:$B$23,1)+1,MATCH(D764,[2]Sheet1!$C$3:$Q$3,1)) - INDEX([2]Sheet1!$C$4:$Q$23,MATCH(K764,[2]Sheet1!$B$4:$B$23,1),MATCH(D764,[2]Sheet1!$C$3:$Q$3,1)))
+ (D764 - INDEX([2]Sheet1!$C$3:$Q$3,1,MATCH(D764,[2]Sheet1!$C$3:$Q$3)))/(INDEX([2]Sheet1!$C$3:$Q$3,1,MATCH(D764,[2]Sheet1!$C$3:$Q$3)+1) - INDEX([2]Sheet1!$C$3:$Q$3,1,MATCH(D764,[2]Sheet1!$C$3:$Q$3)))*(
INDEX([2]Sheet1!$C$4:$Q$23,MATCH(K764,[2]Sheet1!$B$4:$B$23,1),MATCH(D764,[2]Sheet1!$C$3:$Q$3,1)+1) - INDEX([2]Sheet1!$C$4:$Q$23,MATCH(K764,[2]Sheet1!$B$4:$B$23,1),MATCH(D764,[2]Sheet1!$C$3:$Q$3,1)))))</f>
        <v>0</v>
      </c>
      <c r="N764">
        <f t="shared" si="234"/>
        <v>12</v>
      </c>
      <c r="O764">
        <v>130.02450568394099</v>
      </c>
      <c r="P764" t="e">
        <f t="shared" si="235"/>
        <v>#DIV/0!</v>
      </c>
      <c r="Q764">
        <f t="shared" si="236"/>
        <v>0</v>
      </c>
      <c r="R764">
        <f t="shared" si="237"/>
        <v>741.9099431943954</v>
      </c>
      <c r="T764" t="e">
        <f t="shared" si="238"/>
        <v>#DIV/0!</v>
      </c>
      <c r="U764" t="e">
        <f t="shared" si="239"/>
        <v>#DIV/0!</v>
      </c>
      <c r="V764">
        <f t="shared" si="240"/>
        <v>0</v>
      </c>
      <c r="W764" t="e">
        <f t="shared" si="241"/>
        <v>#DIV/0!</v>
      </c>
    </row>
    <row r="765" spans="1:23" x14ac:dyDescent="0.55000000000000004">
      <c r="A765">
        <f t="shared" si="225"/>
        <v>73.100000000000122</v>
      </c>
      <c r="B765">
        <f t="shared" si="226"/>
        <v>0.316</v>
      </c>
      <c r="C765">
        <f t="shared" si="227"/>
        <v>-42.673913043478343</v>
      </c>
      <c r="D765">
        <v>131.43984551913201</v>
      </c>
      <c r="E765">
        <f t="shared" si="228"/>
        <v>0</v>
      </c>
      <c r="F765">
        <f t="shared" si="229"/>
        <v>4.8605058816845369E-2</v>
      </c>
      <c r="G765">
        <f t="shared" si="230"/>
        <v>39.513748498891111</v>
      </c>
      <c r="H765">
        <f t="shared" si="231"/>
        <v>0</v>
      </c>
      <c r="I765" s="1">
        <f t="shared" si="224"/>
        <v>0</v>
      </c>
      <c r="J765">
        <f t="shared" si="232"/>
        <v>0</v>
      </c>
      <c r="K765">
        <f t="shared" si="233"/>
        <v>0</v>
      </c>
      <c r="L765" cm="1">
        <f t="array" ref="L765">IF(E765*J765=0,0,$C$21*INDEX([3]Sheet1!$C$4:$Q$23,MATCH(K765,[3]Sheet1!$B$4:$B$23,1),MATCH(D765,[3]Sheet1!$C$3:$Q$3,1))
+(K765-INDEX([3]Sheet1!$B$4:$B$23,MATCH(K765,[3]Sheet1!$B$4:$B$23,1),1))/(INDEX([3]Sheet1!$B$4:$B$23,MATCH(K765,[3]Sheet1!$B$4:$B$23,1)+1,1)-INDEX([3]Sheet1!$B$4:$B$23,
MATCH(K765,[3]Sheet1!$B$4:$B$23,1),1))*(INDEX([3]Sheet1!$C$4:$Q$23,MATCH(K765,[3]Sheet1!$B$4:$B$23,1)+1,MATCH(D765,[3]Sheet1!$C$3:$Q$3,1))-INDEX([3]Sheet1!$C$4:$Q$23,
MATCH(K765,[3]Sheet1!$B$4:$B$23,1),MATCH(D765,[3]Sheet1!$C$3:$Q$3,1)))
+(D765-INDEX([3]Sheet1!$C$3:$Q$3,1,MATCH(D765,[3]Sheet1!$C$3:$Q$3)))/(INDEX([3]Sheet1!$C$3:$Q$3,1,MATCH(D765,[3]Sheet1!$C$3:$Q$3)+1)-INDEX([3]Sheet1!$C$3:$Q$3,1,MATCH(
D765,[3]Sheet1!$C$3:$Q$3)))*(INDEX([3]Sheet1!$C$4:$Q$23,MATCH(K765,[3]Sheet1!$B$4:$B$23,1),MATCH(D765,[3]Sheet1!$C$3:$Q$3,1)+1)-INDEX([3]Sheet1!$C$4:$Q$23,MATCH(K765,[3]Sheet1!$B$4:$B$23,1),MATCH(D765,[3]Sheet1!$C$3:$Q$3,1))))</f>
        <v>0</v>
      </c>
      <c r="M765" cm="1">
        <f t="array" ref="M765" xml:space="preserve"> IF(E765*J765=0,0,(INDEX([2]Sheet1!$C$4:$Q$23,MATCH(K765,[2]Sheet1!$B$4:$B$23,1),MATCH(D765,[2]Sheet1!$C$3:$Q$3,1))
+ (K765 - INDEX([2]Sheet1!$B$4:$B$23,MATCH(K765,[2]Sheet1!$B$4:$B$23,1),1))/(INDEX([2]Sheet1!$B$4:$B$23,MATCH(K765,[2]Sheet1!$B$4:$B$23,1)+1,1) - INDEX([2]Sheet1!$B$4:$B$23,MATCH(K765,[2]Sheet1!$B$4:$B$23,1),1))*(INDEX([2]Sheet1!$C$4:$Q$23,MATCH(K765,[2]Sheet1!$B$4:$B$23,1)+1,MATCH(D765,[2]Sheet1!$C$3:$Q$3,1)) - INDEX([2]Sheet1!$C$4:$Q$23,MATCH(K765,[2]Sheet1!$B$4:$B$23,1),MATCH(D765,[2]Sheet1!$C$3:$Q$3,1)))
+ (D765 - INDEX([2]Sheet1!$C$3:$Q$3,1,MATCH(D765,[2]Sheet1!$C$3:$Q$3)))/(INDEX([2]Sheet1!$C$3:$Q$3,1,MATCH(D765,[2]Sheet1!$C$3:$Q$3)+1) - INDEX([2]Sheet1!$C$3:$Q$3,1,MATCH(D765,[2]Sheet1!$C$3:$Q$3)))*(
INDEX([2]Sheet1!$C$4:$Q$23,MATCH(K765,[2]Sheet1!$B$4:$B$23,1),MATCH(D765,[2]Sheet1!$C$3:$Q$3,1)+1) - INDEX([2]Sheet1!$C$4:$Q$23,MATCH(K765,[2]Sheet1!$B$4:$B$23,1),MATCH(D765,[2]Sheet1!$C$3:$Q$3,1)))))</f>
        <v>0</v>
      </c>
      <c r="N765">
        <f t="shared" si="234"/>
        <v>12</v>
      </c>
      <c r="O765">
        <v>131.02450568394099</v>
      </c>
      <c r="P765" t="e">
        <f t="shared" si="235"/>
        <v>#DIV/0!</v>
      </c>
      <c r="Q765">
        <f t="shared" si="236"/>
        <v>0</v>
      </c>
      <c r="R765">
        <f t="shared" si="237"/>
        <v>741.9099431943954</v>
      </c>
      <c r="T765" t="e">
        <f t="shared" si="238"/>
        <v>#DIV/0!</v>
      </c>
      <c r="U765" t="e">
        <f t="shared" si="239"/>
        <v>#DIV/0!</v>
      </c>
      <c r="V765">
        <f t="shared" si="240"/>
        <v>0</v>
      </c>
      <c r="W765" t="e">
        <f t="shared" si="241"/>
        <v>#DIV/0!</v>
      </c>
    </row>
    <row r="766" spans="1:23" x14ac:dyDescent="0.55000000000000004">
      <c r="A766">
        <f t="shared" si="225"/>
        <v>73.200000000000117</v>
      </c>
      <c r="B766">
        <f t="shared" si="226"/>
        <v>0.316</v>
      </c>
      <c r="C766">
        <f t="shared" si="227"/>
        <v>-42.739130434782695</v>
      </c>
      <c r="D766">
        <v>132.43984551913201</v>
      </c>
      <c r="E766">
        <f t="shared" si="228"/>
        <v>0</v>
      </c>
      <c r="F766">
        <f t="shared" si="229"/>
        <v>4.8605058816845369E-2</v>
      </c>
      <c r="G766">
        <f t="shared" si="230"/>
        <v>39.513748498891111</v>
      </c>
      <c r="H766">
        <f t="shared" si="231"/>
        <v>0</v>
      </c>
      <c r="I766" s="1">
        <f t="shared" si="224"/>
        <v>0</v>
      </c>
      <c r="J766">
        <f t="shared" si="232"/>
        <v>0</v>
      </c>
      <c r="K766">
        <f t="shared" si="233"/>
        <v>0</v>
      </c>
      <c r="L766" cm="1">
        <f t="array" ref="L766">IF(E766*J766=0,0,$C$21*INDEX([3]Sheet1!$C$4:$Q$23,MATCH(K766,[3]Sheet1!$B$4:$B$23,1),MATCH(D766,[3]Sheet1!$C$3:$Q$3,1))
+(K766-INDEX([3]Sheet1!$B$4:$B$23,MATCH(K766,[3]Sheet1!$B$4:$B$23,1),1))/(INDEX([3]Sheet1!$B$4:$B$23,MATCH(K766,[3]Sheet1!$B$4:$B$23,1)+1,1)-INDEX([3]Sheet1!$B$4:$B$23,
MATCH(K766,[3]Sheet1!$B$4:$B$23,1),1))*(INDEX([3]Sheet1!$C$4:$Q$23,MATCH(K766,[3]Sheet1!$B$4:$B$23,1)+1,MATCH(D766,[3]Sheet1!$C$3:$Q$3,1))-INDEX([3]Sheet1!$C$4:$Q$23,
MATCH(K766,[3]Sheet1!$B$4:$B$23,1),MATCH(D766,[3]Sheet1!$C$3:$Q$3,1)))
+(D766-INDEX([3]Sheet1!$C$3:$Q$3,1,MATCH(D766,[3]Sheet1!$C$3:$Q$3)))/(INDEX([3]Sheet1!$C$3:$Q$3,1,MATCH(D766,[3]Sheet1!$C$3:$Q$3)+1)-INDEX([3]Sheet1!$C$3:$Q$3,1,MATCH(
D766,[3]Sheet1!$C$3:$Q$3)))*(INDEX([3]Sheet1!$C$4:$Q$23,MATCH(K766,[3]Sheet1!$B$4:$B$23,1),MATCH(D766,[3]Sheet1!$C$3:$Q$3,1)+1)-INDEX([3]Sheet1!$C$4:$Q$23,MATCH(K766,[3]Sheet1!$B$4:$B$23,1),MATCH(D766,[3]Sheet1!$C$3:$Q$3,1))))</f>
        <v>0</v>
      </c>
      <c r="M766" cm="1">
        <f t="array" ref="M766" xml:space="preserve"> IF(E766*J766=0,0,(INDEX([2]Sheet1!$C$4:$Q$23,MATCH(K766,[2]Sheet1!$B$4:$B$23,1),MATCH(D766,[2]Sheet1!$C$3:$Q$3,1))
+ (K766 - INDEX([2]Sheet1!$B$4:$B$23,MATCH(K766,[2]Sheet1!$B$4:$B$23,1),1))/(INDEX([2]Sheet1!$B$4:$B$23,MATCH(K766,[2]Sheet1!$B$4:$B$23,1)+1,1) - INDEX([2]Sheet1!$B$4:$B$23,MATCH(K766,[2]Sheet1!$B$4:$B$23,1),1))*(INDEX([2]Sheet1!$C$4:$Q$23,MATCH(K766,[2]Sheet1!$B$4:$B$23,1)+1,MATCH(D766,[2]Sheet1!$C$3:$Q$3,1)) - INDEX([2]Sheet1!$C$4:$Q$23,MATCH(K766,[2]Sheet1!$B$4:$B$23,1),MATCH(D766,[2]Sheet1!$C$3:$Q$3,1)))
+ (D766 - INDEX([2]Sheet1!$C$3:$Q$3,1,MATCH(D766,[2]Sheet1!$C$3:$Q$3)))/(INDEX([2]Sheet1!$C$3:$Q$3,1,MATCH(D766,[2]Sheet1!$C$3:$Q$3)+1) - INDEX([2]Sheet1!$C$3:$Q$3,1,MATCH(D766,[2]Sheet1!$C$3:$Q$3)))*(
INDEX([2]Sheet1!$C$4:$Q$23,MATCH(K766,[2]Sheet1!$B$4:$B$23,1),MATCH(D766,[2]Sheet1!$C$3:$Q$3,1)+1) - INDEX([2]Sheet1!$C$4:$Q$23,MATCH(K766,[2]Sheet1!$B$4:$B$23,1),MATCH(D766,[2]Sheet1!$C$3:$Q$3,1)))))</f>
        <v>0</v>
      </c>
      <c r="N766">
        <f t="shared" si="234"/>
        <v>12</v>
      </c>
      <c r="O766">
        <v>132.02450568394099</v>
      </c>
      <c r="P766" t="e">
        <f t="shared" si="235"/>
        <v>#DIV/0!</v>
      </c>
      <c r="Q766">
        <f t="shared" si="236"/>
        <v>0</v>
      </c>
      <c r="R766">
        <f t="shared" si="237"/>
        <v>741.9099431943954</v>
      </c>
      <c r="T766" t="e">
        <f t="shared" si="238"/>
        <v>#DIV/0!</v>
      </c>
      <c r="U766" t="e">
        <f t="shared" si="239"/>
        <v>#DIV/0!</v>
      </c>
      <c r="V766">
        <f t="shared" si="240"/>
        <v>0</v>
      </c>
      <c r="W766" t="e">
        <f t="shared" si="241"/>
        <v>#DIV/0!</v>
      </c>
    </row>
    <row r="767" spans="1:23" x14ac:dyDescent="0.55000000000000004">
      <c r="A767">
        <f t="shared" si="225"/>
        <v>73.300000000000111</v>
      </c>
      <c r="B767">
        <f t="shared" si="226"/>
        <v>0.316</v>
      </c>
      <c r="C767">
        <f t="shared" si="227"/>
        <v>-42.804347826087032</v>
      </c>
      <c r="D767">
        <v>133.43984551913201</v>
      </c>
      <c r="E767">
        <f t="shared" si="228"/>
        <v>0</v>
      </c>
      <c r="F767">
        <f t="shared" si="229"/>
        <v>4.8605058816845369E-2</v>
      </c>
      <c r="G767">
        <f t="shared" si="230"/>
        <v>39.513748498891111</v>
      </c>
      <c r="H767">
        <f t="shared" si="231"/>
        <v>0</v>
      </c>
      <c r="I767" s="1">
        <f t="shared" si="224"/>
        <v>0</v>
      </c>
      <c r="J767">
        <f t="shared" si="232"/>
        <v>0</v>
      </c>
      <c r="K767">
        <f t="shared" si="233"/>
        <v>0</v>
      </c>
      <c r="L767" cm="1">
        <f t="array" ref="L767">IF(E767*J767=0,0,$C$21*INDEX([3]Sheet1!$C$4:$Q$23,MATCH(K767,[3]Sheet1!$B$4:$B$23,1),MATCH(D767,[3]Sheet1!$C$3:$Q$3,1))
+(K767-INDEX([3]Sheet1!$B$4:$B$23,MATCH(K767,[3]Sheet1!$B$4:$B$23,1),1))/(INDEX([3]Sheet1!$B$4:$B$23,MATCH(K767,[3]Sheet1!$B$4:$B$23,1)+1,1)-INDEX([3]Sheet1!$B$4:$B$23,
MATCH(K767,[3]Sheet1!$B$4:$B$23,1),1))*(INDEX([3]Sheet1!$C$4:$Q$23,MATCH(K767,[3]Sheet1!$B$4:$B$23,1)+1,MATCH(D767,[3]Sheet1!$C$3:$Q$3,1))-INDEX([3]Sheet1!$C$4:$Q$23,
MATCH(K767,[3]Sheet1!$B$4:$B$23,1),MATCH(D767,[3]Sheet1!$C$3:$Q$3,1)))
+(D767-INDEX([3]Sheet1!$C$3:$Q$3,1,MATCH(D767,[3]Sheet1!$C$3:$Q$3)))/(INDEX([3]Sheet1!$C$3:$Q$3,1,MATCH(D767,[3]Sheet1!$C$3:$Q$3)+1)-INDEX([3]Sheet1!$C$3:$Q$3,1,MATCH(
D767,[3]Sheet1!$C$3:$Q$3)))*(INDEX([3]Sheet1!$C$4:$Q$23,MATCH(K767,[3]Sheet1!$B$4:$B$23,1),MATCH(D767,[3]Sheet1!$C$3:$Q$3,1)+1)-INDEX([3]Sheet1!$C$4:$Q$23,MATCH(K767,[3]Sheet1!$B$4:$B$23,1),MATCH(D767,[3]Sheet1!$C$3:$Q$3,1))))</f>
        <v>0</v>
      </c>
      <c r="M767" cm="1">
        <f t="array" ref="M767" xml:space="preserve"> IF(E767*J767=0,0,(INDEX([2]Sheet1!$C$4:$Q$23,MATCH(K767,[2]Sheet1!$B$4:$B$23,1),MATCH(D767,[2]Sheet1!$C$3:$Q$3,1))
+ (K767 - INDEX([2]Sheet1!$B$4:$B$23,MATCH(K767,[2]Sheet1!$B$4:$B$23,1),1))/(INDEX([2]Sheet1!$B$4:$B$23,MATCH(K767,[2]Sheet1!$B$4:$B$23,1)+1,1) - INDEX([2]Sheet1!$B$4:$B$23,MATCH(K767,[2]Sheet1!$B$4:$B$23,1),1))*(INDEX([2]Sheet1!$C$4:$Q$23,MATCH(K767,[2]Sheet1!$B$4:$B$23,1)+1,MATCH(D767,[2]Sheet1!$C$3:$Q$3,1)) - INDEX([2]Sheet1!$C$4:$Q$23,MATCH(K767,[2]Sheet1!$B$4:$B$23,1),MATCH(D767,[2]Sheet1!$C$3:$Q$3,1)))
+ (D767 - INDEX([2]Sheet1!$C$3:$Q$3,1,MATCH(D767,[2]Sheet1!$C$3:$Q$3)))/(INDEX([2]Sheet1!$C$3:$Q$3,1,MATCH(D767,[2]Sheet1!$C$3:$Q$3)+1) - INDEX([2]Sheet1!$C$3:$Q$3,1,MATCH(D767,[2]Sheet1!$C$3:$Q$3)))*(
INDEX([2]Sheet1!$C$4:$Q$23,MATCH(K767,[2]Sheet1!$B$4:$B$23,1),MATCH(D767,[2]Sheet1!$C$3:$Q$3,1)+1) - INDEX([2]Sheet1!$C$4:$Q$23,MATCH(K767,[2]Sheet1!$B$4:$B$23,1),MATCH(D767,[2]Sheet1!$C$3:$Q$3,1)))))</f>
        <v>0</v>
      </c>
      <c r="N767">
        <f t="shared" si="234"/>
        <v>12</v>
      </c>
      <c r="O767">
        <v>133.02450568394099</v>
      </c>
      <c r="P767" t="e">
        <f t="shared" si="235"/>
        <v>#DIV/0!</v>
      </c>
      <c r="Q767">
        <f t="shared" si="236"/>
        <v>0</v>
      </c>
      <c r="R767">
        <f t="shared" si="237"/>
        <v>741.9099431943954</v>
      </c>
      <c r="T767" t="e">
        <f t="shared" si="238"/>
        <v>#DIV/0!</v>
      </c>
      <c r="U767" t="e">
        <f t="shared" si="239"/>
        <v>#DIV/0!</v>
      </c>
      <c r="V767">
        <f t="shared" si="240"/>
        <v>0</v>
      </c>
      <c r="W767" t="e">
        <f t="shared" si="241"/>
        <v>#DIV/0!</v>
      </c>
    </row>
    <row r="768" spans="1:23" x14ac:dyDescent="0.55000000000000004">
      <c r="A768">
        <f t="shared" si="225"/>
        <v>73.400000000000105</v>
      </c>
      <c r="B768">
        <f t="shared" si="226"/>
        <v>0.316</v>
      </c>
      <c r="C768">
        <f t="shared" si="227"/>
        <v>-42.869565217391383</v>
      </c>
      <c r="D768">
        <v>134.43984551913201</v>
      </c>
      <c r="E768">
        <f t="shared" si="228"/>
        <v>0</v>
      </c>
      <c r="F768">
        <f t="shared" si="229"/>
        <v>4.8605058816845369E-2</v>
      </c>
      <c r="G768">
        <f t="shared" si="230"/>
        <v>39.513748498891111</v>
      </c>
      <c r="H768">
        <f t="shared" si="231"/>
        <v>0</v>
      </c>
      <c r="I768" s="1">
        <f t="shared" si="224"/>
        <v>0</v>
      </c>
      <c r="J768">
        <f t="shared" si="232"/>
        <v>0</v>
      </c>
      <c r="K768">
        <f t="shared" si="233"/>
        <v>0</v>
      </c>
      <c r="L768" cm="1">
        <f t="array" ref="L768">IF(E768*J768=0,0,$C$21*INDEX([3]Sheet1!$C$4:$Q$23,MATCH(K768,[3]Sheet1!$B$4:$B$23,1),MATCH(D768,[3]Sheet1!$C$3:$Q$3,1))
+(K768-INDEX([3]Sheet1!$B$4:$B$23,MATCH(K768,[3]Sheet1!$B$4:$B$23,1),1))/(INDEX([3]Sheet1!$B$4:$B$23,MATCH(K768,[3]Sheet1!$B$4:$B$23,1)+1,1)-INDEX([3]Sheet1!$B$4:$B$23,
MATCH(K768,[3]Sheet1!$B$4:$B$23,1),1))*(INDEX([3]Sheet1!$C$4:$Q$23,MATCH(K768,[3]Sheet1!$B$4:$B$23,1)+1,MATCH(D768,[3]Sheet1!$C$3:$Q$3,1))-INDEX([3]Sheet1!$C$4:$Q$23,
MATCH(K768,[3]Sheet1!$B$4:$B$23,1),MATCH(D768,[3]Sheet1!$C$3:$Q$3,1)))
+(D768-INDEX([3]Sheet1!$C$3:$Q$3,1,MATCH(D768,[3]Sheet1!$C$3:$Q$3)))/(INDEX([3]Sheet1!$C$3:$Q$3,1,MATCH(D768,[3]Sheet1!$C$3:$Q$3)+1)-INDEX([3]Sheet1!$C$3:$Q$3,1,MATCH(
D768,[3]Sheet1!$C$3:$Q$3)))*(INDEX([3]Sheet1!$C$4:$Q$23,MATCH(K768,[3]Sheet1!$B$4:$B$23,1),MATCH(D768,[3]Sheet1!$C$3:$Q$3,1)+1)-INDEX([3]Sheet1!$C$4:$Q$23,MATCH(K768,[3]Sheet1!$B$4:$B$23,1),MATCH(D768,[3]Sheet1!$C$3:$Q$3,1))))</f>
        <v>0</v>
      </c>
      <c r="M768" cm="1">
        <f t="array" ref="M768" xml:space="preserve"> IF(E768*J768=0,0,(INDEX([2]Sheet1!$C$4:$Q$23,MATCH(K768,[2]Sheet1!$B$4:$B$23,1),MATCH(D768,[2]Sheet1!$C$3:$Q$3,1))
+ (K768 - INDEX([2]Sheet1!$B$4:$B$23,MATCH(K768,[2]Sheet1!$B$4:$B$23,1),1))/(INDEX([2]Sheet1!$B$4:$B$23,MATCH(K768,[2]Sheet1!$B$4:$B$23,1)+1,1) - INDEX([2]Sheet1!$B$4:$B$23,MATCH(K768,[2]Sheet1!$B$4:$B$23,1),1))*(INDEX([2]Sheet1!$C$4:$Q$23,MATCH(K768,[2]Sheet1!$B$4:$B$23,1)+1,MATCH(D768,[2]Sheet1!$C$3:$Q$3,1)) - INDEX([2]Sheet1!$C$4:$Q$23,MATCH(K768,[2]Sheet1!$B$4:$B$23,1),MATCH(D768,[2]Sheet1!$C$3:$Q$3,1)))
+ (D768 - INDEX([2]Sheet1!$C$3:$Q$3,1,MATCH(D768,[2]Sheet1!$C$3:$Q$3)))/(INDEX([2]Sheet1!$C$3:$Q$3,1,MATCH(D768,[2]Sheet1!$C$3:$Q$3)+1) - INDEX([2]Sheet1!$C$3:$Q$3,1,MATCH(D768,[2]Sheet1!$C$3:$Q$3)))*(
INDEX([2]Sheet1!$C$4:$Q$23,MATCH(K768,[2]Sheet1!$B$4:$B$23,1),MATCH(D768,[2]Sheet1!$C$3:$Q$3,1)+1) - INDEX([2]Sheet1!$C$4:$Q$23,MATCH(K768,[2]Sheet1!$B$4:$B$23,1),MATCH(D768,[2]Sheet1!$C$3:$Q$3,1)))))</f>
        <v>0</v>
      </c>
      <c r="N768">
        <f t="shared" si="234"/>
        <v>12</v>
      </c>
      <c r="O768">
        <v>134.02450568394099</v>
      </c>
      <c r="P768" t="e">
        <f t="shared" si="235"/>
        <v>#DIV/0!</v>
      </c>
      <c r="Q768">
        <f t="shared" si="236"/>
        <v>0</v>
      </c>
      <c r="R768">
        <f t="shared" si="237"/>
        <v>741.9099431943954</v>
      </c>
      <c r="T768" t="e">
        <f t="shared" si="238"/>
        <v>#DIV/0!</v>
      </c>
      <c r="U768" t="e">
        <f t="shared" si="239"/>
        <v>#DIV/0!</v>
      </c>
      <c r="V768">
        <f t="shared" si="240"/>
        <v>0</v>
      </c>
      <c r="W768" t="e">
        <f t="shared" si="241"/>
        <v>#DIV/0!</v>
      </c>
    </row>
    <row r="769" spans="1:23" x14ac:dyDescent="0.55000000000000004">
      <c r="A769">
        <f t="shared" si="225"/>
        <v>73.500000000000099</v>
      </c>
      <c r="B769">
        <f t="shared" si="226"/>
        <v>0.316</v>
      </c>
      <c r="C769">
        <f t="shared" si="227"/>
        <v>-42.93478260869572</v>
      </c>
      <c r="D769">
        <v>135.43984551913201</v>
      </c>
      <c r="E769">
        <f t="shared" si="228"/>
        <v>0</v>
      </c>
      <c r="F769">
        <f t="shared" si="229"/>
        <v>4.8605058816845369E-2</v>
      </c>
      <c r="G769">
        <f t="shared" si="230"/>
        <v>39.513748498891111</v>
      </c>
      <c r="H769">
        <f t="shared" si="231"/>
        <v>0</v>
      </c>
      <c r="I769" s="1">
        <f t="shared" si="224"/>
        <v>0</v>
      </c>
      <c r="J769">
        <f t="shared" si="232"/>
        <v>0</v>
      </c>
      <c r="K769">
        <f t="shared" si="233"/>
        <v>0</v>
      </c>
      <c r="L769" cm="1">
        <f t="array" ref="L769">IF(E769*J769=0,0,$C$21*INDEX([3]Sheet1!$C$4:$Q$23,MATCH(K769,[3]Sheet1!$B$4:$B$23,1),MATCH(D769,[3]Sheet1!$C$3:$Q$3,1))
+(K769-INDEX([3]Sheet1!$B$4:$B$23,MATCH(K769,[3]Sheet1!$B$4:$B$23,1),1))/(INDEX([3]Sheet1!$B$4:$B$23,MATCH(K769,[3]Sheet1!$B$4:$B$23,1)+1,1)-INDEX([3]Sheet1!$B$4:$B$23,
MATCH(K769,[3]Sheet1!$B$4:$B$23,1),1))*(INDEX([3]Sheet1!$C$4:$Q$23,MATCH(K769,[3]Sheet1!$B$4:$B$23,1)+1,MATCH(D769,[3]Sheet1!$C$3:$Q$3,1))-INDEX([3]Sheet1!$C$4:$Q$23,
MATCH(K769,[3]Sheet1!$B$4:$B$23,1),MATCH(D769,[3]Sheet1!$C$3:$Q$3,1)))
+(D769-INDEX([3]Sheet1!$C$3:$Q$3,1,MATCH(D769,[3]Sheet1!$C$3:$Q$3)))/(INDEX([3]Sheet1!$C$3:$Q$3,1,MATCH(D769,[3]Sheet1!$C$3:$Q$3)+1)-INDEX([3]Sheet1!$C$3:$Q$3,1,MATCH(
D769,[3]Sheet1!$C$3:$Q$3)))*(INDEX([3]Sheet1!$C$4:$Q$23,MATCH(K769,[3]Sheet1!$B$4:$B$23,1),MATCH(D769,[3]Sheet1!$C$3:$Q$3,1)+1)-INDEX([3]Sheet1!$C$4:$Q$23,MATCH(K769,[3]Sheet1!$B$4:$B$23,1),MATCH(D769,[3]Sheet1!$C$3:$Q$3,1))))</f>
        <v>0</v>
      </c>
      <c r="M769" cm="1">
        <f t="array" ref="M769" xml:space="preserve"> IF(E769*J769=0,0,(INDEX([2]Sheet1!$C$4:$Q$23,MATCH(K769,[2]Sheet1!$B$4:$B$23,1),MATCH(D769,[2]Sheet1!$C$3:$Q$3,1))
+ (K769 - INDEX([2]Sheet1!$B$4:$B$23,MATCH(K769,[2]Sheet1!$B$4:$B$23,1),1))/(INDEX([2]Sheet1!$B$4:$B$23,MATCH(K769,[2]Sheet1!$B$4:$B$23,1)+1,1) - INDEX([2]Sheet1!$B$4:$B$23,MATCH(K769,[2]Sheet1!$B$4:$B$23,1),1))*(INDEX([2]Sheet1!$C$4:$Q$23,MATCH(K769,[2]Sheet1!$B$4:$B$23,1)+1,MATCH(D769,[2]Sheet1!$C$3:$Q$3,1)) - INDEX([2]Sheet1!$C$4:$Q$23,MATCH(K769,[2]Sheet1!$B$4:$B$23,1),MATCH(D769,[2]Sheet1!$C$3:$Q$3,1)))
+ (D769 - INDEX([2]Sheet1!$C$3:$Q$3,1,MATCH(D769,[2]Sheet1!$C$3:$Q$3)))/(INDEX([2]Sheet1!$C$3:$Q$3,1,MATCH(D769,[2]Sheet1!$C$3:$Q$3)+1) - INDEX([2]Sheet1!$C$3:$Q$3,1,MATCH(D769,[2]Sheet1!$C$3:$Q$3)))*(
INDEX([2]Sheet1!$C$4:$Q$23,MATCH(K769,[2]Sheet1!$B$4:$B$23,1),MATCH(D769,[2]Sheet1!$C$3:$Q$3,1)+1) - INDEX([2]Sheet1!$C$4:$Q$23,MATCH(K769,[2]Sheet1!$B$4:$B$23,1),MATCH(D769,[2]Sheet1!$C$3:$Q$3,1)))))</f>
        <v>0</v>
      </c>
      <c r="N769">
        <f t="shared" si="234"/>
        <v>12</v>
      </c>
      <c r="O769">
        <v>135.02450568394099</v>
      </c>
      <c r="P769" t="e">
        <f t="shared" si="235"/>
        <v>#DIV/0!</v>
      </c>
      <c r="Q769">
        <f t="shared" si="236"/>
        <v>0</v>
      </c>
      <c r="R769">
        <f t="shared" si="237"/>
        <v>741.9099431943954</v>
      </c>
      <c r="T769" t="e">
        <f t="shared" si="238"/>
        <v>#DIV/0!</v>
      </c>
      <c r="U769" t="e">
        <f t="shared" si="239"/>
        <v>#DIV/0!</v>
      </c>
      <c r="V769">
        <f t="shared" si="240"/>
        <v>0</v>
      </c>
      <c r="W769" t="e">
        <f t="shared" si="241"/>
        <v>#DIV/0!</v>
      </c>
    </row>
    <row r="770" spans="1:23" x14ac:dyDescent="0.55000000000000004">
      <c r="A770">
        <f t="shared" si="225"/>
        <v>73.600000000000094</v>
      </c>
      <c r="B770">
        <f t="shared" si="226"/>
        <v>0.316</v>
      </c>
      <c r="C770">
        <f t="shared" si="227"/>
        <v>-43.000000000000071</v>
      </c>
      <c r="D770">
        <v>136.43984551913201</v>
      </c>
      <c r="E770">
        <f t="shared" si="228"/>
        <v>0</v>
      </c>
      <c r="F770">
        <f t="shared" si="229"/>
        <v>4.8605058816845369E-2</v>
      </c>
      <c r="G770">
        <f t="shared" si="230"/>
        <v>39.513748498891111</v>
      </c>
      <c r="H770">
        <f t="shared" si="231"/>
        <v>0</v>
      </c>
      <c r="I770" s="1">
        <f t="shared" si="224"/>
        <v>0</v>
      </c>
      <c r="J770">
        <f t="shared" si="232"/>
        <v>0</v>
      </c>
      <c r="K770">
        <f t="shared" si="233"/>
        <v>0</v>
      </c>
      <c r="L770" cm="1">
        <f t="array" ref="L770">IF(E770*J770=0,0,$C$21*INDEX([3]Sheet1!$C$4:$Q$23,MATCH(K770,[3]Sheet1!$B$4:$B$23,1),MATCH(D770,[3]Sheet1!$C$3:$Q$3,1))
+(K770-INDEX([3]Sheet1!$B$4:$B$23,MATCH(K770,[3]Sheet1!$B$4:$B$23,1),1))/(INDEX([3]Sheet1!$B$4:$B$23,MATCH(K770,[3]Sheet1!$B$4:$B$23,1)+1,1)-INDEX([3]Sheet1!$B$4:$B$23,
MATCH(K770,[3]Sheet1!$B$4:$B$23,1),1))*(INDEX([3]Sheet1!$C$4:$Q$23,MATCH(K770,[3]Sheet1!$B$4:$B$23,1)+1,MATCH(D770,[3]Sheet1!$C$3:$Q$3,1))-INDEX([3]Sheet1!$C$4:$Q$23,
MATCH(K770,[3]Sheet1!$B$4:$B$23,1),MATCH(D770,[3]Sheet1!$C$3:$Q$3,1)))
+(D770-INDEX([3]Sheet1!$C$3:$Q$3,1,MATCH(D770,[3]Sheet1!$C$3:$Q$3)))/(INDEX([3]Sheet1!$C$3:$Q$3,1,MATCH(D770,[3]Sheet1!$C$3:$Q$3)+1)-INDEX([3]Sheet1!$C$3:$Q$3,1,MATCH(
D770,[3]Sheet1!$C$3:$Q$3)))*(INDEX([3]Sheet1!$C$4:$Q$23,MATCH(K770,[3]Sheet1!$B$4:$B$23,1),MATCH(D770,[3]Sheet1!$C$3:$Q$3,1)+1)-INDEX([3]Sheet1!$C$4:$Q$23,MATCH(K770,[3]Sheet1!$B$4:$B$23,1),MATCH(D770,[3]Sheet1!$C$3:$Q$3,1))))</f>
        <v>0</v>
      </c>
      <c r="M770" cm="1">
        <f t="array" ref="M770" xml:space="preserve"> IF(E770*J770=0,0,(INDEX([2]Sheet1!$C$4:$Q$23,MATCH(K770,[2]Sheet1!$B$4:$B$23,1),MATCH(D770,[2]Sheet1!$C$3:$Q$3,1))
+ (K770 - INDEX([2]Sheet1!$B$4:$B$23,MATCH(K770,[2]Sheet1!$B$4:$B$23,1),1))/(INDEX([2]Sheet1!$B$4:$B$23,MATCH(K770,[2]Sheet1!$B$4:$B$23,1)+1,1) - INDEX([2]Sheet1!$B$4:$B$23,MATCH(K770,[2]Sheet1!$B$4:$B$23,1),1))*(INDEX([2]Sheet1!$C$4:$Q$23,MATCH(K770,[2]Sheet1!$B$4:$B$23,1)+1,MATCH(D770,[2]Sheet1!$C$3:$Q$3,1)) - INDEX([2]Sheet1!$C$4:$Q$23,MATCH(K770,[2]Sheet1!$B$4:$B$23,1),MATCH(D770,[2]Sheet1!$C$3:$Q$3,1)))
+ (D770 - INDEX([2]Sheet1!$C$3:$Q$3,1,MATCH(D770,[2]Sheet1!$C$3:$Q$3)))/(INDEX([2]Sheet1!$C$3:$Q$3,1,MATCH(D770,[2]Sheet1!$C$3:$Q$3)+1) - INDEX([2]Sheet1!$C$3:$Q$3,1,MATCH(D770,[2]Sheet1!$C$3:$Q$3)))*(
INDEX([2]Sheet1!$C$4:$Q$23,MATCH(K770,[2]Sheet1!$B$4:$B$23,1),MATCH(D770,[2]Sheet1!$C$3:$Q$3,1)+1) - INDEX([2]Sheet1!$C$4:$Q$23,MATCH(K770,[2]Sheet1!$B$4:$B$23,1),MATCH(D770,[2]Sheet1!$C$3:$Q$3,1)))))</f>
        <v>0</v>
      </c>
      <c r="N770">
        <f t="shared" si="234"/>
        <v>12</v>
      </c>
      <c r="O770">
        <v>136.02450568394099</v>
      </c>
      <c r="P770" t="e">
        <f t="shared" si="235"/>
        <v>#DIV/0!</v>
      </c>
      <c r="Q770">
        <f t="shared" si="236"/>
        <v>0</v>
      </c>
      <c r="R770">
        <f t="shared" si="237"/>
        <v>741.9099431943954</v>
      </c>
      <c r="T770" t="e">
        <f t="shared" si="238"/>
        <v>#DIV/0!</v>
      </c>
      <c r="U770" t="e">
        <f t="shared" si="239"/>
        <v>#DIV/0!</v>
      </c>
      <c r="V770">
        <f t="shared" si="240"/>
        <v>0</v>
      </c>
      <c r="W770" t="e">
        <f t="shared" si="241"/>
        <v>#DIV/0!</v>
      </c>
    </row>
    <row r="771" spans="1:23" x14ac:dyDescent="0.55000000000000004">
      <c r="A771">
        <f t="shared" si="225"/>
        <v>73.700000000000088</v>
      </c>
      <c r="B771">
        <f t="shared" si="226"/>
        <v>0.316</v>
      </c>
      <c r="C771">
        <f t="shared" si="227"/>
        <v>-43.065217391304408</v>
      </c>
      <c r="D771">
        <v>137.43984551913201</v>
      </c>
      <c r="E771">
        <f t="shared" si="228"/>
        <v>0</v>
      </c>
      <c r="F771">
        <f t="shared" si="229"/>
        <v>4.8605058816845369E-2</v>
      </c>
      <c r="G771">
        <f t="shared" si="230"/>
        <v>39.513748498891111</v>
      </c>
      <c r="H771">
        <f t="shared" si="231"/>
        <v>0</v>
      </c>
      <c r="I771" s="1">
        <f t="shared" si="224"/>
        <v>0</v>
      </c>
      <c r="J771">
        <f t="shared" si="232"/>
        <v>0</v>
      </c>
      <c r="K771">
        <f t="shared" si="233"/>
        <v>0</v>
      </c>
      <c r="L771" cm="1">
        <f t="array" ref="L771">IF(E771*J771=0,0,$C$21*INDEX([3]Sheet1!$C$4:$Q$23,MATCH(K771,[3]Sheet1!$B$4:$B$23,1),MATCH(D771,[3]Sheet1!$C$3:$Q$3,1))
+(K771-INDEX([3]Sheet1!$B$4:$B$23,MATCH(K771,[3]Sheet1!$B$4:$B$23,1),1))/(INDEX([3]Sheet1!$B$4:$B$23,MATCH(K771,[3]Sheet1!$B$4:$B$23,1)+1,1)-INDEX([3]Sheet1!$B$4:$B$23,
MATCH(K771,[3]Sheet1!$B$4:$B$23,1),1))*(INDEX([3]Sheet1!$C$4:$Q$23,MATCH(K771,[3]Sheet1!$B$4:$B$23,1)+1,MATCH(D771,[3]Sheet1!$C$3:$Q$3,1))-INDEX([3]Sheet1!$C$4:$Q$23,
MATCH(K771,[3]Sheet1!$B$4:$B$23,1),MATCH(D771,[3]Sheet1!$C$3:$Q$3,1)))
+(D771-INDEX([3]Sheet1!$C$3:$Q$3,1,MATCH(D771,[3]Sheet1!$C$3:$Q$3)))/(INDEX([3]Sheet1!$C$3:$Q$3,1,MATCH(D771,[3]Sheet1!$C$3:$Q$3)+1)-INDEX([3]Sheet1!$C$3:$Q$3,1,MATCH(
D771,[3]Sheet1!$C$3:$Q$3)))*(INDEX([3]Sheet1!$C$4:$Q$23,MATCH(K771,[3]Sheet1!$B$4:$B$23,1),MATCH(D771,[3]Sheet1!$C$3:$Q$3,1)+1)-INDEX([3]Sheet1!$C$4:$Q$23,MATCH(K771,[3]Sheet1!$B$4:$B$23,1),MATCH(D771,[3]Sheet1!$C$3:$Q$3,1))))</f>
        <v>0</v>
      </c>
      <c r="M771" cm="1">
        <f t="array" ref="M771" xml:space="preserve"> IF(E771*J771=0,0,(INDEX([2]Sheet1!$C$4:$Q$23,MATCH(K771,[2]Sheet1!$B$4:$B$23,1),MATCH(D771,[2]Sheet1!$C$3:$Q$3,1))
+ (K771 - INDEX([2]Sheet1!$B$4:$B$23,MATCH(K771,[2]Sheet1!$B$4:$B$23,1),1))/(INDEX([2]Sheet1!$B$4:$B$23,MATCH(K771,[2]Sheet1!$B$4:$B$23,1)+1,1) - INDEX([2]Sheet1!$B$4:$B$23,MATCH(K771,[2]Sheet1!$B$4:$B$23,1),1))*(INDEX([2]Sheet1!$C$4:$Q$23,MATCH(K771,[2]Sheet1!$B$4:$B$23,1)+1,MATCH(D771,[2]Sheet1!$C$3:$Q$3,1)) - INDEX([2]Sheet1!$C$4:$Q$23,MATCH(K771,[2]Sheet1!$B$4:$B$23,1),MATCH(D771,[2]Sheet1!$C$3:$Q$3,1)))
+ (D771 - INDEX([2]Sheet1!$C$3:$Q$3,1,MATCH(D771,[2]Sheet1!$C$3:$Q$3)))/(INDEX([2]Sheet1!$C$3:$Q$3,1,MATCH(D771,[2]Sheet1!$C$3:$Q$3)+1) - INDEX([2]Sheet1!$C$3:$Q$3,1,MATCH(D771,[2]Sheet1!$C$3:$Q$3)))*(
INDEX([2]Sheet1!$C$4:$Q$23,MATCH(K771,[2]Sheet1!$B$4:$B$23,1),MATCH(D771,[2]Sheet1!$C$3:$Q$3,1)+1) - INDEX([2]Sheet1!$C$4:$Q$23,MATCH(K771,[2]Sheet1!$B$4:$B$23,1),MATCH(D771,[2]Sheet1!$C$3:$Q$3,1)))))</f>
        <v>0</v>
      </c>
      <c r="N771">
        <f t="shared" si="234"/>
        <v>12</v>
      </c>
      <c r="O771">
        <v>137.02450568394099</v>
      </c>
      <c r="P771" t="e">
        <f t="shared" si="235"/>
        <v>#DIV/0!</v>
      </c>
      <c r="Q771">
        <f t="shared" si="236"/>
        <v>0</v>
      </c>
      <c r="R771">
        <f t="shared" si="237"/>
        <v>741.9099431943954</v>
      </c>
      <c r="T771" t="e">
        <f t="shared" si="238"/>
        <v>#DIV/0!</v>
      </c>
      <c r="U771" t="e">
        <f t="shared" si="239"/>
        <v>#DIV/0!</v>
      </c>
      <c r="V771">
        <f t="shared" si="240"/>
        <v>0</v>
      </c>
      <c r="W771" t="e">
        <f t="shared" si="241"/>
        <v>#DIV/0!</v>
      </c>
    </row>
    <row r="772" spans="1:23" x14ac:dyDescent="0.55000000000000004">
      <c r="A772">
        <f t="shared" si="225"/>
        <v>73.800000000000082</v>
      </c>
      <c r="B772">
        <f t="shared" si="226"/>
        <v>0.316</v>
      </c>
      <c r="C772">
        <f t="shared" si="227"/>
        <v>-43.130434782608759</v>
      </c>
      <c r="D772">
        <v>138.43984551913201</v>
      </c>
      <c r="E772">
        <f t="shared" si="228"/>
        <v>0</v>
      </c>
      <c r="F772">
        <f t="shared" si="229"/>
        <v>4.8605058816845369E-2</v>
      </c>
      <c r="G772">
        <f t="shared" si="230"/>
        <v>39.513748498891111</v>
      </c>
      <c r="H772">
        <f t="shared" si="231"/>
        <v>0</v>
      </c>
      <c r="I772" s="1">
        <f t="shared" si="224"/>
        <v>0</v>
      </c>
      <c r="J772">
        <f t="shared" si="232"/>
        <v>0</v>
      </c>
      <c r="K772">
        <f t="shared" si="233"/>
        <v>0</v>
      </c>
      <c r="L772" cm="1">
        <f t="array" ref="L772">IF(E772*J772=0,0,$C$21*INDEX([3]Sheet1!$C$4:$Q$23,MATCH(K772,[3]Sheet1!$B$4:$B$23,1),MATCH(D772,[3]Sheet1!$C$3:$Q$3,1))
+(K772-INDEX([3]Sheet1!$B$4:$B$23,MATCH(K772,[3]Sheet1!$B$4:$B$23,1),1))/(INDEX([3]Sheet1!$B$4:$B$23,MATCH(K772,[3]Sheet1!$B$4:$B$23,1)+1,1)-INDEX([3]Sheet1!$B$4:$B$23,
MATCH(K772,[3]Sheet1!$B$4:$B$23,1),1))*(INDEX([3]Sheet1!$C$4:$Q$23,MATCH(K772,[3]Sheet1!$B$4:$B$23,1)+1,MATCH(D772,[3]Sheet1!$C$3:$Q$3,1))-INDEX([3]Sheet1!$C$4:$Q$23,
MATCH(K772,[3]Sheet1!$B$4:$B$23,1),MATCH(D772,[3]Sheet1!$C$3:$Q$3,1)))
+(D772-INDEX([3]Sheet1!$C$3:$Q$3,1,MATCH(D772,[3]Sheet1!$C$3:$Q$3)))/(INDEX([3]Sheet1!$C$3:$Q$3,1,MATCH(D772,[3]Sheet1!$C$3:$Q$3)+1)-INDEX([3]Sheet1!$C$3:$Q$3,1,MATCH(
D772,[3]Sheet1!$C$3:$Q$3)))*(INDEX([3]Sheet1!$C$4:$Q$23,MATCH(K772,[3]Sheet1!$B$4:$B$23,1),MATCH(D772,[3]Sheet1!$C$3:$Q$3,1)+1)-INDEX([3]Sheet1!$C$4:$Q$23,MATCH(K772,[3]Sheet1!$B$4:$B$23,1),MATCH(D772,[3]Sheet1!$C$3:$Q$3,1))))</f>
        <v>0</v>
      </c>
      <c r="M772" cm="1">
        <f t="array" ref="M772" xml:space="preserve"> IF(E772*J772=0,0,(INDEX([2]Sheet1!$C$4:$Q$23,MATCH(K772,[2]Sheet1!$B$4:$B$23,1),MATCH(D772,[2]Sheet1!$C$3:$Q$3,1))
+ (K772 - INDEX([2]Sheet1!$B$4:$B$23,MATCH(K772,[2]Sheet1!$B$4:$B$23,1),1))/(INDEX([2]Sheet1!$B$4:$B$23,MATCH(K772,[2]Sheet1!$B$4:$B$23,1)+1,1) - INDEX([2]Sheet1!$B$4:$B$23,MATCH(K772,[2]Sheet1!$B$4:$B$23,1),1))*(INDEX([2]Sheet1!$C$4:$Q$23,MATCH(K772,[2]Sheet1!$B$4:$B$23,1)+1,MATCH(D772,[2]Sheet1!$C$3:$Q$3,1)) - INDEX([2]Sheet1!$C$4:$Q$23,MATCH(K772,[2]Sheet1!$B$4:$B$23,1),MATCH(D772,[2]Sheet1!$C$3:$Q$3,1)))
+ (D772 - INDEX([2]Sheet1!$C$3:$Q$3,1,MATCH(D772,[2]Sheet1!$C$3:$Q$3)))/(INDEX([2]Sheet1!$C$3:$Q$3,1,MATCH(D772,[2]Sheet1!$C$3:$Q$3)+1) - INDEX([2]Sheet1!$C$3:$Q$3,1,MATCH(D772,[2]Sheet1!$C$3:$Q$3)))*(
INDEX([2]Sheet1!$C$4:$Q$23,MATCH(K772,[2]Sheet1!$B$4:$B$23,1),MATCH(D772,[2]Sheet1!$C$3:$Q$3,1)+1) - INDEX([2]Sheet1!$C$4:$Q$23,MATCH(K772,[2]Sheet1!$B$4:$B$23,1),MATCH(D772,[2]Sheet1!$C$3:$Q$3,1)))))</f>
        <v>0</v>
      </c>
      <c r="N772">
        <f t="shared" si="234"/>
        <v>12</v>
      </c>
      <c r="O772">
        <v>138.02450568394099</v>
      </c>
      <c r="P772" t="e">
        <f t="shared" si="235"/>
        <v>#DIV/0!</v>
      </c>
      <c r="Q772">
        <f t="shared" si="236"/>
        <v>0</v>
      </c>
      <c r="R772">
        <f t="shared" si="237"/>
        <v>741.9099431943954</v>
      </c>
      <c r="T772" t="e">
        <f t="shared" si="238"/>
        <v>#DIV/0!</v>
      </c>
      <c r="U772" t="e">
        <f t="shared" si="239"/>
        <v>#DIV/0!</v>
      </c>
      <c r="V772">
        <f t="shared" si="240"/>
        <v>0</v>
      </c>
      <c r="W772" t="e">
        <f t="shared" si="241"/>
        <v>#DIV/0!</v>
      </c>
    </row>
    <row r="773" spans="1:23" x14ac:dyDescent="0.55000000000000004">
      <c r="A773">
        <f t="shared" si="225"/>
        <v>73.900000000000077</v>
      </c>
      <c r="B773">
        <f t="shared" si="226"/>
        <v>0.316</v>
      </c>
      <c r="C773">
        <f t="shared" si="227"/>
        <v>-43.195652173913096</v>
      </c>
      <c r="D773">
        <v>139.43984551913201</v>
      </c>
      <c r="E773">
        <f t="shared" si="228"/>
        <v>0</v>
      </c>
      <c r="F773">
        <f t="shared" si="229"/>
        <v>4.8605058816845369E-2</v>
      </c>
      <c r="G773">
        <f t="shared" si="230"/>
        <v>39.513748498891111</v>
      </c>
      <c r="H773">
        <f t="shared" si="231"/>
        <v>0</v>
      </c>
      <c r="I773" s="1">
        <f t="shared" si="224"/>
        <v>0</v>
      </c>
      <c r="J773">
        <f t="shared" si="232"/>
        <v>0</v>
      </c>
      <c r="K773">
        <f t="shared" si="233"/>
        <v>0</v>
      </c>
      <c r="L773" cm="1">
        <f t="array" ref="L773">IF(E773*J773=0,0,$C$21*INDEX([3]Sheet1!$C$4:$Q$23,MATCH(K773,[3]Sheet1!$B$4:$B$23,1),MATCH(D773,[3]Sheet1!$C$3:$Q$3,1))
+(K773-INDEX([3]Sheet1!$B$4:$B$23,MATCH(K773,[3]Sheet1!$B$4:$B$23,1),1))/(INDEX([3]Sheet1!$B$4:$B$23,MATCH(K773,[3]Sheet1!$B$4:$B$23,1)+1,1)-INDEX([3]Sheet1!$B$4:$B$23,
MATCH(K773,[3]Sheet1!$B$4:$B$23,1),1))*(INDEX([3]Sheet1!$C$4:$Q$23,MATCH(K773,[3]Sheet1!$B$4:$B$23,1)+1,MATCH(D773,[3]Sheet1!$C$3:$Q$3,1))-INDEX([3]Sheet1!$C$4:$Q$23,
MATCH(K773,[3]Sheet1!$B$4:$B$23,1),MATCH(D773,[3]Sheet1!$C$3:$Q$3,1)))
+(D773-INDEX([3]Sheet1!$C$3:$Q$3,1,MATCH(D773,[3]Sheet1!$C$3:$Q$3)))/(INDEX([3]Sheet1!$C$3:$Q$3,1,MATCH(D773,[3]Sheet1!$C$3:$Q$3)+1)-INDEX([3]Sheet1!$C$3:$Q$3,1,MATCH(
D773,[3]Sheet1!$C$3:$Q$3)))*(INDEX([3]Sheet1!$C$4:$Q$23,MATCH(K773,[3]Sheet1!$B$4:$B$23,1),MATCH(D773,[3]Sheet1!$C$3:$Q$3,1)+1)-INDEX([3]Sheet1!$C$4:$Q$23,MATCH(K773,[3]Sheet1!$B$4:$B$23,1),MATCH(D773,[3]Sheet1!$C$3:$Q$3,1))))</f>
        <v>0</v>
      </c>
      <c r="M773" cm="1">
        <f t="array" ref="M773" xml:space="preserve"> IF(E773*J773=0,0,(INDEX([2]Sheet1!$C$4:$Q$23,MATCH(K773,[2]Sheet1!$B$4:$B$23,1),MATCH(D773,[2]Sheet1!$C$3:$Q$3,1))
+ (K773 - INDEX([2]Sheet1!$B$4:$B$23,MATCH(K773,[2]Sheet1!$B$4:$B$23,1),1))/(INDEX([2]Sheet1!$B$4:$B$23,MATCH(K773,[2]Sheet1!$B$4:$B$23,1)+1,1) - INDEX([2]Sheet1!$B$4:$B$23,MATCH(K773,[2]Sheet1!$B$4:$B$23,1),1))*(INDEX([2]Sheet1!$C$4:$Q$23,MATCH(K773,[2]Sheet1!$B$4:$B$23,1)+1,MATCH(D773,[2]Sheet1!$C$3:$Q$3,1)) - INDEX([2]Sheet1!$C$4:$Q$23,MATCH(K773,[2]Sheet1!$B$4:$B$23,1),MATCH(D773,[2]Sheet1!$C$3:$Q$3,1)))
+ (D773 - INDEX([2]Sheet1!$C$3:$Q$3,1,MATCH(D773,[2]Sheet1!$C$3:$Q$3)))/(INDEX([2]Sheet1!$C$3:$Q$3,1,MATCH(D773,[2]Sheet1!$C$3:$Q$3)+1) - INDEX([2]Sheet1!$C$3:$Q$3,1,MATCH(D773,[2]Sheet1!$C$3:$Q$3)))*(
INDEX([2]Sheet1!$C$4:$Q$23,MATCH(K773,[2]Sheet1!$B$4:$B$23,1),MATCH(D773,[2]Sheet1!$C$3:$Q$3,1)+1) - INDEX([2]Sheet1!$C$4:$Q$23,MATCH(K773,[2]Sheet1!$B$4:$B$23,1),MATCH(D773,[2]Sheet1!$C$3:$Q$3,1)))))</f>
        <v>0</v>
      </c>
      <c r="N773">
        <f t="shared" si="234"/>
        <v>12</v>
      </c>
      <c r="O773">
        <v>139.02450568394099</v>
      </c>
      <c r="P773" t="e">
        <f t="shared" si="235"/>
        <v>#DIV/0!</v>
      </c>
      <c r="Q773">
        <f t="shared" si="236"/>
        <v>0</v>
      </c>
      <c r="R773">
        <f t="shared" si="237"/>
        <v>741.9099431943954</v>
      </c>
      <c r="T773" t="e">
        <f t="shared" si="238"/>
        <v>#DIV/0!</v>
      </c>
      <c r="U773" t="e">
        <f t="shared" si="239"/>
        <v>#DIV/0!</v>
      </c>
      <c r="V773">
        <f t="shared" si="240"/>
        <v>0</v>
      </c>
      <c r="W773" t="e">
        <f t="shared" si="241"/>
        <v>#DIV/0!</v>
      </c>
    </row>
    <row r="774" spans="1:23" x14ac:dyDescent="0.55000000000000004">
      <c r="A774">
        <f t="shared" si="225"/>
        <v>74.000000000000071</v>
      </c>
      <c r="B774">
        <f t="shared" si="226"/>
        <v>0.316</v>
      </c>
      <c r="C774">
        <f t="shared" si="227"/>
        <v>-43.260869565217448</v>
      </c>
      <c r="D774">
        <v>140.43984551913201</v>
      </c>
      <c r="E774">
        <f t="shared" si="228"/>
        <v>0</v>
      </c>
      <c r="F774">
        <f t="shared" si="229"/>
        <v>4.8605058816845369E-2</v>
      </c>
      <c r="G774">
        <f t="shared" si="230"/>
        <v>39.513748498891111</v>
      </c>
      <c r="H774">
        <f t="shared" si="231"/>
        <v>0</v>
      </c>
      <c r="I774" s="1">
        <f t="shared" si="224"/>
        <v>0</v>
      </c>
      <c r="J774">
        <f t="shared" si="232"/>
        <v>0</v>
      </c>
      <c r="K774">
        <f t="shared" si="233"/>
        <v>0</v>
      </c>
      <c r="L774" cm="1">
        <f t="array" ref="L774">IF(E774*J774=0,0,$C$21*INDEX([3]Sheet1!$C$4:$Q$23,MATCH(K774,[3]Sheet1!$B$4:$B$23,1),MATCH(D774,[3]Sheet1!$C$3:$Q$3,1))
+(K774-INDEX([3]Sheet1!$B$4:$B$23,MATCH(K774,[3]Sheet1!$B$4:$B$23,1),1))/(INDEX([3]Sheet1!$B$4:$B$23,MATCH(K774,[3]Sheet1!$B$4:$B$23,1)+1,1)-INDEX([3]Sheet1!$B$4:$B$23,
MATCH(K774,[3]Sheet1!$B$4:$B$23,1),1))*(INDEX([3]Sheet1!$C$4:$Q$23,MATCH(K774,[3]Sheet1!$B$4:$B$23,1)+1,MATCH(D774,[3]Sheet1!$C$3:$Q$3,1))-INDEX([3]Sheet1!$C$4:$Q$23,
MATCH(K774,[3]Sheet1!$B$4:$B$23,1),MATCH(D774,[3]Sheet1!$C$3:$Q$3,1)))
+(D774-INDEX([3]Sheet1!$C$3:$Q$3,1,MATCH(D774,[3]Sheet1!$C$3:$Q$3)))/(INDEX([3]Sheet1!$C$3:$Q$3,1,MATCH(D774,[3]Sheet1!$C$3:$Q$3)+1)-INDEX([3]Sheet1!$C$3:$Q$3,1,MATCH(
D774,[3]Sheet1!$C$3:$Q$3)))*(INDEX([3]Sheet1!$C$4:$Q$23,MATCH(K774,[3]Sheet1!$B$4:$B$23,1),MATCH(D774,[3]Sheet1!$C$3:$Q$3,1)+1)-INDEX([3]Sheet1!$C$4:$Q$23,MATCH(K774,[3]Sheet1!$B$4:$B$23,1),MATCH(D774,[3]Sheet1!$C$3:$Q$3,1))))</f>
        <v>0</v>
      </c>
      <c r="M774" cm="1">
        <f t="array" ref="M774" xml:space="preserve"> IF(E774*J774=0,0,(INDEX([2]Sheet1!$C$4:$Q$23,MATCH(K774,[2]Sheet1!$B$4:$B$23,1),MATCH(D774,[2]Sheet1!$C$3:$Q$3,1))
+ (K774 - INDEX([2]Sheet1!$B$4:$B$23,MATCH(K774,[2]Sheet1!$B$4:$B$23,1),1))/(INDEX([2]Sheet1!$B$4:$B$23,MATCH(K774,[2]Sheet1!$B$4:$B$23,1)+1,1) - INDEX([2]Sheet1!$B$4:$B$23,MATCH(K774,[2]Sheet1!$B$4:$B$23,1),1))*(INDEX([2]Sheet1!$C$4:$Q$23,MATCH(K774,[2]Sheet1!$B$4:$B$23,1)+1,MATCH(D774,[2]Sheet1!$C$3:$Q$3,1)) - INDEX([2]Sheet1!$C$4:$Q$23,MATCH(K774,[2]Sheet1!$B$4:$B$23,1),MATCH(D774,[2]Sheet1!$C$3:$Q$3,1)))
+ (D774 - INDEX([2]Sheet1!$C$3:$Q$3,1,MATCH(D774,[2]Sheet1!$C$3:$Q$3)))/(INDEX([2]Sheet1!$C$3:$Q$3,1,MATCH(D774,[2]Sheet1!$C$3:$Q$3)+1) - INDEX([2]Sheet1!$C$3:$Q$3,1,MATCH(D774,[2]Sheet1!$C$3:$Q$3)))*(
INDEX([2]Sheet1!$C$4:$Q$23,MATCH(K774,[2]Sheet1!$B$4:$B$23,1),MATCH(D774,[2]Sheet1!$C$3:$Q$3,1)+1) - INDEX([2]Sheet1!$C$4:$Q$23,MATCH(K774,[2]Sheet1!$B$4:$B$23,1),MATCH(D774,[2]Sheet1!$C$3:$Q$3,1)))))</f>
        <v>0</v>
      </c>
      <c r="N774">
        <f t="shared" si="234"/>
        <v>12</v>
      </c>
      <c r="O774">
        <v>140.02450568394099</v>
      </c>
      <c r="P774" t="e">
        <f t="shared" si="235"/>
        <v>#DIV/0!</v>
      </c>
      <c r="Q774">
        <f t="shared" si="236"/>
        <v>0</v>
      </c>
      <c r="R774">
        <f t="shared" si="237"/>
        <v>741.9099431943954</v>
      </c>
      <c r="T774" t="e">
        <f t="shared" si="238"/>
        <v>#DIV/0!</v>
      </c>
      <c r="U774" t="e">
        <f t="shared" si="239"/>
        <v>#DIV/0!</v>
      </c>
      <c r="V774">
        <f t="shared" si="240"/>
        <v>0</v>
      </c>
      <c r="W774" t="e">
        <f t="shared" si="241"/>
        <v>#DIV/0!</v>
      </c>
    </row>
    <row r="775" spans="1:23" x14ac:dyDescent="0.55000000000000004">
      <c r="A775">
        <f t="shared" si="225"/>
        <v>74.100000000000065</v>
      </c>
      <c r="B775">
        <f t="shared" si="226"/>
        <v>0.316</v>
      </c>
      <c r="C775">
        <f t="shared" si="227"/>
        <v>-43.326086956521785</v>
      </c>
      <c r="D775">
        <v>141.43984551913201</v>
      </c>
      <c r="E775">
        <f t="shared" si="228"/>
        <v>0</v>
      </c>
      <c r="F775">
        <f t="shared" si="229"/>
        <v>4.8605058816845369E-2</v>
      </c>
      <c r="G775">
        <f t="shared" si="230"/>
        <v>39.513748498891111</v>
      </c>
      <c r="H775">
        <f t="shared" si="231"/>
        <v>0</v>
      </c>
      <c r="I775" s="1">
        <f t="shared" si="224"/>
        <v>0</v>
      </c>
      <c r="J775">
        <f t="shared" si="232"/>
        <v>0</v>
      </c>
      <c r="K775">
        <f t="shared" si="233"/>
        <v>0</v>
      </c>
      <c r="L775" cm="1">
        <f t="array" ref="L775">IF(E775*J775=0,0,$C$21*INDEX([3]Sheet1!$C$4:$Q$23,MATCH(K775,[3]Sheet1!$B$4:$B$23,1),MATCH(D775,[3]Sheet1!$C$3:$Q$3,1))
+(K775-INDEX([3]Sheet1!$B$4:$B$23,MATCH(K775,[3]Sheet1!$B$4:$B$23,1),1))/(INDEX([3]Sheet1!$B$4:$B$23,MATCH(K775,[3]Sheet1!$B$4:$B$23,1)+1,1)-INDEX([3]Sheet1!$B$4:$B$23,
MATCH(K775,[3]Sheet1!$B$4:$B$23,1),1))*(INDEX([3]Sheet1!$C$4:$Q$23,MATCH(K775,[3]Sheet1!$B$4:$B$23,1)+1,MATCH(D775,[3]Sheet1!$C$3:$Q$3,1))-INDEX([3]Sheet1!$C$4:$Q$23,
MATCH(K775,[3]Sheet1!$B$4:$B$23,1),MATCH(D775,[3]Sheet1!$C$3:$Q$3,1)))
+(D775-INDEX([3]Sheet1!$C$3:$Q$3,1,MATCH(D775,[3]Sheet1!$C$3:$Q$3)))/(INDEX([3]Sheet1!$C$3:$Q$3,1,MATCH(D775,[3]Sheet1!$C$3:$Q$3)+1)-INDEX([3]Sheet1!$C$3:$Q$3,1,MATCH(
D775,[3]Sheet1!$C$3:$Q$3)))*(INDEX([3]Sheet1!$C$4:$Q$23,MATCH(K775,[3]Sheet1!$B$4:$B$23,1),MATCH(D775,[3]Sheet1!$C$3:$Q$3,1)+1)-INDEX([3]Sheet1!$C$4:$Q$23,MATCH(K775,[3]Sheet1!$B$4:$B$23,1),MATCH(D775,[3]Sheet1!$C$3:$Q$3,1))))</f>
        <v>0</v>
      </c>
      <c r="M775" cm="1">
        <f t="array" ref="M775" xml:space="preserve"> IF(E775*J775=0,0,(INDEX([2]Sheet1!$C$4:$Q$23,MATCH(K775,[2]Sheet1!$B$4:$B$23,1),MATCH(D775,[2]Sheet1!$C$3:$Q$3,1))
+ (K775 - INDEX([2]Sheet1!$B$4:$B$23,MATCH(K775,[2]Sheet1!$B$4:$B$23,1),1))/(INDEX([2]Sheet1!$B$4:$B$23,MATCH(K775,[2]Sheet1!$B$4:$B$23,1)+1,1) - INDEX([2]Sheet1!$B$4:$B$23,MATCH(K775,[2]Sheet1!$B$4:$B$23,1),1))*(INDEX([2]Sheet1!$C$4:$Q$23,MATCH(K775,[2]Sheet1!$B$4:$B$23,1)+1,MATCH(D775,[2]Sheet1!$C$3:$Q$3,1)) - INDEX([2]Sheet1!$C$4:$Q$23,MATCH(K775,[2]Sheet1!$B$4:$B$23,1),MATCH(D775,[2]Sheet1!$C$3:$Q$3,1)))
+ (D775 - INDEX([2]Sheet1!$C$3:$Q$3,1,MATCH(D775,[2]Sheet1!$C$3:$Q$3)))/(INDEX([2]Sheet1!$C$3:$Q$3,1,MATCH(D775,[2]Sheet1!$C$3:$Q$3)+1) - INDEX([2]Sheet1!$C$3:$Q$3,1,MATCH(D775,[2]Sheet1!$C$3:$Q$3)))*(
INDEX([2]Sheet1!$C$4:$Q$23,MATCH(K775,[2]Sheet1!$B$4:$B$23,1),MATCH(D775,[2]Sheet1!$C$3:$Q$3,1)+1) - INDEX([2]Sheet1!$C$4:$Q$23,MATCH(K775,[2]Sheet1!$B$4:$B$23,1),MATCH(D775,[2]Sheet1!$C$3:$Q$3,1)))))</f>
        <v>0</v>
      </c>
      <c r="N775">
        <f t="shared" si="234"/>
        <v>12</v>
      </c>
      <c r="O775">
        <v>141.02450568394099</v>
      </c>
      <c r="P775" t="e">
        <f t="shared" si="235"/>
        <v>#DIV/0!</v>
      </c>
      <c r="Q775">
        <f t="shared" si="236"/>
        <v>0</v>
      </c>
      <c r="R775">
        <f t="shared" si="237"/>
        <v>741.9099431943954</v>
      </c>
      <c r="T775" t="e">
        <f t="shared" si="238"/>
        <v>#DIV/0!</v>
      </c>
      <c r="U775" t="e">
        <f t="shared" si="239"/>
        <v>#DIV/0!</v>
      </c>
      <c r="V775">
        <f t="shared" si="240"/>
        <v>0</v>
      </c>
      <c r="W775" t="e">
        <f t="shared" si="241"/>
        <v>#DIV/0!</v>
      </c>
    </row>
    <row r="776" spans="1:23" x14ac:dyDescent="0.55000000000000004">
      <c r="A776">
        <f t="shared" si="225"/>
        <v>74.20000000000006</v>
      </c>
      <c r="B776">
        <f t="shared" si="226"/>
        <v>0.316</v>
      </c>
      <c r="C776">
        <f t="shared" si="227"/>
        <v>-43.391304347826136</v>
      </c>
      <c r="D776">
        <v>142.43984551913201</v>
      </c>
      <c r="E776">
        <f t="shared" si="228"/>
        <v>0</v>
      </c>
      <c r="F776">
        <f t="shared" si="229"/>
        <v>4.8605058816845369E-2</v>
      </c>
      <c r="G776">
        <f t="shared" si="230"/>
        <v>39.513748498891111</v>
      </c>
      <c r="H776">
        <f t="shared" si="231"/>
        <v>0</v>
      </c>
      <c r="I776" s="1">
        <f t="shared" si="224"/>
        <v>0</v>
      </c>
      <c r="J776">
        <f t="shared" si="232"/>
        <v>0</v>
      </c>
      <c r="K776">
        <f t="shared" si="233"/>
        <v>0</v>
      </c>
      <c r="L776" cm="1">
        <f t="array" ref="L776">IF(E776*J776=0,0,$C$21*INDEX([3]Sheet1!$C$4:$Q$23,MATCH(K776,[3]Sheet1!$B$4:$B$23,1),MATCH(D776,[3]Sheet1!$C$3:$Q$3,1))
+(K776-INDEX([3]Sheet1!$B$4:$B$23,MATCH(K776,[3]Sheet1!$B$4:$B$23,1),1))/(INDEX([3]Sheet1!$B$4:$B$23,MATCH(K776,[3]Sheet1!$B$4:$B$23,1)+1,1)-INDEX([3]Sheet1!$B$4:$B$23,
MATCH(K776,[3]Sheet1!$B$4:$B$23,1),1))*(INDEX([3]Sheet1!$C$4:$Q$23,MATCH(K776,[3]Sheet1!$B$4:$B$23,1)+1,MATCH(D776,[3]Sheet1!$C$3:$Q$3,1))-INDEX([3]Sheet1!$C$4:$Q$23,
MATCH(K776,[3]Sheet1!$B$4:$B$23,1),MATCH(D776,[3]Sheet1!$C$3:$Q$3,1)))
+(D776-INDEX([3]Sheet1!$C$3:$Q$3,1,MATCH(D776,[3]Sheet1!$C$3:$Q$3)))/(INDEX([3]Sheet1!$C$3:$Q$3,1,MATCH(D776,[3]Sheet1!$C$3:$Q$3)+1)-INDEX([3]Sheet1!$C$3:$Q$3,1,MATCH(
D776,[3]Sheet1!$C$3:$Q$3)))*(INDEX([3]Sheet1!$C$4:$Q$23,MATCH(K776,[3]Sheet1!$B$4:$B$23,1),MATCH(D776,[3]Sheet1!$C$3:$Q$3,1)+1)-INDEX([3]Sheet1!$C$4:$Q$23,MATCH(K776,[3]Sheet1!$B$4:$B$23,1),MATCH(D776,[3]Sheet1!$C$3:$Q$3,1))))</f>
        <v>0</v>
      </c>
      <c r="M776" cm="1">
        <f t="array" ref="M776" xml:space="preserve"> IF(E776*J776=0,0,(INDEX([2]Sheet1!$C$4:$Q$23,MATCH(K776,[2]Sheet1!$B$4:$B$23,1),MATCH(D776,[2]Sheet1!$C$3:$Q$3,1))
+ (K776 - INDEX([2]Sheet1!$B$4:$B$23,MATCH(K776,[2]Sheet1!$B$4:$B$23,1),1))/(INDEX([2]Sheet1!$B$4:$B$23,MATCH(K776,[2]Sheet1!$B$4:$B$23,1)+1,1) - INDEX([2]Sheet1!$B$4:$B$23,MATCH(K776,[2]Sheet1!$B$4:$B$23,1),1))*(INDEX([2]Sheet1!$C$4:$Q$23,MATCH(K776,[2]Sheet1!$B$4:$B$23,1)+1,MATCH(D776,[2]Sheet1!$C$3:$Q$3,1)) - INDEX([2]Sheet1!$C$4:$Q$23,MATCH(K776,[2]Sheet1!$B$4:$B$23,1),MATCH(D776,[2]Sheet1!$C$3:$Q$3,1)))
+ (D776 - INDEX([2]Sheet1!$C$3:$Q$3,1,MATCH(D776,[2]Sheet1!$C$3:$Q$3)))/(INDEX([2]Sheet1!$C$3:$Q$3,1,MATCH(D776,[2]Sheet1!$C$3:$Q$3)+1) - INDEX([2]Sheet1!$C$3:$Q$3,1,MATCH(D776,[2]Sheet1!$C$3:$Q$3)))*(
INDEX([2]Sheet1!$C$4:$Q$23,MATCH(K776,[2]Sheet1!$B$4:$B$23,1),MATCH(D776,[2]Sheet1!$C$3:$Q$3,1)+1) - INDEX([2]Sheet1!$C$4:$Q$23,MATCH(K776,[2]Sheet1!$B$4:$B$23,1),MATCH(D776,[2]Sheet1!$C$3:$Q$3,1)))))</f>
        <v>0</v>
      </c>
      <c r="N776">
        <f t="shared" si="234"/>
        <v>12</v>
      </c>
      <c r="O776">
        <v>142.02450568394099</v>
      </c>
      <c r="P776" t="e">
        <f t="shared" si="235"/>
        <v>#DIV/0!</v>
      </c>
      <c r="Q776">
        <f t="shared" si="236"/>
        <v>0</v>
      </c>
      <c r="R776">
        <f t="shared" si="237"/>
        <v>741.9099431943954</v>
      </c>
      <c r="T776" t="e">
        <f t="shared" si="238"/>
        <v>#DIV/0!</v>
      </c>
      <c r="U776" t="e">
        <f t="shared" si="239"/>
        <v>#DIV/0!</v>
      </c>
      <c r="V776">
        <f t="shared" si="240"/>
        <v>0</v>
      </c>
      <c r="W776" t="e">
        <f t="shared" si="241"/>
        <v>#DIV/0!</v>
      </c>
    </row>
    <row r="777" spans="1:23" x14ac:dyDescent="0.55000000000000004">
      <c r="A777">
        <f>A776+$C$29</f>
        <v>74.300000000000054</v>
      </c>
      <c r="B777">
        <f t="shared" si="226"/>
        <v>0.316</v>
      </c>
      <c r="C777">
        <f t="shared" si="227"/>
        <v>-43.456521739130473</v>
      </c>
      <c r="D777">
        <v>143.43984551913201</v>
      </c>
      <c r="E777">
        <f t="shared" si="228"/>
        <v>0</v>
      </c>
      <c r="F777">
        <f t="shared" si="229"/>
        <v>4.8605058816845369E-2</v>
      </c>
      <c r="G777">
        <f t="shared" si="230"/>
        <v>39.513748498891111</v>
      </c>
      <c r="H777">
        <f t="shared" si="231"/>
        <v>0</v>
      </c>
      <c r="I777" s="1">
        <f t="shared" si="224"/>
        <v>0</v>
      </c>
      <c r="J777">
        <f t="shared" si="232"/>
        <v>0</v>
      </c>
      <c r="K777">
        <f t="shared" si="233"/>
        <v>0</v>
      </c>
      <c r="L777" cm="1">
        <f t="array" ref="L777">IF(E777*J777=0,0,$C$21*INDEX([3]Sheet1!$C$4:$Q$23,MATCH(K777,[3]Sheet1!$B$4:$B$23,1),MATCH(D777,[3]Sheet1!$C$3:$Q$3,1))
+(K777-INDEX([3]Sheet1!$B$4:$B$23,MATCH(K777,[3]Sheet1!$B$4:$B$23,1),1))/(INDEX([3]Sheet1!$B$4:$B$23,MATCH(K777,[3]Sheet1!$B$4:$B$23,1)+1,1)-INDEX([3]Sheet1!$B$4:$B$23,
MATCH(K777,[3]Sheet1!$B$4:$B$23,1),1))*(INDEX([3]Sheet1!$C$4:$Q$23,MATCH(K777,[3]Sheet1!$B$4:$B$23,1)+1,MATCH(D777,[3]Sheet1!$C$3:$Q$3,1))-INDEX([3]Sheet1!$C$4:$Q$23,
MATCH(K777,[3]Sheet1!$B$4:$B$23,1),MATCH(D777,[3]Sheet1!$C$3:$Q$3,1)))
+(D777-INDEX([3]Sheet1!$C$3:$Q$3,1,MATCH(D777,[3]Sheet1!$C$3:$Q$3)))/(INDEX([3]Sheet1!$C$3:$Q$3,1,MATCH(D777,[3]Sheet1!$C$3:$Q$3)+1)-INDEX([3]Sheet1!$C$3:$Q$3,1,MATCH(
D777,[3]Sheet1!$C$3:$Q$3)))*(INDEX([3]Sheet1!$C$4:$Q$23,MATCH(K777,[3]Sheet1!$B$4:$B$23,1),MATCH(D777,[3]Sheet1!$C$3:$Q$3,1)+1)-INDEX([3]Sheet1!$C$4:$Q$23,MATCH(K777,[3]Sheet1!$B$4:$B$23,1),MATCH(D777,[3]Sheet1!$C$3:$Q$3,1))))</f>
        <v>0</v>
      </c>
      <c r="M777" cm="1">
        <f t="array" ref="M777" xml:space="preserve"> IF(E777*J777=0,0,(INDEX([2]Sheet1!$C$4:$Q$23,MATCH(K777,[2]Sheet1!$B$4:$B$23,1),MATCH(D777,[2]Sheet1!$C$3:$Q$3,1))
+ (K777 - INDEX([2]Sheet1!$B$4:$B$23,MATCH(K777,[2]Sheet1!$B$4:$B$23,1),1))/(INDEX([2]Sheet1!$B$4:$B$23,MATCH(K777,[2]Sheet1!$B$4:$B$23,1)+1,1) - INDEX([2]Sheet1!$B$4:$B$23,MATCH(K777,[2]Sheet1!$B$4:$B$23,1),1))*(INDEX([2]Sheet1!$C$4:$Q$23,MATCH(K777,[2]Sheet1!$B$4:$B$23,1)+1,MATCH(D777,[2]Sheet1!$C$3:$Q$3,1)) - INDEX([2]Sheet1!$C$4:$Q$23,MATCH(K777,[2]Sheet1!$B$4:$B$23,1),MATCH(D777,[2]Sheet1!$C$3:$Q$3,1)))
+ (D777 - INDEX([2]Sheet1!$C$3:$Q$3,1,MATCH(D777,[2]Sheet1!$C$3:$Q$3)))/(INDEX([2]Sheet1!$C$3:$Q$3,1,MATCH(D777,[2]Sheet1!$C$3:$Q$3)+1) - INDEX([2]Sheet1!$C$3:$Q$3,1,MATCH(D777,[2]Sheet1!$C$3:$Q$3)))*(
INDEX([2]Sheet1!$C$4:$Q$23,MATCH(K777,[2]Sheet1!$B$4:$B$23,1),MATCH(D777,[2]Sheet1!$C$3:$Q$3,1)+1) - INDEX([2]Sheet1!$C$4:$Q$23,MATCH(K777,[2]Sheet1!$B$4:$B$23,1),MATCH(D777,[2]Sheet1!$C$3:$Q$3,1)))))</f>
        <v>0</v>
      </c>
      <c r="N777">
        <f t="shared" si="234"/>
        <v>12</v>
      </c>
      <c r="O777">
        <v>143.02450568394099</v>
      </c>
      <c r="P777" t="e">
        <f t="shared" si="235"/>
        <v>#DIV/0!</v>
      </c>
      <c r="Q777">
        <f t="shared" si="236"/>
        <v>0</v>
      </c>
      <c r="R777">
        <f t="shared" si="237"/>
        <v>741.9099431943954</v>
      </c>
      <c r="T777" t="e">
        <f t="shared" si="238"/>
        <v>#DIV/0!</v>
      </c>
      <c r="U777" t="e">
        <f t="shared" si="239"/>
        <v>#DIV/0!</v>
      </c>
      <c r="V777">
        <f t="shared" si="240"/>
        <v>0</v>
      </c>
      <c r="W777" t="e">
        <f t="shared" si="241"/>
        <v>#DIV/0!</v>
      </c>
    </row>
    <row r="778" spans="1:23" x14ac:dyDescent="0.55000000000000004">
      <c r="A778">
        <f t="shared" si="225"/>
        <v>74.400000000000048</v>
      </c>
      <c r="B778">
        <f t="shared" si="226"/>
        <v>0.316</v>
      </c>
      <c r="C778">
        <f t="shared" si="227"/>
        <v>-43.521739130434824</v>
      </c>
      <c r="D778">
        <v>144.43984551913201</v>
      </c>
      <c r="E778">
        <f t="shared" si="228"/>
        <v>0</v>
      </c>
      <c r="F778">
        <f t="shared" si="229"/>
        <v>4.8605058816845369E-2</v>
      </c>
      <c r="G778">
        <f t="shared" si="230"/>
        <v>39.513748498891111</v>
      </c>
      <c r="H778">
        <f t="shared" si="231"/>
        <v>0</v>
      </c>
      <c r="I778" s="1">
        <f t="shared" si="224"/>
        <v>0</v>
      </c>
      <c r="J778">
        <f t="shared" si="232"/>
        <v>0</v>
      </c>
      <c r="K778">
        <f t="shared" si="233"/>
        <v>0</v>
      </c>
      <c r="L778" cm="1">
        <f t="array" ref="L778">IF(E778*J778=0,0,$C$21*INDEX([3]Sheet1!$C$4:$Q$23,MATCH(K778,[3]Sheet1!$B$4:$B$23,1),MATCH(D778,[3]Sheet1!$C$3:$Q$3,1))
+(K778-INDEX([3]Sheet1!$B$4:$B$23,MATCH(K778,[3]Sheet1!$B$4:$B$23,1),1))/(INDEX([3]Sheet1!$B$4:$B$23,MATCH(K778,[3]Sheet1!$B$4:$B$23,1)+1,1)-INDEX([3]Sheet1!$B$4:$B$23,
MATCH(K778,[3]Sheet1!$B$4:$B$23,1),1))*(INDEX([3]Sheet1!$C$4:$Q$23,MATCH(K778,[3]Sheet1!$B$4:$B$23,1)+1,MATCH(D778,[3]Sheet1!$C$3:$Q$3,1))-INDEX([3]Sheet1!$C$4:$Q$23,
MATCH(K778,[3]Sheet1!$B$4:$B$23,1),MATCH(D778,[3]Sheet1!$C$3:$Q$3,1)))
+(D778-INDEX([3]Sheet1!$C$3:$Q$3,1,MATCH(D778,[3]Sheet1!$C$3:$Q$3)))/(INDEX([3]Sheet1!$C$3:$Q$3,1,MATCH(D778,[3]Sheet1!$C$3:$Q$3)+1)-INDEX([3]Sheet1!$C$3:$Q$3,1,MATCH(
D778,[3]Sheet1!$C$3:$Q$3)))*(INDEX([3]Sheet1!$C$4:$Q$23,MATCH(K778,[3]Sheet1!$B$4:$B$23,1),MATCH(D778,[3]Sheet1!$C$3:$Q$3,1)+1)-INDEX([3]Sheet1!$C$4:$Q$23,MATCH(K778,[3]Sheet1!$B$4:$B$23,1),MATCH(D778,[3]Sheet1!$C$3:$Q$3,1))))</f>
        <v>0</v>
      </c>
      <c r="M778" cm="1">
        <f t="array" ref="M778" xml:space="preserve"> IF(E778*J778=0,0,(INDEX([2]Sheet1!$C$4:$Q$23,MATCH(K778,[2]Sheet1!$B$4:$B$23,1),MATCH(D778,[2]Sheet1!$C$3:$Q$3,1))
+ (K778 - INDEX([2]Sheet1!$B$4:$B$23,MATCH(K778,[2]Sheet1!$B$4:$B$23,1),1))/(INDEX([2]Sheet1!$B$4:$B$23,MATCH(K778,[2]Sheet1!$B$4:$B$23,1)+1,1) - INDEX([2]Sheet1!$B$4:$B$23,MATCH(K778,[2]Sheet1!$B$4:$B$23,1),1))*(INDEX([2]Sheet1!$C$4:$Q$23,MATCH(K778,[2]Sheet1!$B$4:$B$23,1)+1,MATCH(D778,[2]Sheet1!$C$3:$Q$3,1)) - INDEX([2]Sheet1!$C$4:$Q$23,MATCH(K778,[2]Sheet1!$B$4:$B$23,1),MATCH(D778,[2]Sheet1!$C$3:$Q$3,1)))
+ (D778 - INDEX([2]Sheet1!$C$3:$Q$3,1,MATCH(D778,[2]Sheet1!$C$3:$Q$3)))/(INDEX([2]Sheet1!$C$3:$Q$3,1,MATCH(D778,[2]Sheet1!$C$3:$Q$3)+1) - INDEX([2]Sheet1!$C$3:$Q$3,1,MATCH(D778,[2]Sheet1!$C$3:$Q$3)))*(
INDEX([2]Sheet1!$C$4:$Q$23,MATCH(K778,[2]Sheet1!$B$4:$B$23,1),MATCH(D778,[2]Sheet1!$C$3:$Q$3,1)+1) - INDEX([2]Sheet1!$C$4:$Q$23,MATCH(K778,[2]Sheet1!$B$4:$B$23,1),MATCH(D778,[2]Sheet1!$C$3:$Q$3,1)))))</f>
        <v>0</v>
      </c>
      <c r="N778">
        <f t="shared" si="234"/>
        <v>12</v>
      </c>
      <c r="O778">
        <v>144.02450568394099</v>
      </c>
      <c r="P778" t="e">
        <f t="shared" si="235"/>
        <v>#DIV/0!</v>
      </c>
      <c r="Q778">
        <f t="shared" si="236"/>
        <v>0</v>
      </c>
      <c r="R778">
        <f t="shared" si="237"/>
        <v>741.9099431943954</v>
      </c>
      <c r="T778" t="e">
        <f t="shared" si="238"/>
        <v>#DIV/0!</v>
      </c>
      <c r="U778" t="e">
        <f t="shared" si="239"/>
        <v>#DIV/0!</v>
      </c>
      <c r="V778">
        <f t="shared" si="240"/>
        <v>0</v>
      </c>
      <c r="W778" t="e">
        <f t="shared" si="241"/>
        <v>#DIV/0!</v>
      </c>
    </row>
    <row r="779" spans="1:23" x14ac:dyDescent="0.55000000000000004">
      <c r="A779">
        <f t="shared" si="225"/>
        <v>74.500000000000043</v>
      </c>
      <c r="B779">
        <f t="shared" si="226"/>
        <v>0.316</v>
      </c>
      <c r="C779">
        <f t="shared" si="227"/>
        <v>-43.586956521739161</v>
      </c>
      <c r="D779">
        <v>145.43984551913201</v>
      </c>
      <c r="E779">
        <f t="shared" si="228"/>
        <v>0</v>
      </c>
      <c r="F779">
        <f t="shared" si="229"/>
        <v>4.8605058816845369E-2</v>
      </c>
      <c r="G779">
        <f t="shared" si="230"/>
        <v>39.513748498891111</v>
      </c>
      <c r="H779">
        <f t="shared" si="231"/>
        <v>0</v>
      </c>
      <c r="I779" s="1">
        <f t="shared" si="224"/>
        <v>0</v>
      </c>
      <c r="J779">
        <f t="shared" si="232"/>
        <v>0</v>
      </c>
      <c r="K779">
        <f t="shared" si="233"/>
        <v>0</v>
      </c>
      <c r="L779" cm="1">
        <f t="array" ref="L779">IF(E779*J779=0,0,$C$21*INDEX([3]Sheet1!$C$4:$Q$23,MATCH(K779,[3]Sheet1!$B$4:$B$23,1),MATCH(D779,[3]Sheet1!$C$3:$Q$3,1))
+(K779-INDEX([3]Sheet1!$B$4:$B$23,MATCH(K779,[3]Sheet1!$B$4:$B$23,1),1))/(INDEX([3]Sheet1!$B$4:$B$23,MATCH(K779,[3]Sheet1!$B$4:$B$23,1)+1,1)-INDEX([3]Sheet1!$B$4:$B$23,
MATCH(K779,[3]Sheet1!$B$4:$B$23,1),1))*(INDEX([3]Sheet1!$C$4:$Q$23,MATCH(K779,[3]Sheet1!$B$4:$B$23,1)+1,MATCH(D779,[3]Sheet1!$C$3:$Q$3,1))-INDEX([3]Sheet1!$C$4:$Q$23,
MATCH(K779,[3]Sheet1!$B$4:$B$23,1),MATCH(D779,[3]Sheet1!$C$3:$Q$3,1)))
+(D779-INDEX([3]Sheet1!$C$3:$Q$3,1,MATCH(D779,[3]Sheet1!$C$3:$Q$3)))/(INDEX([3]Sheet1!$C$3:$Q$3,1,MATCH(D779,[3]Sheet1!$C$3:$Q$3)+1)-INDEX([3]Sheet1!$C$3:$Q$3,1,MATCH(
D779,[3]Sheet1!$C$3:$Q$3)))*(INDEX([3]Sheet1!$C$4:$Q$23,MATCH(K779,[3]Sheet1!$B$4:$B$23,1),MATCH(D779,[3]Sheet1!$C$3:$Q$3,1)+1)-INDEX([3]Sheet1!$C$4:$Q$23,MATCH(K779,[3]Sheet1!$B$4:$B$23,1),MATCH(D779,[3]Sheet1!$C$3:$Q$3,1))))</f>
        <v>0</v>
      </c>
      <c r="M779" cm="1">
        <f t="array" ref="M779" xml:space="preserve"> IF(E779*J779=0,0,(INDEX([2]Sheet1!$C$4:$Q$23,MATCH(K779,[2]Sheet1!$B$4:$B$23,1),MATCH(D779,[2]Sheet1!$C$3:$Q$3,1))
+ (K779 - INDEX([2]Sheet1!$B$4:$B$23,MATCH(K779,[2]Sheet1!$B$4:$B$23,1),1))/(INDEX([2]Sheet1!$B$4:$B$23,MATCH(K779,[2]Sheet1!$B$4:$B$23,1)+1,1) - INDEX([2]Sheet1!$B$4:$B$23,MATCH(K779,[2]Sheet1!$B$4:$B$23,1),1))*(INDEX([2]Sheet1!$C$4:$Q$23,MATCH(K779,[2]Sheet1!$B$4:$B$23,1)+1,MATCH(D779,[2]Sheet1!$C$3:$Q$3,1)) - INDEX([2]Sheet1!$C$4:$Q$23,MATCH(K779,[2]Sheet1!$B$4:$B$23,1),MATCH(D779,[2]Sheet1!$C$3:$Q$3,1)))
+ (D779 - INDEX([2]Sheet1!$C$3:$Q$3,1,MATCH(D779,[2]Sheet1!$C$3:$Q$3)))/(INDEX([2]Sheet1!$C$3:$Q$3,1,MATCH(D779,[2]Sheet1!$C$3:$Q$3)+1) - INDEX([2]Sheet1!$C$3:$Q$3,1,MATCH(D779,[2]Sheet1!$C$3:$Q$3)))*(
INDEX([2]Sheet1!$C$4:$Q$23,MATCH(K779,[2]Sheet1!$B$4:$B$23,1),MATCH(D779,[2]Sheet1!$C$3:$Q$3,1)+1) - INDEX([2]Sheet1!$C$4:$Q$23,MATCH(K779,[2]Sheet1!$B$4:$B$23,1),MATCH(D779,[2]Sheet1!$C$3:$Q$3,1)))))</f>
        <v>0</v>
      </c>
      <c r="N779">
        <f t="shared" si="234"/>
        <v>12</v>
      </c>
      <c r="O779">
        <v>145.02450568394099</v>
      </c>
      <c r="P779" t="e">
        <f t="shared" si="235"/>
        <v>#DIV/0!</v>
      </c>
      <c r="Q779">
        <f t="shared" si="236"/>
        <v>0</v>
      </c>
      <c r="R779">
        <f t="shared" si="237"/>
        <v>741.9099431943954</v>
      </c>
      <c r="T779" t="e">
        <f t="shared" si="238"/>
        <v>#DIV/0!</v>
      </c>
      <c r="U779" t="e">
        <f t="shared" si="239"/>
        <v>#DIV/0!</v>
      </c>
      <c r="V779">
        <f t="shared" si="240"/>
        <v>0</v>
      </c>
      <c r="W779" t="e">
        <f t="shared" si="241"/>
        <v>#DIV/0!</v>
      </c>
    </row>
    <row r="780" spans="1:23" x14ac:dyDescent="0.55000000000000004">
      <c r="A780">
        <f t="shared" si="225"/>
        <v>74.600000000000037</v>
      </c>
      <c r="B780">
        <f t="shared" si="226"/>
        <v>0.316</v>
      </c>
      <c r="C780">
        <f t="shared" si="227"/>
        <v>-43.652173913043512</v>
      </c>
      <c r="D780">
        <v>146.43984551913201</v>
      </c>
      <c r="E780">
        <f t="shared" si="228"/>
        <v>0</v>
      </c>
      <c r="F780">
        <f t="shared" si="229"/>
        <v>4.8605058816845369E-2</v>
      </c>
      <c r="G780">
        <f t="shared" si="230"/>
        <v>39.513748498891111</v>
      </c>
      <c r="H780">
        <f t="shared" si="231"/>
        <v>0</v>
      </c>
      <c r="I780" s="1">
        <f t="shared" si="224"/>
        <v>0</v>
      </c>
      <c r="J780">
        <f t="shared" si="232"/>
        <v>0</v>
      </c>
      <c r="K780">
        <f t="shared" si="233"/>
        <v>0</v>
      </c>
      <c r="L780" cm="1">
        <f t="array" ref="L780">IF(E780*J780=0,0,$C$21*INDEX([3]Sheet1!$C$4:$Q$23,MATCH(K780,[3]Sheet1!$B$4:$B$23,1),MATCH(D780,[3]Sheet1!$C$3:$Q$3,1))
+(K780-INDEX([3]Sheet1!$B$4:$B$23,MATCH(K780,[3]Sheet1!$B$4:$B$23,1),1))/(INDEX([3]Sheet1!$B$4:$B$23,MATCH(K780,[3]Sheet1!$B$4:$B$23,1)+1,1)-INDEX([3]Sheet1!$B$4:$B$23,
MATCH(K780,[3]Sheet1!$B$4:$B$23,1),1))*(INDEX([3]Sheet1!$C$4:$Q$23,MATCH(K780,[3]Sheet1!$B$4:$B$23,1)+1,MATCH(D780,[3]Sheet1!$C$3:$Q$3,1))-INDEX([3]Sheet1!$C$4:$Q$23,
MATCH(K780,[3]Sheet1!$B$4:$B$23,1),MATCH(D780,[3]Sheet1!$C$3:$Q$3,1)))
+(D780-INDEX([3]Sheet1!$C$3:$Q$3,1,MATCH(D780,[3]Sheet1!$C$3:$Q$3)))/(INDEX([3]Sheet1!$C$3:$Q$3,1,MATCH(D780,[3]Sheet1!$C$3:$Q$3)+1)-INDEX([3]Sheet1!$C$3:$Q$3,1,MATCH(
D780,[3]Sheet1!$C$3:$Q$3)))*(INDEX([3]Sheet1!$C$4:$Q$23,MATCH(K780,[3]Sheet1!$B$4:$B$23,1),MATCH(D780,[3]Sheet1!$C$3:$Q$3,1)+1)-INDEX([3]Sheet1!$C$4:$Q$23,MATCH(K780,[3]Sheet1!$B$4:$B$23,1),MATCH(D780,[3]Sheet1!$C$3:$Q$3,1))))</f>
        <v>0</v>
      </c>
      <c r="M780" cm="1">
        <f t="array" ref="M780" xml:space="preserve"> IF(E780*J780=0,0,(INDEX([2]Sheet1!$C$4:$Q$23,MATCH(K780,[2]Sheet1!$B$4:$B$23,1),MATCH(D780,[2]Sheet1!$C$3:$Q$3,1))
+ (K780 - INDEX([2]Sheet1!$B$4:$B$23,MATCH(K780,[2]Sheet1!$B$4:$B$23,1),1))/(INDEX([2]Sheet1!$B$4:$B$23,MATCH(K780,[2]Sheet1!$B$4:$B$23,1)+1,1) - INDEX([2]Sheet1!$B$4:$B$23,MATCH(K780,[2]Sheet1!$B$4:$B$23,1),1))*(INDEX([2]Sheet1!$C$4:$Q$23,MATCH(K780,[2]Sheet1!$B$4:$B$23,1)+1,MATCH(D780,[2]Sheet1!$C$3:$Q$3,1)) - INDEX([2]Sheet1!$C$4:$Q$23,MATCH(K780,[2]Sheet1!$B$4:$B$23,1),MATCH(D780,[2]Sheet1!$C$3:$Q$3,1)))
+ (D780 - INDEX([2]Sheet1!$C$3:$Q$3,1,MATCH(D780,[2]Sheet1!$C$3:$Q$3)))/(INDEX([2]Sheet1!$C$3:$Q$3,1,MATCH(D780,[2]Sheet1!$C$3:$Q$3)+1) - INDEX([2]Sheet1!$C$3:$Q$3,1,MATCH(D780,[2]Sheet1!$C$3:$Q$3)))*(
INDEX([2]Sheet1!$C$4:$Q$23,MATCH(K780,[2]Sheet1!$B$4:$B$23,1),MATCH(D780,[2]Sheet1!$C$3:$Q$3,1)+1) - INDEX([2]Sheet1!$C$4:$Q$23,MATCH(K780,[2]Sheet1!$B$4:$B$23,1),MATCH(D780,[2]Sheet1!$C$3:$Q$3,1)))))</f>
        <v>0</v>
      </c>
      <c r="N780">
        <f t="shared" si="234"/>
        <v>12</v>
      </c>
      <c r="O780">
        <v>146.02450568394099</v>
      </c>
      <c r="P780" t="e">
        <f t="shared" si="235"/>
        <v>#DIV/0!</v>
      </c>
      <c r="Q780">
        <f t="shared" si="236"/>
        <v>0</v>
      </c>
      <c r="R780">
        <f t="shared" si="237"/>
        <v>741.9099431943954</v>
      </c>
      <c r="T780" t="e">
        <f t="shared" si="238"/>
        <v>#DIV/0!</v>
      </c>
      <c r="U780" t="e">
        <f t="shared" si="239"/>
        <v>#DIV/0!</v>
      </c>
      <c r="V780">
        <f t="shared" si="240"/>
        <v>0</v>
      </c>
      <c r="W780" t="e">
        <f t="shared" si="241"/>
        <v>#DIV/0!</v>
      </c>
    </row>
    <row r="781" spans="1:23" x14ac:dyDescent="0.55000000000000004">
      <c r="A781">
        <f t="shared" si="225"/>
        <v>74.700000000000031</v>
      </c>
      <c r="B781">
        <f t="shared" si="226"/>
        <v>0.316</v>
      </c>
      <c r="C781">
        <f t="shared" si="227"/>
        <v>-43.717391304347849</v>
      </c>
      <c r="D781">
        <v>147.43984551913201</v>
      </c>
      <c r="E781">
        <f t="shared" si="228"/>
        <v>0</v>
      </c>
      <c r="F781">
        <f t="shared" si="229"/>
        <v>4.8605058816845369E-2</v>
      </c>
      <c r="G781">
        <f t="shared" si="230"/>
        <v>39.513748498891111</v>
      </c>
      <c r="H781">
        <f t="shared" si="231"/>
        <v>0</v>
      </c>
      <c r="I781" s="1">
        <f t="shared" si="224"/>
        <v>0</v>
      </c>
      <c r="J781">
        <f t="shared" si="232"/>
        <v>0</v>
      </c>
      <c r="K781">
        <f t="shared" si="233"/>
        <v>0</v>
      </c>
      <c r="L781" cm="1">
        <f t="array" ref="L781">IF(E781*J781=0,0,$C$21*INDEX([3]Sheet1!$C$4:$Q$23,MATCH(K781,[3]Sheet1!$B$4:$B$23,1),MATCH(D781,[3]Sheet1!$C$3:$Q$3,1))
+(K781-INDEX([3]Sheet1!$B$4:$B$23,MATCH(K781,[3]Sheet1!$B$4:$B$23,1),1))/(INDEX([3]Sheet1!$B$4:$B$23,MATCH(K781,[3]Sheet1!$B$4:$B$23,1)+1,1)-INDEX([3]Sheet1!$B$4:$B$23,
MATCH(K781,[3]Sheet1!$B$4:$B$23,1),1))*(INDEX([3]Sheet1!$C$4:$Q$23,MATCH(K781,[3]Sheet1!$B$4:$B$23,1)+1,MATCH(D781,[3]Sheet1!$C$3:$Q$3,1))-INDEX([3]Sheet1!$C$4:$Q$23,
MATCH(K781,[3]Sheet1!$B$4:$B$23,1),MATCH(D781,[3]Sheet1!$C$3:$Q$3,1)))
+(D781-INDEX([3]Sheet1!$C$3:$Q$3,1,MATCH(D781,[3]Sheet1!$C$3:$Q$3)))/(INDEX([3]Sheet1!$C$3:$Q$3,1,MATCH(D781,[3]Sheet1!$C$3:$Q$3)+1)-INDEX([3]Sheet1!$C$3:$Q$3,1,MATCH(
D781,[3]Sheet1!$C$3:$Q$3)))*(INDEX([3]Sheet1!$C$4:$Q$23,MATCH(K781,[3]Sheet1!$B$4:$B$23,1),MATCH(D781,[3]Sheet1!$C$3:$Q$3,1)+1)-INDEX([3]Sheet1!$C$4:$Q$23,MATCH(K781,[3]Sheet1!$B$4:$B$23,1),MATCH(D781,[3]Sheet1!$C$3:$Q$3,1))))</f>
        <v>0</v>
      </c>
      <c r="M781" cm="1">
        <f t="array" ref="M781" xml:space="preserve"> IF(E781*J781=0,0,(INDEX([2]Sheet1!$C$4:$Q$23,MATCH(K781,[2]Sheet1!$B$4:$B$23,1),MATCH(D781,[2]Sheet1!$C$3:$Q$3,1))
+ (K781 - INDEX([2]Sheet1!$B$4:$B$23,MATCH(K781,[2]Sheet1!$B$4:$B$23,1),1))/(INDEX([2]Sheet1!$B$4:$B$23,MATCH(K781,[2]Sheet1!$B$4:$B$23,1)+1,1) - INDEX([2]Sheet1!$B$4:$B$23,MATCH(K781,[2]Sheet1!$B$4:$B$23,1),1))*(INDEX([2]Sheet1!$C$4:$Q$23,MATCH(K781,[2]Sheet1!$B$4:$B$23,1)+1,MATCH(D781,[2]Sheet1!$C$3:$Q$3,1)) - INDEX([2]Sheet1!$C$4:$Q$23,MATCH(K781,[2]Sheet1!$B$4:$B$23,1),MATCH(D781,[2]Sheet1!$C$3:$Q$3,1)))
+ (D781 - INDEX([2]Sheet1!$C$3:$Q$3,1,MATCH(D781,[2]Sheet1!$C$3:$Q$3)))/(INDEX([2]Sheet1!$C$3:$Q$3,1,MATCH(D781,[2]Sheet1!$C$3:$Q$3)+1) - INDEX([2]Sheet1!$C$3:$Q$3,1,MATCH(D781,[2]Sheet1!$C$3:$Q$3)))*(
INDEX([2]Sheet1!$C$4:$Q$23,MATCH(K781,[2]Sheet1!$B$4:$B$23,1),MATCH(D781,[2]Sheet1!$C$3:$Q$3,1)+1) - INDEX([2]Sheet1!$C$4:$Q$23,MATCH(K781,[2]Sheet1!$B$4:$B$23,1),MATCH(D781,[2]Sheet1!$C$3:$Q$3,1)))))</f>
        <v>0</v>
      </c>
      <c r="N781">
        <f t="shared" si="234"/>
        <v>12</v>
      </c>
      <c r="O781">
        <v>147.02450568394099</v>
      </c>
      <c r="P781" t="e">
        <f t="shared" si="235"/>
        <v>#DIV/0!</v>
      </c>
      <c r="Q781">
        <f t="shared" si="236"/>
        <v>0</v>
      </c>
      <c r="R781">
        <f t="shared" si="237"/>
        <v>741.9099431943954</v>
      </c>
      <c r="T781" t="e">
        <f t="shared" si="238"/>
        <v>#DIV/0!</v>
      </c>
      <c r="U781" t="e">
        <f t="shared" si="239"/>
        <v>#DIV/0!</v>
      </c>
      <c r="V781">
        <f t="shared" si="240"/>
        <v>0</v>
      </c>
      <c r="W781" t="e">
        <f t="shared" si="241"/>
        <v>#DIV/0!</v>
      </c>
    </row>
    <row r="782" spans="1:23" x14ac:dyDescent="0.55000000000000004">
      <c r="A782">
        <f t="shared" si="225"/>
        <v>74.800000000000026</v>
      </c>
      <c r="B782">
        <f t="shared" si="226"/>
        <v>0.316</v>
      </c>
      <c r="C782">
        <f t="shared" si="227"/>
        <v>-43.7826086956522</v>
      </c>
      <c r="D782">
        <v>148.43984551913201</v>
      </c>
      <c r="E782">
        <f t="shared" si="228"/>
        <v>0</v>
      </c>
      <c r="F782">
        <f t="shared" si="229"/>
        <v>4.8605058816845369E-2</v>
      </c>
      <c r="G782">
        <f t="shared" si="230"/>
        <v>39.513748498891111</v>
      </c>
      <c r="H782">
        <f t="shared" si="231"/>
        <v>0</v>
      </c>
      <c r="I782" s="1">
        <f t="shared" si="224"/>
        <v>0</v>
      </c>
      <c r="J782">
        <f t="shared" si="232"/>
        <v>0</v>
      </c>
      <c r="K782">
        <f t="shared" si="233"/>
        <v>0</v>
      </c>
      <c r="L782" cm="1">
        <f t="array" ref="L782">IF(E782*J782=0,0,$C$21*INDEX([3]Sheet1!$C$4:$Q$23,MATCH(K782,[3]Sheet1!$B$4:$B$23,1),MATCH(D782,[3]Sheet1!$C$3:$Q$3,1))
+(K782-INDEX([3]Sheet1!$B$4:$B$23,MATCH(K782,[3]Sheet1!$B$4:$B$23,1),1))/(INDEX([3]Sheet1!$B$4:$B$23,MATCH(K782,[3]Sheet1!$B$4:$B$23,1)+1,1)-INDEX([3]Sheet1!$B$4:$B$23,
MATCH(K782,[3]Sheet1!$B$4:$B$23,1),1))*(INDEX([3]Sheet1!$C$4:$Q$23,MATCH(K782,[3]Sheet1!$B$4:$B$23,1)+1,MATCH(D782,[3]Sheet1!$C$3:$Q$3,1))-INDEX([3]Sheet1!$C$4:$Q$23,
MATCH(K782,[3]Sheet1!$B$4:$B$23,1),MATCH(D782,[3]Sheet1!$C$3:$Q$3,1)))
+(D782-INDEX([3]Sheet1!$C$3:$Q$3,1,MATCH(D782,[3]Sheet1!$C$3:$Q$3)))/(INDEX([3]Sheet1!$C$3:$Q$3,1,MATCH(D782,[3]Sheet1!$C$3:$Q$3)+1)-INDEX([3]Sheet1!$C$3:$Q$3,1,MATCH(
D782,[3]Sheet1!$C$3:$Q$3)))*(INDEX([3]Sheet1!$C$4:$Q$23,MATCH(K782,[3]Sheet1!$B$4:$B$23,1),MATCH(D782,[3]Sheet1!$C$3:$Q$3,1)+1)-INDEX([3]Sheet1!$C$4:$Q$23,MATCH(K782,[3]Sheet1!$B$4:$B$23,1),MATCH(D782,[3]Sheet1!$C$3:$Q$3,1))))</f>
        <v>0</v>
      </c>
      <c r="M782" cm="1">
        <f t="array" ref="M782" xml:space="preserve"> IF(E782*J782=0,0,(INDEX([2]Sheet1!$C$4:$Q$23,MATCH(K782,[2]Sheet1!$B$4:$B$23,1),MATCH(D782,[2]Sheet1!$C$3:$Q$3,1))
+ (K782 - INDEX([2]Sheet1!$B$4:$B$23,MATCH(K782,[2]Sheet1!$B$4:$B$23,1),1))/(INDEX([2]Sheet1!$B$4:$B$23,MATCH(K782,[2]Sheet1!$B$4:$B$23,1)+1,1) - INDEX([2]Sheet1!$B$4:$B$23,MATCH(K782,[2]Sheet1!$B$4:$B$23,1),1))*(INDEX([2]Sheet1!$C$4:$Q$23,MATCH(K782,[2]Sheet1!$B$4:$B$23,1)+1,MATCH(D782,[2]Sheet1!$C$3:$Q$3,1)) - INDEX([2]Sheet1!$C$4:$Q$23,MATCH(K782,[2]Sheet1!$B$4:$B$23,1),MATCH(D782,[2]Sheet1!$C$3:$Q$3,1)))
+ (D782 - INDEX([2]Sheet1!$C$3:$Q$3,1,MATCH(D782,[2]Sheet1!$C$3:$Q$3)))/(INDEX([2]Sheet1!$C$3:$Q$3,1,MATCH(D782,[2]Sheet1!$C$3:$Q$3)+1) - INDEX([2]Sheet1!$C$3:$Q$3,1,MATCH(D782,[2]Sheet1!$C$3:$Q$3)))*(
INDEX([2]Sheet1!$C$4:$Q$23,MATCH(K782,[2]Sheet1!$B$4:$B$23,1),MATCH(D782,[2]Sheet1!$C$3:$Q$3,1)+1) - INDEX([2]Sheet1!$C$4:$Q$23,MATCH(K782,[2]Sheet1!$B$4:$B$23,1),MATCH(D782,[2]Sheet1!$C$3:$Q$3,1)))))</f>
        <v>0</v>
      </c>
      <c r="N782">
        <f t="shared" si="234"/>
        <v>12</v>
      </c>
      <c r="O782">
        <v>148.02450568394099</v>
      </c>
      <c r="P782" t="e">
        <f t="shared" si="235"/>
        <v>#DIV/0!</v>
      </c>
      <c r="Q782">
        <f t="shared" si="236"/>
        <v>0</v>
      </c>
      <c r="R782">
        <f t="shared" si="237"/>
        <v>741.9099431943954</v>
      </c>
      <c r="T782" t="e">
        <f t="shared" si="238"/>
        <v>#DIV/0!</v>
      </c>
      <c r="U782" t="e">
        <f t="shared" si="239"/>
        <v>#DIV/0!</v>
      </c>
      <c r="V782">
        <f t="shared" si="240"/>
        <v>0</v>
      </c>
      <c r="W782" t="e">
        <f t="shared" si="241"/>
        <v>#DIV/0!</v>
      </c>
    </row>
    <row r="783" spans="1:23" x14ac:dyDescent="0.55000000000000004">
      <c r="A783">
        <f t="shared" si="225"/>
        <v>74.90000000000002</v>
      </c>
      <c r="B783">
        <f t="shared" si="226"/>
        <v>0.316</v>
      </c>
      <c r="C783">
        <f t="shared" si="227"/>
        <v>-43.847826086956537</v>
      </c>
      <c r="D783">
        <v>149.43984551913201</v>
      </c>
      <c r="E783">
        <f t="shared" si="228"/>
        <v>0</v>
      </c>
      <c r="F783">
        <f t="shared" si="229"/>
        <v>4.8605058816845369E-2</v>
      </c>
      <c r="G783">
        <f t="shared" si="230"/>
        <v>39.513748498891111</v>
      </c>
      <c r="H783">
        <f t="shared" si="231"/>
        <v>0</v>
      </c>
      <c r="I783" s="1">
        <f t="shared" si="224"/>
        <v>0</v>
      </c>
      <c r="J783">
        <f t="shared" si="232"/>
        <v>0</v>
      </c>
      <c r="K783">
        <f t="shared" si="233"/>
        <v>0</v>
      </c>
      <c r="L783" cm="1">
        <f t="array" ref="L783">IF(E783*J783=0,0,$C$21*INDEX([3]Sheet1!$C$4:$Q$23,MATCH(K783,[3]Sheet1!$B$4:$B$23,1),MATCH(D783,[3]Sheet1!$C$3:$Q$3,1))
+(K783-INDEX([3]Sheet1!$B$4:$B$23,MATCH(K783,[3]Sheet1!$B$4:$B$23,1),1))/(INDEX([3]Sheet1!$B$4:$B$23,MATCH(K783,[3]Sheet1!$B$4:$B$23,1)+1,1)-INDEX([3]Sheet1!$B$4:$B$23,
MATCH(K783,[3]Sheet1!$B$4:$B$23,1),1))*(INDEX([3]Sheet1!$C$4:$Q$23,MATCH(K783,[3]Sheet1!$B$4:$B$23,1)+1,MATCH(D783,[3]Sheet1!$C$3:$Q$3,1))-INDEX([3]Sheet1!$C$4:$Q$23,
MATCH(K783,[3]Sheet1!$B$4:$B$23,1),MATCH(D783,[3]Sheet1!$C$3:$Q$3,1)))
+(D783-INDEX([3]Sheet1!$C$3:$Q$3,1,MATCH(D783,[3]Sheet1!$C$3:$Q$3)))/(INDEX([3]Sheet1!$C$3:$Q$3,1,MATCH(D783,[3]Sheet1!$C$3:$Q$3)+1)-INDEX([3]Sheet1!$C$3:$Q$3,1,MATCH(
D783,[3]Sheet1!$C$3:$Q$3)))*(INDEX([3]Sheet1!$C$4:$Q$23,MATCH(K783,[3]Sheet1!$B$4:$B$23,1),MATCH(D783,[3]Sheet1!$C$3:$Q$3,1)+1)-INDEX([3]Sheet1!$C$4:$Q$23,MATCH(K783,[3]Sheet1!$B$4:$B$23,1),MATCH(D783,[3]Sheet1!$C$3:$Q$3,1))))</f>
        <v>0</v>
      </c>
      <c r="M783" cm="1">
        <f t="array" ref="M783" xml:space="preserve"> IF(E783*J783=0,0,(INDEX([2]Sheet1!$C$4:$Q$23,MATCH(K783,[2]Sheet1!$B$4:$B$23,1),MATCH(D783,[2]Sheet1!$C$3:$Q$3,1))
+ (K783 - INDEX([2]Sheet1!$B$4:$B$23,MATCH(K783,[2]Sheet1!$B$4:$B$23,1),1))/(INDEX([2]Sheet1!$B$4:$B$23,MATCH(K783,[2]Sheet1!$B$4:$B$23,1)+1,1) - INDEX([2]Sheet1!$B$4:$B$23,MATCH(K783,[2]Sheet1!$B$4:$B$23,1),1))*(INDEX([2]Sheet1!$C$4:$Q$23,MATCH(K783,[2]Sheet1!$B$4:$B$23,1)+1,MATCH(D783,[2]Sheet1!$C$3:$Q$3,1)) - INDEX([2]Sheet1!$C$4:$Q$23,MATCH(K783,[2]Sheet1!$B$4:$B$23,1),MATCH(D783,[2]Sheet1!$C$3:$Q$3,1)))
+ (D783 - INDEX([2]Sheet1!$C$3:$Q$3,1,MATCH(D783,[2]Sheet1!$C$3:$Q$3)))/(INDEX([2]Sheet1!$C$3:$Q$3,1,MATCH(D783,[2]Sheet1!$C$3:$Q$3)+1) - INDEX([2]Sheet1!$C$3:$Q$3,1,MATCH(D783,[2]Sheet1!$C$3:$Q$3)))*(
INDEX([2]Sheet1!$C$4:$Q$23,MATCH(K783,[2]Sheet1!$B$4:$B$23,1),MATCH(D783,[2]Sheet1!$C$3:$Q$3,1)+1) - INDEX([2]Sheet1!$C$4:$Q$23,MATCH(K783,[2]Sheet1!$B$4:$B$23,1),MATCH(D783,[2]Sheet1!$C$3:$Q$3,1)))))</f>
        <v>0</v>
      </c>
      <c r="N783">
        <f t="shared" si="234"/>
        <v>12</v>
      </c>
      <c r="O783">
        <v>149.02450568394099</v>
      </c>
      <c r="P783" t="e">
        <f t="shared" si="235"/>
        <v>#DIV/0!</v>
      </c>
      <c r="Q783">
        <f t="shared" si="236"/>
        <v>0</v>
      </c>
      <c r="R783">
        <f t="shared" si="237"/>
        <v>741.9099431943954</v>
      </c>
      <c r="T783" t="e">
        <f t="shared" si="238"/>
        <v>#DIV/0!</v>
      </c>
      <c r="U783" t="e">
        <f t="shared" si="239"/>
        <v>#DIV/0!</v>
      </c>
      <c r="V783">
        <f t="shared" si="240"/>
        <v>0</v>
      </c>
      <c r="W783" t="e">
        <f t="shared" si="241"/>
        <v>#DIV/0!</v>
      </c>
    </row>
    <row r="784" spans="1:23" x14ac:dyDescent="0.55000000000000004">
      <c r="A784">
        <f t="shared" si="225"/>
        <v>75.000000000000014</v>
      </c>
      <c r="B784">
        <f t="shared" si="226"/>
        <v>0.316</v>
      </c>
      <c r="C784">
        <f t="shared" si="227"/>
        <v>-43.913043478260889</v>
      </c>
      <c r="D784">
        <v>150.43984551913201</v>
      </c>
      <c r="E784">
        <f t="shared" si="228"/>
        <v>0</v>
      </c>
      <c r="F784">
        <f t="shared" si="229"/>
        <v>4.8605058816845369E-2</v>
      </c>
      <c r="G784">
        <f t="shared" si="230"/>
        <v>39.513748498891111</v>
      </c>
      <c r="H784">
        <f t="shared" si="231"/>
        <v>0</v>
      </c>
      <c r="I784" s="1">
        <f t="shared" si="224"/>
        <v>0</v>
      </c>
      <c r="J784">
        <f t="shared" si="232"/>
        <v>0</v>
      </c>
      <c r="K784">
        <f t="shared" si="233"/>
        <v>0</v>
      </c>
      <c r="L784" cm="1">
        <f t="array" ref="L784">IF(E784*J784=0,0,$C$21*INDEX([3]Sheet1!$C$4:$Q$23,MATCH(K784,[3]Sheet1!$B$4:$B$23,1),MATCH(D784,[3]Sheet1!$C$3:$Q$3,1))
+(K784-INDEX([3]Sheet1!$B$4:$B$23,MATCH(K784,[3]Sheet1!$B$4:$B$23,1),1))/(INDEX([3]Sheet1!$B$4:$B$23,MATCH(K784,[3]Sheet1!$B$4:$B$23,1)+1,1)-INDEX([3]Sheet1!$B$4:$B$23,
MATCH(K784,[3]Sheet1!$B$4:$B$23,1),1))*(INDEX([3]Sheet1!$C$4:$Q$23,MATCH(K784,[3]Sheet1!$B$4:$B$23,1)+1,MATCH(D784,[3]Sheet1!$C$3:$Q$3,1))-INDEX([3]Sheet1!$C$4:$Q$23,
MATCH(K784,[3]Sheet1!$B$4:$B$23,1),MATCH(D784,[3]Sheet1!$C$3:$Q$3,1)))
+(D784-INDEX([3]Sheet1!$C$3:$Q$3,1,MATCH(D784,[3]Sheet1!$C$3:$Q$3)))/(INDEX([3]Sheet1!$C$3:$Q$3,1,MATCH(D784,[3]Sheet1!$C$3:$Q$3)+1)-INDEX([3]Sheet1!$C$3:$Q$3,1,MATCH(
D784,[3]Sheet1!$C$3:$Q$3)))*(INDEX([3]Sheet1!$C$4:$Q$23,MATCH(K784,[3]Sheet1!$B$4:$B$23,1),MATCH(D784,[3]Sheet1!$C$3:$Q$3,1)+1)-INDEX([3]Sheet1!$C$4:$Q$23,MATCH(K784,[3]Sheet1!$B$4:$B$23,1),MATCH(D784,[3]Sheet1!$C$3:$Q$3,1))))</f>
        <v>0</v>
      </c>
      <c r="M784" cm="1">
        <f t="array" ref="M784" xml:space="preserve"> IF(E784*J784=0,0,(INDEX([2]Sheet1!$C$4:$Q$23,MATCH(K784,[2]Sheet1!$B$4:$B$23,1),MATCH(D784,[2]Sheet1!$C$3:$Q$3,1))
+ (K784 - INDEX([2]Sheet1!$B$4:$B$23,MATCH(K784,[2]Sheet1!$B$4:$B$23,1),1))/(INDEX([2]Sheet1!$B$4:$B$23,MATCH(K784,[2]Sheet1!$B$4:$B$23,1)+1,1) - INDEX([2]Sheet1!$B$4:$B$23,MATCH(K784,[2]Sheet1!$B$4:$B$23,1),1))*(INDEX([2]Sheet1!$C$4:$Q$23,MATCH(K784,[2]Sheet1!$B$4:$B$23,1)+1,MATCH(D784,[2]Sheet1!$C$3:$Q$3,1)) - INDEX([2]Sheet1!$C$4:$Q$23,MATCH(K784,[2]Sheet1!$B$4:$B$23,1),MATCH(D784,[2]Sheet1!$C$3:$Q$3,1)))
+ (D784 - INDEX([2]Sheet1!$C$3:$Q$3,1,MATCH(D784,[2]Sheet1!$C$3:$Q$3)))/(INDEX([2]Sheet1!$C$3:$Q$3,1,MATCH(D784,[2]Sheet1!$C$3:$Q$3)+1) - INDEX([2]Sheet1!$C$3:$Q$3,1,MATCH(D784,[2]Sheet1!$C$3:$Q$3)))*(
INDEX([2]Sheet1!$C$4:$Q$23,MATCH(K784,[2]Sheet1!$B$4:$B$23,1),MATCH(D784,[2]Sheet1!$C$3:$Q$3,1)+1) - INDEX([2]Sheet1!$C$4:$Q$23,MATCH(K784,[2]Sheet1!$B$4:$B$23,1),MATCH(D784,[2]Sheet1!$C$3:$Q$3,1)))))</f>
        <v>0</v>
      </c>
      <c r="N784">
        <f t="shared" si="234"/>
        <v>12</v>
      </c>
      <c r="O784">
        <v>150.02450568394099</v>
      </c>
      <c r="P784" t="e">
        <f t="shared" si="235"/>
        <v>#DIV/0!</v>
      </c>
      <c r="Q784">
        <f t="shared" si="236"/>
        <v>0</v>
      </c>
      <c r="R784">
        <f t="shared" si="237"/>
        <v>741.9099431943954</v>
      </c>
      <c r="T784" t="e">
        <f t="shared" si="238"/>
        <v>#DIV/0!</v>
      </c>
      <c r="U784" t="e">
        <f t="shared" si="239"/>
        <v>#DIV/0!</v>
      </c>
      <c r="V784">
        <f t="shared" si="240"/>
        <v>0</v>
      </c>
      <c r="W784" t="e">
        <f t="shared" si="241"/>
        <v>#DIV/0!</v>
      </c>
    </row>
    <row r="785" spans="1:23" x14ac:dyDescent="0.55000000000000004">
      <c r="A785">
        <f t="shared" si="225"/>
        <v>75.100000000000009</v>
      </c>
      <c r="B785">
        <f t="shared" si="226"/>
        <v>0.316</v>
      </c>
      <c r="C785">
        <f t="shared" si="227"/>
        <v>-43.978260869565226</v>
      </c>
      <c r="D785">
        <v>151.43984551913201</v>
      </c>
      <c r="E785">
        <f t="shared" si="228"/>
        <v>0</v>
      </c>
      <c r="F785">
        <f t="shared" si="229"/>
        <v>4.8605058816845369E-2</v>
      </c>
      <c r="G785">
        <f t="shared" si="230"/>
        <v>39.513748498891111</v>
      </c>
      <c r="H785">
        <f t="shared" si="231"/>
        <v>0</v>
      </c>
      <c r="I785" s="1">
        <f t="shared" si="224"/>
        <v>0</v>
      </c>
      <c r="J785">
        <f t="shared" si="232"/>
        <v>0</v>
      </c>
      <c r="K785">
        <f t="shared" si="233"/>
        <v>0</v>
      </c>
      <c r="L785" cm="1">
        <f t="array" ref="L785">IF(E785*J785=0,0,$C$21*INDEX([3]Sheet1!$C$4:$Q$23,MATCH(K785,[3]Sheet1!$B$4:$B$23,1),MATCH(D785,[3]Sheet1!$C$3:$Q$3,1))
+(K785-INDEX([3]Sheet1!$B$4:$B$23,MATCH(K785,[3]Sheet1!$B$4:$B$23,1),1))/(INDEX([3]Sheet1!$B$4:$B$23,MATCH(K785,[3]Sheet1!$B$4:$B$23,1)+1,1)-INDEX([3]Sheet1!$B$4:$B$23,
MATCH(K785,[3]Sheet1!$B$4:$B$23,1),1))*(INDEX([3]Sheet1!$C$4:$Q$23,MATCH(K785,[3]Sheet1!$B$4:$B$23,1)+1,MATCH(D785,[3]Sheet1!$C$3:$Q$3,1))-INDEX([3]Sheet1!$C$4:$Q$23,
MATCH(K785,[3]Sheet1!$B$4:$B$23,1),MATCH(D785,[3]Sheet1!$C$3:$Q$3,1)))
+(D785-INDEX([3]Sheet1!$C$3:$Q$3,1,MATCH(D785,[3]Sheet1!$C$3:$Q$3)))/(INDEX([3]Sheet1!$C$3:$Q$3,1,MATCH(D785,[3]Sheet1!$C$3:$Q$3)+1)-INDEX([3]Sheet1!$C$3:$Q$3,1,MATCH(
D785,[3]Sheet1!$C$3:$Q$3)))*(INDEX([3]Sheet1!$C$4:$Q$23,MATCH(K785,[3]Sheet1!$B$4:$B$23,1),MATCH(D785,[3]Sheet1!$C$3:$Q$3,1)+1)-INDEX([3]Sheet1!$C$4:$Q$23,MATCH(K785,[3]Sheet1!$B$4:$B$23,1),MATCH(D785,[3]Sheet1!$C$3:$Q$3,1))))</f>
        <v>0</v>
      </c>
      <c r="M785" cm="1">
        <f t="array" ref="M785" xml:space="preserve"> IF(E785*J785=0,0,(INDEX([2]Sheet1!$C$4:$Q$23,MATCH(K785,[2]Sheet1!$B$4:$B$23,1),MATCH(D785,[2]Sheet1!$C$3:$Q$3,1))
+ (K785 - INDEX([2]Sheet1!$B$4:$B$23,MATCH(K785,[2]Sheet1!$B$4:$B$23,1),1))/(INDEX([2]Sheet1!$B$4:$B$23,MATCH(K785,[2]Sheet1!$B$4:$B$23,1)+1,1) - INDEX([2]Sheet1!$B$4:$B$23,MATCH(K785,[2]Sheet1!$B$4:$B$23,1),1))*(INDEX([2]Sheet1!$C$4:$Q$23,MATCH(K785,[2]Sheet1!$B$4:$B$23,1)+1,MATCH(D785,[2]Sheet1!$C$3:$Q$3,1)) - INDEX([2]Sheet1!$C$4:$Q$23,MATCH(K785,[2]Sheet1!$B$4:$B$23,1),MATCH(D785,[2]Sheet1!$C$3:$Q$3,1)))
+ (D785 - INDEX([2]Sheet1!$C$3:$Q$3,1,MATCH(D785,[2]Sheet1!$C$3:$Q$3)))/(INDEX([2]Sheet1!$C$3:$Q$3,1,MATCH(D785,[2]Sheet1!$C$3:$Q$3)+1) - INDEX([2]Sheet1!$C$3:$Q$3,1,MATCH(D785,[2]Sheet1!$C$3:$Q$3)))*(
INDEX([2]Sheet1!$C$4:$Q$23,MATCH(K785,[2]Sheet1!$B$4:$B$23,1),MATCH(D785,[2]Sheet1!$C$3:$Q$3,1)+1) - INDEX([2]Sheet1!$C$4:$Q$23,MATCH(K785,[2]Sheet1!$B$4:$B$23,1),MATCH(D785,[2]Sheet1!$C$3:$Q$3,1)))))</f>
        <v>0</v>
      </c>
      <c r="N785">
        <f t="shared" si="234"/>
        <v>12</v>
      </c>
      <c r="O785">
        <v>151.02450568394099</v>
      </c>
      <c r="P785" t="e">
        <f t="shared" si="235"/>
        <v>#DIV/0!</v>
      </c>
      <c r="Q785">
        <f t="shared" si="236"/>
        <v>0</v>
      </c>
      <c r="R785">
        <f t="shared" si="237"/>
        <v>741.9099431943954</v>
      </c>
      <c r="T785" t="e">
        <f t="shared" si="238"/>
        <v>#DIV/0!</v>
      </c>
      <c r="U785" t="e">
        <f t="shared" si="239"/>
        <v>#DIV/0!</v>
      </c>
      <c r="V785">
        <f t="shared" si="240"/>
        <v>0</v>
      </c>
      <c r="W785" t="e">
        <f t="shared" si="241"/>
        <v>#DIV/0!</v>
      </c>
    </row>
    <row r="786" spans="1:23" x14ac:dyDescent="0.55000000000000004">
      <c r="A786">
        <f t="shared" si="225"/>
        <v>75.2</v>
      </c>
      <c r="B786">
        <f t="shared" si="226"/>
        <v>0.316</v>
      </c>
      <c r="C786">
        <f t="shared" si="227"/>
        <v>-44.043478260869577</v>
      </c>
      <c r="D786">
        <v>152.43984551913201</v>
      </c>
      <c r="E786">
        <f t="shared" si="228"/>
        <v>0</v>
      </c>
      <c r="F786">
        <f t="shared" si="229"/>
        <v>4.8605058816845369E-2</v>
      </c>
      <c r="G786">
        <f t="shared" si="230"/>
        <v>39.513748498891111</v>
      </c>
      <c r="H786">
        <f t="shared" si="231"/>
        <v>0</v>
      </c>
      <c r="I786" s="1">
        <f t="shared" si="224"/>
        <v>0</v>
      </c>
      <c r="J786">
        <f t="shared" si="232"/>
        <v>0</v>
      </c>
      <c r="K786">
        <f t="shared" si="233"/>
        <v>0</v>
      </c>
      <c r="L786" cm="1">
        <f t="array" ref="L786">IF(E786*J786=0,0,$C$21*INDEX([3]Sheet1!$C$4:$Q$23,MATCH(K786,[3]Sheet1!$B$4:$B$23,1),MATCH(D786,[3]Sheet1!$C$3:$Q$3,1))
+(K786-INDEX([3]Sheet1!$B$4:$B$23,MATCH(K786,[3]Sheet1!$B$4:$B$23,1),1))/(INDEX([3]Sheet1!$B$4:$B$23,MATCH(K786,[3]Sheet1!$B$4:$B$23,1)+1,1)-INDEX([3]Sheet1!$B$4:$B$23,
MATCH(K786,[3]Sheet1!$B$4:$B$23,1),1))*(INDEX([3]Sheet1!$C$4:$Q$23,MATCH(K786,[3]Sheet1!$B$4:$B$23,1)+1,MATCH(D786,[3]Sheet1!$C$3:$Q$3,1))-INDEX([3]Sheet1!$C$4:$Q$23,
MATCH(K786,[3]Sheet1!$B$4:$B$23,1),MATCH(D786,[3]Sheet1!$C$3:$Q$3,1)))
+(D786-INDEX([3]Sheet1!$C$3:$Q$3,1,MATCH(D786,[3]Sheet1!$C$3:$Q$3)))/(INDEX([3]Sheet1!$C$3:$Q$3,1,MATCH(D786,[3]Sheet1!$C$3:$Q$3)+1)-INDEX([3]Sheet1!$C$3:$Q$3,1,MATCH(
D786,[3]Sheet1!$C$3:$Q$3)))*(INDEX([3]Sheet1!$C$4:$Q$23,MATCH(K786,[3]Sheet1!$B$4:$B$23,1),MATCH(D786,[3]Sheet1!$C$3:$Q$3,1)+1)-INDEX([3]Sheet1!$C$4:$Q$23,MATCH(K786,[3]Sheet1!$B$4:$B$23,1),MATCH(D786,[3]Sheet1!$C$3:$Q$3,1))))</f>
        <v>0</v>
      </c>
      <c r="M786" cm="1">
        <f t="array" ref="M786" xml:space="preserve"> IF(E786*J786=0,0,(INDEX([2]Sheet1!$C$4:$Q$23,MATCH(K786,[2]Sheet1!$B$4:$B$23,1),MATCH(D786,[2]Sheet1!$C$3:$Q$3,1))
+ (K786 - INDEX([2]Sheet1!$B$4:$B$23,MATCH(K786,[2]Sheet1!$B$4:$B$23,1),1))/(INDEX([2]Sheet1!$B$4:$B$23,MATCH(K786,[2]Sheet1!$B$4:$B$23,1)+1,1) - INDEX([2]Sheet1!$B$4:$B$23,MATCH(K786,[2]Sheet1!$B$4:$B$23,1),1))*(INDEX([2]Sheet1!$C$4:$Q$23,MATCH(K786,[2]Sheet1!$B$4:$B$23,1)+1,MATCH(D786,[2]Sheet1!$C$3:$Q$3,1)) - INDEX([2]Sheet1!$C$4:$Q$23,MATCH(K786,[2]Sheet1!$B$4:$B$23,1),MATCH(D786,[2]Sheet1!$C$3:$Q$3,1)))
+ (D786 - INDEX([2]Sheet1!$C$3:$Q$3,1,MATCH(D786,[2]Sheet1!$C$3:$Q$3)))/(INDEX([2]Sheet1!$C$3:$Q$3,1,MATCH(D786,[2]Sheet1!$C$3:$Q$3)+1) - INDEX([2]Sheet1!$C$3:$Q$3,1,MATCH(D786,[2]Sheet1!$C$3:$Q$3)))*(
INDEX([2]Sheet1!$C$4:$Q$23,MATCH(K786,[2]Sheet1!$B$4:$B$23,1),MATCH(D786,[2]Sheet1!$C$3:$Q$3,1)+1) - INDEX([2]Sheet1!$C$4:$Q$23,MATCH(K786,[2]Sheet1!$B$4:$B$23,1),MATCH(D786,[2]Sheet1!$C$3:$Q$3,1)))))</f>
        <v>0</v>
      </c>
      <c r="N786">
        <f t="shared" si="234"/>
        <v>12</v>
      </c>
      <c r="O786">
        <v>152.02450568394099</v>
      </c>
      <c r="P786" t="e">
        <f t="shared" si="235"/>
        <v>#DIV/0!</v>
      </c>
      <c r="Q786">
        <f t="shared" si="236"/>
        <v>0</v>
      </c>
      <c r="R786">
        <f t="shared" si="237"/>
        <v>741.9099431943954</v>
      </c>
      <c r="T786" t="e">
        <f t="shared" si="238"/>
        <v>#DIV/0!</v>
      </c>
      <c r="U786" t="e">
        <f t="shared" si="239"/>
        <v>#DIV/0!</v>
      </c>
      <c r="V786">
        <f t="shared" si="240"/>
        <v>0</v>
      </c>
      <c r="W786" t="e">
        <f t="shared" si="241"/>
        <v>#DIV/0!</v>
      </c>
    </row>
    <row r="787" spans="1:23" x14ac:dyDescent="0.55000000000000004">
      <c r="A787">
        <f t="shared" si="225"/>
        <v>75.3</v>
      </c>
      <c r="B787">
        <f t="shared" si="226"/>
        <v>0.316</v>
      </c>
      <c r="C787">
        <f t="shared" si="227"/>
        <v>-44.108695652173914</v>
      </c>
      <c r="D787">
        <v>153.43984551913201</v>
      </c>
      <c r="E787">
        <f t="shared" si="228"/>
        <v>0</v>
      </c>
      <c r="F787">
        <f t="shared" si="229"/>
        <v>4.8605058816845369E-2</v>
      </c>
      <c r="G787">
        <f t="shared" si="230"/>
        <v>39.513748498891111</v>
      </c>
      <c r="H787">
        <f t="shared" si="231"/>
        <v>0</v>
      </c>
      <c r="I787" s="1">
        <f t="shared" si="224"/>
        <v>0</v>
      </c>
      <c r="J787">
        <f t="shared" si="232"/>
        <v>0</v>
      </c>
      <c r="K787">
        <f t="shared" si="233"/>
        <v>0</v>
      </c>
      <c r="L787" cm="1">
        <f t="array" ref="L787">IF(E787*J787=0,0,$C$21*INDEX([3]Sheet1!$C$4:$Q$23,MATCH(K787,[3]Sheet1!$B$4:$B$23,1),MATCH(D787,[3]Sheet1!$C$3:$Q$3,1))
+(K787-INDEX([3]Sheet1!$B$4:$B$23,MATCH(K787,[3]Sheet1!$B$4:$B$23,1),1))/(INDEX([3]Sheet1!$B$4:$B$23,MATCH(K787,[3]Sheet1!$B$4:$B$23,1)+1,1)-INDEX([3]Sheet1!$B$4:$B$23,
MATCH(K787,[3]Sheet1!$B$4:$B$23,1),1))*(INDEX([3]Sheet1!$C$4:$Q$23,MATCH(K787,[3]Sheet1!$B$4:$B$23,1)+1,MATCH(D787,[3]Sheet1!$C$3:$Q$3,1))-INDEX([3]Sheet1!$C$4:$Q$23,
MATCH(K787,[3]Sheet1!$B$4:$B$23,1),MATCH(D787,[3]Sheet1!$C$3:$Q$3,1)))
+(D787-INDEX([3]Sheet1!$C$3:$Q$3,1,MATCH(D787,[3]Sheet1!$C$3:$Q$3)))/(INDEX([3]Sheet1!$C$3:$Q$3,1,MATCH(D787,[3]Sheet1!$C$3:$Q$3)+1)-INDEX([3]Sheet1!$C$3:$Q$3,1,MATCH(
D787,[3]Sheet1!$C$3:$Q$3)))*(INDEX([3]Sheet1!$C$4:$Q$23,MATCH(K787,[3]Sheet1!$B$4:$B$23,1),MATCH(D787,[3]Sheet1!$C$3:$Q$3,1)+1)-INDEX([3]Sheet1!$C$4:$Q$23,MATCH(K787,[3]Sheet1!$B$4:$B$23,1),MATCH(D787,[3]Sheet1!$C$3:$Q$3,1))))</f>
        <v>0</v>
      </c>
      <c r="M787" cm="1">
        <f t="array" ref="M787" xml:space="preserve"> IF(E787*J787=0,0,(INDEX([2]Sheet1!$C$4:$Q$23,MATCH(K787,[2]Sheet1!$B$4:$B$23,1),MATCH(D787,[2]Sheet1!$C$3:$Q$3,1))
+ (K787 - INDEX([2]Sheet1!$B$4:$B$23,MATCH(K787,[2]Sheet1!$B$4:$B$23,1),1))/(INDEX([2]Sheet1!$B$4:$B$23,MATCH(K787,[2]Sheet1!$B$4:$B$23,1)+1,1) - INDEX([2]Sheet1!$B$4:$B$23,MATCH(K787,[2]Sheet1!$B$4:$B$23,1),1))*(INDEX([2]Sheet1!$C$4:$Q$23,MATCH(K787,[2]Sheet1!$B$4:$B$23,1)+1,MATCH(D787,[2]Sheet1!$C$3:$Q$3,1)) - INDEX([2]Sheet1!$C$4:$Q$23,MATCH(K787,[2]Sheet1!$B$4:$B$23,1),MATCH(D787,[2]Sheet1!$C$3:$Q$3,1)))
+ (D787 - INDEX([2]Sheet1!$C$3:$Q$3,1,MATCH(D787,[2]Sheet1!$C$3:$Q$3)))/(INDEX([2]Sheet1!$C$3:$Q$3,1,MATCH(D787,[2]Sheet1!$C$3:$Q$3)+1) - INDEX([2]Sheet1!$C$3:$Q$3,1,MATCH(D787,[2]Sheet1!$C$3:$Q$3)))*(
INDEX([2]Sheet1!$C$4:$Q$23,MATCH(K787,[2]Sheet1!$B$4:$B$23,1),MATCH(D787,[2]Sheet1!$C$3:$Q$3,1)+1) - INDEX([2]Sheet1!$C$4:$Q$23,MATCH(K787,[2]Sheet1!$B$4:$B$23,1),MATCH(D787,[2]Sheet1!$C$3:$Q$3,1)))))</f>
        <v>0</v>
      </c>
      <c r="N787">
        <f t="shared" si="234"/>
        <v>12</v>
      </c>
      <c r="O787">
        <v>153.02450568394099</v>
      </c>
      <c r="P787" t="e">
        <f t="shared" si="235"/>
        <v>#DIV/0!</v>
      </c>
      <c r="Q787">
        <f t="shared" si="236"/>
        <v>0</v>
      </c>
      <c r="R787">
        <f t="shared" si="237"/>
        <v>741.9099431943954</v>
      </c>
      <c r="T787" t="e">
        <f t="shared" si="238"/>
        <v>#DIV/0!</v>
      </c>
      <c r="U787" t="e">
        <f t="shared" si="239"/>
        <v>#DIV/0!</v>
      </c>
      <c r="V787">
        <f t="shared" si="240"/>
        <v>0</v>
      </c>
      <c r="W787" t="e">
        <f t="shared" si="241"/>
        <v>#DIV/0!</v>
      </c>
    </row>
    <row r="788" spans="1:23" x14ac:dyDescent="0.55000000000000004">
      <c r="A788">
        <f t="shared" si="225"/>
        <v>75.399999999999991</v>
      </c>
      <c r="B788">
        <f t="shared" si="226"/>
        <v>0.316</v>
      </c>
      <c r="C788">
        <f t="shared" si="227"/>
        <v>-44.173913043478265</v>
      </c>
      <c r="D788">
        <v>154.43984551913201</v>
      </c>
      <c r="E788">
        <f t="shared" si="228"/>
        <v>0</v>
      </c>
      <c r="F788">
        <f t="shared" si="229"/>
        <v>4.8605058816845369E-2</v>
      </c>
      <c r="G788">
        <f t="shared" si="230"/>
        <v>39.513748498891111</v>
      </c>
      <c r="H788">
        <f t="shared" si="231"/>
        <v>0</v>
      </c>
      <c r="I788" s="1">
        <f t="shared" si="224"/>
        <v>0</v>
      </c>
      <c r="J788">
        <f t="shared" si="232"/>
        <v>0</v>
      </c>
      <c r="K788">
        <f t="shared" si="233"/>
        <v>0</v>
      </c>
      <c r="L788" cm="1">
        <f t="array" ref="L788">IF(E788*J788=0,0,$C$21*INDEX([3]Sheet1!$C$4:$Q$23,MATCH(K788,[3]Sheet1!$B$4:$B$23,1),MATCH(D788,[3]Sheet1!$C$3:$Q$3,1))
+(K788-INDEX([3]Sheet1!$B$4:$B$23,MATCH(K788,[3]Sheet1!$B$4:$B$23,1),1))/(INDEX([3]Sheet1!$B$4:$B$23,MATCH(K788,[3]Sheet1!$B$4:$B$23,1)+1,1)-INDEX([3]Sheet1!$B$4:$B$23,
MATCH(K788,[3]Sheet1!$B$4:$B$23,1),1))*(INDEX([3]Sheet1!$C$4:$Q$23,MATCH(K788,[3]Sheet1!$B$4:$B$23,1)+1,MATCH(D788,[3]Sheet1!$C$3:$Q$3,1))-INDEX([3]Sheet1!$C$4:$Q$23,
MATCH(K788,[3]Sheet1!$B$4:$B$23,1),MATCH(D788,[3]Sheet1!$C$3:$Q$3,1)))
+(D788-INDEX([3]Sheet1!$C$3:$Q$3,1,MATCH(D788,[3]Sheet1!$C$3:$Q$3)))/(INDEX([3]Sheet1!$C$3:$Q$3,1,MATCH(D788,[3]Sheet1!$C$3:$Q$3)+1)-INDEX([3]Sheet1!$C$3:$Q$3,1,MATCH(
D788,[3]Sheet1!$C$3:$Q$3)))*(INDEX([3]Sheet1!$C$4:$Q$23,MATCH(K788,[3]Sheet1!$B$4:$B$23,1),MATCH(D788,[3]Sheet1!$C$3:$Q$3,1)+1)-INDEX([3]Sheet1!$C$4:$Q$23,MATCH(K788,[3]Sheet1!$B$4:$B$23,1),MATCH(D788,[3]Sheet1!$C$3:$Q$3,1))))</f>
        <v>0</v>
      </c>
      <c r="M788" cm="1">
        <f t="array" ref="M788" xml:space="preserve"> IF(E788*J788=0,0,(INDEX([2]Sheet1!$C$4:$Q$23,MATCH(K788,[2]Sheet1!$B$4:$B$23,1),MATCH(D788,[2]Sheet1!$C$3:$Q$3,1))
+ (K788 - INDEX([2]Sheet1!$B$4:$B$23,MATCH(K788,[2]Sheet1!$B$4:$B$23,1),1))/(INDEX([2]Sheet1!$B$4:$B$23,MATCH(K788,[2]Sheet1!$B$4:$B$23,1)+1,1) - INDEX([2]Sheet1!$B$4:$B$23,MATCH(K788,[2]Sheet1!$B$4:$B$23,1),1))*(INDEX([2]Sheet1!$C$4:$Q$23,MATCH(K788,[2]Sheet1!$B$4:$B$23,1)+1,MATCH(D788,[2]Sheet1!$C$3:$Q$3,1)) - INDEX([2]Sheet1!$C$4:$Q$23,MATCH(K788,[2]Sheet1!$B$4:$B$23,1),MATCH(D788,[2]Sheet1!$C$3:$Q$3,1)))
+ (D788 - INDEX([2]Sheet1!$C$3:$Q$3,1,MATCH(D788,[2]Sheet1!$C$3:$Q$3)))/(INDEX([2]Sheet1!$C$3:$Q$3,1,MATCH(D788,[2]Sheet1!$C$3:$Q$3)+1) - INDEX([2]Sheet1!$C$3:$Q$3,1,MATCH(D788,[2]Sheet1!$C$3:$Q$3)))*(
INDEX([2]Sheet1!$C$4:$Q$23,MATCH(K788,[2]Sheet1!$B$4:$B$23,1),MATCH(D788,[2]Sheet1!$C$3:$Q$3,1)+1) - INDEX([2]Sheet1!$C$4:$Q$23,MATCH(K788,[2]Sheet1!$B$4:$B$23,1),MATCH(D788,[2]Sheet1!$C$3:$Q$3,1)))))</f>
        <v>0</v>
      </c>
      <c r="N788">
        <f t="shared" si="234"/>
        <v>12</v>
      </c>
      <c r="O788">
        <v>154.02450568394099</v>
      </c>
      <c r="P788" t="e">
        <f t="shared" si="235"/>
        <v>#DIV/0!</v>
      </c>
      <c r="Q788">
        <f t="shared" si="236"/>
        <v>0</v>
      </c>
      <c r="R788">
        <f t="shared" si="237"/>
        <v>741.9099431943954</v>
      </c>
      <c r="T788" t="e">
        <f t="shared" si="238"/>
        <v>#DIV/0!</v>
      </c>
      <c r="U788" t="e">
        <f t="shared" si="239"/>
        <v>#DIV/0!</v>
      </c>
      <c r="V788">
        <f t="shared" si="240"/>
        <v>0</v>
      </c>
      <c r="W788" t="e">
        <f t="shared" si="241"/>
        <v>#DIV/0!</v>
      </c>
    </row>
    <row r="789" spans="1:23" x14ac:dyDescent="0.55000000000000004">
      <c r="A789">
        <f t="shared" si="225"/>
        <v>75.499999999999986</v>
      </c>
      <c r="B789">
        <f t="shared" si="226"/>
        <v>0.316</v>
      </c>
      <c r="C789">
        <f t="shared" si="227"/>
        <v>-44.239130434782602</v>
      </c>
      <c r="D789">
        <v>155.43984551913201</v>
      </c>
      <c r="E789">
        <f t="shared" si="228"/>
        <v>0</v>
      </c>
      <c r="F789">
        <f t="shared" si="229"/>
        <v>4.8605058816845369E-2</v>
      </c>
      <c r="G789">
        <f t="shared" si="230"/>
        <v>39.513748498891111</v>
      </c>
      <c r="H789">
        <f t="shared" si="231"/>
        <v>0</v>
      </c>
      <c r="I789" s="1">
        <f t="shared" si="224"/>
        <v>0</v>
      </c>
      <c r="J789">
        <f t="shared" si="232"/>
        <v>0</v>
      </c>
      <c r="K789">
        <f t="shared" si="233"/>
        <v>0</v>
      </c>
      <c r="L789" cm="1">
        <f t="array" ref="L789">IF(E789*J789=0,0,$C$21*INDEX([3]Sheet1!$C$4:$Q$23,MATCH(K789,[3]Sheet1!$B$4:$B$23,1),MATCH(D789,[3]Sheet1!$C$3:$Q$3,1))
+(K789-INDEX([3]Sheet1!$B$4:$B$23,MATCH(K789,[3]Sheet1!$B$4:$B$23,1),1))/(INDEX([3]Sheet1!$B$4:$B$23,MATCH(K789,[3]Sheet1!$B$4:$B$23,1)+1,1)-INDEX([3]Sheet1!$B$4:$B$23,
MATCH(K789,[3]Sheet1!$B$4:$B$23,1),1))*(INDEX([3]Sheet1!$C$4:$Q$23,MATCH(K789,[3]Sheet1!$B$4:$B$23,1)+1,MATCH(D789,[3]Sheet1!$C$3:$Q$3,1))-INDEX([3]Sheet1!$C$4:$Q$23,
MATCH(K789,[3]Sheet1!$B$4:$B$23,1),MATCH(D789,[3]Sheet1!$C$3:$Q$3,1)))
+(D789-INDEX([3]Sheet1!$C$3:$Q$3,1,MATCH(D789,[3]Sheet1!$C$3:$Q$3)))/(INDEX([3]Sheet1!$C$3:$Q$3,1,MATCH(D789,[3]Sheet1!$C$3:$Q$3)+1)-INDEX([3]Sheet1!$C$3:$Q$3,1,MATCH(
D789,[3]Sheet1!$C$3:$Q$3)))*(INDEX([3]Sheet1!$C$4:$Q$23,MATCH(K789,[3]Sheet1!$B$4:$B$23,1),MATCH(D789,[3]Sheet1!$C$3:$Q$3,1)+1)-INDEX([3]Sheet1!$C$4:$Q$23,MATCH(K789,[3]Sheet1!$B$4:$B$23,1),MATCH(D789,[3]Sheet1!$C$3:$Q$3,1))))</f>
        <v>0</v>
      </c>
      <c r="M789" cm="1">
        <f t="array" ref="M789" xml:space="preserve"> IF(E789*J789=0,0,(INDEX([2]Sheet1!$C$4:$Q$23,MATCH(K789,[2]Sheet1!$B$4:$B$23,1),MATCH(D789,[2]Sheet1!$C$3:$Q$3,1))
+ (K789 - INDEX([2]Sheet1!$B$4:$B$23,MATCH(K789,[2]Sheet1!$B$4:$B$23,1),1))/(INDEX([2]Sheet1!$B$4:$B$23,MATCH(K789,[2]Sheet1!$B$4:$B$23,1)+1,1) - INDEX([2]Sheet1!$B$4:$B$23,MATCH(K789,[2]Sheet1!$B$4:$B$23,1),1))*(INDEX([2]Sheet1!$C$4:$Q$23,MATCH(K789,[2]Sheet1!$B$4:$B$23,1)+1,MATCH(D789,[2]Sheet1!$C$3:$Q$3,1)) - INDEX([2]Sheet1!$C$4:$Q$23,MATCH(K789,[2]Sheet1!$B$4:$B$23,1),MATCH(D789,[2]Sheet1!$C$3:$Q$3,1)))
+ (D789 - INDEX([2]Sheet1!$C$3:$Q$3,1,MATCH(D789,[2]Sheet1!$C$3:$Q$3)))/(INDEX([2]Sheet1!$C$3:$Q$3,1,MATCH(D789,[2]Sheet1!$C$3:$Q$3)+1) - INDEX([2]Sheet1!$C$3:$Q$3,1,MATCH(D789,[2]Sheet1!$C$3:$Q$3)))*(
INDEX([2]Sheet1!$C$4:$Q$23,MATCH(K789,[2]Sheet1!$B$4:$B$23,1),MATCH(D789,[2]Sheet1!$C$3:$Q$3,1)+1) - INDEX([2]Sheet1!$C$4:$Q$23,MATCH(K789,[2]Sheet1!$B$4:$B$23,1),MATCH(D789,[2]Sheet1!$C$3:$Q$3,1)))))</f>
        <v>0</v>
      </c>
      <c r="N789">
        <f t="shared" si="234"/>
        <v>12</v>
      </c>
      <c r="O789">
        <v>155.02450568394099</v>
      </c>
      <c r="P789" t="e">
        <f t="shared" si="235"/>
        <v>#DIV/0!</v>
      </c>
      <c r="Q789">
        <f t="shared" si="236"/>
        <v>0</v>
      </c>
      <c r="R789">
        <f t="shared" si="237"/>
        <v>741.9099431943954</v>
      </c>
      <c r="T789" t="e">
        <f t="shared" si="238"/>
        <v>#DIV/0!</v>
      </c>
      <c r="U789" t="e">
        <f t="shared" si="239"/>
        <v>#DIV/0!</v>
      </c>
      <c r="V789">
        <f t="shared" si="240"/>
        <v>0</v>
      </c>
      <c r="W789" t="e">
        <f t="shared" si="241"/>
        <v>#DIV/0!</v>
      </c>
    </row>
    <row r="790" spans="1:23" x14ac:dyDescent="0.55000000000000004">
      <c r="A790">
        <f t="shared" si="225"/>
        <v>75.59999999999998</v>
      </c>
      <c r="B790">
        <f t="shared" si="226"/>
        <v>0.316</v>
      </c>
      <c r="C790">
        <f t="shared" si="227"/>
        <v>-44.304347826086953</v>
      </c>
      <c r="D790">
        <v>156.43984551913201</v>
      </c>
      <c r="E790">
        <f t="shared" si="228"/>
        <v>0</v>
      </c>
      <c r="F790">
        <f t="shared" si="229"/>
        <v>4.8605058816845369E-2</v>
      </c>
      <c r="G790">
        <f t="shared" si="230"/>
        <v>39.513748498891111</v>
      </c>
      <c r="H790">
        <f t="shared" si="231"/>
        <v>0</v>
      </c>
      <c r="I790" s="1">
        <f t="shared" si="224"/>
        <v>0</v>
      </c>
      <c r="J790">
        <f t="shared" si="232"/>
        <v>0</v>
      </c>
      <c r="K790">
        <f t="shared" si="233"/>
        <v>0</v>
      </c>
      <c r="L790" cm="1">
        <f t="array" ref="L790">IF(E790*J790=0,0,$C$21*INDEX([3]Sheet1!$C$4:$Q$23,MATCH(K790,[3]Sheet1!$B$4:$B$23,1),MATCH(D790,[3]Sheet1!$C$3:$Q$3,1))
+(K790-INDEX([3]Sheet1!$B$4:$B$23,MATCH(K790,[3]Sheet1!$B$4:$B$23,1),1))/(INDEX([3]Sheet1!$B$4:$B$23,MATCH(K790,[3]Sheet1!$B$4:$B$23,1)+1,1)-INDEX([3]Sheet1!$B$4:$B$23,
MATCH(K790,[3]Sheet1!$B$4:$B$23,1),1))*(INDEX([3]Sheet1!$C$4:$Q$23,MATCH(K790,[3]Sheet1!$B$4:$B$23,1)+1,MATCH(D790,[3]Sheet1!$C$3:$Q$3,1))-INDEX([3]Sheet1!$C$4:$Q$23,
MATCH(K790,[3]Sheet1!$B$4:$B$23,1),MATCH(D790,[3]Sheet1!$C$3:$Q$3,1)))
+(D790-INDEX([3]Sheet1!$C$3:$Q$3,1,MATCH(D790,[3]Sheet1!$C$3:$Q$3)))/(INDEX([3]Sheet1!$C$3:$Q$3,1,MATCH(D790,[3]Sheet1!$C$3:$Q$3)+1)-INDEX([3]Sheet1!$C$3:$Q$3,1,MATCH(
D790,[3]Sheet1!$C$3:$Q$3)))*(INDEX([3]Sheet1!$C$4:$Q$23,MATCH(K790,[3]Sheet1!$B$4:$B$23,1),MATCH(D790,[3]Sheet1!$C$3:$Q$3,1)+1)-INDEX([3]Sheet1!$C$4:$Q$23,MATCH(K790,[3]Sheet1!$B$4:$B$23,1),MATCH(D790,[3]Sheet1!$C$3:$Q$3,1))))</f>
        <v>0</v>
      </c>
      <c r="M790" cm="1">
        <f t="array" ref="M790" xml:space="preserve"> IF(E790*J790=0,0,(INDEX([2]Sheet1!$C$4:$Q$23,MATCH(K790,[2]Sheet1!$B$4:$B$23,1),MATCH(D790,[2]Sheet1!$C$3:$Q$3,1))
+ (K790 - INDEX([2]Sheet1!$B$4:$B$23,MATCH(K790,[2]Sheet1!$B$4:$B$23,1),1))/(INDEX([2]Sheet1!$B$4:$B$23,MATCH(K790,[2]Sheet1!$B$4:$B$23,1)+1,1) - INDEX([2]Sheet1!$B$4:$B$23,MATCH(K790,[2]Sheet1!$B$4:$B$23,1),1))*(INDEX([2]Sheet1!$C$4:$Q$23,MATCH(K790,[2]Sheet1!$B$4:$B$23,1)+1,MATCH(D790,[2]Sheet1!$C$3:$Q$3,1)) - INDEX([2]Sheet1!$C$4:$Q$23,MATCH(K790,[2]Sheet1!$B$4:$B$23,1),MATCH(D790,[2]Sheet1!$C$3:$Q$3,1)))
+ (D790 - INDEX([2]Sheet1!$C$3:$Q$3,1,MATCH(D790,[2]Sheet1!$C$3:$Q$3)))/(INDEX([2]Sheet1!$C$3:$Q$3,1,MATCH(D790,[2]Sheet1!$C$3:$Q$3)+1) - INDEX([2]Sheet1!$C$3:$Q$3,1,MATCH(D790,[2]Sheet1!$C$3:$Q$3)))*(
INDEX([2]Sheet1!$C$4:$Q$23,MATCH(K790,[2]Sheet1!$B$4:$B$23,1),MATCH(D790,[2]Sheet1!$C$3:$Q$3,1)+1) - INDEX([2]Sheet1!$C$4:$Q$23,MATCH(K790,[2]Sheet1!$B$4:$B$23,1),MATCH(D790,[2]Sheet1!$C$3:$Q$3,1)))))</f>
        <v>0</v>
      </c>
      <c r="N790">
        <f t="shared" si="234"/>
        <v>12</v>
      </c>
      <c r="O790">
        <v>156.02450568394099</v>
      </c>
      <c r="P790" t="e">
        <f t="shared" si="235"/>
        <v>#DIV/0!</v>
      </c>
      <c r="Q790">
        <f t="shared" si="236"/>
        <v>0</v>
      </c>
      <c r="R790">
        <f t="shared" si="237"/>
        <v>741.9099431943954</v>
      </c>
      <c r="T790" t="e">
        <f t="shared" si="238"/>
        <v>#DIV/0!</v>
      </c>
      <c r="U790" t="e">
        <f t="shared" si="239"/>
        <v>#DIV/0!</v>
      </c>
      <c r="V790">
        <f t="shared" si="240"/>
        <v>0</v>
      </c>
      <c r="W790" t="e">
        <f t="shared" si="241"/>
        <v>#DIV/0!</v>
      </c>
    </row>
    <row r="791" spans="1:23" x14ac:dyDescent="0.55000000000000004">
      <c r="A791">
        <f t="shared" si="225"/>
        <v>75.699999999999974</v>
      </c>
      <c r="B791">
        <f t="shared" si="226"/>
        <v>0.316</v>
      </c>
      <c r="C791">
        <f t="shared" si="227"/>
        <v>-44.36956521739129</v>
      </c>
      <c r="D791">
        <v>157.43984551913201</v>
      </c>
      <c r="E791">
        <f t="shared" si="228"/>
        <v>0</v>
      </c>
      <c r="F791">
        <f t="shared" si="229"/>
        <v>4.8605058816845369E-2</v>
      </c>
      <c r="G791">
        <f t="shared" si="230"/>
        <v>39.513748498891111</v>
      </c>
      <c r="H791">
        <f t="shared" si="231"/>
        <v>0</v>
      </c>
      <c r="I791" s="1">
        <f t="shared" si="224"/>
        <v>0</v>
      </c>
      <c r="J791">
        <f t="shared" si="232"/>
        <v>0</v>
      </c>
      <c r="K791">
        <f t="shared" si="233"/>
        <v>0</v>
      </c>
      <c r="L791" cm="1">
        <f t="array" ref="L791">IF(E791*J791=0,0,$C$21*INDEX([3]Sheet1!$C$4:$Q$23,MATCH(K791,[3]Sheet1!$B$4:$B$23,1),MATCH(D791,[3]Sheet1!$C$3:$Q$3,1))
+(K791-INDEX([3]Sheet1!$B$4:$B$23,MATCH(K791,[3]Sheet1!$B$4:$B$23,1),1))/(INDEX([3]Sheet1!$B$4:$B$23,MATCH(K791,[3]Sheet1!$B$4:$B$23,1)+1,1)-INDEX([3]Sheet1!$B$4:$B$23,
MATCH(K791,[3]Sheet1!$B$4:$B$23,1),1))*(INDEX([3]Sheet1!$C$4:$Q$23,MATCH(K791,[3]Sheet1!$B$4:$B$23,1)+1,MATCH(D791,[3]Sheet1!$C$3:$Q$3,1))-INDEX([3]Sheet1!$C$4:$Q$23,
MATCH(K791,[3]Sheet1!$B$4:$B$23,1),MATCH(D791,[3]Sheet1!$C$3:$Q$3,1)))
+(D791-INDEX([3]Sheet1!$C$3:$Q$3,1,MATCH(D791,[3]Sheet1!$C$3:$Q$3)))/(INDEX([3]Sheet1!$C$3:$Q$3,1,MATCH(D791,[3]Sheet1!$C$3:$Q$3)+1)-INDEX([3]Sheet1!$C$3:$Q$3,1,MATCH(
D791,[3]Sheet1!$C$3:$Q$3)))*(INDEX([3]Sheet1!$C$4:$Q$23,MATCH(K791,[3]Sheet1!$B$4:$B$23,1),MATCH(D791,[3]Sheet1!$C$3:$Q$3,1)+1)-INDEX([3]Sheet1!$C$4:$Q$23,MATCH(K791,[3]Sheet1!$B$4:$B$23,1),MATCH(D791,[3]Sheet1!$C$3:$Q$3,1))))</f>
        <v>0</v>
      </c>
      <c r="M791" cm="1">
        <f t="array" ref="M791" xml:space="preserve"> IF(E791*J791=0,0,(INDEX([2]Sheet1!$C$4:$Q$23,MATCH(K791,[2]Sheet1!$B$4:$B$23,1),MATCH(D791,[2]Sheet1!$C$3:$Q$3,1))
+ (K791 - INDEX([2]Sheet1!$B$4:$B$23,MATCH(K791,[2]Sheet1!$B$4:$B$23,1),1))/(INDEX([2]Sheet1!$B$4:$B$23,MATCH(K791,[2]Sheet1!$B$4:$B$23,1)+1,1) - INDEX([2]Sheet1!$B$4:$B$23,MATCH(K791,[2]Sheet1!$B$4:$B$23,1),1))*(INDEX([2]Sheet1!$C$4:$Q$23,MATCH(K791,[2]Sheet1!$B$4:$B$23,1)+1,MATCH(D791,[2]Sheet1!$C$3:$Q$3,1)) - INDEX([2]Sheet1!$C$4:$Q$23,MATCH(K791,[2]Sheet1!$B$4:$B$23,1),MATCH(D791,[2]Sheet1!$C$3:$Q$3,1)))
+ (D791 - INDEX([2]Sheet1!$C$3:$Q$3,1,MATCH(D791,[2]Sheet1!$C$3:$Q$3)))/(INDEX([2]Sheet1!$C$3:$Q$3,1,MATCH(D791,[2]Sheet1!$C$3:$Q$3)+1) - INDEX([2]Sheet1!$C$3:$Q$3,1,MATCH(D791,[2]Sheet1!$C$3:$Q$3)))*(
INDEX([2]Sheet1!$C$4:$Q$23,MATCH(K791,[2]Sheet1!$B$4:$B$23,1),MATCH(D791,[2]Sheet1!$C$3:$Q$3,1)+1) - INDEX([2]Sheet1!$C$4:$Q$23,MATCH(K791,[2]Sheet1!$B$4:$B$23,1),MATCH(D791,[2]Sheet1!$C$3:$Q$3,1)))))</f>
        <v>0</v>
      </c>
      <c r="N791">
        <f t="shared" si="234"/>
        <v>12</v>
      </c>
      <c r="O791">
        <v>157.02450568394099</v>
      </c>
      <c r="P791" t="e">
        <f t="shared" si="235"/>
        <v>#DIV/0!</v>
      </c>
      <c r="Q791">
        <f t="shared" si="236"/>
        <v>0</v>
      </c>
      <c r="R791">
        <f t="shared" si="237"/>
        <v>741.9099431943954</v>
      </c>
      <c r="T791" t="e">
        <f t="shared" si="238"/>
        <v>#DIV/0!</v>
      </c>
      <c r="U791" t="e">
        <f t="shared" si="239"/>
        <v>#DIV/0!</v>
      </c>
      <c r="V791">
        <f t="shared" si="240"/>
        <v>0</v>
      </c>
      <c r="W791" t="e">
        <f t="shared" si="241"/>
        <v>#DIV/0!</v>
      </c>
    </row>
    <row r="792" spans="1:23" x14ac:dyDescent="0.55000000000000004">
      <c r="A792">
        <f t="shared" si="225"/>
        <v>75.799999999999969</v>
      </c>
      <c r="B792">
        <f t="shared" si="226"/>
        <v>0.316</v>
      </c>
      <c r="C792">
        <f t="shared" si="227"/>
        <v>-44.434782608695642</v>
      </c>
      <c r="D792">
        <v>158.43984551913201</v>
      </c>
      <c r="E792">
        <f t="shared" si="228"/>
        <v>0</v>
      </c>
      <c r="F792">
        <f t="shared" si="229"/>
        <v>4.8605058816845369E-2</v>
      </c>
      <c r="G792">
        <f t="shared" si="230"/>
        <v>39.513748498891111</v>
      </c>
      <c r="H792">
        <f t="shared" si="231"/>
        <v>0</v>
      </c>
      <c r="I792" s="1">
        <f t="shared" si="224"/>
        <v>0</v>
      </c>
      <c r="J792">
        <f t="shared" si="232"/>
        <v>0</v>
      </c>
      <c r="K792">
        <f t="shared" si="233"/>
        <v>0</v>
      </c>
      <c r="L792" cm="1">
        <f t="array" ref="L792">IF(E792*J792=0,0,$C$21*INDEX([3]Sheet1!$C$4:$Q$23,MATCH(K792,[3]Sheet1!$B$4:$B$23,1),MATCH(D792,[3]Sheet1!$C$3:$Q$3,1))
+(K792-INDEX([3]Sheet1!$B$4:$B$23,MATCH(K792,[3]Sheet1!$B$4:$B$23,1),1))/(INDEX([3]Sheet1!$B$4:$B$23,MATCH(K792,[3]Sheet1!$B$4:$B$23,1)+1,1)-INDEX([3]Sheet1!$B$4:$B$23,
MATCH(K792,[3]Sheet1!$B$4:$B$23,1),1))*(INDEX([3]Sheet1!$C$4:$Q$23,MATCH(K792,[3]Sheet1!$B$4:$B$23,1)+1,MATCH(D792,[3]Sheet1!$C$3:$Q$3,1))-INDEX([3]Sheet1!$C$4:$Q$23,
MATCH(K792,[3]Sheet1!$B$4:$B$23,1),MATCH(D792,[3]Sheet1!$C$3:$Q$3,1)))
+(D792-INDEX([3]Sheet1!$C$3:$Q$3,1,MATCH(D792,[3]Sheet1!$C$3:$Q$3)))/(INDEX([3]Sheet1!$C$3:$Q$3,1,MATCH(D792,[3]Sheet1!$C$3:$Q$3)+1)-INDEX([3]Sheet1!$C$3:$Q$3,1,MATCH(
D792,[3]Sheet1!$C$3:$Q$3)))*(INDEX([3]Sheet1!$C$4:$Q$23,MATCH(K792,[3]Sheet1!$B$4:$B$23,1),MATCH(D792,[3]Sheet1!$C$3:$Q$3,1)+1)-INDEX([3]Sheet1!$C$4:$Q$23,MATCH(K792,[3]Sheet1!$B$4:$B$23,1),MATCH(D792,[3]Sheet1!$C$3:$Q$3,1))))</f>
        <v>0</v>
      </c>
      <c r="M792" cm="1">
        <f t="array" ref="M792" xml:space="preserve"> IF(E792*J792=0,0,(INDEX([2]Sheet1!$C$4:$Q$23,MATCH(K792,[2]Sheet1!$B$4:$B$23,1),MATCH(D792,[2]Sheet1!$C$3:$Q$3,1))
+ (K792 - INDEX([2]Sheet1!$B$4:$B$23,MATCH(K792,[2]Sheet1!$B$4:$B$23,1),1))/(INDEX([2]Sheet1!$B$4:$B$23,MATCH(K792,[2]Sheet1!$B$4:$B$23,1)+1,1) - INDEX([2]Sheet1!$B$4:$B$23,MATCH(K792,[2]Sheet1!$B$4:$B$23,1),1))*(INDEX([2]Sheet1!$C$4:$Q$23,MATCH(K792,[2]Sheet1!$B$4:$B$23,1)+1,MATCH(D792,[2]Sheet1!$C$3:$Q$3,1)) - INDEX([2]Sheet1!$C$4:$Q$23,MATCH(K792,[2]Sheet1!$B$4:$B$23,1),MATCH(D792,[2]Sheet1!$C$3:$Q$3,1)))
+ (D792 - INDEX([2]Sheet1!$C$3:$Q$3,1,MATCH(D792,[2]Sheet1!$C$3:$Q$3)))/(INDEX([2]Sheet1!$C$3:$Q$3,1,MATCH(D792,[2]Sheet1!$C$3:$Q$3)+1) - INDEX([2]Sheet1!$C$3:$Q$3,1,MATCH(D792,[2]Sheet1!$C$3:$Q$3)))*(
INDEX([2]Sheet1!$C$4:$Q$23,MATCH(K792,[2]Sheet1!$B$4:$B$23,1),MATCH(D792,[2]Sheet1!$C$3:$Q$3,1)+1) - INDEX([2]Sheet1!$C$4:$Q$23,MATCH(K792,[2]Sheet1!$B$4:$B$23,1),MATCH(D792,[2]Sheet1!$C$3:$Q$3,1)))))</f>
        <v>0</v>
      </c>
      <c r="N792">
        <f t="shared" si="234"/>
        <v>12</v>
      </c>
      <c r="O792">
        <v>158.02450568394099</v>
      </c>
      <c r="P792" t="e">
        <f t="shared" si="235"/>
        <v>#DIV/0!</v>
      </c>
      <c r="Q792">
        <f t="shared" si="236"/>
        <v>0</v>
      </c>
      <c r="R792">
        <f t="shared" si="237"/>
        <v>741.9099431943954</v>
      </c>
      <c r="T792" t="e">
        <f t="shared" si="238"/>
        <v>#DIV/0!</v>
      </c>
      <c r="U792" t="e">
        <f t="shared" si="239"/>
        <v>#DIV/0!</v>
      </c>
      <c r="V792">
        <f t="shared" si="240"/>
        <v>0</v>
      </c>
      <c r="W792" t="e">
        <f t="shared" si="241"/>
        <v>#DIV/0!</v>
      </c>
    </row>
    <row r="793" spans="1:23" x14ac:dyDescent="0.55000000000000004">
      <c r="A793">
        <f t="shared" si="225"/>
        <v>75.899999999999963</v>
      </c>
      <c r="B793">
        <f t="shared" si="226"/>
        <v>0.316</v>
      </c>
      <c r="C793">
        <f t="shared" si="227"/>
        <v>-44.499999999999979</v>
      </c>
      <c r="D793">
        <v>159.43984551913201</v>
      </c>
      <c r="E793">
        <f t="shared" si="228"/>
        <v>0</v>
      </c>
      <c r="F793">
        <f t="shared" si="229"/>
        <v>4.8605058816845369E-2</v>
      </c>
      <c r="G793">
        <f t="shared" si="230"/>
        <v>39.513748498891111</v>
      </c>
      <c r="H793">
        <f t="shared" si="231"/>
        <v>0</v>
      </c>
      <c r="I793" s="1">
        <f t="shared" si="224"/>
        <v>0</v>
      </c>
      <c r="J793">
        <f t="shared" si="232"/>
        <v>0</v>
      </c>
      <c r="K793">
        <f t="shared" si="233"/>
        <v>0</v>
      </c>
      <c r="L793" cm="1">
        <f t="array" ref="L793">IF(E793*J793=0,0,$C$21*INDEX([3]Sheet1!$C$4:$Q$23,MATCH(K793,[3]Sheet1!$B$4:$B$23,1),MATCH(D793,[3]Sheet1!$C$3:$Q$3,1))
+(K793-INDEX([3]Sheet1!$B$4:$B$23,MATCH(K793,[3]Sheet1!$B$4:$B$23,1),1))/(INDEX([3]Sheet1!$B$4:$B$23,MATCH(K793,[3]Sheet1!$B$4:$B$23,1)+1,1)-INDEX([3]Sheet1!$B$4:$B$23,
MATCH(K793,[3]Sheet1!$B$4:$B$23,1),1))*(INDEX([3]Sheet1!$C$4:$Q$23,MATCH(K793,[3]Sheet1!$B$4:$B$23,1)+1,MATCH(D793,[3]Sheet1!$C$3:$Q$3,1))-INDEX([3]Sheet1!$C$4:$Q$23,
MATCH(K793,[3]Sheet1!$B$4:$B$23,1),MATCH(D793,[3]Sheet1!$C$3:$Q$3,1)))
+(D793-INDEX([3]Sheet1!$C$3:$Q$3,1,MATCH(D793,[3]Sheet1!$C$3:$Q$3)))/(INDEX([3]Sheet1!$C$3:$Q$3,1,MATCH(D793,[3]Sheet1!$C$3:$Q$3)+1)-INDEX([3]Sheet1!$C$3:$Q$3,1,MATCH(
D793,[3]Sheet1!$C$3:$Q$3)))*(INDEX([3]Sheet1!$C$4:$Q$23,MATCH(K793,[3]Sheet1!$B$4:$B$23,1),MATCH(D793,[3]Sheet1!$C$3:$Q$3,1)+1)-INDEX([3]Sheet1!$C$4:$Q$23,MATCH(K793,[3]Sheet1!$B$4:$B$23,1),MATCH(D793,[3]Sheet1!$C$3:$Q$3,1))))</f>
        <v>0</v>
      </c>
      <c r="M793" cm="1">
        <f t="array" ref="M793" xml:space="preserve"> IF(E793*J793=0,0,(INDEX([2]Sheet1!$C$4:$Q$23,MATCH(K793,[2]Sheet1!$B$4:$B$23,1),MATCH(D793,[2]Sheet1!$C$3:$Q$3,1))
+ (K793 - INDEX([2]Sheet1!$B$4:$B$23,MATCH(K793,[2]Sheet1!$B$4:$B$23,1),1))/(INDEX([2]Sheet1!$B$4:$B$23,MATCH(K793,[2]Sheet1!$B$4:$B$23,1)+1,1) - INDEX([2]Sheet1!$B$4:$B$23,MATCH(K793,[2]Sheet1!$B$4:$B$23,1),1))*(INDEX([2]Sheet1!$C$4:$Q$23,MATCH(K793,[2]Sheet1!$B$4:$B$23,1)+1,MATCH(D793,[2]Sheet1!$C$3:$Q$3,1)) - INDEX([2]Sheet1!$C$4:$Q$23,MATCH(K793,[2]Sheet1!$B$4:$B$23,1),MATCH(D793,[2]Sheet1!$C$3:$Q$3,1)))
+ (D793 - INDEX([2]Sheet1!$C$3:$Q$3,1,MATCH(D793,[2]Sheet1!$C$3:$Q$3)))/(INDEX([2]Sheet1!$C$3:$Q$3,1,MATCH(D793,[2]Sheet1!$C$3:$Q$3)+1) - INDEX([2]Sheet1!$C$3:$Q$3,1,MATCH(D793,[2]Sheet1!$C$3:$Q$3)))*(
INDEX([2]Sheet1!$C$4:$Q$23,MATCH(K793,[2]Sheet1!$B$4:$B$23,1),MATCH(D793,[2]Sheet1!$C$3:$Q$3,1)+1) - INDEX([2]Sheet1!$C$4:$Q$23,MATCH(K793,[2]Sheet1!$B$4:$B$23,1),MATCH(D793,[2]Sheet1!$C$3:$Q$3,1)))))</f>
        <v>0</v>
      </c>
      <c r="N793">
        <f t="shared" si="234"/>
        <v>12</v>
      </c>
      <c r="O793">
        <v>159.02450568394099</v>
      </c>
      <c r="P793" t="e">
        <f t="shared" si="235"/>
        <v>#DIV/0!</v>
      </c>
      <c r="Q793">
        <f t="shared" si="236"/>
        <v>0</v>
      </c>
      <c r="R793">
        <f t="shared" si="237"/>
        <v>741.9099431943954</v>
      </c>
      <c r="T793" t="e">
        <f t="shared" si="238"/>
        <v>#DIV/0!</v>
      </c>
      <c r="U793" t="e">
        <f t="shared" si="239"/>
        <v>#DIV/0!</v>
      </c>
      <c r="V793">
        <f t="shared" si="240"/>
        <v>0</v>
      </c>
      <c r="W793" t="e">
        <f t="shared" si="241"/>
        <v>#DIV/0!</v>
      </c>
    </row>
    <row r="794" spans="1:23" x14ac:dyDescent="0.55000000000000004">
      <c r="A794">
        <f t="shared" si="225"/>
        <v>75.999999999999957</v>
      </c>
      <c r="B794">
        <f t="shared" si="226"/>
        <v>0.316</v>
      </c>
      <c r="C794">
        <f t="shared" si="227"/>
        <v>-44.56521739130433</v>
      </c>
      <c r="D794">
        <v>160.43984551913201</v>
      </c>
      <c r="E794">
        <f t="shared" si="228"/>
        <v>0</v>
      </c>
      <c r="F794">
        <f t="shared" si="229"/>
        <v>4.8605058816845369E-2</v>
      </c>
      <c r="G794">
        <f t="shared" si="230"/>
        <v>39.513748498891111</v>
      </c>
      <c r="H794">
        <f t="shared" si="231"/>
        <v>0</v>
      </c>
      <c r="I794" s="1">
        <f t="shared" si="224"/>
        <v>0</v>
      </c>
      <c r="J794">
        <f t="shared" si="232"/>
        <v>0</v>
      </c>
      <c r="K794">
        <f t="shared" si="233"/>
        <v>0</v>
      </c>
      <c r="L794" cm="1">
        <f t="array" ref="L794">IF(E794*J794=0,0,$C$21*INDEX([3]Sheet1!$C$4:$Q$23,MATCH(K794,[3]Sheet1!$B$4:$B$23,1),MATCH(D794,[3]Sheet1!$C$3:$Q$3,1))
+(K794-INDEX([3]Sheet1!$B$4:$B$23,MATCH(K794,[3]Sheet1!$B$4:$B$23,1),1))/(INDEX([3]Sheet1!$B$4:$B$23,MATCH(K794,[3]Sheet1!$B$4:$B$23,1)+1,1)-INDEX([3]Sheet1!$B$4:$B$23,
MATCH(K794,[3]Sheet1!$B$4:$B$23,1),1))*(INDEX([3]Sheet1!$C$4:$Q$23,MATCH(K794,[3]Sheet1!$B$4:$B$23,1)+1,MATCH(D794,[3]Sheet1!$C$3:$Q$3,1))-INDEX([3]Sheet1!$C$4:$Q$23,
MATCH(K794,[3]Sheet1!$B$4:$B$23,1),MATCH(D794,[3]Sheet1!$C$3:$Q$3,1)))
+(D794-INDEX([3]Sheet1!$C$3:$Q$3,1,MATCH(D794,[3]Sheet1!$C$3:$Q$3)))/(INDEX([3]Sheet1!$C$3:$Q$3,1,MATCH(D794,[3]Sheet1!$C$3:$Q$3)+1)-INDEX([3]Sheet1!$C$3:$Q$3,1,MATCH(
D794,[3]Sheet1!$C$3:$Q$3)))*(INDEX([3]Sheet1!$C$4:$Q$23,MATCH(K794,[3]Sheet1!$B$4:$B$23,1),MATCH(D794,[3]Sheet1!$C$3:$Q$3,1)+1)-INDEX([3]Sheet1!$C$4:$Q$23,MATCH(K794,[3]Sheet1!$B$4:$B$23,1),MATCH(D794,[3]Sheet1!$C$3:$Q$3,1))))</f>
        <v>0</v>
      </c>
      <c r="M794" cm="1">
        <f t="array" ref="M794" xml:space="preserve"> IF(E794*J794=0,0,(INDEX([2]Sheet1!$C$4:$Q$23,MATCH(K794,[2]Sheet1!$B$4:$B$23,1),MATCH(D794,[2]Sheet1!$C$3:$Q$3,1))
+ (K794 - INDEX([2]Sheet1!$B$4:$B$23,MATCH(K794,[2]Sheet1!$B$4:$B$23,1),1))/(INDEX([2]Sheet1!$B$4:$B$23,MATCH(K794,[2]Sheet1!$B$4:$B$23,1)+1,1) - INDEX([2]Sheet1!$B$4:$B$23,MATCH(K794,[2]Sheet1!$B$4:$B$23,1),1))*(INDEX([2]Sheet1!$C$4:$Q$23,MATCH(K794,[2]Sheet1!$B$4:$B$23,1)+1,MATCH(D794,[2]Sheet1!$C$3:$Q$3,1)) - INDEX([2]Sheet1!$C$4:$Q$23,MATCH(K794,[2]Sheet1!$B$4:$B$23,1),MATCH(D794,[2]Sheet1!$C$3:$Q$3,1)))
+ (D794 - INDEX([2]Sheet1!$C$3:$Q$3,1,MATCH(D794,[2]Sheet1!$C$3:$Q$3)))/(INDEX([2]Sheet1!$C$3:$Q$3,1,MATCH(D794,[2]Sheet1!$C$3:$Q$3)+1) - INDEX([2]Sheet1!$C$3:$Q$3,1,MATCH(D794,[2]Sheet1!$C$3:$Q$3)))*(
INDEX([2]Sheet1!$C$4:$Q$23,MATCH(K794,[2]Sheet1!$B$4:$B$23,1),MATCH(D794,[2]Sheet1!$C$3:$Q$3,1)+1) - INDEX([2]Sheet1!$C$4:$Q$23,MATCH(K794,[2]Sheet1!$B$4:$B$23,1),MATCH(D794,[2]Sheet1!$C$3:$Q$3,1)))))</f>
        <v>0</v>
      </c>
      <c r="N794">
        <f t="shared" si="234"/>
        <v>12</v>
      </c>
      <c r="O794">
        <v>160.02450568394099</v>
      </c>
      <c r="P794" t="e">
        <f t="shared" si="235"/>
        <v>#DIV/0!</v>
      </c>
      <c r="Q794">
        <f t="shared" si="236"/>
        <v>0</v>
      </c>
      <c r="R794">
        <f t="shared" si="237"/>
        <v>741.9099431943954</v>
      </c>
      <c r="T794" t="e">
        <f t="shared" si="238"/>
        <v>#DIV/0!</v>
      </c>
      <c r="U794" t="e">
        <f t="shared" si="239"/>
        <v>#DIV/0!</v>
      </c>
      <c r="V794">
        <f t="shared" si="240"/>
        <v>0</v>
      </c>
      <c r="W794" t="e">
        <f t="shared" si="241"/>
        <v>#DIV/0!</v>
      </c>
    </row>
    <row r="795" spans="1:23" x14ac:dyDescent="0.55000000000000004">
      <c r="A795">
        <f t="shared" si="225"/>
        <v>76.099999999999952</v>
      </c>
      <c r="B795">
        <f t="shared" si="226"/>
        <v>0.316</v>
      </c>
      <c r="C795">
        <f t="shared" si="227"/>
        <v>-44.630434782608667</v>
      </c>
      <c r="D795">
        <v>161.43984551913201</v>
      </c>
      <c r="E795">
        <f t="shared" si="228"/>
        <v>0</v>
      </c>
      <c r="F795">
        <f t="shared" si="229"/>
        <v>4.8605058816845369E-2</v>
      </c>
      <c r="G795">
        <f t="shared" si="230"/>
        <v>39.513748498891111</v>
      </c>
      <c r="H795">
        <f t="shared" si="231"/>
        <v>0</v>
      </c>
      <c r="I795" s="1">
        <f t="shared" si="224"/>
        <v>0</v>
      </c>
      <c r="J795">
        <f t="shared" si="232"/>
        <v>0</v>
      </c>
      <c r="K795">
        <f t="shared" si="233"/>
        <v>0</v>
      </c>
      <c r="L795" cm="1">
        <f t="array" ref="L795">IF(E795*J795=0,0,$C$21*INDEX([3]Sheet1!$C$4:$Q$23,MATCH(K795,[3]Sheet1!$B$4:$B$23,1),MATCH(D795,[3]Sheet1!$C$3:$Q$3,1))
+(K795-INDEX([3]Sheet1!$B$4:$B$23,MATCH(K795,[3]Sheet1!$B$4:$B$23,1),1))/(INDEX([3]Sheet1!$B$4:$B$23,MATCH(K795,[3]Sheet1!$B$4:$B$23,1)+1,1)-INDEX([3]Sheet1!$B$4:$B$23,
MATCH(K795,[3]Sheet1!$B$4:$B$23,1),1))*(INDEX([3]Sheet1!$C$4:$Q$23,MATCH(K795,[3]Sheet1!$B$4:$B$23,1)+1,MATCH(D795,[3]Sheet1!$C$3:$Q$3,1))-INDEX([3]Sheet1!$C$4:$Q$23,
MATCH(K795,[3]Sheet1!$B$4:$B$23,1),MATCH(D795,[3]Sheet1!$C$3:$Q$3,1)))
+(D795-INDEX([3]Sheet1!$C$3:$Q$3,1,MATCH(D795,[3]Sheet1!$C$3:$Q$3)))/(INDEX([3]Sheet1!$C$3:$Q$3,1,MATCH(D795,[3]Sheet1!$C$3:$Q$3)+1)-INDEX([3]Sheet1!$C$3:$Q$3,1,MATCH(
D795,[3]Sheet1!$C$3:$Q$3)))*(INDEX([3]Sheet1!$C$4:$Q$23,MATCH(K795,[3]Sheet1!$B$4:$B$23,1),MATCH(D795,[3]Sheet1!$C$3:$Q$3,1)+1)-INDEX([3]Sheet1!$C$4:$Q$23,MATCH(K795,[3]Sheet1!$B$4:$B$23,1),MATCH(D795,[3]Sheet1!$C$3:$Q$3,1))))</f>
        <v>0</v>
      </c>
      <c r="M795" cm="1">
        <f t="array" ref="M795" xml:space="preserve"> IF(E795*J795=0,0,(INDEX([2]Sheet1!$C$4:$Q$23,MATCH(K795,[2]Sheet1!$B$4:$B$23,1),MATCH(D795,[2]Sheet1!$C$3:$Q$3,1))
+ (K795 - INDEX([2]Sheet1!$B$4:$B$23,MATCH(K795,[2]Sheet1!$B$4:$B$23,1),1))/(INDEX([2]Sheet1!$B$4:$B$23,MATCH(K795,[2]Sheet1!$B$4:$B$23,1)+1,1) - INDEX([2]Sheet1!$B$4:$B$23,MATCH(K795,[2]Sheet1!$B$4:$B$23,1),1))*(INDEX([2]Sheet1!$C$4:$Q$23,MATCH(K795,[2]Sheet1!$B$4:$B$23,1)+1,MATCH(D795,[2]Sheet1!$C$3:$Q$3,1)) - INDEX([2]Sheet1!$C$4:$Q$23,MATCH(K795,[2]Sheet1!$B$4:$B$23,1),MATCH(D795,[2]Sheet1!$C$3:$Q$3,1)))
+ (D795 - INDEX([2]Sheet1!$C$3:$Q$3,1,MATCH(D795,[2]Sheet1!$C$3:$Q$3)))/(INDEX([2]Sheet1!$C$3:$Q$3,1,MATCH(D795,[2]Sheet1!$C$3:$Q$3)+1) - INDEX([2]Sheet1!$C$3:$Q$3,1,MATCH(D795,[2]Sheet1!$C$3:$Q$3)))*(
INDEX([2]Sheet1!$C$4:$Q$23,MATCH(K795,[2]Sheet1!$B$4:$B$23,1),MATCH(D795,[2]Sheet1!$C$3:$Q$3,1)+1) - INDEX([2]Sheet1!$C$4:$Q$23,MATCH(K795,[2]Sheet1!$B$4:$B$23,1),MATCH(D795,[2]Sheet1!$C$3:$Q$3,1)))))</f>
        <v>0</v>
      </c>
      <c r="N795">
        <f t="shared" si="234"/>
        <v>12</v>
      </c>
      <c r="O795">
        <v>161.02450568394099</v>
      </c>
      <c r="P795" t="e">
        <f t="shared" si="235"/>
        <v>#DIV/0!</v>
      </c>
      <c r="Q795">
        <f t="shared" si="236"/>
        <v>0</v>
      </c>
      <c r="R795">
        <f t="shared" si="237"/>
        <v>741.9099431943954</v>
      </c>
      <c r="T795" t="e">
        <f t="shared" si="238"/>
        <v>#DIV/0!</v>
      </c>
      <c r="U795" t="e">
        <f t="shared" si="239"/>
        <v>#DIV/0!</v>
      </c>
      <c r="V795">
        <f t="shared" si="240"/>
        <v>0</v>
      </c>
      <c r="W795" t="e">
        <f t="shared" si="241"/>
        <v>#DIV/0!</v>
      </c>
    </row>
    <row r="796" spans="1:23" x14ac:dyDescent="0.55000000000000004">
      <c r="A796">
        <f t="shared" si="225"/>
        <v>76.199999999999946</v>
      </c>
      <c r="B796">
        <f t="shared" si="226"/>
        <v>0.316</v>
      </c>
      <c r="C796">
        <f t="shared" si="227"/>
        <v>-44.695652173913018</v>
      </c>
      <c r="D796">
        <v>162.43984551913201</v>
      </c>
      <c r="E796">
        <f t="shared" si="228"/>
        <v>0</v>
      </c>
      <c r="F796">
        <f t="shared" si="229"/>
        <v>4.8605058816845369E-2</v>
      </c>
      <c r="G796">
        <f t="shared" si="230"/>
        <v>39.513748498891111</v>
      </c>
      <c r="H796">
        <f t="shared" si="231"/>
        <v>0</v>
      </c>
      <c r="I796" s="1">
        <f t="shared" si="224"/>
        <v>0</v>
      </c>
      <c r="J796">
        <f t="shared" si="232"/>
        <v>0</v>
      </c>
      <c r="K796">
        <f t="shared" si="233"/>
        <v>0</v>
      </c>
      <c r="L796" cm="1">
        <f t="array" ref="L796">IF(E796*J796=0,0,$C$21*INDEX([3]Sheet1!$C$4:$Q$23,MATCH(K796,[3]Sheet1!$B$4:$B$23,1),MATCH(D796,[3]Sheet1!$C$3:$Q$3,1))
+(K796-INDEX([3]Sheet1!$B$4:$B$23,MATCH(K796,[3]Sheet1!$B$4:$B$23,1),1))/(INDEX([3]Sheet1!$B$4:$B$23,MATCH(K796,[3]Sheet1!$B$4:$B$23,1)+1,1)-INDEX([3]Sheet1!$B$4:$B$23,
MATCH(K796,[3]Sheet1!$B$4:$B$23,1),1))*(INDEX([3]Sheet1!$C$4:$Q$23,MATCH(K796,[3]Sheet1!$B$4:$B$23,1)+1,MATCH(D796,[3]Sheet1!$C$3:$Q$3,1))-INDEX([3]Sheet1!$C$4:$Q$23,
MATCH(K796,[3]Sheet1!$B$4:$B$23,1),MATCH(D796,[3]Sheet1!$C$3:$Q$3,1)))
+(D796-INDEX([3]Sheet1!$C$3:$Q$3,1,MATCH(D796,[3]Sheet1!$C$3:$Q$3)))/(INDEX([3]Sheet1!$C$3:$Q$3,1,MATCH(D796,[3]Sheet1!$C$3:$Q$3)+1)-INDEX([3]Sheet1!$C$3:$Q$3,1,MATCH(
D796,[3]Sheet1!$C$3:$Q$3)))*(INDEX([3]Sheet1!$C$4:$Q$23,MATCH(K796,[3]Sheet1!$B$4:$B$23,1),MATCH(D796,[3]Sheet1!$C$3:$Q$3,1)+1)-INDEX([3]Sheet1!$C$4:$Q$23,MATCH(K796,[3]Sheet1!$B$4:$B$23,1),MATCH(D796,[3]Sheet1!$C$3:$Q$3,1))))</f>
        <v>0</v>
      </c>
      <c r="M796" cm="1">
        <f t="array" ref="M796" xml:space="preserve"> IF(E796*J796=0,0,(INDEX([2]Sheet1!$C$4:$Q$23,MATCH(K796,[2]Sheet1!$B$4:$B$23,1),MATCH(D796,[2]Sheet1!$C$3:$Q$3,1))
+ (K796 - INDEX([2]Sheet1!$B$4:$B$23,MATCH(K796,[2]Sheet1!$B$4:$B$23,1),1))/(INDEX([2]Sheet1!$B$4:$B$23,MATCH(K796,[2]Sheet1!$B$4:$B$23,1)+1,1) - INDEX([2]Sheet1!$B$4:$B$23,MATCH(K796,[2]Sheet1!$B$4:$B$23,1),1))*(INDEX([2]Sheet1!$C$4:$Q$23,MATCH(K796,[2]Sheet1!$B$4:$B$23,1)+1,MATCH(D796,[2]Sheet1!$C$3:$Q$3,1)) - INDEX([2]Sheet1!$C$4:$Q$23,MATCH(K796,[2]Sheet1!$B$4:$B$23,1),MATCH(D796,[2]Sheet1!$C$3:$Q$3,1)))
+ (D796 - INDEX([2]Sheet1!$C$3:$Q$3,1,MATCH(D796,[2]Sheet1!$C$3:$Q$3)))/(INDEX([2]Sheet1!$C$3:$Q$3,1,MATCH(D796,[2]Sheet1!$C$3:$Q$3)+1) - INDEX([2]Sheet1!$C$3:$Q$3,1,MATCH(D796,[2]Sheet1!$C$3:$Q$3)))*(
INDEX([2]Sheet1!$C$4:$Q$23,MATCH(K796,[2]Sheet1!$B$4:$B$23,1),MATCH(D796,[2]Sheet1!$C$3:$Q$3,1)+1) - INDEX([2]Sheet1!$C$4:$Q$23,MATCH(K796,[2]Sheet1!$B$4:$B$23,1),MATCH(D796,[2]Sheet1!$C$3:$Q$3,1)))))</f>
        <v>0</v>
      </c>
      <c r="N796">
        <f t="shared" si="234"/>
        <v>12</v>
      </c>
      <c r="O796">
        <v>162.02450568394099</v>
      </c>
      <c r="P796" t="e">
        <f t="shared" si="235"/>
        <v>#DIV/0!</v>
      </c>
      <c r="Q796">
        <f t="shared" si="236"/>
        <v>0</v>
      </c>
      <c r="R796">
        <f t="shared" si="237"/>
        <v>741.9099431943954</v>
      </c>
      <c r="T796" t="e">
        <f t="shared" si="238"/>
        <v>#DIV/0!</v>
      </c>
      <c r="U796" t="e">
        <f t="shared" si="239"/>
        <v>#DIV/0!</v>
      </c>
      <c r="V796">
        <f t="shared" si="240"/>
        <v>0</v>
      </c>
      <c r="W796" t="e">
        <f t="shared" si="241"/>
        <v>#DIV/0!</v>
      </c>
    </row>
    <row r="797" spans="1:23" x14ac:dyDescent="0.55000000000000004">
      <c r="A797">
        <f t="shared" si="225"/>
        <v>76.29999999999994</v>
      </c>
      <c r="B797">
        <f t="shared" si="226"/>
        <v>0.316</v>
      </c>
      <c r="C797">
        <f t="shared" si="227"/>
        <v>-44.760869565217355</v>
      </c>
      <c r="D797">
        <v>163.43984551913201</v>
      </c>
      <c r="E797">
        <f t="shared" si="228"/>
        <v>0</v>
      </c>
      <c r="F797">
        <f t="shared" si="229"/>
        <v>4.8605058816845369E-2</v>
      </c>
      <c r="G797">
        <f t="shared" si="230"/>
        <v>39.513748498891111</v>
      </c>
      <c r="H797">
        <f t="shared" si="231"/>
        <v>0</v>
      </c>
      <c r="I797" s="1">
        <f t="shared" si="224"/>
        <v>0</v>
      </c>
      <c r="J797">
        <f t="shared" si="232"/>
        <v>0</v>
      </c>
      <c r="K797">
        <f t="shared" si="233"/>
        <v>0</v>
      </c>
      <c r="L797" cm="1">
        <f t="array" ref="L797">IF(E797*J797=0,0,$C$21*INDEX([3]Sheet1!$C$4:$Q$23,MATCH(K797,[3]Sheet1!$B$4:$B$23,1),MATCH(D797,[3]Sheet1!$C$3:$Q$3,1))
+(K797-INDEX([3]Sheet1!$B$4:$B$23,MATCH(K797,[3]Sheet1!$B$4:$B$23,1),1))/(INDEX([3]Sheet1!$B$4:$B$23,MATCH(K797,[3]Sheet1!$B$4:$B$23,1)+1,1)-INDEX([3]Sheet1!$B$4:$B$23,
MATCH(K797,[3]Sheet1!$B$4:$B$23,1),1))*(INDEX([3]Sheet1!$C$4:$Q$23,MATCH(K797,[3]Sheet1!$B$4:$B$23,1)+1,MATCH(D797,[3]Sheet1!$C$3:$Q$3,1))-INDEX([3]Sheet1!$C$4:$Q$23,
MATCH(K797,[3]Sheet1!$B$4:$B$23,1),MATCH(D797,[3]Sheet1!$C$3:$Q$3,1)))
+(D797-INDEX([3]Sheet1!$C$3:$Q$3,1,MATCH(D797,[3]Sheet1!$C$3:$Q$3)))/(INDEX([3]Sheet1!$C$3:$Q$3,1,MATCH(D797,[3]Sheet1!$C$3:$Q$3)+1)-INDEX([3]Sheet1!$C$3:$Q$3,1,MATCH(
D797,[3]Sheet1!$C$3:$Q$3)))*(INDEX([3]Sheet1!$C$4:$Q$23,MATCH(K797,[3]Sheet1!$B$4:$B$23,1),MATCH(D797,[3]Sheet1!$C$3:$Q$3,1)+1)-INDEX([3]Sheet1!$C$4:$Q$23,MATCH(K797,[3]Sheet1!$B$4:$B$23,1),MATCH(D797,[3]Sheet1!$C$3:$Q$3,1))))</f>
        <v>0</v>
      </c>
      <c r="M797" cm="1">
        <f t="array" ref="M797" xml:space="preserve"> IF(E797*J797=0,0,(INDEX([2]Sheet1!$C$4:$Q$23,MATCH(K797,[2]Sheet1!$B$4:$B$23,1),MATCH(D797,[2]Sheet1!$C$3:$Q$3,1))
+ (K797 - INDEX([2]Sheet1!$B$4:$B$23,MATCH(K797,[2]Sheet1!$B$4:$B$23,1),1))/(INDEX([2]Sheet1!$B$4:$B$23,MATCH(K797,[2]Sheet1!$B$4:$B$23,1)+1,1) - INDEX([2]Sheet1!$B$4:$B$23,MATCH(K797,[2]Sheet1!$B$4:$B$23,1),1))*(INDEX([2]Sheet1!$C$4:$Q$23,MATCH(K797,[2]Sheet1!$B$4:$B$23,1)+1,MATCH(D797,[2]Sheet1!$C$3:$Q$3,1)) - INDEX([2]Sheet1!$C$4:$Q$23,MATCH(K797,[2]Sheet1!$B$4:$B$23,1),MATCH(D797,[2]Sheet1!$C$3:$Q$3,1)))
+ (D797 - INDEX([2]Sheet1!$C$3:$Q$3,1,MATCH(D797,[2]Sheet1!$C$3:$Q$3)))/(INDEX([2]Sheet1!$C$3:$Q$3,1,MATCH(D797,[2]Sheet1!$C$3:$Q$3)+1) - INDEX([2]Sheet1!$C$3:$Q$3,1,MATCH(D797,[2]Sheet1!$C$3:$Q$3)))*(
INDEX([2]Sheet1!$C$4:$Q$23,MATCH(K797,[2]Sheet1!$B$4:$B$23,1),MATCH(D797,[2]Sheet1!$C$3:$Q$3,1)+1) - INDEX([2]Sheet1!$C$4:$Q$23,MATCH(K797,[2]Sheet1!$B$4:$B$23,1),MATCH(D797,[2]Sheet1!$C$3:$Q$3,1)))))</f>
        <v>0</v>
      </c>
      <c r="N797">
        <f t="shared" si="234"/>
        <v>12</v>
      </c>
      <c r="O797">
        <v>163.02450568394099</v>
      </c>
      <c r="P797" t="e">
        <f t="shared" si="235"/>
        <v>#DIV/0!</v>
      </c>
      <c r="Q797">
        <f t="shared" si="236"/>
        <v>0</v>
      </c>
      <c r="R797">
        <f t="shared" si="237"/>
        <v>741.9099431943954</v>
      </c>
      <c r="T797" t="e">
        <f t="shared" si="238"/>
        <v>#DIV/0!</v>
      </c>
      <c r="U797" t="e">
        <f t="shared" si="239"/>
        <v>#DIV/0!</v>
      </c>
      <c r="V797">
        <f t="shared" si="240"/>
        <v>0</v>
      </c>
      <c r="W797" t="e">
        <f t="shared" si="241"/>
        <v>#DIV/0!</v>
      </c>
    </row>
    <row r="798" spans="1:23" x14ac:dyDescent="0.55000000000000004">
      <c r="A798">
        <f t="shared" si="225"/>
        <v>76.399999999999935</v>
      </c>
      <c r="B798">
        <f t="shared" si="226"/>
        <v>0.316</v>
      </c>
      <c r="C798">
        <f t="shared" si="227"/>
        <v>-44.826086956521706</v>
      </c>
      <c r="D798">
        <v>164.43984551913201</v>
      </c>
      <c r="E798">
        <f t="shared" si="228"/>
        <v>0</v>
      </c>
      <c r="F798">
        <f t="shared" si="229"/>
        <v>4.8605058816845369E-2</v>
      </c>
      <c r="G798">
        <f t="shared" si="230"/>
        <v>39.513748498891111</v>
      </c>
      <c r="H798">
        <f t="shared" si="231"/>
        <v>0</v>
      </c>
      <c r="I798" s="1">
        <f t="shared" si="224"/>
        <v>0</v>
      </c>
      <c r="J798">
        <f t="shared" si="232"/>
        <v>0</v>
      </c>
      <c r="K798">
        <f t="shared" si="233"/>
        <v>0</v>
      </c>
      <c r="L798" cm="1">
        <f t="array" ref="L798">IF(E798*J798=0,0,$C$21*INDEX([3]Sheet1!$C$4:$Q$23,MATCH(K798,[3]Sheet1!$B$4:$B$23,1),MATCH(D798,[3]Sheet1!$C$3:$Q$3,1))
+(K798-INDEX([3]Sheet1!$B$4:$B$23,MATCH(K798,[3]Sheet1!$B$4:$B$23,1),1))/(INDEX([3]Sheet1!$B$4:$B$23,MATCH(K798,[3]Sheet1!$B$4:$B$23,1)+1,1)-INDEX([3]Sheet1!$B$4:$B$23,
MATCH(K798,[3]Sheet1!$B$4:$B$23,1),1))*(INDEX([3]Sheet1!$C$4:$Q$23,MATCH(K798,[3]Sheet1!$B$4:$B$23,1)+1,MATCH(D798,[3]Sheet1!$C$3:$Q$3,1))-INDEX([3]Sheet1!$C$4:$Q$23,
MATCH(K798,[3]Sheet1!$B$4:$B$23,1),MATCH(D798,[3]Sheet1!$C$3:$Q$3,1)))
+(D798-INDEX([3]Sheet1!$C$3:$Q$3,1,MATCH(D798,[3]Sheet1!$C$3:$Q$3)))/(INDEX([3]Sheet1!$C$3:$Q$3,1,MATCH(D798,[3]Sheet1!$C$3:$Q$3)+1)-INDEX([3]Sheet1!$C$3:$Q$3,1,MATCH(
D798,[3]Sheet1!$C$3:$Q$3)))*(INDEX([3]Sheet1!$C$4:$Q$23,MATCH(K798,[3]Sheet1!$B$4:$B$23,1),MATCH(D798,[3]Sheet1!$C$3:$Q$3,1)+1)-INDEX([3]Sheet1!$C$4:$Q$23,MATCH(K798,[3]Sheet1!$B$4:$B$23,1),MATCH(D798,[3]Sheet1!$C$3:$Q$3,1))))</f>
        <v>0</v>
      </c>
      <c r="M798" cm="1">
        <f t="array" ref="M798" xml:space="preserve"> IF(E798*J798=0,0,(INDEX([2]Sheet1!$C$4:$Q$23,MATCH(K798,[2]Sheet1!$B$4:$B$23,1),MATCH(D798,[2]Sheet1!$C$3:$Q$3,1))
+ (K798 - INDEX([2]Sheet1!$B$4:$B$23,MATCH(K798,[2]Sheet1!$B$4:$B$23,1),1))/(INDEX([2]Sheet1!$B$4:$B$23,MATCH(K798,[2]Sheet1!$B$4:$B$23,1)+1,1) - INDEX([2]Sheet1!$B$4:$B$23,MATCH(K798,[2]Sheet1!$B$4:$B$23,1),1))*(INDEX([2]Sheet1!$C$4:$Q$23,MATCH(K798,[2]Sheet1!$B$4:$B$23,1)+1,MATCH(D798,[2]Sheet1!$C$3:$Q$3,1)) - INDEX([2]Sheet1!$C$4:$Q$23,MATCH(K798,[2]Sheet1!$B$4:$B$23,1),MATCH(D798,[2]Sheet1!$C$3:$Q$3,1)))
+ (D798 - INDEX([2]Sheet1!$C$3:$Q$3,1,MATCH(D798,[2]Sheet1!$C$3:$Q$3)))/(INDEX([2]Sheet1!$C$3:$Q$3,1,MATCH(D798,[2]Sheet1!$C$3:$Q$3)+1) - INDEX([2]Sheet1!$C$3:$Q$3,1,MATCH(D798,[2]Sheet1!$C$3:$Q$3)))*(
INDEX([2]Sheet1!$C$4:$Q$23,MATCH(K798,[2]Sheet1!$B$4:$B$23,1),MATCH(D798,[2]Sheet1!$C$3:$Q$3,1)+1) - INDEX([2]Sheet1!$C$4:$Q$23,MATCH(K798,[2]Sheet1!$B$4:$B$23,1),MATCH(D798,[2]Sheet1!$C$3:$Q$3,1)))))</f>
        <v>0</v>
      </c>
      <c r="N798">
        <f t="shared" si="234"/>
        <v>12</v>
      </c>
      <c r="O798">
        <v>164.02450568394099</v>
      </c>
      <c r="P798" t="e">
        <f t="shared" si="235"/>
        <v>#DIV/0!</v>
      </c>
      <c r="Q798">
        <f t="shared" si="236"/>
        <v>0</v>
      </c>
      <c r="R798">
        <f t="shared" si="237"/>
        <v>741.9099431943954</v>
      </c>
      <c r="T798" t="e">
        <f t="shared" si="238"/>
        <v>#DIV/0!</v>
      </c>
      <c r="U798" t="e">
        <f t="shared" si="239"/>
        <v>#DIV/0!</v>
      </c>
      <c r="V798">
        <f t="shared" si="240"/>
        <v>0</v>
      </c>
      <c r="W798" t="e">
        <f t="shared" si="241"/>
        <v>#DIV/0!</v>
      </c>
    </row>
    <row r="799" spans="1:23" x14ac:dyDescent="0.55000000000000004">
      <c r="A799">
        <f t="shared" si="225"/>
        <v>76.499999999999929</v>
      </c>
      <c r="B799">
        <f t="shared" si="226"/>
        <v>0.316</v>
      </c>
      <c r="C799">
        <f t="shared" si="227"/>
        <v>-44.891304347826043</v>
      </c>
      <c r="D799">
        <v>165.43984551913201</v>
      </c>
      <c r="E799">
        <f t="shared" si="228"/>
        <v>0</v>
      </c>
      <c r="F799">
        <f t="shared" si="229"/>
        <v>4.8605058816845369E-2</v>
      </c>
      <c r="G799">
        <f t="shared" si="230"/>
        <v>39.513748498891111</v>
      </c>
      <c r="H799">
        <f t="shared" si="231"/>
        <v>0</v>
      </c>
      <c r="I799" s="1">
        <f t="shared" si="224"/>
        <v>0</v>
      </c>
      <c r="J799">
        <f t="shared" si="232"/>
        <v>0</v>
      </c>
      <c r="K799">
        <f t="shared" si="233"/>
        <v>0</v>
      </c>
      <c r="L799" cm="1">
        <f t="array" ref="L799">IF(E799*J799=0,0,$C$21*INDEX([3]Sheet1!$C$4:$Q$23,MATCH(K799,[3]Sheet1!$B$4:$B$23,1),MATCH(D799,[3]Sheet1!$C$3:$Q$3,1))
+(K799-INDEX([3]Sheet1!$B$4:$B$23,MATCH(K799,[3]Sheet1!$B$4:$B$23,1),1))/(INDEX([3]Sheet1!$B$4:$B$23,MATCH(K799,[3]Sheet1!$B$4:$B$23,1)+1,1)-INDEX([3]Sheet1!$B$4:$B$23,
MATCH(K799,[3]Sheet1!$B$4:$B$23,1),1))*(INDEX([3]Sheet1!$C$4:$Q$23,MATCH(K799,[3]Sheet1!$B$4:$B$23,1)+1,MATCH(D799,[3]Sheet1!$C$3:$Q$3,1))-INDEX([3]Sheet1!$C$4:$Q$23,
MATCH(K799,[3]Sheet1!$B$4:$B$23,1),MATCH(D799,[3]Sheet1!$C$3:$Q$3,1)))
+(D799-INDEX([3]Sheet1!$C$3:$Q$3,1,MATCH(D799,[3]Sheet1!$C$3:$Q$3)))/(INDEX([3]Sheet1!$C$3:$Q$3,1,MATCH(D799,[3]Sheet1!$C$3:$Q$3)+1)-INDEX([3]Sheet1!$C$3:$Q$3,1,MATCH(
D799,[3]Sheet1!$C$3:$Q$3)))*(INDEX([3]Sheet1!$C$4:$Q$23,MATCH(K799,[3]Sheet1!$B$4:$B$23,1),MATCH(D799,[3]Sheet1!$C$3:$Q$3,1)+1)-INDEX([3]Sheet1!$C$4:$Q$23,MATCH(K799,[3]Sheet1!$B$4:$B$23,1),MATCH(D799,[3]Sheet1!$C$3:$Q$3,1))))</f>
        <v>0</v>
      </c>
      <c r="M799" cm="1">
        <f t="array" ref="M799" xml:space="preserve"> IF(E799*J799=0,0,(INDEX([2]Sheet1!$C$4:$Q$23,MATCH(K799,[2]Sheet1!$B$4:$B$23,1),MATCH(D799,[2]Sheet1!$C$3:$Q$3,1))
+ (K799 - INDEX([2]Sheet1!$B$4:$B$23,MATCH(K799,[2]Sheet1!$B$4:$B$23,1),1))/(INDEX([2]Sheet1!$B$4:$B$23,MATCH(K799,[2]Sheet1!$B$4:$B$23,1)+1,1) - INDEX([2]Sheet1!$B$4:$B$23,MATCH(K799,[2]Sheet1!$B$4:$B$23,1),1))*(INDEX([2]Sheet1!$C$4:$Q$23,MATCH(K799,[2]Sheet1!$B$4:$B$23,1)+1,MATCH(D799,[2]Sheet1!$C$3:$Q$3,1)) - INDEX([2]Sheet1!$C$4:$Q$23,MATCH(K799,[2]Sheet1!$B$4:$B$23,1),MATCH(D799,[2]Sheet1!$C$3:$Q$3,1)))
+ (D799 - INDEX([2]Sheet1!$C$3:$Q$3,1,MATCH(D799,[2]Sheet1!$C$3:$Q$3)))/(INDEX([2]Sheet1!$C$3:$Q$3,1,MATCH(D799,[2]Sheet1!$C$3:$Q$3)+1) - INDEX([2]Sheet1!$C$3:$Q$3,1,MATCH(D799,[2]Sheet1!$C$3:$Q$3)))*(
INDEX([2]Sheet1!$C$4:$Q$23,MATCH(K799,[2]Sheet1!$B$4:$B$23,1),MATCH(D799,[2]Sheet1!$C$3:$Q$3,1)+1) - INDEX([2]Sheet1!$C$4:$Q$23,MATCH(K799,[2]Sheet1!$B$4:$B$23,1),MATCH(D799,[2]Sheet1!$C$3:$Q$3,1)))))</f>
        <v>0</v>
      </c>
      <c r="N799">
        <f t="shared" si="234"/>
        <v>12</v>
      </c>
      <c r="O799">
        <v>165.02450568394099</v>
      </c>
      <c r="P799" t="e">
        <f t="shared" si="235"/>
        <v>#DIV/0!</v>
      </c>
      <c r="Q799">
        <f t="shared" si="236"/>
        <v>0</v>
      </c>
      <c r="R799">
        <f t="shared" si="237"/>
        <v>741.9099431943954</v>
      </c>
      <c r="T799" t="e">
        <f t="shared" si="238"/>
        <v>#DIV/0!</v>
      </c>
      <c r="U799" t="e">
        <f t="shared" si="239"/>
        <v>#DIV/0!</v>
      </c>
      <c r="V799">
        <f t="shared" si="240"/>
        <v>0</v>
      </c>
      <c r="W799" t="e">
        <f t="shared" si="241"/>
        <v>#DIV/0!</v>
      </c>
    </row>
    <row r="800" spans="1:23" x14ac:dyDescent="0.55000000000000004">
      <c r="A800">
        <f t="shared" si="225"/>
        <v>76.599999999999923</v>
      </c>
      <c r="B800">
        <f t="shared" si="226"/>
        <v>0.316</v>
      </c>
      <c r="C800">
        <f t="shared" si="227"/>
        <v>-44.956521739130395</v>
      </c>
      <c r="D800">
        <v>166.43984551913201</v>
      </c>
      <c r="E800">
        <f t="shared" si="228"/>
        <v>0</v>
      </c>
      <c r="F800">
        <f t="shared" si="229"/>
        <v>4.8605058816845369E-2</v>
      </c>
      <c r="G800">
        <f t="shared" si="230"/>
        <v>39.513748498891111</v>
      </c>
      <c r="H800">
        <f t="shared" si="231"/>
        <v>0</v>
      </c>
      <c r="I800" s="1">
        <f t="shared" si="224"/>
        <v>0</v>
      </c>
      <c r="J800">
        <f t="shared" si="232"/>
        <v>0</v>
      </c>
      <c r="K800">
        <f t="shared" si="233"/>
        <v>0</v>
      </c>
      <c r="L800" cm="1">
        <f t="array" ref="L800">IF(E800*J800=0,0,$C$21*INDEX([3]Sheet1!$C$4:$Q$23,MATCH(K800,[3]Sheet1!$B$4:$B$23,1),MATCH(D800,[3]Sheet1!$C$3:$Q$3,1))
+(K800-INDEX([3]Sheet1!$B$4:$B$23,MATCH(K800,[3]Sheet1!$B$4:$B$23,1),1))/(INDEX([3]Sheet1!$B$4:$B$23,MATCH(K800,[3]Sheet1!$B$4:$B$23,1)+1,1)-INDEX([3]Sheet1!$B$4:$B$23,
MATCH(K800,[3]Sheet1!$B$4:$B$23,1),1))*(INDEX([3]Sheet1!$C$4:$Q$23,MATCH(K800,[3]Sheet1!$B$4:$B$23,1)+1,MATCH(D800,[3]Sheet1!$C$3:$Q$3,1))-INDEX([3]Sheet1!$C$4:$Q$23,
MATCH(K800,[3]Sheet1!$B$4:$B$23,1),MATCH(D800,[3]Sheet1!$C$3:$Q$3,1)))
+(D800-INDEX([3]Sheet1!$C$3:$Q$3,1,MATCH(D800,[3]Sheet1!$C$3:$Q$3)))/(INDEX([3]Sheet1!$C$3:$Q$3,1,MATCH(D800,[3]Sheet1!$C$3:$Q$3)+1)-INDEX([3]Sheet1!$C$3:$Q$3,1,MATCH(
D800,[3]Sheet1!$C$3:$Q$3)))*(INDEX([3]Sheet1!$C$4:$Q$23,MATCH(K800,[3]Sheet1!$B$4:$B$23,1),MATCH(D800,[3]Sheet1!$C$3:$Q$3,1)+1)-INDEX([3]Sheet1!$C$4:$Q$23,MATCH(K800,[3]Sheet1!$B$4:$B$23,1),MATCH(D800,[3]Sheet1!$C$3:$Q$3,1))))</f>
        <v>0</v>
      </c>
      <c r="M800" cm="1">
        <f t="array" ref="M800" xml:space="preserve"> IF(E800*J800=0,0,(INDEX([2]Sheet1!$C$4:$Q$23,MATCH(K800,[2]Sheet1!$B$4:$B$23,1),MATCH(D800,[2]Sheet1!$C$3:$Q$3,1))
+ (K800 - INDEX([2]Sheet1!$B$4:$B$23,MATCH(K800,[2]Sheet1!$B$4:$B$23,1),1))/(INDEX([2]Sheet1!$B$4:$B$23,MATCH(K800,[2]Sheet1!$B$4:$B$23,1)+1,1) - INDEX([2]Sheet1!$B$4:$B$23,MATCH(K800,[2]Sheet1!$B$4:$B$23,1),1))*(INDEX([2]Sheet1!$C$4:$Q$23,MATCH(K800,[2]Sheet1!$B$4:$B$23,1)+1,MATCH(D800,[2]Sheet1!$C$3:$Q$3,1)) - INDEX([2]Sheet1!$C$4:$Q$23,MATCH(K800,[2]Sheet1!$B$4:$B$23,1),MATCH(D800,[2]Sheet1!$C$3:$Q$3,1)))
+ (D800 - INDEX([2]Sheet1!$C$3:$Q$3,1,MATCH(D800,[2]Sheet1!$C$3:$Q$3)))/(INDEX([2]Sheet1!$C$3:$Q$3,1,MATCH(D800,[2]Sheet1!$C$3:$Q$3)+1) - INDEX([2]Sheet1!$C$3:$Q$3,1,MATCH(D800,[2]Sheet1!$C$3:$Q$3)))*(
INDEX([2]Sheet1!$C$4:$Q$23,MATCH(K800,[2]Sheet1!$B$4:$B$23,1),MATCH(D800,[2]Sheet1!$C$3:$Q$3,1)+1) - INDEX([2]Sheet1!$C$4:$Q$23,MATCH(K800,[2]Sheet1!$B$4:$B$23,1),MATCH(D800,[2]Sheet1!$C$3:$Q$3,1)))))</f>
        <v>0</v>
      </c>
      <c r="N800">
        <f t="shared" si="234"/>
        <v>12</v>
      </c>
      <c r="O800">
        <v>166.02450568394099</v>
      </c>
      <c r="P800" t="e">
        <f t="shared" si="235"/>
        <v>#DIV/0!</v>
      </c>
      <c r="Q800">
        <f t="shared" si="236"/>
        <v>0</v>
      </c>
      <c r="R800">
        <f t="shared" si="237"/>
        <v>741.9099431943954</v>
      </c>
      <c r="T800" t="e">
        <f t="shared" si="238"/>
        <v>#DIV/0!</v>
      </c>
      <c r="U800" t="e">
        <f t="shared" si="239"/>
        <v>#DIV/0!</v>
      </c>
      <c r="V800">
        <f t="shared" si="240"/>
        <v>0</v>
      </c>
      <c r="W800" t="e">
        <f t="shared" si="241"/>
        <v>#DIV/0!</v>
      </c>
    </row>
    <row r="801" spans="1:23" x14ac:dyDescent="0.55000000000000004">
      <c r="A801">
        <f t="shared" si="225"/>
        <v>76.699999999999918</v>
      </c>
      <c r="B801">
        <f t="shared" si="226"/>
        <v>0.316</v>
      </c>
      <c r="C801">
        <f t="shared" si="227"/>
        <v>-45.021739130434732</v>
      </c>
      <c r="D801">
        <v>167.43984551913201</v>
      </c>
      <c r="E801">
        <f t="shared" si="228"/>
        <v>0</v>
      </c>
      <c r="F801">
        <f t="shared" si="229"/>
        <v>4.8605058816845369E-2</v>
      </c>
      <c r="G801">
        <f t="shared" si="230"/>
        <v>39.513748498891111</v>
      </c>
      <c r="H801">
        <f t="shared" si="231"/>
        <v>0</v>
      </c>
      <c r="I801" s="1">
        <f t="shared" si="224"/>
        <v>0</v>
      </c>
      <c r="J801">
        <f t="shared" si="232"/>
        <v>0</v>
      </c>
      <c r="K801">
        <f t="shared" si="233"/>
        <v>0</v>
      </c>
      <c r="L801" cm="1">
        <f t="array" ref="L801">IF(E801*J801=0,0,$C$21*INDEX([3]Sheet1!$C$4:$Q$23,MATCH(K801,[3]Sheet1!$B$4:$B$23,1),MATCH(D801,[3]Sheet1!$C$3:$Q$3,1))
+(K801-INDEX([3]Sheet1!$B$4:$B$23,MATCH(K801,[3]Sheet1!$B$4:$B$23,1),1))/(INDEX([3]Sheet1!$B$4:$B$23,MATCH(K801,[3]Sheet1!$B$4:$B$23,1)+1,1)-INDEX([3]Sheet1!$B$4:$B$23,
MATCH(K801,[3]Sheet1!$B$4:$B$23,1),1))*(INDEX([3]Sheet1!$C$4:$Q$23,MATCH(K801,[3]Sheet1!$B$4:$B$23,1)+1,MATCH(D801,[3]Sheet1!$C$3:$Q$3,1))-INDEX([3]Sheet1!$C$4:$Q$23,
MATCH(K801,[3]Sheet1!$B$4:$B$23,1),MATCH(D801,[3]Sheet1!$C$3:$Q$3,1)))
+(D801-INDEX([3]Sheet1!$C$3:$Q$3,1,MATCH(D801,[3]Sheet1!$C$3:$Q$3)))/(INDEX([3]Sheet1!$C$3:$Q$3,1,MATCH(D801,[3]Sheet1!$C$3:$Q$3)+1)-INDEX([3]Sheet1!$C$3:$Q$3,1,MATCH(
D801,[3]Sheet1!$C$3:$Q$3)))*(INDEX([3]Sheet1!$C$4:$Q$23,MATCH(K801,[3]Sheet1!$B$4:$B$23,1),MATCH(D801,[3]Sheet1!$C$3:$Q$3,1)+1)-INDEX([3]Sheet1!$C$4:$Q$23,MATCH(K801,[3]Sheet1!$B$4:$B$23,1),MATCH(D801,[3]Sheet1!$C$3:$Q$3,1))))</f>
        <v>0</v>
      </c>
      <c r="M801" cm="1">
        <f t="array" ref="M801" xml:space="preserve"> IF(E801*J801=0,0,(INDEX([2]Sheet1!$C$4:$Q$23,MATCH(K801,[2]Sheet1!$B$4:$B$23,1),MATCH(D801,[2]Sheet1!$C$3:$Q$3,1))
+ (K801 - INDEX([2]Sheet1!$B$4:$B$23,MATCH(K801,[2]Sheet1!$B$4:$B$23,1),1))/(INDEX([2]Sheet1!$B$4:$B$23,MATCH(K801,[2]Sheet1!$B$4:$B$23,1)+1,1) - INDEX([2]Sheet1!$B$4:$B$23,MATCH(K801,[2]Sheet1!$B$4:$B$23,1),1))*(INDEX([2]Sheet1!$C$4:$Q$23,MATCH(K801,[2]Sheet1!$B$4:$B$23,1)+1,MATCH(D801,[2]Sheet1!$C$3:$Q$3,1)) - INDEX([2]Sheet1!$C$4:$Q$23,MATCH(K801,[2]Sheet1!$B$4:$B$23,1),MATCH(D801,[2]Sheet1!$C$3:$Q$3,1)))
+ (D801 - INDEX([2]Sheet1!$C$3:$Q$3,1,MATCH(D801,[2]Sheet1!$C$3:$Q$3)))/(INDEX([2]Sheet1!$C$3:$Q$3,1,MATCH(D801,[2]Sheet1!$C$3:$Q$3)+1) - INDEX([2]Sheet1!$C$3:$Q$3,1,MATCH(D801,[2]Sheet1!$C$3:$Q$3)))*(
INDEX([2]Sheet1!$C$4:$Q$23,MATCH(K801,[2]Sheet1!$B$4:$B$23,1),MATCH(D801,[2]Sheet1!$C$3:$Q$3,1)+1) - INDEX([2]Sheet1!$C$4:$Q$23,MATCH(K801,[2]Sheet1!$B$4:$B$23,1),MATCH(D801,[2]Sheet1!$C$3:$Q$3,1)))))</f>
        <v>0</v>
      </c>
      <c r="N801">
        <f t="shared" si="234"/>
        <v>12</v>
      </c>
      <c r="O801">
        <v>167.02450568394099</v>
      </c>
      <c r="P801" t="e">
        <f t="shared" si="235"/>
        <v>#DIV/0!</v>
      </c>
      <c r="Q801">
        <f t="shared" si="236"/>
        <v>0</v>
      </c>
      <c r="R801">
        <f t="shared" si="237"/>
        <v>741.9099431943954</v>
      </c>
      <c r="T801" t="e">
        <f t="shared" si="238"/>
        <v>#DIV/0!</v>
      </c>
      <c r="U801" t="e">
        <f t="shared" si="239"/>
        <v>#DIV/0!</v>
      </c>
      <c r="V801">
        <f t="shared" si="240"/>
        <v>0</v>
      </c>
      <c r="W801" t="e">
        <f t="shared" si="241"/>
        <v>#DIV/0!</v>
      </c>
    </row>
    <row r="802" spans="1:23" x14ac:dyDescent="0.55000000000000004">
      <c r="A802">
        <f t="shared" si="225"/>
        <v>76.799999999999912</v>
      </c>
      <c r="B802">
        <f t="shared" si="226"/>
        <v>0.316</v>
      </c>
      <c r="C802">
        <f t="shared" si="227"/>
        <v>-45.086956521739083</v>
      </c>
      <c r="D802">
        <v>168.43984551913201</v>
      </c>
      <c r="E802">
        <f t="shared" si="228"/>
        <v>0</v>
      </c>
      <c r="F802">
        <f t="shared" si="229"/>
        <v>4.8605058816845369E-2</v>
      </c>
      <c r="G802">
        <f t="shared" si="230"/>
        <v>39.513748498891111</v>
      </c>
      <c r="H802">
        <f t="shared" si="231"/>
        <v>0</v>
      </c>
      <c r="I802" s="1">
        <f t="shared" si="224"/>
        <v>0</v>
      </c>
      <c r="J802">
        <f t="shared" si="232"/>
        <v>0</v>
      </c>
      <c r="K802">
        <f t="shared" si="233"/>
        <v>0</v>
      </c>
      <c r="L802" cm="1">
        <f t="array" ref="L802">IF(E802*J802=0,0,$C$21*INDEX([3]Sheet1!$C$4:$Q$23,MATCH(K802,[3]Sheet1!$B$4:$B$23,1),MATCH(D802,[3]Sheet1!$C$3:$Q$3,1))
+(K802-INDEX([3]Sheet1!$B$4:$B$23,MATCH(K802,[3]Sheet1!$B$4:$B$23,1),1))/(INDEX([3]Sheet1!$B$4:$B$23,MATCH(K802,[3]Sheet1!$B$4:$B$23,1)+1,1)-INDEX([3]Sheet1!$B$4:$B$23,
MATCH(K802,[3]Sheet1!$B$4:$B$23,1),1))*(INDEX([3]Sheet1!$C$4:$Q$23,MATCH(K802,[3]Sheet1!$B$4:$B$23,1)+1,MATCH(D802,[3]Sheet1!$C$3:$Q$3,1))-INDEX([3]Sheet1!$C$4:$Q$23,
MATCH(K802,[3]Sheet1!$B$4:$B$23,1),MATCH(D802,[3]Sheet1!$C$3:$Q$3,1)))
+(D802-INDEX([3]Sheet1!$C$3:$Q$3,1,MATCH(D802,[3]Sheet1!$C$3:$Q$3)))/(INDEX([3]Sheet1!$C$3:$Q$3,1,MATCH(D802,[3]Sheet1!$C$3:$Q$3)+1)-INDEX([3]Sheet1!$C$3:$Q$3,1,MATCH(
D802,[3]Sheet1!$C$3:$Q$3)))*(INDEX([3]Sheet1!$C$4:$Q$23,MATCH(K802,[3]Sheet1!$B$4:$B$23,1),MATCH(D802,[3]Sheet1!$C$3:$Q$3,1)+1)-INDEX([3]Sheet1!$C$4:$Q$23,MATCH(K802,[3]Sheet1!$B$4:$B$23,1),MATCH(D802,[3]Sheet1!$C$3:$Q$3,1))))</f>
        <v>0</v>
      </c>
      <c r="M802" cm="1">
        <f t="array" ref="M802" xml:space="preserve"> IF(E802*J802=0,0,(INDEX([2]Sheet1!$C$4:$Q$23,MATCH(K802,[2]Sheet1!$B$4:$B$23,1),MATCH(D802,[2]Sheet1!$C$3:$Q$3,1))
+ (K802 - INDEX([2]Sheet1!$B$4:$B$23,MATCH(K802,[2]Sheet1!$B$4:$B$23,1),1))/(INDEX([2]Sheet1!$B$4:$B$23,MATCH(K802,[2]Sheet1!$B$4:$B$23,1)+1,1) - INDEX([2]Sheet1!$B$4:$B$23,MATCH(K802,[2]Sheet1!$B$4:$B$23,1),1))*(INDEX([2]Sheet1!$C$4:$Q$23,MATCH(K802,[2]Sheet1!$B$4:$B$23,1)+1,MATCH(D802,[2]Sheet1!$C$3:$Q$3,1)) - INDEX([2]Sheet1!$C$4:$Q$23,MATCH(K802,[2]Sheet1!$B$4:$B$23,1),MATCH(D802,[2]Sheet1!$C$3:$Q$3,1)))
+ (D802 - INDEX([2]Sheet1!$C$3:$Q$3,1,MATCH(D802,[2]Sheet1!$C$3:$Q$3)))/(INDEX([2]Sheet1!$C$3:$Q$3,1,MATCH(D802,[2]Sheet1!$C$3:$Q$3)+1) - INDEX([2]Sheet1!$C$3:$Q$3,1,MATCH(D802,[2]Sheet1!$C$3:$Q$3)))*(
INDEX([2]Sheet1!$C$4:$Q$23,MATCH(K802,[2]Sheet1!$B$4:$B$23,1),MATCH(D802,[2]Sheet1!$C$3:$Q$3,1)+1) - INDEX([2]Sheet1!$C$4:$Q$23,MATCH(K802,[2]Sheet1!$B$4:$B$23,1),MATCH(D802,[2]Sheet1!$C$3:$Q$3,1)))))</f>
        <v>0</v>
      </c>
      <c r="N802">
        <f t="shared" si="234"/>
        <v>12</v>
      </c>
      <c r="O802">
        <v>168.02450568394099</v>
      </c>
      <c r="P802" t="e">
        <f t="shared" si="235"/>
        <v>#DIV/0!</v>
      </c>
      <c r="Q802">
        <f t="shared" si="236"/>
        <v>0</v>
      </c>
      <c r="R802">
        <f t="shared" si="237"/>
        <v>741.9099431943954</v>
      </c>
      <c r="T802" t="e">
        <f t="shared" si="238"/>
        <v>#DIV/0!</v>
      </c>
      <c r="U802" t="e">
        <f t="shared" si="239"/>
        <v>#DIV/0!</v>
      </c>
      <c r="V802">
        <f t="shared" si="240"/>
        <v>0</v>
      </c>
      <c r="W802" t="e">
        <f t="shared" si="241"/>
        <v>#DIV/0!</v>
      </c>
    </row>
    <row r="803" spans="1:23" x14ac:dyDescent="0.55000000000000004">
      <c r="A803">
        <f t="shared" si="225"/>
        <v>76.899999999999906</v>
      </c>
      <c r="B803">
        <f t="shared" si="226"/>
        <v>0.316</v>
      </c>
      <c r="C803">
        <f t="shared" si="227"/>
        <v>-45.15217391304342</v>
      </c>
      <c r="D803">
        <v>169.43984551913201</v>
      </c>
      <c r="E803">
        <f t="shared" si="228"/>
        <v>0</v>
      </c>
      <c r="F803">
        <f t="shared" si="229"/>
        <v>4.8605058816845369E-2</v>
      </c>
      <c r="G803">
        <f t="shared" si="230"/>
        <v>39.513748498891111</v>
      </c>
      <c r="H803">
        <f t="shared" si="231"/>
        <v>0</v>
      </c>
      <c r="I803" s="1">
        <f t="shared" ref="I803:I866" si="242">IF(G803=$C$14,0,$C$16*(H803)^$C$17)</f>
        <v>0</v>
      </c>
      <c r="J803">
        <f t="shared" si="232"/>
        <v>0</v>
      </c>
      <c r="K803">
        <f t="shared" si="233"/>
        <v>0</v>
      </c>
      <c r="L803" cm="1">
        <f t="array" ref="L803">IF(E803*J803=0,0,$C$21*INDEX([3]Sheet1!$C$4:$Q$23,MATCH(K803,[3]Sheet1!$B$4:$B$23,1),MATCH(D803,[3]Sheet1!$C$3:$Q$3,1))
+(K803-INDEX([3]Sheet1!$B$4:$B$23,MATCH(K803,[3]Sheet1!$B$4:$B$23,1),1))/(INDEX([3]Sheet1!$B$4:$B$23,MATCH(K803,[3]Sheet1!$B$4:$B$23,1)+1,1)-INDEX([3]Sheet1!$B$4:$B$23,
MATCH(K803,[3]Sheet1!$B$4:$B$23,1),1))*(INDEX([3]Sheet1!$C$4:$Q$23,MATCH(K803,[3]Sheet1!$B$4:$B$23,1)+1,MATCH(D803,[3]Sheet1!$C$3:$Q$3,1))-INDEX([3]Sheet1!$C$4:$Q$23,
MATCH(K803,[3]Sheet1!$B$4:$B$23,1),MATCH(D803,[3]Sheet1!$C$3:$Q$3,1)))
+(D803-INDEX([3]Sheet1!$C$3:$Q$3,1,MATCH(D803,[3]Sheet1!$C$3:$Q$3)))/(INDEX([3]Sheet1!$C$3:$Q$3,1,MATCH(D803,[3]Sheet1!$C$3:$Q$3)+1)-INDEX([3]Sheet1!$C$3:$Q$3,1,MATCH(
D803,[3]Sheet1!$C$3:$Q$3)))*(INDEX([3]Sheet1!$C$4:$Q$23,MATCH(K803,[3]Sheet1!$B$4:$B$23,1),MATCH(D803,[3]Sheet1!$C$3:$Q$3,1)+1)-INDEX([3]Sheet1!$C$4:$Q$23,MATCH(K803,[3]Sheet1!$B$4:$B$23,1),MATCH(D803,[3]Sheet1!$C$3:$Q$3,1))))</f>
        <v>0</v>
      </c>
      <c r="M803" cm="1">
        <f t="array" ref="M803" xml:space="preserve"> IF(E803*J803=0,0,(INDEX([2]Sheet1!$C$4:$Q$23,MATCH(K803,[2]Sheet1!$B$4:$B$23,1),MATCH(D803,[2]Sheet1!$C$3:$Q$3,1))
+ (K803 - INDEX([2]Sheet1!$B$4:$B$23,MATCH(K803,[2]Sheet1!$B$4:$B$23,1),1))/(INDEX([2]Sheet1!$B$4:$B$23,MATCH(K803,[2]Sheet1!$B$4:$B$23,1)+1,1) - INDEX([2]Sheet1!$B$4:$B$23,MATCH(K803,[2]Sheet1!$B$4:$B$23,1),1))*(INDEX([2]Sheet1!$C$4:$Q$23,MATCH(K803,[2]Sheet1!$B$4:$B$23,1)+1,MATCH(D803,[2]Sheet1!$C$3:$Q$3,1)) - INDEX([2]Sheet1!$C$4:$Q$23,MATCH(K803,[2]Sheet1!$B$4:$B$23,1),MATCH(D803,[2]Sheet1!$C$3:$Q$3,1)))
+ (D803 - INDEX([2]Sheet1!$C$3:$Q$3,1,MATCH(D803,[2]Sheet1!$C$3:$Q$3)))/(INDEX([2]Sheet1!$C$3:$Q$3,1,MATCH(D803,[2]Sheet1!$C$3:$Q$3)+1) - INDEX([2]Sheet1!$C$3:$Q$3,1,MATCH(D803,[2]Sheet1!$C$3:$Q$3)))*(
INDEX([2]Sheet1!$C$4:$Q$23,MATCH(K803,[2]Sheet1!$B$4:$B$23,1),MATCH(D803,[2]Sheet1!$C$3:$Q$3,1)+1) - INDEX([2]Sheet1!$C$4:$Q$23,MATCH(K803,[2]Sheet1!$B$4:$B$23,1),MATCH(D803,[2]Sheet1!$C$3:$Q$3,1)))))</f>
        <v>0</v>
      </c>
      <c r="N803">
        <f t="shared" si="234"/>
        <v>12</v>
      </c>
      <c r="O803">
        <v>169.02450568394099</v>
      </c>
      <c r="P803" t="e">
        <f t="shared" si="235"/>
        <v>#DIV/0!</v>
      </c>
      <c r="Q803">
        <f t="shared" si="236"/>
        <v>0</v>
      </c>
      <c r="R803">
        <f t="shared" si="237"/>
        <v>741.9099431943954</v>
      </c>
      <c r="T803" t="e">
        <f t="shared" si="238"/>
        <v>#DIV/0!</v>
      </c>
      <c r="U803" t="e">
        <f t="shared" si="239"/>
        <v>#DIV/0!</v>
      </c>
      <c r="V803">
        <f t="shared" si="240"/>
        <v>0</v>
      </c>
      <c r="W803" t="e">
        <f t="shared" si="241"/>
        <v>#DIV/0!</v>
      </c>
    </row>
    <row r="804" spans="1:23" x14ac:dyDescent="0.55000000000000004">
      <c r="A804">
        <f t="shared" ref="A804:A867" si="243">A803+$C$29</f>
        <v>76.999999999999901</v>
      </c>
      <c r="B804">
        <f t="shared" si="226"/>
        <v>0.316</v>
      </c>
      <c r="C804">
        <f t="shared" si="227"/>
        <v>-45.217391304347771</v>
      </c>
      <c r="D804">
        <v>170.43984551913201</v>
      </c>
      <c r="E804">
        <f t="shared" si="228"/>
        <v>0</v>
      </c>
      <c r="F804">
        <f t="shared" si="229"/>
        <v>4.8605058816845369E-2</v>
      </c>
      <c r="G804">
        <f t="shared" si="230"/>
        <v>39.513748498891111</v>
      </c>
      <c r="H804">
        <f t="shared" si="231"/>
        <v>0</v>
      </c>
      <c r="I804" s="1">
        <f t="shared" si="242"/>
        <v>0</v>
      </c>
      <c r="J804">
        <f t="shared" si="232"/>
        <v>0</v>
      </c>
      <c r="K804">
        <f t="shared" si="233"/>
        <v>0</v>
      </c>
      <c r="L804" cm="1">
        <f t="array" ref="L804">IF(E804*J804=0,0,$C$21*INDEX([3]Sheet1!$C$4:$Q$23,MATCH(K804,[3]Sheet1!$B$4:$B$23,1),MATCH(D804,[3]Sheet1!$C$3:$Q$3,1))
+(K804-INDEX([3]Sheet1!$B$4:$B$23,MATCH(K804,[3]Sheet1!$B$4:$B$23,1),1))/(INDEX([3]Sheet1!$B$4:$B$23,MATCH(K804,[3]Sheet1!$B$4:$B$23,1)+1,1)-INDEX([3]Sheet1!$B$4:$B$23,
MATCH(K804,[3]Sheet1!$B$4:$B$23,1),1))*(INDEX([3]Sheet1!$C$4:$Q$23,MATCH(K804,[3]Sheet1!$B$4:$B$23,1)+1,MATCH(D804,[3]Sheet1!$C$3:$Q$3,1))-INDEX([3]Sheet1!$C$4:$Q$23,
MATCH(K804,[3]Sheet1!$B$4:$B$23,1),MATCH(D804,[3]Sheet1!$C$3:$Q$3,1)))
+(D804-INDEX([3]Sheet1!$C$3:$Q$3,1,MATCH(D804,[3]Sheet1!$C$3:$Q$3)))/(INDEX([3]Sheet1!$C$3:$Q$3,1,MATCH(D804,[3]Sheet1!$C$3:$Q$3)+1)-INDEX([3]Sheet1!$C$3:$Q$3,1,MATCH(
D804,[3]Sheet1!$C$3:$Q$3)))*(INDEX([3]Sheet1!$C$4:$Q$23,MATCH(K804,[3]Sheet1!$B$4:$B$23,1),MATCH(D804,[3]Sheet1!$C$3:$Q$3,1)+1)-INDEX([3]Sheet1!$C$4:$Q$23,MATCH(K804,[3]Sheet1!$B$4:$B$23,1),MATCH(D804,[3]Sheet1!$C$3:$Q$3,1))))</f>
        <v>0</v>
      </c>
      <c r="M804" cm="1">
        <f t="array" ref="M804" xml:space="preserve"> IF(E804*J804=0,0,(INDEX([2]Sheet1!$C$4:$Q$23,MATCH(K804,[2]Sheet1!$B$4:$B$23,1),MATCH(D804,[2]Sheet1!$C$3:$Q$3,1))
+ (K804 - INDEX([2]Sheet1!$B$4:$B$23,MATCH(K804,[2]Sheet1!$B$4:$B$23,1),1))/(INDEX([2]Sheet1!$B$4:$B$23,MATCH(K804,[2]Sheet1!$B$4:$B$23,1)+1,1) - INDEX([2]Sheet1!$B$4:$B$23,MATCH(K804,[2]Sheet1!$B$4:$B$23,1),1))*(INDEX([2]Sheet1!$C$4:$Q$23,MATCH(K804,[2]Sheet1!$B$4:$B$23,1)+1,MATCH(D804,[2]Sheet1!$C$3:$Q$3,1)) - INDEX([2]Sheet1!$C$4:$Q$23,MATCH(K804,[2]Sheet1!$B$4:$B$23,1),MATCH(D804,[2]Sheet1!$C$3:$Q$3,1)))
+ (D804 - INDEX([2]Sheet1!$C$3:$Q$3,1,MATCH(D804,[2]Sheet1!$C$3:$Q$3)))/(INDEX([2]Sheet1!$C$3:$Q$3,1,MATCH(D804,[2]Sheet1!$C$3:$Q$3)+1) - INDEX([2]Sheet1!$C$3:$Q$3,1,MATCH(D804,[2]Sheet1!$C$3:$Q$3)))*(
INDEX([2]Sheet1!$C$4:$Q$23,MATCH(K804,[2]Sheet1!$B$4:$B$23,1),MATCH(D804,[2]Sheet1!$C$3:$Q$3,1)+1) - INDEX([2]Sheet1!$C$4:$Q$23,MATCH(K804,[2]Sheet1!$B$4:$B$23,1),MATCH(D804,[2]Sheet1!$C$3:$Q$3,1)))))</f>
        <v>0</v>
      </c>
      <c r="N804">
        <f t="shared" si="234"/>
        <v>12</v>
      </c>
      <c r="O804">
        <v>170.02450568394099</v>
      </c>
      <c r="P804" t="e">
        <f t="shared" si="235"/>
        <v>#DIV/0!</v>
      </c>
      <c r="Q804">
        <f t="shared" si="236"/>
        <v>0</v>
      </c>
      <c r="R804">
        <f t="shared" si="237"/>
        <v>741.9099431943954</v>
      </c>
      <c r="T804" t="e">
        <f t="shared" si="238"/>
        <v>#DIV/0!</v>
      </c>
      <c r="U804" t="e">
        <f t="shared" si="239"/>
        <v>#DIV/0!</v>
      </c>
      <c r="V804">
        <f t="shared" si="240"/>
        <v>0</v>
      </c>
      <c r="W804" t="e">
        <f t="shared" si="241"/>
        <v>#DIV/0!</v>
      </c>
    </row>
    <row r="805" spans="1:23" x14ac:dyDescent="0.55000000000000004">
      <c r="A805">
        <f t="shared" si="243"/>
        <v>77.099999999999895</v>
      </c>
      <c r="B805">
        <f t="shared" si="226"/>
        <v>0.316</v>
      </c>
      <c r="C805">
        <f t="shared" si="227"/>
        <v>-45.282608695652108</v>
      </c>
      <c r="D805">
        <v>171.43984551913201</v>
      </c>
      <c r="E805">
        <f t="shared" si="228"/>
        <v>0</v>
      </c>
      <c r="F805">
        <f t="shared" si="229"/>
        <v>4.8605058816845369E-2</v>
      </c>
      <c r="G805">
        <f t="shared" si="230"/>
        <v>39.513748498891111</v>
      </c>
      <c r="H805">
        <f t="shared" si="231"/>
        <v>0</v>
      </c>
      <c r="I805" s="1">
        <f t="shared" si="242"/>
        <v>0</v>
      </c>
      <c r="J805">
        <f t="shared" si="232"/>
        <v>0</v>
      </c>
      <c r="K805">
        <f t="shared" si="233"/>
        <v>0</v>
      </c>
      <c r="L805" cm="1">
        <f t="array" ref="L805">IF(E805*J805=0,0,$C$21*INDEX([3]Sheet1!$C$4:$Q$23,MATCH(K805,[3]Sheet1!$B$4:$B$23,1),MATCH(D805,[3]Sheet1!$C$3:$Q$3,1))
+(K805-INDEX([3]Sheet1!$B$4:$B$23,MATCH(K805,[3]Sheet1!$B$4:$B$23,1),1))/(INDEX([3]Sheet1!$B$4:$B$23,MATCH(K805,[3]Sheet1!$B$4:$B$23,1)+1,1)-INDEX([3]Sheet1!$B$4:$B$23,
MATCH(K805,[3]Sheet1!$B$4:$B$23,1),1))*(INDEX([3]Sheet1!$C$4:$Q$23,MATCH(K805,[3]Sheet1!$B$4:$B$23,1)+1,MATCH(D805,[3]Sheet1!$C$3:$Q$3,1))-INDEX([3]Sheet1!$C$4:$Q$23,
MATCH(K805,[3]Sheet1!$B$4:$B$23,1),MATCH(D805,[3]Sheet1!$C$3:$Q$3,1)))
+(D805-INDEX([3]Sheet1!$C$3:$Q$3,1,MATCH(D805,[3]Sheet1!$C$3:$Q$3)))/(INDEX([3]Sheet1!$C$3:$Q$3,1,MATCH(D805,[3]Sheet1!$C$3:$Q$3)+1)-INDEX([3]Sheet1!$C$3:$Q$3,1,MATCH(
D805,[3]Sheet1!$C$3:$Q$3)))*(INDEX([3]Sheet1!$C$4:$Q$23,MATCH(K805,[3]Sheet1!$B$4:$B$23,1),MATCH(D805,[3]Sheet1!$C$3:$Q$3,1)+1)-INDEX([3]Sheet1!$C$4:$Q$23,MATCH(K805,[3]Sheet1!$B$4:$B$23,1),MATCH(D805,[3]Sheet1!$C$3:$Q$3,1))))</f>
        <v>0</v>
      </c>
      <c r="M805" cm="1">
        <f t="array" ref="M805" xml:space="preserve"> IF(E805*J805=0,0,(INDEX([2]Sheet1!$C$4:$Q$23,MATCH(K805,[2]Sheet1!$B$4:$B$23,1),MATCH(D805,[2]Sheet1!$C$3:$Q$3,1))
+ (K805 - INDEX([2]Sheet1!$B$4:$B$23,MATCH(K805,[2]Sheet1!$B$4:$B$23,1),1))/(INDEX([2]Sheet1!$B$4:$B$23,MATCH(K805,[2]Sheet1!$B$4:$B$23,1)+1,1) - INDEX([2]Sheet1!$B$4:$B$23,MATCH(K805,[2]Sheet1!$B$4:$B$23,1),1))*(INDEX([2]Sheet1!$C$4:$Q$23,MATCH(K805,[2]Sheet1!$B$4:$B$23,1)+1,MATCH(D805,[2]Sheet1!$C$3:$Q$3,1)) - INDEX([2]Sheet1!$C$4:$Q$23,MATCH(K805,[2]Sheet1!$B$4:$B$23,1),MATCH(D805,[2]Sheet1!$C$3:$Q$3,1)))
+ (D805 - INDEX([2]Sheet1!$C$3:$Q$3,1,MATCH(D805,[2]Sheet1!$C$3:$Q$3)))/(INDEX([2]Sheet1!$C$3:$Q$3,1,MATCH(D805,[2]Sheet1!$C$3:$Q$3)+1) - INDEX([2]Sheet1!$C$3:$Q$3,1,MATCH(D805,[2]Sheet1!$C$3:$Q$3)))*(
INDEX([2]Sheet1!$C$4:$Q$23,MATCH(K805,[2]Sheet1!$B$4:$B$23,1),MATCH(D805,[2]Sheet1!$C$3:$Q$3,1)+1) - INDEX([2]Sheet1!$C$4:$Q$23,MATCH(K805,[2]Sheet1!$B$4:$B$23,1),MATCH(D805,[2]Sheet1!$C$3:$Q$3,1)))))</f>
        <v>0</v>
      </c>
      <c r="N805">
        <f t="shared" si="234"/>
        <v>12</v>
      </c>
      <c r="O805">
        <v>171.02450568394099</v>
      </c>
      <c r="P805" t="e">
        <f t="shared" si="235"/>
        <v>#DIV/0!</v>
      </c>
      <c r="Q805">
        <f t="shared" si="236"/>
        <v>0</v>
      </c>
      <c r="R805">
        <f t="shared" si="237"/>
        <v>741.9099431943954</v>
      </c>
      <c r="T805" t="e">
        <f t="shared" si="238"/>
        <v>#DIV/0!</v>
      </c>
      <c r="U805" t="e">
        <f t="shared" si="239"/>
        <v>#DIV/0!</v>
      </c>
      <c r="V805">
        <f t="shared" si="240"/>
        <v>0</v>
      </c>
      <c r="W805" t="e">
        <f t="shared" si="241"/>
        <v>#DIV/0!</v>
      </c>
    </row>
    <row r="806" spans="1:23" x14ac:dyDescent="0.55000000000000004">
      <c r="A806">
        <f t="shared" si="243"/>
        <v>77.199999999999889</v>
      </c>
      <c r="B806">
        <f t="shared" ref="B806:B869" si="244">IF(B805+(E805+E804)*(A805-A804)/2&lt;$C$5*$C$6*10^-6,B805+(E805+E804)*(A805-A804)/2,$C$5*$C$6*10^-6)</f>
        <v>0.316</v>
      </c>
      <c r="C806">
        <f t="shared" si="227"/>
        <v>-45.347826086956459</v>
      </c>
      <c r="D806">
        <v>172.43984551913201</v>
      </c>
      <c r="E806">
        <f t="shared" si="228"/>
        <v>0</v>
      </c>
      <c r="F806">
        <f t="shared" si="229"/>
        <v>4.8605058816845369E-2</v>
      </c>
      <c r="G806">
        <f t="shared" si="230"/>
        <v>39.513748498891111</v>
      </c>
      <c r="H806">
        <f t="shared" si="231"/>
        <v>0</v>
      </c>
      <c r="I806" s="1">
        <f t="shared" si="242"/>
        <v>0</v>
      </c>
      <c r="J806">
        <f t="shared" si="232"/>
        <v>0</v>
      </c>
      <c r="K806">
        <f t="shared" si="233"/>
        <v>0</v>
      </c>
      <c r="L806" cm="1">
        <f t="array" ref="L806">IF(E806*J806=0,0,$C$21*INDEX([3]Sheet1!$C$4:$Q$23,MATCH(K806,[3]Sheet1!$B$4:$B$23,1),MATCH(D806,[3]Sheet1!$C$3:$Q$3,1))
+(K806-INDEX([3]Sheet1!$B$4:$B$23,MATCH(K806,[3]Sheet1!$B$4:$B$23,1),1))/(INDEX([3]Sheet1!$B$4:$B$23,MATCH(K806,[3]Sheet1!$B$4:$B$23,1)+1,1)-INDEX([3]Sheet1!$B$4:$B$23,
MATCH(K806,[3]Sheet1!$B$4:$B$23,1),1))*(INDEX([3]Sheet1!$C$4:$Q$23,MATCH(K806,[3]Sheet1!$B$4:$B$23,1)+1,MATCH(D806,[3]Sheet1!$C$3:$Q$3,1))-INDEX([3]Sheet1!$C$4:$Q$23,
MATCH(K806,[3]Sheet1!$B$4:$B$23,1),MATCH(D806,[3]Sheet1!$C$3:$Q$3,1)))
+(D806-INDEX([3]Sheet1!$C$3:$Q$3,1,MATCH(D806,[3]Sheet1!$C$3:$Q$3)))/(INDEX([3]Sheet1!$C$3:$Q$3,1,MATCH(D806,[3]Sheet1!$C$3:$Q$3)+1)-INDEX([3]Sheet1!$C$3:$Q$3,1,MATCH(
D806,[3]Sheet1!$C$3:$Q$3)))*(INDEX([3]Sheet1!$C$4:$Q$23,MATCH(K806,[3]Sheet1!$B$4:$B$23,1),MATCH(D806,[3]Sheet1!$C$3:$Q$3,1)+1)-INDEX([3]Sheet1!$C$4:$Q$23,MATCH(K806,[3]Sheet1!$B$4:$B$23,1),MATCH(D806,[3]Sheet1!$C$3:$Q$3,1))))</f>
        <v>0</v>
      </c>
      <c r="M806" cm="1">
        <f t="array" ref="M806" xml:space="preserve"> IF(E806*J806=0,0,(INDEX([2]Sheet1!$C$4:$Q$23,MATCH(K806,[2]Sheet1!$B$4:$B$23,1),MATCH(D806,[2]Sheet1!$C$3:$Q$3,1))
+ (K806 - INDEX([2]Sheet1!$B$4:$B$23,MATCH(K806,[2]Sheet1!$B$4:$B$23,1),1))/(INDEX([2]Sheet1!$B$4:$B$23,MATCH(K806,[2]Sheet1!$B$4:$B$23,1)+1,1) - INDEX([2]Sheet1!$B$4:$B$23,MATCH(K806,[2]Sheet1!$B$4:$B$23,1),1))*(INDEX([2]Sheet1!$C$4:$Q$23,MATCH(K806,[2]Sheet1!$B$4:$B$23,1)+1,MATCH(D806,[2]Sheet1!$C$3:$Q$3,1)) - INDEX([2]Sheet1!$C$4:$Q$23,MATCH(K806,[2]Sheet1!$B$4:$B$23,1),MATCH(D806,[2]Sheet1!$C$3:$Q$3,1)))
+ (D806 - INDEX([2]Sheet1!$C$3:$Q$3,1,MATCH(D806,[2]Sheet1!$C$3:$Q$3)))/(INDEX([2]Sheet1!$C$3:$Q$3,1,MATCH(D806,[2]Sheet1!$C$3:$Q$3)+1) - INDEX([2]Sheet1!$C$3:$Q$3,1,MATCH(D806,[2]Sheet1!$C$3:$Q$3)))*(
INDEX([2]Sheet1!$C$4:$Q$23,MATCH(K806,[2]Sheet1!$B$4:$B$23,1),MATCH(D806,[2]Sheet1!$C$3:$Q$3,1)+1) - INDEX([2]Sheet1!$C$4:$Q$23,MATCH(K806,[2]Sheet1!$B$4:$B$23,1),MATCH(D806,[2]Sheet1!$C$3:$Q$3,1)))))</f>
        <v>0</v>
      </c>
      <c r="N806">
        <f t="shared" si="234"/>
        <v>12</v>
      </c>
      <c r="O806">
        <v>172.02450568394099</v>
      </c>
      <c r="P806" t="e">
        <f t="shared" si="235"/>
        <v>#DIV/0!</v>
      </c>
      <c r="Q806">
        <f t="shared" si="236"/>
        <v>0</v>
      </c>
      <c r="R806">
        <f t="shared" si="237"/>
        <v>741.9099431943954</v>
      </c>
      <c r="T806" t="e">
        <f t="shared" si="238"/>
        <v>#DIV/0!</v>
      </c>
      <c r="U806" t="e">
        <f t="shared" si="239"/>
        <v>#DIV/0!</v>
      </c>
      <c r="V806">
        <f t="shared" si="240"/>
        <v>0</v>
      </c>
      <c r="W806" t="e">
        <f t="shared" si="241"/>
        <v>#DIV/0!</v>
      </c>
    </row>
    <row r="807" spans="1:23" x14ac:dyDescent="0.55000000000000004">
      <c r="A807">
        <f t="shared" si="243"/>
        <v>77.299999999999883</v>
      </c>
      <c r="B807">
        <f t="shared" si="244"/>
        <v>0.316</v>
      </c>
      <c r="C807">
        <f t="shared" si="227"/>
        <v>-45.413043478260796</v>
      </c>
      <c r="D807">
        <v>173.43984551913201</v>
      </c>
      <c r="E807">
        <f t="shared" si="228"/>
        <v>0</v>
      </c>
      <c r="F807">
        <f t="shared" si="229"/>
        <v>4.8605058816845369E-2</v>
      </c>
      <c r="G807">
        <f t="shared" si="230"/>
        <v>39.513748498891111</v>
      </c>
      <c r="H807">
        <f t="shared" si="231"/>
        <v>0</v>
      </c>
      <c r="I807" s="1">
        <f t="shared" si="242"/>
        <v>0</v>
      </c>
      <c r="J807">
        <f t="shared" si="232"/>
        <v>0</v>
      </c>
      <c r="K807">
        <f t="shared" si="233"/>
        <v>0</v>
      </c>
      <c r="L807" cm="1">
        <f t="array" ref="L807">IF(E807*J807=0,0,$C$21*INDEX([3]Sheet1!$C$4:$Q$23,MATCH(K807,[3]Sheet1!$B$4:$B$23,1),MATCH(D807,[3]Sheet1!$C$3:$Q$3,1))
+(K807-INDEX([3]Sheet1!$B$4:$B$23,MATCH(K807,[3]Sheet1!$B$4:$B$23,1),1))/(INDEX([3]Sheet1!$B$4:$B$23,MATCH(K807,[3]Sheet1!$B$4:$B$23,1)+1,1)-INDEX([3]Sheet1!$B$4:$B$23,
MATCH(K807,[3]Sheet1!$B$4:$B$23,1),1))*(INDEX([3]Sheet1!$C$4:$Q$23,MATCH(K807,[3]Sheet1!$B$4:$B$23,1)+1,MATCH(D807,[3]Sheet1!$C$3:$Q$3,1))-INDEX([3]Sheet1!$C$4:$Q$23,
MATCH(K807,[3]Sheet1!$B$4:$B$23,1),MATCH(D807,[3]Sheet1!$C$3:$Q$3,1)))
+(D807-INDEX([3]Sheet1!$C$3:$Q$3,1,MATCH(D807,[3]Sheet1!$C$3:$Q$3)))/(INDEX([3]Sheet1!$C$3:$Q$3,1,MATCH(D807,[3]Sheet1!$C$3:$Q$3)+1)-INDEX([3]Sheet1!$C$3:$Q$3,1,MATCH(
D807,[3]Sheet1!$C$3:$Q$3)))*(INDEX([3]Sheet1!$C$4:$Q$23,MATCH(K807,[3]Sheet1!$B$4:$B$23,1),MATCH(D807,[3]Sheet1!$C$3:$Q$3,1)+1)-INDEX([3]Sheet1!$C$4:$Q$23,MATCH(K807,[3]Sheet1!$B$4:$B$23,1),MATCH(D807,[3]Sheet1!$C$3:$Q$3,1))))</f>
        <v>0</v>
      </c>
      <c r="M807" cm="1">
        <f t="array" ref="M807" xml:space="preserve"> IF(E807*J807=0,0,(INDEX([2]Sheet1!$C$4:$Q$23,MATCH(K807,[2]Sheet1!$B$4:$B$23,1),MATCH(D807,[2]Sheet1!$C$3:$Q$3,1))
+ (K807 - INDEX([2]Sheet1!$B$4:$B$23,MATCH(K807,[2]Sheet1!$B$4:$B$23,1),1))/(INDEX([2]Sheet1!$B$4:$B$23,MATCH(K807,[2]Sheet1!$B$4:$B$23,1)+1,1) - INDEX([2]Sheet1!$B$4:$B$23,MATCH(K807,[2]Sheet1!$B$4:$B$23,1),1))*(INDEX([2]Sheet1!$C$4:$Q$23,MATCH(K807,[2]Sheet1!$B$4:$B$23,1)+1,MATCH(D807,[2]Sheet1!$C$3:$Q$3,1)) - INDEX([2]Sheet1!$C$4:$Q$23,MATCH(K807,[2]Sheet1!$B$4:$B$23,1),MATCH(D807,[2]Sheet1!$C$3:$Q$3,1)))
+ (D807 - INDEX([2]Sheet1!$C$3:$Q$3,1,MATCH(D807,[2]Sheet1!$C$3:$Q$3)))/(INDEX([2]Sheet1!$C$3:$Q$3,1,MATCH(D807,[2]Sheet1!$C$3:$Q$3)+1) - INDEX([2]Sheet1!$C$3:$Q$3,1,MATCH(D807,[2]Sheet1!$C$3:$Q$3)))*(
INDEX([2]Sheet1!$C$4:$Q$23,MATCH(K807,[2]Sheet1!$B$4:$B$23,1),MATCH(D807,[2]Sheet1!$C$3:$Q$3,1)+1) - INDEX([2]Sheet1!$C$4:$Q$23,MATCH(K807,[2]Sheet1!$B$4:$B$23,1),MATCH(D807,[2]Sheet1!$C$3:$Q$3,1)))))</f>
        <v>0</v>
      </c>
      <c r="N807">
        <f t="shared" si="234"/>
        <v>12</v>
      </c>
      <c r="O807">
        <v>173.02450568394099</v>
      </c>
      <c r="P807" t="e">
        <f t="shared" si="235"/>
        <v>#DIV/0!</v>
      </c>
      <c r="Q807">
        <f t="shared" si="236"/>
        <v>0</v>
      </c>
      <c r="R807">
        <f t="shared" si="237"/>
        <v>741.9099431943954</v>
      </c>
      <c r="T807" t="e">
        <f t="shared" si="238"/>
        <v>#DIV/0!</v>
      </c>
      <c r="U807" t="e">
        <f t="shared" si="239"/>
        <v>#DIV/0!</v>
      </c>
      <c r="V807">
        <f t="shared" si="240"/>
        <v>0</v>
      </c>
      <c r="W807" t="e">
        <f t="shared" si="241"/>
        <v>#DIV/0!</v>
      </c>
    </row>
    <row r="808" spans="1:23" x14ac:dyDescent="0.55000000000000004">
      <c r="A808">
        <f t="shared" si="243"/>
        <v>77.399999999999878</v>
      </c>
      <c r="B808">
        <f t="shared" si="244"/>
        <v>0.316</v>
      </c>
      <c r="C808">
        <f t="shared" si="227"/>
        <v>-45.478260869565148</v>
      </c>
      <c r="D808">
        <v>174.43984551913201</v>
      </c>
      <c r="E808">
        <f t="shared" si="228"/>
        <v>0</v>
      </c>
      <c r="F808">
        <f t="shared" si="229"/>
        <v>4.8605058816845369E-2</v>
      </c>
      <c r="G808">
        <f t="shared" si="230"/>
        <v>39.513748498891111</v>
      </c>
      <c r="H808">
        <f t="shared" si="231"/>
        <v>0</v>
      </c>
      <c r="I808" s="1">
        <f t="shared" si="242"/>
        <v>0</v>
      </c>
      <c r="J808">
        <f t="shared" si="232"/>
        <v>0</v>
      </c>
      <c r="K808">
        <f t="shared" si="233"/>
        <v>0</v>
      </c>
      <c r="L808" cm="1">
        <f t="array" ref="L808">IF(E808*J808=0,0,$C$21*INDEX([3]Sheet1!$C$4:$Q$23,MATCH(K808,[3]Sheet1!$B$4:$B$23,1),MATCH(D808,[3]Sheet1!$C$3:$Q$3,1))
+(K808-INDEX([3]Sheet1!$B$4:$B$23,MATCH(K808,[3]Sheet1!$B$4:$B$23,1),1))/(INDEX([3]Sheet1!$B$4:$B$23,MATCH(K808,[3]Sheet1!$B$4:$B$23,1)+1,1)-INDEX([3]Sheet1!$B$4:$B$23,
MATCH(K808,[3]Sheet1!$B$4:$B$23,1),1))*(INDEX([3]Sheet1!$C$4:$Q$23,MATCH(K808,[3]Sheet1!$B$4:$B$23,1)+1,MATCH(D808,[3]Sheet1!$C$3:$Q$3,1))-INDEX([3]Sheet1!$C$4:$Q$23,
MATCH(K808,[3]Sheet1!$B$4:$B$23,1),MATCH(D808,[3]Sheet1!$C$3:$Q$3,1)))
+(D808-INDEX([3]Sheet1!$C$3:$Q$3,1,MATCH(D808,[3]Sheet1!$C$3:$Q$3)))/(INDEX([3]Sheet1!$C$3:$Q$3,1,MATCH(D808,[3]Sheet1!$C$3:$Q$3)+1)-INDEX([3]Sheet1!$C$3:$Q$3,1,MATCH(
D808,[3]Sheet1!$C$3:$Q$3)))*(INDEX([3]Sheet1!$C$4:$Q$23,MATCH(K808,[3]Sheet1!$B$4:$B$23,1),MATCH(D808,[3]Sheet1!$C$3:$Q$3,1)+1)-INDEX([3]Sheet1!$C$4:$Q$23,MATCH(K808,[3]Sheet1!$B$4:$B$23,1),MATCH(D808,[3]Sheet1!$C$3:$Q$3,1))))</f>
        <v>0</v>
      </c>
      <c r="M808" cm="1">
        <f t="array" ref="M808" xml:space="preserve"> IF(E808*J808=0,0,(INDEX([2]Sheet1!$C$4:$Q$23,MATCH(K808,[2]Sheet1!$B$4:$B$23,1),MATCH(D808,[2]Sheet1!$C$3:$Q$3,1))
+ (K808 - INDEX([2]Sheet1!$B$4:$B$23,MATCH(K808,[2]Sheet1!$B$4:$B$23,1),1))/(INDEX([2]Sheet1!$B$4:$B$23,MATCH(K808,[2]Sheet1!$B$4:$B$23,1)+1,1) - INDEX([2]Sheet1!$B$4:$B$23,MATCH(K808,[2]Sheet1!$B$4:$B$23,1),1))*(INDEX([2]Sheet1!$C$4:$Q$23,MATCH(K808,[2]Sheet1!$B$4:$B$23,1)+1,MATCH(D808,[2]Sheet1!$C$3:$Q$3,1)) - INDEX([2]Sheet1!$C$4:$Q$23,MATCH(K808,[2]Sheet1!$B$4:$B$23,1),MATCH(D808,[2]Sheet1!$C$3:$Q$3,1)))
+ (D808 - INDEX([2]Sheet1!$C$3:$Q$3,1,MATCH(D808,[2]Sheet1!$C$3:$Q$3)))/(INDEX([2]Sheet1!$C$3:$Q$3,1,MATCH(D808,[2]Sheet1!$C$3:$Q$3)+1) - INDEX([2]Sheet1!$C$3:$Q$3,1,MATCH(D808,[2]Sheet1!$C$3:$Q$3)))*(
INDEX([2]Sheet1!$C$4:$Q$23,MATCH(K808,[2]Sheet1!$B$4:$B$23,1),MATCH(D808,[2]Sheet1!$C$3:$Q$3,1)+1) - INDEX([2]Sheet1!$C$4:$Q$23,MATCH(K808,[2]Sheet1!$B$4:$B$23,1),MATCH(D808,[2]Sheet1!$C$3:$Q$3,1)))))</f>
        <v>0</v>
      </c>
      <c r="N808">
        <f t="shared" si="234"/>
        <v>12</v>
      </c>
      <c r="O808">
        <v>174.02450568394099</v>
      </c>
      <c r="P808" t="e">
        <f t="shared" si="235"/>
        <v>#DIV/0!</v>
      </c>
      <c r="Q808">
        <f t="shared" si="236"/>
        <v>0</v>
      </c>
      <c r="R808">
        <f t="shared" si="237"/>
        <v>741.9099431943954</v>
      </c>
      <c r="T808" t="e">
        <f t="shared" si="238"/>
        <v>#DIV/0!</v>
      </c>
      <c r="U808" t="e">
        <f t="shared" si="239"/>
        <v>#DIV/0!</v>
      </c>
      <c r="V808">
        <f t="shared" si="240"/>
        <v>0</v>
      </c>
      <c r="W808" t="e">
        <f t="shared" si="241"/>
        <v>#DIV/0!</v>
      </c>
    </row>
    <row r="809" spans="1:23" x14ac:dyDescent="0.55000000000000004">
      <c r="A809">
        <f t="shared" si="243"/>
        <v>77.499999999999872</v>
      </c>
      <c r="B809">
        <f t="shared" si="244"/>
        <v>0.316</v>
      </c>
      <c r="C809">
        <f t="shared" si="227"/>
        <v>-45.543478260869485</v>
      </c>
      <c r="D809">
        <v>175.43984551913201</v>
      </c>
      <c r="E809">
        <f t="shared" si="228"/>
        <v>0</v>
      </c>
      <c r="F809">
        <f t="shared" si="229"/>
        <v>4.8605058816845369E-2</v>
      </c>
      <c r="G809">
        <f t="shared" si="230"/>
        <v>39.513748498891111</v>
      </c>
      <c r="H809">
        <f t="shared" si="231"/>
        <v>0</v>
      </c>
      <c r="I809" s="1">
        <f t="shared" si="242"/>
        <v>0</v>
      </c>
      <c r="J809">
        <f t="shared" si="232"/>
        <v>0</v>
      </c>
      <c r="K809">
        <f t="shared" si="233"/>
        <v>0</v>
      </c>
      <c r="L809" cm="1">
        <f t="array" ref="L809">IF(E809*J809=0,0,$C$21*INDEX([3]Sheet1!$C$4:$Q$23,MATCH(K809,[3]Sheet1!$B$4:$B$23,1),MATCH(D809,[3]Sheet1!$C$3:$Q$3,1))
+(K809-INDEX([3]Sheet1!$B$4:$B$23,MATCH(K809,[3]Sheet1!$B$4:$B$23,1),1))/(INDEX([3]Sheet1!$B$4:$B$23,MATCH(K809,[3]Sheet1!$B$4:$B$23,1)+1,1)-INDEX([3]Sheet1!$B$4:$B$23,
MATCH(K809,[3]Sheet1!$B$4:$B$23,1),1))*(INDEX([3]Sheet1!$C$4:$Q$23,MATCH(K809,[3]Sheet1!$B$4:$B$23,1)+1,MATCH(D809,[3]Sheet1!$C$3:$Q$3,1))-INDEX([3]Sheet1!$C$4:$Q$23,
MATCH(K809,[3]Sheet1!$B$4:$B$23,1),MATCH(D809,[3]Sheet1!$C$3:$Q$3,1)))
+(D809-INDEX([3]Sheet1!$C$3:$Q$3,1,MATCH(D809,[3]Sheet1!$C$3:$Q$3)))/(INDEX([3]Sheet1!$C$3:$Q$3,1,MATCH(D809,[3]Sheet1!$C$3:$Q$3)+1)-INDEX([3]Sheet1!$C$3:$Q$3,1,MATCH(
D809,[3]Sheet1!$C$3:$Q$3)))*(INDEX([3]Sheet1!$C$4:$Q$23,MATCH(K809,[3]Sheet1!$B$4:$B$23,1),MATCH(D809,[3]Sheet1!$C$3:$Q$3,1)+1)-INDEX([3]Sheet1!$C$4:$Q$23,MATCH(K809,[3]Sheet1!$B$4:$B$23,1),MATCH(D809,[3]Sheet1!$C$3:$Q$3,1))))</f>
        <v>0</v>
      </c>
      <c r="M809" cm="1">
        <f t="array" ref="M809" xml:space="preserve"> IF(E809*J809=0,0,(INDEX([2]Sheet1!$C$4:$Q$23,MATCH(K809,[2]Sheet1!$B$4:$B$23,1),MATCH(D809,[2]Sheet1!$C$3:$Q$3,1))
+ (K809 - INDEX([2]Sheet1!$B$4:$B$23,MATCH(K809,[2]Sheet1!$B$4:$B$23,1),1))/(INDEX([2]Sheet1!$B$4:$B$23,MATCH(K809,[2]Sheet1!$B$4:$B$23,1)+1,1) - INDEX([2]Sheet1!$B$4:$B$23,MATCH(K809,[2]Sheet1!$B$4:$B$23,1),1))*(INDEX([2]Sheet1!$C$4:$Q$23,MATCH(K809,[2]Sheet1!$B$4:$B$23,1)+1,MATCH(D809,[2]Sheet1!$C$3:$Q$3,1)) - INDEX([2]Sheet1!$C$4:$Q$23,MATCH(K809,[2]Sheet1!$B$4:$B$23,1),MATCH(D809,[2]Sheet1!$C$3:$Q$3,1)))
+ (D809 - INDEX([2]Sheet1!$C$3:$Q$3,1,MATCH(D809,[2]Sheet1!$C$3:$Q$3)))/(INDEX([2]Sheet1!$C$3:$Q$3,1,MATCH(D809,[2]Sheet1!$C$3:$Q$3)+1) - INDEX([2]Sheet1!$C$3:$Q$3,1,MATCH(D809,[2]Sheet1!$C$3:$Q$3)))*(
INDEX([2]Sheet1!$C$4:$Q$23,MATCH(K809,[2]Sheet1!$B$4:$B$23,1),MATCH(D809,[2]Sheet1!$C$3:$Q$3,1)+1) - INDEX([2]Sheet1!$C$4:$Q$23,MATCH(K809,[2]Sheet1!$B$4:$B$23,1),MATCH(D809,[2]Sheet1!$C$3:$Q$3,1)))))</f>
        <v>0</v>
      </c>
      <c r="N809">
        <f t="shared" si="234"/>
        <v>12</v>
      </c>
      <c r="O809">
        <v>175.02450568394099</v>
      </c>
      <c r="P809" t="e">
        <f t="shared" si="235"/>
        <v>#DIV/0!</v>
      </c>
      <c r="Q809">
        <f t="shared" si="236"/>
        <v>0</v>
      </c>
      <c r="R809">
        <f t="shared" si="237"/>
        <v>741.9099431943954</v>
      </c>
      <c r="T809" t="e">
        <f t="shared" si="238"/>
        <v>#DIV/0!</v>
      </c>
      <c r="U809" t="e">
        <f t="shared" si="239"/>
        <v>#DIV/0!</v>
      </c>
      <c r="V809">
        <f t="shared" si="240"/>
        <v>0</v>
      </c>
      <c r="W809" t="e">
        <f t="shared" si="241"/>
        <v>#DIV/0!</v>
      </c>
    </row>
    <row r="810" spans="1:23" x14ac:dyDescent="0.55000000000000004">
      <c r="A810">
        <f t="shared" si="243"/>
        <v>77.599999999999866</v>
      </c>
      <c r="B810">
        <f t="shared" si="244"/>
        <v>0.316</v>
      </c>
      <c r="C810">
        <f t="shared" si="227"/>
        <v>-45.608695652173836</v>
      </c>
      <c r="D810">
        <v>176.43984551913201</v>
      </c>
      <c r="E810">
        <f t="shared" si="228"/>
        <v>0</v>
      </c>
      <c r="F810">
        <f t="shared" si="229"/>
        <v>4.8605058816845369E-2</v>
      </c>
      <c r="G810">
        <f t="shared" si="230"/>
        <v>39.513748498891111</v>
      </c>
      <c r="H810">
        <f t="shared" si="231"/>
        <v>0</v>
      </c>
      <c r="I810" s="1">
        <f t="shared" si="242"/>
        <v>0</v>
      </c>
      <c r="J810">
        <f t="shared" si="232"/>
        <v>0</v>
      </c>
      <c r="K810">
        <f t="shared" si="233"/>
        <v>0</v>
      </c>
      <c r="L810" cm="1">
        <f t="array" ref="L810">IF(E810*J810=0,0,$C$21*INDEX([3]Sheet1!$C$4:$Q$23,MATCH(K810,[3]Sheet1!$B$4:$B$23,1),MATCH(D810,[3]Sheet1!$C$3:$Q$3,1))
+(K810-INDEX([3]Sheet1!$B$4:$B$23,MATCH(K810,[3]Sheet1!$B$4:$B$23,1),1))/(INDEX([3]Sheet1!$B$4:$B$23,MATCH(K810,[3]Sheet1!$B$4:$B$23,1)+1,1)-INDEX([3]Sheet1!$B$4:$B$23,
MATCH(K810,[3]Sheet1!$B$4:$B$23,1),1))*(INDEX([3]Sheet1!$C$4:$Q$23,MATCH(K810,[3]Sheet1!$B$4:$B$23,1)+1,MATCH(D810,[3]Sheet1!$C$3:$Q$3,1))-INDEX([3]Sheet1!$C$4:$Q$23,
MATCH(K810,[3]Sheet1!$B$4:$B$23,1),MATCH(D810,[3]Sheet1!$C$3:$Q$3,1)))
+(D810-INDEX([3]Sheet1!$C$3:$Q$3,1,MATCH(D810,[3]Sheet1!$C$3:$Q$3)))/(INDEX([3]Sheet1!$C$3:$Q$3,1,MATCH(D810,[3]Sheet1!$C$3:$Q$3)+1)-INDEX([3]Sheet1!$C$3:$Q$3,1,MATCH(
D810,[3]Sheet1!$C$3:$Q$3)))*(INDEX([3]Sheet1!$C$4:$Q$23,MATCH(K810,[3]Sheet1!$B$4:$B$23,1),MATCH(D810,[3]Sheet1!$C$3:$Q$3,1)+1)-INDEX([3]Sheet1!$C$4:$Q$23,MATCH(K810,[3]Sheet1!$B$4:$B$23,1),MATCH(D810,[3]Sheet1!$C$3:$Q$3,1))))</f>
        <v>0</v>
      </c>
      <c r="M810" cm="1">
        <f t="array" ref="M810" xml:space="preserve"> IF(E810*J810=0,0,(INDEX([2]Sheet1!$C$4:$Q$23,MATCH(K810,[2]Sheet1!$B$4:$B$23,1),MATCH(D810,[2]Sheet1!$C$3:$Q$3,1))
+ (K810 - INDEX([2]Sheet1!$B$4:$B$23,MATCH(K810,[2]Sheet1!$B$4:$B$23,1),1))/(INDEX([2]Sheet1!$B$4:$B$23,MATCH(K810,[2]Sheet1!$B$4:$B$23,1)+1,1) - INDEX([2]Sheet1!$B$4:$B$23,MATCH(K810,[2]Sheet1!$B$4:$B$23,1),1))*(INDEX([2]Sheet1!$C$4:$Q$23,MATCH(K810,[2]Sheet1!$B$4:$B$23,1)+1,MATCH(D810,[2]Sheet1!$C$3:$Q$3,1)) - INDEX([2]Sheet1!$C$4:$Q$23,MATCH(K810,[2]Sheet1!$B$4:$B$23,1),MATCH(D810,[2]Sheet1!$C$3:$Q$3,1)))
+ (D810 - INDEX([2]Sheet1!$C$3:$Q$3,1,MATCH(D810,[2]Sheet1!$C$3:$Q$3)))/(INDEX([2]Sheet1!$C$3:$Q$3,1,MATCH(D810,[2]Sheet1!$C$3:$Q$3)+1) - INDEX([2]Sheet1!$C$3:$Q$3,1,MATCH(D810,[2]Sheet1!$C$3:$Q$3)))*(
INDEX([2]Sheet1!$C$4:$Q$23,MATCH(K810,[2]Sheet1!$B$4:$B$23,1),MATCH(D810,[2]Sheet1!$C$3:$Q$3,1)+1) - INDEX([2]Sheet1!$C$4:$Q$23,MATCH(K810,[2]Sheet1!$B$4:$B$23,1),MATCH(D810,[2]Sheet1!$C$3:$Q$3,1)))))</f>
        <v>0</v>
      </c>
      <c r="N810">
        <f t="shared" si="234"/>
        <v>12</v>
      </c>
      <c r="O810">
        <v>176.02450568394099</v>
      </c>
      <c r="P810" t="e">
        <f t="shared" si="235"/>
        <v>#DIV/0!</v>
      </c>
      <c r="Q810">
        <f t="shared" si="236"/>
        <v>0</v>
      </c>
      <c r="R810">
        <f t="shared" si="237"/>
        <v>741.9099431943954</v>
      </c>
      <c r="T810" t="e">
        <f t="shared" si="238"/>
        <v>#DIV/0!</v>
      </c>
      <c r="U810" t="e">
        <f t="shared" si="239"/>
        <v>#DIV/0!</v>
      </c>
      <c r="V810">
        <f t="shared" si="240"/>
        <v>0</v>
      </c>
      <c r="W810" t="e">
        <f t="shared" si="241"/>
        <v>#DIV/0!</v>
      </c>
    </row>
    <row r="811" spans="1:23" x14ac:dyDescent="0.55000000000000004">
      <c r="A811">
        <f t="shared" si="243"/>
        <v>77.699999999999861</v>
      </c>
      <c r="B811">
        <f t="shared" si="244"/>
        <v>0.316</v>
      </c>
      <c r="C811">
        <f t="shared" si="227"/>
        <v>-45.673913043478173</v>
      </c>
      <c r="D811">
        <v>177.43984551913201</v>
      </c>
      <c r="E811">
        <f t="shared" si="228"/>
        <v>0</v>
      </c>
      <c r="F811">
        <f t="shared" si="229"/>
        <v>4.8605058816845369E-2</v>
      </c>
      <c r="G811">
        <f t="shared" si="230"/>
        <v>39.513748498891111</v>
      </c>
      <c r="H811">
        <f t="shared" si="231"/>
        <v>0</v>
      </c>
      <c r="I811" s="1">
        <f t="shared" si="242"/>
        <v>0</v>
      </c>
      <c r="J811">
        <f t="shared" si="232"/>
        <v>0</v>
      </c>
      <c r="K811">
        <f t="shared" si="233"/>
        <v>0</v>
      </c>
      <c r="L811" cm="1">
        <f t="array" ref="L811">IF(E811*J811=0,0,$C$21*INDEX([3]Sheet1!$C$4:$Q$23,MATCH(K811,[3]Sheet1!$B$4:$B$23,1),MATCH(D811,[3]Sheet1!$C$3:$Q$3,1))
+(K811-INDEX([3]Sheet1!$B$4:$B$23,MATCH(K811,[3]Sheet1!$B$4:$B$23,1),1))/(INDEX([3]Sheet1!$B$4:$B$23,MATCH(K811,[3]Sheet1!$B$4:$B$23,1)+1,1)-INDEX([3]Sheet1!$B$4:$B$23,
MATCH(K811,[3]Sheet1!$B$4:$B$23,1),1))*(INDEX([3]Sheet1!$C$4:$Q$23,MATCH(K811,[3]Sheet1!$B$4:$B$23,1)+1,MATCH(D811,[3]Sheet1!$C$3:$Q$3,1))-INDEX([3]Sheet1!$C$4:$Q$23,
MATCH(K811,[3]Sheet1!$B$4:$B$23,1),MATCH(D811,[3]Sheet1!$C$3:$Q$3,1)))
+(D811-INDEX([3]Sheet1!$C$3:$Q$3,1,MATCH(D811,[3]Sheet1!$C$3:$Q$3)))/(INDEX([3]Sheet1!$C$3:$Q$3,1,MATCH(D811,[3]Sheet1!$C$3:$Q$3)+1)-INDEX([3]Sheet1!$C$3:$Q$3,1,MATCH(
D811,[3]Sheet1!$C$3:$Q$3)))*(INDEX([3]Sheet1!$C$4:$Q$23,MATCH(K811,[3]Sheet1!$B$4:$B$23,1),MATCH(D811,[3]Sheet1!$C$3:$Q$3,1)+1)-INDEX([3]Sheet1!$C$4:$Q$23,MATCH(K811,[3]Sheet1!$B$4:$B$23,1),MATCH(D811,[3]Sheet1!$C$3:$Q$3,1))))</f>
        <v>0</v>
      </c>
      <c r="M811" cm="1">
        <f t="array" ref="M811" xml:space="preserve"> IF(E811*J811=0,0,(INDEX([2]Sheet1!$C$4:$Q$23,MATCH(K811,[2]Sheet1!$B$4:$B$23,1),MATCH(D811,[2]Sheet1!$C$3:$Q$3,1))
+ (K811 - INDEX([2]Sheet1!$B$4:$B$23,MATCH(K811,[2]Sheet1!$B$4:$B$23,1),1))/(INDEX([2]Sheet1!$B$4:$B$23,MATCH(K811,[2]Sheet1!$B$4:$B$23,1)+1,1) - INDEX([2]Sheet1!$B$4:$B$23,MATCH(K811,[2]Sheet1!$B$4:$B$23,1),1))*(INDEX([2]Sheet1!$C$4:$Q$23,MATCH(K811,[2]Sheet1!$B$4:$B$23,1)+1,MATCH(D811,[2]Sheet1!$C$3:$Q$3,1)) - INDEX([2]Sheet1!$C$4:$Q$23,MATCH(K811,[2]Sheet1!$B$4:$B$23,1),MATCH(D811,[2]Sheet1!$C$3:$Q$3,1)))
+ (D811 - INDEX([2]Sheet1!$C$3:$Q$3,1,MATCH(D811,[2]Sheet1!$C$3:$Q$3)))/(INDEX([2]Sheet1!$C$3:$Q$3,1,MATCH(D811,[2]Sheet1!$C$3:$Q$3)+1) - INDEX([2]Sheet1!$C$3:$Q$3,1,MATCH(D811,[2]Sheet1!$C$3:$Q$3)))*(
INDEX([2]Sheet1!$C$4:$Q$23,MATCH(K811,[2]Sheet1!$B$4:$B$23,1),MATCH(D811,[2]Sheet1!$C$3:$Q$3,1)+1) - INDEX([2]Sheet1!$C$4:$Q$23,MATCH(K811,[2]Sheet1!$B$4:$B$23,1),MATCH(D811,[2]Sheet1!$C$3:$Q$3,1)))))</f>
        <v>0</v>
      </c>
      <c r="N811">
        <f t="shared" si="234"/>
        <v>12</v>
      </c>
      <c r="O811">
        <v>177.02450568394099</v>
      </c>
      <c r="P811" t="e">
        <f t="shared" si="235"/>
        <v>#DIV/0!</v>
      </c>
      <c r="Q811">
        <f t="shared" si="236"/>
        <v>0</v>
      </c>
      <c r="R811">
        <f t="shared" si="237"/>
        <v>741.9099431943954</v>
      </c>
      <c r="T811" t="e">
        <f t="shared" si="238"/>
        <v>#DIV/0!</v>
      </c>
      <c r="U811" t="e">
        <f t="shared" si="239"/>
        <v>#DIV/0!</v>
      </c>
      <c r="V811">
        <f t="shared" si="240"/>
        <v>0</v>
      </c>
      <c r="W811" t="e">
        <f t="shared" si="241"/>
        <v>#DIV/0!</v>
      </c>
    </row>
    <row r="812" spans="1:23" x14ac:dyDescent="0.55000000000000004">
      <c r="A812">
        <f t="shared" si="243"/>
        <v>77.799999999999855</v>
      </c>
      <c r="B812">
        <f t="shared" si="244"/>
        <v>0.316</v>
      </c>
      <c r="C812">
        <f t="shared" si="227"/>
        <v>-45.739130434782524</v>
      </c>
      <c r="D812">
        <v>178.43984551913201</v>
      </c>
      <c r="E812">
        <f t="shared" si="228"/>
        <v>0</v>
      </c>
      <c r="F812">
        <f t="shared" si="229"/>
        <v>4.8605058816845369E-2</v>
      </c>
      <c r="G812">
        <f t="shared" si="230"/>
        <v>39.513748498891111</v>
      </c>
      <c r="H812">
        <f t="shared" si="231"/>
        <v>0</v>
      </c>
      <c r="I812" s="1">
        <f t="shared" si="242"/>
        <v>0</v>
      </c>
      <c r="J812">
        <f t="shared" si="232"/>
        <v>0</v>
      </c>
      <c r="K812">
        <f t="shared" si="233"/>
        <v>0</v>
      </c>
      <c r="L812" cm="1">
        <f t="array" ref="L812">IF(E812*J812=0,0,$C$21*INDEX([3]Sheet1!$C$4:$Q$23,MATCH(K812,[3]Sheet1!$B$4:$B$23,1),MATCH(D812,[3]Sheet1!$C$3:$Q$3,1))
+(K812-INDEX([3]Sheet1!$B$4:$B$23,MATCH(K812,[3]Sheet1!$B$4:$B$23,1),1))/(INDEX([3]Sheet1!$B$4:$B$23,MATCH(K812,[3]Sheet1!$B$4:$B$23,1)+1,1)-INDEX([3]Sheet1!$B$4:$B$23,
MATCH(K812,[3]Sheet1!$B$4:$B$23,1),1))*(INDEX([3]Sheet1!$C$4:$Q$23,MATCH(K812,[3]Sheet1!$B$4:$B$23,1)+1,MATCH(D812,[3]Sheet1!$C$3:$Q$3,1))-INDEX([3]Sheet1!$C$4:$Q$23,
MATCH(K812,[3]Sheet1!$B$4:$B$23,1),MATCH(D812,[3]Sheet1!$C$3:$Q$3,1)))
+(D812-INDEX([3]Sheet1!$C$3:$Q$3,1,MATCH(D812,[3]Sheet1!$C$3:$Q$3)))/(INDEX([3]Sheet1!$C$3:$Q$3,1,MATCH(D812,[3]Sheet1!$C$3:$Q$3)+1)-INDEX([3]Sheet1!$C$3:$Q$3,1,MATCH(
D812,[3]Sheet1!$C$3:$Q$3)))*(INDEX([3]Sheet1!$C$4:$Q$23,MATCH(K812,[3]Sheet1!$B$4:$B$23,1),MATCH(D812,[3]Sheet1!$C$3:$Q$3,1)+1)-INDEX([3]Sheet1!$C$4:$Q$23,MATCH(K812,[3]Sheet1!$B$4:$B$23,1),MATCH(D812,[3]Sheet1!$C$3:$Q$3,1))))</f>
        <v>0</v>
      </c>
      <c r="M812" cm="1">
        <f t="array" ref="M812" xml:space="preserve"> IF(E812*J812=0,0,(INDEX([2]Sheet1!$C$4:$Q$23,MATCH(K812,[2]Sheet1!$B$4:$B$23,1),MATCH(D812,[2]Sheet1!$C$3:$Q$3,1))
+ (K812 - INDEX([2]Sheet1!$B$4:$B$23,MATCH(K812,[2]Sheet1!$B$4:$B$23,1),1))/(INDEX([2]Sheet1!$B$4:$B$23,MATCH(K812,[2]Sheet1!$B$4:$B$23,1)+1,1) - INDEX([2]Sheet1!$B$4:$B$23,MATCH(K812,[2]Sheet1!$B$4:$B$23,1),1))*(INDEX([2]Sheet1!$C$4:$Q$23,MATCH(K812,[2]Sheet1!$B$4:$B$23,1)+1,MATCH(D812,[2]Sheet1!$C$3:$Q$3,1)) - INDEX([2]Sheet1!$C$4:$Q$23,MATCH(K812,[2]Sheet1!$B$4:$B$23,1),MATCH(D812,[2]Sheet1!$C$3:$Q$3,1)))
+ (D812 - INDEX([2]Sheet1!$C$3:$Q$3,1,MATCH(D812,[2]Sheet1!$C$3:$Q$3)))/(INDEX([2]Sheet1!$C$3:$Q$3,1,MATCH(D812,[2]Sheet1!$C$3:$Q$3)+1) - INDEX([2]Sheet1!$C$3:$Q$3,1,MATCH(D812,[2]Sheet1!$C$3:$Q$3)))*(
INDEX([2]Sheet1!$C$4:$Q$23,MATCH(K812,[2]Sheet1!$B$4:$B$23,1),MATCH(D812,[2]Sheet1!$C$3:$Q$3,1)+1) - INDEX([2]Sheet1!$C$4:$Q$23,MATCH(K812,[2]Sheet1!$B$4:$B$23,1),MATCH(D812,[2]Sheet1!$C$3:$Q$3,1)))))</f>
        <v>0</v>
      </c>
      <c r="N812">
        <f t="shared" si="234"/>
        <v>12</v>
      </c>
      <c r="O812">
        <v>178.02450568394099</v>
      </c>
      <c r="P812" t="e">
        <f t="shared" si="235"/>
        <v>#DIV/0!</v>
      </c>
      <c r="Q812">
        <f t="shared" si="236"/>
        <v>0</v>
      </c>
      <c r="R812">
        <f t="shared" si="237"/>
        <v>741.9099431943954</v>
      </c>
      <c r="T812" t="e">
        <f t="shared" si="238"/>
        <v>#DIV/0!</v>
      </c>
      <c r="U812" t="e">
        <f t="shared" si="239"/>
        <v>#DIV/0!</v>
      </c>
      <c r="V812">
        <f t="shared" si="240"/>
        <v>0</v>
      </c>
      <c r="W812" t="e">
        <f t="shared" si="241"/>
        <v>#DIV/0!</v>
      </c>
    </row>
    <row r="813" spans="1:23" x14ac:dyDescent="0.55000000000000004">
      <c r="A813">
        <f t="shared" si="243"/>
        <v>77.899999999999849</v>
      </c>
      <c r="B813">
        <f t="shared" si="244"/>
        <v>0.316</v>
      </c>
      <c r="C813">
        <f t="shared" si="227"/>
        <v>-45.804347826086861</v>
      </c>
      <c r="D813">
        <v>179.43984551913201</v>
      </c>
      <c r="E813">
        <f t="shared" si="228"/>
        <v>0</v>
      </c>
      <c r="F813">
        <f t="shared" si="229"/>
        <v>4.8605058816845369E-2</v>
      </c>
      <c r="G813">
        <f t="shared" si="230"/>
        <v>39.513748498891111</v>
      </c>
      <c r="H813">
        <f t="shared" si="231"/>
        <v>0</v>
      </c>
      <c r="I813" s="1">
        <f t="shared" si="242"/>
        <v>0</v>
      </c>
      <c r="J813">
        <f t="shared" si="232"/>
        <v>0</v>
      </c>
      <c r="K813">
        <f t="shared" si="233"/>
        <v>0</v>
      </c>
      <c r="L813" cm="1">
        <f t="array" ref="L813">IF(E813*J813=0,0,$C$21*INDEX([3]Sheet1!$C$4:$Q$23,MATCH(K813,[3]Sheet1!$B$4:$B$23,1),MATCH(D813,[3]Sheet1!$C$3:$Q$3,1))
+(K813-INDEX([3]Sheet1!$B$4:$B$23,MATCH(K813,[3]Sheet1!$B$4:$B$23,1),1))/(INDEX([3]Sheet1!$B$4:$B$23,MATCH(K813,[3]Sheet1!$B$4:$B$23,1)+1,1)-INDEX([3]Sheet1!$B$4:$B$23,
MATCH(K813,[3]Sheet1!$B$4:$B$23,1),1))*(INDEX([3]Sheet1!$C$4:$Q$23,MATCH(K813,[3]Sheet1!$B$4:$B$23,1)+1,MATCH(D813,[3]Sheet1!$C$3:$Q$3,1))-INDEX([3]Sheet1!$C$4:$Q$23,
MATCH(K813,[3]Sheet1!$B$4:$B$23,1),MATCH(D813,[3]Sheet1!$C$3:$Q$3,1)))
+(D813-INDEX([3]Sheet1!$C$3:$Q$3,1,MATCH(D813,[3]Sheet1!$C$3:$Q$3)))/(INDEX([3]Sheet1!$C$3:$Q$3,1,MATCH(D813,[3]Sheet1!$C$3:$Q$3)+1)-INDEX([3]Sheet1!$C$3:$Q$3,1,MATCH(
D813,[3]Sheet1!$C$3:$Q$3)))*(INDEX([3]Sheet1!$C$4:$Q$23,MATCH(K813,[3]Sheet1!$B$4:$B$23,1),MATCH(D813,[3]Sheet1!$C$3:$Q$3,1)+1)-INDEX([3]Sheet1!$C$4:$Q$23,MATCH(K813,[3]Sheet1!$B$4:$B$23,1),MATCH(D813,[3]Sheet1!$C$3:$Q$3,1))))</f>
        <v>0</v>
      </c>
      <c r="M813" cm="1">
        <f t="array" ref="M813" xml:space="preserve"> IF(E813*J813=0,0,(INDEX([2]Sheet1!$C$4:$Q$23,MATCH(K813,[2]Sheet1!$B$4:$B$23,1),MATCH(D813,[2]Sheet1!$C$3:$Q$3,1))
+ (K813 - INDEX([2]Sheet1!$B$4:$B$23,MATCH(K813,[2]Sheet1!$B$4:$B$23,1),1))/(INDEX([2]Sheet1!$B$4:$B$23,MATCH(K813,[2]Sheet1!$B$4:$B$23,1)+1,1) - INDEX([2]Sheet1!$B$4:$B$23,MATCH(K813,[2]Sheet1!$B$4:$B$23,1),1))*(INDEX([2]Sheet1!$C$4:$Q$23,MATCH(K813,[2]Sheet1!$B$4:$B$23,1)+1,MATCH(D813,[2]Sheet1!$C$3:$Q$3,1)) - INDEX([2]Sheet1!$C$4:$Q$23,MATCH(K813,[2]Sheet1!$B$4:$B$23,1),MATCH(D813,[2]Sheet1!$C$3:$Q$3,1)))
+ (D813 - INDEX([2]Sheet1!$C$3:$Q$3,1,MATCH(D813,[2]Sheet1!$C$3:$Q$3)))/(INDEX([2]Sheet1!$C$3:$Q$3,1,MATCH(D813,[2]Sheet1!$C$3:$Q$3)+1) - INDEX([2]Sheet1!$C$3:$Q$3,1,MATCH(D813,[2]Sheet1!$C$3:$Q$3)))*(
INDEX([2]Sheet1!$C$4:$Q$23,MATCH(K813,[2]Sheet1!$B$4:$B$23,1),MATCH(D813,[2]Sheet1!$C$3:$Q$3,1)+1) - INDEX([2]Sheet1!$C$4:$Q$23,MATCH(K813,[2]Sheet1!$B$4:$B$23,1),MATCH(D813,[2]Sheet1!$C$3:$Q$3,1)))))</f>
        <v>0</v>
      </c>
      <c r="N813">
        <f t="shared" si="234"/>
        <v>12</v>
      </c>
      <c r="O813">
        <v>179.02450568394099</v>
      </c>
      <c r="P813" t="e">
        <f t="shared" si="235"/>
        <v>#DIV/0!</v>
      </c>
      <c r="Q813">
        <f t="shared" si="236"/>
        <v>0</v>
      </c>
      <c r="R813">
        <f t="shared" si="237"/>
        <v>741.9099431943954</v>
      </c>
      <c r="T813" t="e">
        <f t="shared" si="238"/>
        <v>#DIV/0!</v>
      </c>
      <c r="U813" t="e">
        <f t="shared" si="239"/>
        <v>#DIV/0!</v>
      </c>
      <c r="V813">
        <f t="shared" si="240"/>
        <v>0</v>
      </c>
      <c r="W813" t="e">
        <f t="shared" si="241"/>
        <v>#DIV/0!</v>
      </c>
    </row>
    <row r="814" spans="1:23" x14ac:dyDescent="0.55000000000000004">
      <c r="A814">
        <f t="shared" si="243"/>
        <v>77.999999999999844</v>
      </c>
      <c r="B814">
        <f t="shared" si="244"/>
        <v>0.316</v>
      </c>
      <c r="C814">
        <f t="shared" si="227"/>
        <v>-45.869565217391212</v>
      </c>
      <c r="D814">
        <v>180.43984551913201</v>
      </c>
      <c r="E814">
        <f t="shared" si="228"/>
        <v>0</v>
      </c>
      <c r="F814">
        <f t="shared" si="229"/>
        <v>4.8605058816845369E-2</v>
      </c>
      <c r="G814">
        <f t="shared" si="230"/>
        <v>39.513748498891111</v>
      </c>
      <c r="H814">
        <f t="shared" si="231"/>
        <v>0</v>
      </c>
      <c r="I814" s="1">
        <f t="shared" si="242"/>
        <v>0</v>
      </c>
      <c r="J814">
        <f t="shared" si="232"/>
        <v>0</v>
      </c>
      <c r="K814">
        <f t="shared" si="233"/>
        <v>0</v>
      </c>
      <c r="L814" cm="1">
        <f t="array" ref="L814">IF(E814*J814=0,0,$C$21*INDEX([3]Sheet1!$C$4:$Q$23,MATCH(K814,[3]Sheet1!$B$4:$B$23,1),MATCH(D814,[3]Sheet1!$C$3:$Q$3,1))
+(K814-INDEX([3]Sheet1!$B$4:$B$23,MATCH(K814,[3]Sheet1!$B$4:$B$23,1),1))/(INDEX([3]Sheet1!$B$4:$B$23,MATCH(K814,[3]Sheet1!$B$4:$B$23,1)+1,1)-INDEX([3]Sheet1!$B$4:$B$23,
MATCH(K814,[3]Sheet1!$B$4:$B$23,1),1))*(INDEX([3]Sheet1!$C$4:$Q$23,MATCH(K814,[3]Sheet1!$B$4:$B$23,1)+1,MATCH(D814,[3]Sheet1!$C$3:$Q$3,1))-INDEX([3]Sheet1!$C$4:$Q$23,
MATCH(K814,[3]Sheet1!$B$4:$B$23,1),MATCH(D814,[3]Sheet1!$C$3:$Q$3,1)))
+(D814-INDEX([3]Sheet1!$C$3:$Q$3,1,MATCH(D814,[3]Sheet1!$C$3:$Q$3)))/(INDEX([3]Sheet1!$C$3:$Q$3,1,MATCH(D814,[3]Sheet1!$C$3:$Q$3)+1)-INDEX([3]Sheet1!$C$3:$Q$3,1,MATCH(
D814,[3]Sheet1!$C$3:$Q$3)))*(INDEX([3]Sheet1!$C$4:$Q$23,MATCH(K814,[3]Sheet1!$B$4:$B$23,1),MATCH(D814,[3]Sheet1!$C$3:$Q$3,1)+1)-INDEX([3]Sheet1!$C$4:$Q$23,MATCH(K814,[3]Sheet1!$B$4:$B$23,1),MATCH(D814,[3]Sheet1!$C$3:$Q$3,1))))</f>
        <v>0</v>
      </c>
      <c r="M814" cm="1">
        <f t="array" ref="M814" xml:space="preserve"> IF(E814*J814=0,0,(INDEX([2]Sheet1!$C$4:$Q$23,MATCH(K814,[2]Sheet1!$B$4:$B$23,1),MATCH(D814,[2]Sheet1!$C$3:$Q$3,1))
+ (K814 - INDEX([2]Sheet1!$B$4:$B$23,MATCH(K814,[2]Sheet1!$B$4:$B$23,1),1))/(INDEX([2]Sheet1!$B$4:$B$23,MATCH(K814,[2]Sheet1!$B$4:$B$23,1)+1,1) - INDEX([2]Sheet1!$B$4:$B$23,MATCH(K814,[2]Sheet1!$B$4:$B$23,1),1))*(INDEX([2]Sheet1!$C$4:$Q$23,MATCH(K814,[2]Sheet1!$B$4:$B$23,1)+1,MATCH(D814,[2]Sheet1!$C$3:$Q$3,1)) - INDEX([2]Sheet1!$C$4:$Q$23,MATCH(K814,[2]Sheet1!$B$4:$B$23,1),MATCH(D814,[2]Sheet1!$C$3:$Q$3,1)))
+ (D814 - INDEX([2]Sheet1!$C$3:$Q$3,1,MATCH(D814,[2]Sheet1!$C$3:$Q$3)))/(INDEX([2]Sheet1!$C$3:$Q$3,1,MATCH(D814,[2]Sheet1!$C$3:$Q$3)+1) - INDEX([2]Sheet1!$C$3:$Q$3,1,MATCH(D814,[2]Sheet1!$C$3:$Q$3)))*(
INDEX([2]Sheet1!$C$4:$Q$23,MATCH(K814,[2]Sheet1!$B$4:$B$23,1),MATCH(D814,[2]Sheet1!$C$3:$Q$3,1)+1) - INDEX([2]Sheet1!$C$4:$Q$23,MATCH(K814,[2]Sheet1!$B$4:$B$23,1),MATCH(D814,[2]Sheet1!$C$3:$Q$3,1)))))</f>
        <v>0</v>
      </c>
      <c r="N814">
        <f t="shared" si="234"/>
        <v>12</v>
      </c>
      <c r="O814">
        <v>180.02450568394099</v>
      </c>
      <c r="P814" t="e">
        <f t="shared" si="235"/>
        <v>#DIV/0!</v>
      </c>
      <c r="Q814">
        <f t="shared" si="236"/>
        <v>0</v>
      </c>
      <c r="R814">
        <f t="shared" si="237"/>
        <v>741.9099431943954</v>
      </c>
      <c r="T814" t="e">
        <f t="shared" si="238"/>
        <v>#DIV/0!</v>
      </c>
      <c r="U814" t="e">
        <f t="shared" si="239"/>
        <v>#DIV/0!</v>
      </c>
      <c r="V814">
        <f t="shared" si="240"/>
        <v>0</v>
      </c>
      <c r="W814" t="e">
        <f t="shared" si="241"/>
        <v>#DIV/0!</v>
      </c>
    </row>
    <row r="815" spans="1:23" x14ac:dyDescent="0.55000000000000004">
      <c r="A815">
        <f t="shared" si="243"/>
        <v>78.099999999999838</v>
      </c>
      <c r="B815">
        <f t="shared" si="244"/>
        <v>0.316</v>
      </c>
      <c r="C815">
        <f t="shared" si="227"/>
        <v>-45.934782608695549</v>
      </c>
      <c r="D815">
        <v>181.43984551913201</v>
      </c>
      <c r="E815">
        <f t="shared" si="228"/>
        <v>0</v>
      </c>
      <c r="F815">
        <f t="shared" si="229"/>
        <v>4.8605058816845369E-2</v>
      </c>
      <c r="G815">
        <f t="shared" si="230"/>
        <v>39.513748498891111</v>
      </c>
      <c r="H815">
        <f t="shared" si="231"/>
        <v>0</v>
      </c>
      <c r="I815" s="1">
        <f t="shared" si="242"/>
        <v>0</v>
      </c>
      <c r="J815">
        <f t="shared" si="232"/>
        <v>0</v>
      </c>
      <c r="K815">
        <f t="shared" si="233"/>
        <v>0</v>
      </c>
      <c r="L815" cm="1">
        <f t="array" ref="L815">IF(E815*J815=0,0,$C$21*INDEX([3]Sheet1!$C$4:$Q$23,MATCH(K815,[3]Sheet1!$B$4:$B$23,1),MATCH(D815,[3]Sheet1!$C$3:$Q$3,1))
+(K815-INDEX([3]Sheet1!$B$4:$B$23,MATCH(K815,[3]Sheet1!$B$4:$B$23,1),1))/(INDEX([3]Sheet1!$B$4:$B$23,MATCH(K815,[3]Sheet1!$B$4:$B$23,1)+1,1)-INDEX([3]Sheet1!$B$4:$B$23,
MATCH(K815,[3]Sheet1!$B$4:$B$23,1),1))*(INDEX([3]Sheet1!$C$4:$Q$23,MATCH(K815,[3]Sheet1!$B$4:$B$23,1)+1,MATCH(D815,[3]Sheet1!$C$3:$Q$3,1))-INDEX([3]Sheet1!$C$4:$Q$23,
MATCH(K815,[3]Sheet1!$B$4:$B$23,1),MATCH(D815,[3]Sheet1!$C$3:$Q$3,1)))
+(D815-INDEX([3]Sheet1!$C$3:$Q$3,1,MATCH(D815,[3]Sheet1!$C$3:$Q$3)))/(INDEX([3]Sheet1!$C$3:$Q$3,1,MATCH(D815,[3]Sheet1!$C$3:$Q$3)+1)-INDEX([3]Sheet1!$C$3:$Q$3,1,MATCH(
D815,[3]Sheet1!$C$3:$Q$3)))*(INDEX([3]Sheet1!$C$4:$Q$23,MATCH(K815,[3]Sheet1!$B$4:$B$23,1),MATCH(D815,[3]Sheet1!$C$3:$Q$3,1)+1)-INDEX([3]Sheet1!$C$4:$Q$23,MATCH(K815,[3]Sheet1!$B$4:$B$23,1),MATCH(D815,[3]Sheet1!$C$3:$Q$3,1))))</f>
        <v>0</v>
      </c>
      <c r="M815" cm="1">
        <f t="array" ref="M815" xml:space="preserve"> IF(E815*J815=0,0,(INDEX([2]Sheet1!$C$4:$Q$23,MATCH(K815,[2]Sheet1!$B$4:$B$23,1),MATCH(D815,[2]Sheet1!$C$3:$Q$3,1))
+ (K815 - INDEX([2]Sheet1!$B$4:$B$23,MATCH(K815,[2]Sheet1!$B$4:$B$23,1),1))/(INDEX([2]Sheet1!$B$4:$B$23,MATCH(K815,[2]Sheet1!$B$4:$B$23,1)+1,1) - INDEX([2]Sheet1!$B$4:$B$23,MATCH(K815,[2]Sheet1!$B$4:$B$23,1),1))*(INDEX([2]Sheet1!$C$4:$Q$23,MATCH(K815,[2]Sheet1!$B$4:$B$23,1)+1,MATCH(D815,[2]Sheet1!$C$3:$Q$3,1)) - INDEX([2]Sheet1!$C$4:$Q$23,MATCH(K815,[2]Sheet1!$B$4:$B$23,1),MATCH(D815,[2]Sheet1!$C$3:$Q$3,1)))
+ (D815 - INDEX([2]Sheet1!$C$3:$Q$3,1,MATCH(D815,[2]Sheet1!$C$3:$Q$3)))/(INDEX([2]Sheet1!$C$3:$Q$3,1,MATCH(D815,[2]Sheet1!$C$3:$Q$3)+1) - INDEX([2]Sheet1!$C$3:$Q$3,1,MATCH(D815,[2]Sheet1!$C$3:$Q$3)))*(
INDEX([2]Sheet1!$C$4:$Q$23,MATCH(K815,[2]Sheet1!$B$4:$B$23,1),MATCH(D815,[2]Sheet1!$C$3:$Q$3,1)+1) - INDEX([2]Sheet1!$C$4:$Q$23,MATCH(K815,[2]Sheet1!$B$4:$B$23,1),MATCH(D815,[2]Sheet1!$C$3:$Q$3,1)))))</f>
        <v>0</v>
      </c>
      <c r="N815">
        <f t="shared" si="234"/>
        <v>12</v>
      </c>
      <c r="O815">
        <v>181.02450568394099</v>
      </c>
      <c r="P815" t="e">
        <f t="shared" si="235"/>
        <v>#DIV/0!</v>
      </c>
      <c r="Q815">
        <f t="shared" si="236"/>
        <v>0</v>
      </c>
      <c r="R815">
        <f t="shared" si="237"/>
        <v>741.9099431943954</v>
      </c>
      <c r="T815" t="e">
        <f t="shared" si="238"/>
        <v>#DIV/0!</v>
      </c>
      <c r="U815" t="e">
        <f t="shared" si="239"/>
        <v>#DIV/0!</v>
      </c>
      <c r="V815">
        <f t="shared" si="240"/>
        <v>0</v>
      </c>
      <c r="W815" t="e">
        <f t="shared" si="241"/>
        <v>#DIV/0!</v>
      </c>
    </row>
    <row r="816" spans="1:23" x14ac:dyDescent="0.55000000000000004">
      <c r="A816">
        <f t="shared" si="243"/>
        <v>78.199999999999832</v>
      </c>
      <c r="B816">
        <f t="shared" si="244"/>
        <v>0.316</v>
      </c>
      <c r="C816">
        <f t="shared" si="227"/>
        <v>-45.999999999999901</v>
      </c>
      <c r="D816">
        <v>182.43984551913201</v>
      </c>
      <c r="E816">
        <f t="shared" si="228"/>
        <v>0</v>
      </c>
      <c r="F816">
        <f t="shared" si="229"/>
        <v>4.8605058816845369E-2</v>
      </c>
      <c r="G816">
        <f t="shared" si="230"/>
        <v>39.513748498891111</v>
      </c>
      <c r="H816">
        <f t="shared" si="231"/>
        <v>0</v>
      </c>
      <c r="I816" s="1">
        <f t="shared" si="242"/>
        <v>0</v>
      </c>
      <c r="J816">
        <f t="shared" si="232"/>
        <v>0</v>
      </c>
      <c r="K816">
        <f t="shared" si="233"/>
        <v>0</v>
      </c>
      <c r="L816" cm="1">
        <f t="array" ref="L816">IF(E816*J816=0,0,$C$21*INDEX([3]Sheet1!$C$4:$Q$23,MATCH(K816,[3]Sheet1!$B$4:$B$23,1),MATCH(D816,[3]Sheet1!$C$3:$Q$3,1))
+(K816-INDEX([3]Sheet1!$B$4:$B$23,MATCH(K816,[3]Sheet1!$B$4:$B$23,1),1))/(INDEX([3]Sheet1!$B$4:$B$23,MATCH(K816,[3]Sheet1!$B$4:$B$23,1)+1,1)-INDEX([3]Sheet1!$B$4:$B$23,
MATCH(K816,[3]Sheet1!$B$4:$B$23,1),1))*(INDEX([3]Sheet1!$C$4:$Q$23,MATCH(K816,[3]Sheet1!$B$4:$B$23,1)+1,MATCH(D816,[3]Sheet1!$C$3:$Q$3,1))-INDEX([3]Sheet1!$C$4:$Q$23,
MATCH(K816,[3]Sheet1!$B$4:$B$23,1),MATCH(D816,[3]Sheet1!$C$3:$Q$3,1)))
+(D816-INDEX([3]Sheet1!$C$3:$Q$3,1,MATCH(D816,[3]Sheet1!$C$3:$Q$3)))/(INDEX([3]Sheet1!$C$3:$Q$3,1,MATCH(D816,[3]Sheet1!$C$3:$Q$3)+1)-INDEX([3]Sheet1!$C$3:$Q$3,1,MATCH(
D816,[3]Sheet1!$C$3:$Q$3)))*(INDEX([3]Sheet1!$C$4:$Q$23,MATCH(K816,[3]Sheet1!$B$4:$B$23,1),MATCH(D816,[3]Sheet1!$C$3:$Q$3,1)+1)-INDEX([3]Sheet1!$C$4:$Q$23,MATCH(K816,[3]Sheet1!$B$4:$B$23,1),MATCH(D816,[3]Sheet1!$C$3:$Q$3,1))))</f>
        <v>0</v>
      </c>
      <c r="M816" cm="1">
        <f t="array" ref="M816" xml:space="preserve"> IF(E816*J816=0,0,(INDEX([2]Sheet1!$C$4:$Q$23,MATCH(K816,[2]Sheet1!$B$4:$B$23,1),MATCH(D816,[2]Sheet1!$C$3:$Q$3,1))
+ (K816 - INDEX([2]Sheet1!$B$4:$B$23,MATCH(K816,[2]Sheet1!$B$4:$B$23,1),1))/(INDEX([2]Sheet1!$B$4:$B$23,MATCH(K816,[2]Sheet1!$B$4:$B$23,1)+1,1) - INDEX([2]Sheet1!$B$4:$B$23,MATCH(K816,[2]Sheet1!$B$4:$B$23,1),1))*(INDEX([2]Sheet1!$C$4:$Q$23,MATCH(K816,[2]Sheet1!$B$4:$B$23,1)+1,MATCH(D816,[2]Sheet1!$C$3:$Q$3,1)) - INDEX([2]Sheet1!$C$4:$Q$23,MATCH(K816,[2]Sheet1!$B$4:$B$23,1),MATCH(D816,[2]Sheet1!$C$3:$Q$3,1)))
+ (D816 - INDEX([2]Sheet1!$C$3:$Q$3,1,MATCH(D816,[2]Sheet1!$C$3:$Q$3)))/(INDEX([2]Sheet1!$C$3:$Q$3,1,MATCH(D816,[2]Sheet1!$C$3:$Q$3)+1) - INDEX([2]Sheet1!$C$3:$Q$3,1,MATCH(D816,[2]Sheet1!$C$3:$Q$3)))*(
INDEX([2]Sheet1!$C$4:$Q$23,MATCH(K816,[2]Sheet1!$B$4:$B$23,1),MATCH(D816,[2]Sheet1!$C$3:$Q$3,1)+1) - INDEX([2]Sheet1!$C$4:$Q$23,MATCH(K816,[2]Sheet1!$B$4:$B$23,1),MATCH(D816,[2]Sheet1!$C$3:$Q$3,1)))))</f>
        <v>0</v>
      </c>
      <c r="N816">
        <f t="shared" si="234"/>
        <v>12</v>
      </c>
      <c r="O816">
        <v>182.02450568394099</v>
      </c>
      <c r="P816" t="e">
        <f t="shared" si="235"/>
        <v>#DIV/0!</v>
      </c>
      <c r="Q816">
        <f t="shared" si="236"/>
        <v>0</v>
      </c>
      <c r="R816">
        <f t="shared" si="237"/>
        <v>741.9099431943954</v>
      </c>
      <c r="T816" t="e">
        <f t="shared" si="238"/>
        <v>#DIV/0!</v>
      </c>
      <c r="U816" t="e">
        <f t="shared" si="239"/>
        <v>#DIV/0!</v>
      </c>
      <c r="V816">
        <f t="shared" si="240"/>
        <v>0</v>
      </c>
      <c r="W816" t="e">
        <f t="shared" si="241"/>
        <v>#DIV/0!</v>
      </c>
    </row>
    <row r="817" spans="1:23" x14ac:dyDescent="0.55000000000000004">
      <c r="A817">
        <f t="shared" si="243"/>
        <v>78.299999999999827</v>
      </c>
      <c r="B817">
        <f t="shared" si="244"/>
        <v>0.316</v>
      </c>
      <c r="C817">
        <f t="shared" si="227"/>
        <v>-46.065217391304238</v>
      </c>
      <c r="D817">
        <v>183.43984551913201</v>
      </c>
      <c r="E817">
        <f t="shared" si="228"/>
        <v>0</v>
      </c>
      <c r="F817">
        <f t="shared" si="229"/>
        <v>4.8605058816845369E-2</v>
      </c>
      <c r="G817">
        <f t="shared" si="230"/>
        <v>39.513748498891111</v>
      </c>
      <c r="H817">
        <f t="shared" si="231"/>
        <v>0</v>
      </c>
      <c r="I817" s="1">
        <f t="shared" si="242"/>
        <v>0</v>
      </c>
      <c r="J817">
        <f t="shared" si="232"/>
        <v>0</v>
      </c>
      <c r="K817">
        <f t="shared" si="233"/>
        <v>0</v>
      </c>
      <c r="L817" cm="1">
        <f t="array" ref="L817">IF(E817*J817=0,0,$C$21*INDEX([3]Sheet1!$C$4:$Q$23,MATCH(K817,[3]Sheet1!$B$4:$B$23,1),MATCH(D817,[3]Sheet1!$C$3:$Q$3,1))
+(K817-INDEX([3]Sheet1!$B$4:$B$23,MATCH(K817,[3]Sheet1!$B$4:$B$23,1),1))/(INDEX([3]Sheet1!$B$4:$B$23,MATCH(K817,[3]Sheet1!$B$4:$B$23,1)+1,1)-INDEX([3]Sheet1!$B$4:$B$23,
MATCH(K817,[3]Sheet1!$B$4:$B$23,1),1))*(INDEX([3]Sheet1!$C$4:$Q$23,MATCH(K817,[3]Sheet1!$B$4:$B$23,1)+1,MATCH(D817,[3]Sheet1!$C$3:$Q$3,1))-INDEX([3]Sheet1!$C$4:$Q$23,
MATCH(K817,[3]Sheet1!$B$4:$B$23,1),MATCH(D817,[3]Sheet1!$C$3:$Q$3,1)))
+(D817-INDEX([3]Sheet1!$C$3:$Q$3,1,MATCH(D817,[3]Sheet1!$C$3:$Q$3)))/(INDEX([3]Sheet1!$C$3:$Q$3,1,MATCH(D817,[3]Sheet1!$C$3:$Q$3)+1)-INDEX([3]Sheet1!$C$3:$Q$3,1,MATCH(
D817,[3]Sheet1!$C$3:$Q$3)))*(INDEX([3]Sheet1!$C$4:$Q$23,MATCH(K817,[3]Sheet1!$B$4:$B$23,1),MATCH(D817,[3]Sheet1!$C$3:$Q$3,1)+1)-INDEX([3]Sheet1!$C$4:$Q$23,MATCH(K817,[3]Sheet1!$B$4:$B$23,1),MATCH(D817,[3]Sheet1!$C$3:$Q$3,1))))</f>
        <v>0</v>
      </c>
      <c r="M817" cm="1">
        <f t="array" ref="M817" xml:space="preserve"> IF(E817*J817=0,0,(INDEX([2]Sheet1!$C$4:$Q$23,MATCH(K817,[2]Sheet1!$B$4:$B$23,1),MATCH(D817,[2]Sheet1!$C$3:$Q$3,1))
+ (K817 - INDEX([2]Sheet1!$B$4:$B$23,MATCH(K817,[2]Sheet1!$B$4:$B$23,1),1))/(INDEX([2]Sheet1!$B$4:$B$23,MATCH(K817,[2]Sheet1!$B$4:$B$23,1)+1,1) - INDEX([2]Sheet1!$B$4:$B$23,MATCH(K817,[2]Sheet1!$B$4:$B$23,1),1))*(INDEX([2]Sheet1!$C$4:$Q$23,MATCH(K817,[2]Sheet1!$B$4:$B$23,1)+1,MATCH(D817,[2]Sheet1!$C$3:$Q$3,1)) - INDEX([2]Sheet1!$C$4:$Q$23,MATCH(K817,[2]Sheet1!$B$4:$B$23,1),MATCH(D817,[2]Sheet1!$C$3:$Q$3,1)))
+ (D817 - INDEX([2]Sheet1!$C$3:$Q$3,1,MATCH(D817,[2]Sheet1!$C$3:$Q$3)))/(INDEX([2]Sheet1!$C$3:$Q$3,1,MATCH(D817,[2]Sheet1!$C$3:$Q$3)+1) - INDEX([2]Sheet1!$C$3:$Q$3,1,MATCH(D817,[2]Sheet1!$C$3:$Q$3)))*(
INDEX([2]Sheet1!$C$4:$Q$23,MATCH(K817,[2]Sheet1!$B$4:$B$23,1),MATCH(D817,[2]Sheet1!$C$3:$Q$3,1)+1) - INDEX([2]Sheet1!$C$4:$Q$23,MATCH(K817,[2]Sheet1!$B$4:$B$23,1),MATCH(D817,[2]Sheet1!$C$3:$Q$3,1)))))</f>
        <v>0</v>
      </c>
      <c r="N817">
        <f t="shared" si="234"/>
        <v>12</v>
      </c>
      <c r="O817">
        <v>183.02450568394099</v>
      </c>
      <c r="P817" t="e">
        <f t="shared" si="235"/>
        <v>#DIV/0!</v>
      </c>
      <c r="Q817">
        <f t="shared" si="236"/>
        <v>0</v>
      </c>
      <c r="R817">
        <f t="shared" si="237"/>
        <v>741.9099431943954</v>
      </c>
      <c r="T817" t="e">
        <f t="shared" si="238"/>
        <v>#DIV/0!</v>
      </c>
      <c r="U817" t="e">
        <f t="shared" si="239"/>
        <v>#DIV/0!</v>
      </c>
      <c r="V817">
        <f t="shared" si="240"/>
        <v>0</v>
      </c>
      <c r="W817" t="e">
        <f t="shared" si="241"/>
        <v>#DIV/0!</v>
      </c>
    </row>
    <row r="818" spans="1:23" x14ac:dyDescent="0.55000000000000004">
      <c r="A818">
        <f t="shared" si="243"/>
        <v>78.399999999999821</v>
      </c>
      <c r="B818">
        <f t="shared" si="244"/>
        <v>0.316</v>
      </c>
      <c r="C818">
        <f t="shared" si="227"/>
        <v>-46.130434782608589</v>
      </c>
      <c r="D818">
        <v>184.43984551913201</v>
      </c>
      <c r="E818">
        <f t="shared" si="228"/>
        <v>0</v>
      </c>
      <c r="F818">
        <f t="shared" si="229"/>
        <v>4.8605058816845369E-2</v>
      </c>
      <c r="G818">
        <f t="shared" si="230"/>
        <v>39.513748498891111</v>
      </c>
      <c r="H818">
        <f t="shared" si="231"/>
        <v>0</v>
      </c>
      <c r="I818" s="1">
        <f t="shared" si="242"/>
        <v>0</v>
      </c>
      <c r="J818">
        <f t="shared" si="232"/>
        <v>0</v>
      </c>
      <c r="K818">
        <f t="shared" si="233"/>
        <v>0</v>
      </c>
      <c r="L818" cm="1">
        <f t="array" ref="L818">IF(E818*J818=0,0,$C$21*INDEX([3]Sheet1!$C$4:$Q$23,MATCH(K818,[3]Sheet1!$B$4:$B$23,1),MATCH(D818,[3]Sheet1!$C$3:$Q$3,1))
+(K818-INDEX([3]Sheet1!$B$4:$B$23,MATCH(K818,[3]Sheet1!$B$4:$B$23,1),1))/(INDEX([3]Sheet1!$B$4:$B$23,MATCH(K818,[3]Sheet1!$B$4:$B$23,1)+1,1)-INDEX([3]Sheet1!$B$4:$B$23,
MATCH(K818,[3]Sheet1!$B$4:$B$23,1),1))*(INDEX([3]Sheet1!$C$4:$Q$23,MATCH(K818,[3]Sheet1!$B$4:$B$23,1)+1,MATCH(D818,[3]Sheet1!$C$3:$Q$3,1))-INDEX([3]Sheet1!$C$4:$Q$23,
MATCH(K818,[3]Sheet1!$B$4:$B$23,1),MATCH(D818,[3]Sheet1!$C$3:$Q$3,1)))
+(D818-INDEX([3]Sheet1!$C$3:$Q$3,1,MATCH(D818,[3]Sheet1!$C$3:$Q$3)))/(INDEX([3]Sheet1!$C$3:$Q$3,1,MATCH(D818,[3]Sheet1!$C$3:$Q$3)+1)-INDEX([3]Sheet1!$C$3:$Q$3,1,MATCH(
D818,[3]Sheet1!$C$3:$Q$3)))*(INDEX([3]Sheet1!$C$4:$Q$23,MATCH(K818,[3]Sheet1!$B$4:$B$23,1),MATCH(D818,[3]Sheet1!$C$3:$Q$3,1)+1)-INDEX([3]Sheet1!$C$4:$Q$23,MATCH(K818,[3]Sheet1!$B$4:$B$23,1),MATCH(D818,[3]Sheet1!$C$3:$Q$3,1))))</f>
        <v>0</v>
      </c>
      <c r="M818" cm="1">
        <f t="array" ref="M818" xml:space="preserve"> IF(E818*J818=0,0,(INDEX([2]Sheet1!$C$4:$Q$23,MATCH(K818,[2]Sheet1!$B$4:$B$23,1),MATCH(D818,[2]Sheet1!$C$3:$Q$3,1))
+ (K818 - INDEX([2]Sheet1!$B$4:$B$23,MATCH(K818,[2]Sheet1!$B$4:$B$23,1),1))/(INDEX([2]Sheet1!$B$4:$B$23,MATCH(K818,[2]Sheet1!$B$4:$B$23,1)+1,1) - INDEX([2]Sheet1!$B$4:$B$23,MATCH(K818,[2]Sheet1!$B$4:$B$23,1),1))*(INDEX([2]Sheet1!$C$4:$Q$23,MATCH(K818,[2]Sheet1!$B$4:$B$23,1)+1,MATCH(D818,[2]Sheet1!$C$3:$Q$3,1)) - INDEX([2]Sheet1!$C$4:$Q$23,MATCH(K818,[2]Sheet1!$B$4:$B$23,1),MATCH(D818,[2]Sheet1!$C$3:$Q$3,1)))
+ (D818 - INDEX([2]Sheet1!$C$3:$Q$3,1,MATCH(D818,[2]Sheet1!$C$3:$Q$3)))/(INDEX([2]Sheet1!$C$3:$Q$3,1,MATCH(D818,[2]Sheet1!$C$3:$Q$3)+1) - INDEX([2]Sheet1!$C$3:$Q$3,1,MATCH(D818,[2]Sheet1!$C$3:$Q$3)))*(
INDEX([2]Sheet1!$C$4:$Q$23,MATCH(K818,[2]Sheet1!$B$4:$B$23,1),MATCH(D818,[2]Sheet1!$C$3:$Q$3,1)+1) - INDEX([2]Sheet1!$C$4:$Q$23,MATCH(K818,[2]Sheet1!$B$4:$B$23,1),MATCH(D818,[2]Sheet1!$C$3:$Q$3,1)))))</f>
        <v>0</v>
      </c>
      <c r="N818">
        <f t="shared" si="234"/>
        <v>12</v>
      </c>
      <c r="O818">
        <v>184.02450568394099</v>
      </c>
      <c r="P818" t="e">
        <f t="shared" si="235"/>
        <v>#DIV/0!</v>
      </c>
      <c r="Q818">
        <f t="shared" si="236"/>
        <v>0</v>
      </c>
      <c r="R818">
        <f t="shared" si="237"/>
        <v>741.9099431943954</v>
      </c>
      <c r="T818" t="e">
        <f t="shared" si="238"/>
        <v>#DIV/0!</v>
      </c>
      <c r="U818" t="e">
        <f t="shared" si="239"/>
        <v>#DIV/0!</v>
      </c>
      <c r="V818">
        <f t="shared" si="240"/>
        <v>0</v>
      </c>
      <c r="W818" t="e">
        <f t="shared" si="241"/>
        <v>#DIV/0!</v>
      </c>
    </row>
    <row r="819" spans="1:23" x14ac:dyDescent="0.55000000000000004">
      <c r="A819">
        <f t="shared" si="243"/>
        <v>78.499999999999815</v>
      </c>
      <c r="B819">
        <f t="shared" si="244"/>
        <v>0.316</v>
      </c>
      <c r="C819">
        <f t="shared" si="227"/>
        <v>-46.195652173912926</v>
      </c>
      <c r="D819">
        <v>185.43984551913201</v>
      </c>
      <c r="E819">
        <f t="shared" si="228"/>
        <v>0</v>
      </c>
      <c r="F819">
        <f t="shared" si="229"/>
        <v>4.8605058816845369E-2</v>
      </c>
      <c r="G819">
        <f t="shared" si="230"/>
        <v>39.513748498891111</v>
      </c>
      <c r="H819">
        <f t="shared" si="231"/>
        <v>0</v>
      </c>
      <c r="I819" s="1">
        <f t="shared" si="242"/>
        <v>0</v>
      </c>
      <c r="J819">
        <f t="shared" si="232"/>
        <v>0</v>
      </c>
      <c r="K819">
        <f t="shared" si="233"/>
        <v>0</v>
      </c>
      <c r="L819" cm="1">
        <f t="array" ref="L819">IF(E819*J819=0,0,$C$21*INDEX([3]Sheet1!$C$4:$Q$23,MATCH(K819,[3]Sheet1!$B$4:$B$23,1),MATCH(D819,[3]Sheet1!$C$3:$Q$3,1))
+(K819-INDEX([3]Sheet1!$B$4:$B$23,MATCH(K819,[3]Sheet1!$B$4:$B$23,1),1))/(INDEX([3]Sheet1!$B$4:$B$23,MATCH(K819,[3]Sheet1!$B$4:$B$23,1)+1,1)-INDEX([3]Sheet1!$B$4:$B$23,
MATCH(K819,[3]Sheet1!$B$4:$B$23,1),1))*(INDEX([3]Sheet1!$C$4:$Q$23,MATCH(K819,[3]Sheet1!$B$4:$B$23,1)+1,MATCH(D819,[3]Sheet1!$C$3:$Q$3,1))-INDEX([3]Sheet1!$C$4:$Q$23,
MATCH(K819,[3]Sheet1!$B$4:$B$23,1),MATCH(D819,[3]Sheet1!$C$3:$Q$3,1)))
+(D819-INDEX([3]Sheet1!$C$3:$Q$3,1,MATCH(D819,[3]Sheet1!$C$3:$Q$3)))/(INDEX([3]Sheet1!$C$3:$Q$3,1,MATCH(D819,[3]Sheet1!$C$3:$Q$3)+1)-INDEX([3]Sheet1!$C$3:$Q$3,1,MATCH(
D819,[3]Sheet1!$C$3:$Q$3)))*(INDEX([3]Sheet1!$C$4:$Q$23,MATCH(K819,[3]Sheet1!$B$4:$B$23,1),MATCH(D819,[3]Sheet1!$C$3:$Q$3,1)+1)-INDEX([3]Sheet1!$C$4:$Q$23,MATCH(K819,[3]Sheet1!$B$4:$B$23,1),MATCH(D819,[3]Sheet1!$C$3:$Q$3,1))))</f>
        <v>0</v>
      </c>
      <c r="M819" cm="1">
        <f t="array" ref="M819" xml:space="preserve"> IF(E819*J819=0,0,(INDEX([2]Sheet1!$C$4:$Q$23,MATCH(K819,[2]Sheet1!$B$4:$B$23,1),MATCH(D819,[2]Sheet1!$C$3:$Q$3,1))
+ (K819 - INDEX([2]Sheet1!$B$4:$B$23,MATCH(K819,[2]Sheet1!$B$4:$B$23,1),1))/(INDEX([2]Sheet1!$B$4:$B$23,MATCH(K819,[2]Sheet1!$B$4:$B$23,1)+1,1) - INDEX([2]Sheet1!$B$4:$B$23,MATCH(K819,[2]Sheet1!$B$4:$B$23,1),1))*(INDEX([2]Sheet1!$C$4:$Q$23,MATCH(K819,[2]Sheet1!$B$4:$B$23,1)+1,MATCH(D819,[2]Sheet1!$C$3:$Q$3,1)) - INDEX([2]Sheet1!$C$4:$Q$23,MATCH(K819,[2]Sheet1!$B$4:$B$23,1),MATCH(D819,[2]Sheet1!$C$3:$Q$3,1)))
+ (D819 - INDEX([2]Sheet1!$C$3:$Q$3,1,MATCH(D819,[2]Sheet1!$C$3:$Q$3)))/(INDEX([2]Sheet1!$C$3:$Q$3,1,MATCH(D819,[2]Sheet1!$C$3:$Q$3)+1) - INDEX([2]Sheet1!$C$3:$Q$3,1,MATCH(D819,[2]Sheet1!$C$3:$Q$3)))*(
INDEX([2]Sheet1!$C$4:$Q$23,MATCH(K819,[2]Sheet1!$B$4:$B$23,1),MATCH(D819,[2]Sheet1!$C$3:$Q$3,1)+1) - INDEX([2]Sheet1!$C$4:$Q$23,MATCH(K819,[2]Sheet1!$B$4:$B$23,1),MATCH(D819,[2]Sheet1!$C$3:$Q$3,1)))))</f>
        <v>0</v>
      </c>
      <c r="N819">
        <f t="shared" si="234"/>
        <v>12</v>
      </c>
      <c r="O819">
        <v>185.02450568394099</v>
      </c>
      <c r="P819" t="e">
        <f t="shared" si="235"/>
        <v>#DIV/0!</v>
      </c>
      <c r="Q819">
        <f t="shared" si="236"/>
        <v>0</v>
      </c>
      <c r="R819">
        <f t="shared" si="237"/>
        <v>741.9099431943954</v>
      </c>
      <c r="T819" t="e">
        <f t="shared" si="238"/>
        <v>#DIV/0!</v>
      </c>
      <c r="U819" t="e">
        <f t="shared" si="239"/>
        <v>#DIV/0!</v>
      </c>
      <c r="V819">
        <f t="shared" si="240"/>
        <v>0</v>
      </c>
      <c r="W819" t="e">
        <f t="shared" si="241"/>
        <v>#DIV/0!</v>
      </c>
    </row>
    <row r="820" spans="1:23" x14ac:dyDescent="0.55000000000000004">
      <c r="A820">
        <f t="shared" si="243"/>
        <v>78.59999999999981</v>
      </c>
      <c r="B820">
        <f t="shared" si="244"/>
        <v>0.316</v>
      </c>
      <c r="C820">
        <f t="shared" si="227"/>
        <v>-46.260869565217277</v>
      </c>
      <c r="D820">
        <v>186.43984551913201</v>
      </c>
      <c r="E820">
        <f t="shared" si="228"/>
        <v>0</v>
      </c>
      <c r="F820">
        <f t="shared" si="229"/>
        <v>4.8605058816845369E-2</v>
      </c>
      <c r="G820">
        <f t="shared" si="230"/>
        <v>39.513748498891111</v>
      </c>
      <c r="H820">
        <f t="shared" si="231"/>
        <v>0</v>
      </c>
      <c r="I820" s="1">
        <f t="shared" si="242"/>
        <v>0</v>
      </c>
      <c r="J820">
        <f t="shared" si="232"/>
        <v>0</v>
      </c>
      <c r="K820">
        <f t="shared" si="233"/>
        <v>0</v>
      </c>
      <c r="L820" cm="1">
        <f t="array" ref="L820">IF(E820*J820=0,0,$C$21*INDEX([3]Sheet1!$C$4:$Q$23,MATCH(K820,[3]Sheet1!$B$4:$B$23,1),MATCH(D820,[3]Sheet1!$C$3:$Q$3,1))
+(K820-INDEX([3]Sheet1!$B$4:$B$23,MATCH(K820,[3]Sheet1!$B$4:$B$23,1),1))/(INDEX([3]Sheet1!$B$4:$B$23,MATCH(K820,[3]Sheet1!$B$4:$B$23,1)+1,1)-INDEX([3]Sheet1!$B$4:$B$23,
MATCH(K820,[3]Sheet1!$B$4:$B$23,1),1))*(INDEX([3]Sheet1!$C$4:$Q$23,MATCH(K820,[3]Sheet1!$B$4:$B$23,1)+1,MATCH(D820,[3]Sheet1!$C$3:$Q$3,1))-INDEX([3]Sheet1!$C$4:$Q$23,
MATCH(K820,[3]Sheet1!$B$4:$B$23,1),MATCH(D820,[3]Sheet1!$C$3:$Q$3,1)))
+(D820-INDEX([3]Sheet1!$C$3:$Q$3,1,MATCH(D820,[3]Sheet1!$C$3:$Q$3)))/(INDEX([3]Sheet1!$C$3:$Q$3,1,MATCH(D820,[3]Sheet1!$C$3:$Q$3)+1)-INDEX([3]Sheet1!$C$3:$Q$3,1,MATCH(
D820,[3]Sheet1!$C$3:$Q$3)))*(INDEX([3]Sheet1!$C$4:$Q$23,MATCH(K820,[3]Sheet1!$B$4:$B$23,1),MATCH(D820,[3]Sheet1!$C$3:$Q$3,1)+1)-INDEX([3]Sheet1!$C$4:$Q$23,MATCH(K820,[3]Sheet1!$B$4:$B$23,1),MATCH(D820,[3]Sheet1!$C$3:$Q$3,1))))</f>
        <v>0</v>
      </c>
      <c r="M820" cm="1">
        <f t="array" ref="M820" xml:space="preserve"> IF(E820*J820=0,0,(INDEX([2]Sheet1!$C$4:$Q$23,MATCH(K820,[2]Sheet1!$B$4:$B$23,1),MATCH(D820,[2]Sheet1!$C$3:$Q$3,1))
+ (K820 - INDEX([2]Sheet1!$B$4:$B$23,MATCH(K820,[2]Sheet1!$B$4:$B$23,1),1))/(INDEX([2]Sheet1!$B$4:$B$23,MATCH(K820,[2]Sheet1!$B$4:$B$23,1)+1,1) - INDEX([2]Sheet1!$B$4:$B$23,MATCH(K820,[2]Sheet1!$B$4:$B$23,1),1))*(INDEX([2]Sheet1!$C$4:$Q$23,MATCH(K820,[2]Sheet1!$B$4:$B$23,1)+1,MATCH(D820,[2]Sheet1!$C$3:$Q$3,1)) - INDEX([2]Sheet1!$C$4:$Q$23,MATCH(K820,[2]Sheet1!$B$4:$B$23,1),MATCH(D820,[2]Sheet1!$C$3:$Q$3,1)))
+ (D820 - INDEX([2]Sheet1!$C$3:$Q$3,1,MATCH(D820,[2]Sheet1!$C$3:$Q$3)))/(INDEX([2]Sheet1!$C$3:$Q$3,1,MATCH(D820,[2]Sheet1!$C$3:$Q$3)+1) - INDEX([2]Sheet1!$C$3:$Q$3,1,MATCH(D820,[2]Sheet1!$C$3:$Q$3)))*(
INDEX([2]Sheet1!$C$4:$Q$23,MATCH(K820,[2]Sheet1!$B$4:$B$23,1),MATCH(D820,[2]Sheet1!$C$3:$Q$3,1)+1) - INDEX([2]Sheet1!$C$4:$Q$23,MATCH(K820,[2]Sheet1!$B$4:$B$23,1),MATCH(D820,[2]Sheet1!$C$3:$Q$3,1)))))</f>
        <v>0</v>
      </c>
      <c r="N820">
        <f t="shared" si="234"/>
        <v>12</v>
      </c>
      <c r="O820">
        <v>186.02450568394099</v>
      </c>
      <c r="P820" t="e">
        <f t="shared" si="235"/>
        <v>#DIV/0!</v>
      </c>
      <c r="Q820">
        <f t="shared" si="236"/>
        <v>0</v>
      </c>
      <c r="R820">
        <f t="shared" si="237"/>
        <v>741.9099431943954</v>
      </c>
      <c r="T820" t="e">
        <f t="shared" si="238"/>
        <v>#DIV/0!</v>
      </c>
      <c r="U820" t="e">
        <f t="shared" si="239"/>
        <v>#DIV/0!</v>
      </c>
      <c r="V820">
        <f t="shared" si="240"/>
        <v>0</v>
      </c>
      <c r="W820" t="e">
        <f t="shared" si="241"/>
        <v>#DIV/0!</v>
      </c>
    </row>
    <row r="821" spans="1:23" x14ac:dyDescent="0.55000000000000004">
      <c r="A821">
        <f t="shared" si="243"/>
        <v>78.699999999999804</v>
      </c>
      <c r="B821">
        <f t="shared" si="244"/>
        <v>0.316</v>
      </c>
      <c r="C821">
        <f t="shared" si="227"/>
        <v>-46.326086956521614</v>
      </c>
      <c r="D821">
        <v>187.43984551913201</v>
      </c>
      <c r="E821">
        <f t="shared" si="228"/>
        <v>0</v>
      </c>
      <c r="F821">
        <f t="shared" si="229"/>
        <v>4.8605058816845369E-2</v>
      </c>
      <c r="G821">
        <f t="shared" si="230"/>
        <v>39.513748498891111</v>
      </c>
      <c r="H821">
        <f t="shared" si="231"/>
        <v>0</v>
      </c>
      <c r="I821" s="1">
        <f t="shared" si="242"/>
        <v>0</v>
      </c>
      <c r="J821">
        <f t="shared" si="232"/>
        <v>0</v>
      </c>
      <c r="K821">
        <f t="shared" si="233"/>
        <v>0</v>
      </c>
      <c r="L821" cm="1">
        <f t="array" ref="L821">IF(E821*J821=0,0,$C$21*INDEX([3]Sheet1!$C$4:$Q$23,MATCH(K821,[3]Sheet1!$B$4:$B$23,1),MATCH(D821,[3]Sheet1!$C$3:$Q$3,1))
+(K821-INDEX([3]Sheet1!$B$4:$B$23,MATCH(K821,[3]Sheet1!$B$4:$B$23,1),1))/(INDEX([3]Sheet1!$B$4:$B$23,MATCH(K821,[3]Sheet1!$B$4:$B$23,1)+1,1)-INDEX([3]Sheet1!$B$4:$B$23,
MATCH(K821,[3]Sheet1!$B$4:$B$23,1),1))*(INDEX([3]Sheet1!$C$4:$Q$23,MATCH(K821,[3]Sheet1!$B$4:$B$23,1)+1,MATCH(D821,[3]Sheet1!$C$3:$Q$3,1))-INDEX([3]Sheet1!$C$4:$Q$23,
MATCH(K821,[3]Sheet1!$B$4:$B$23,1),MATCH(D821,[3]Sheet1!$C$3:$Q$3,1)))
+(D821-INDEX([3]Sheet1!$C$3:$Q$3,1,MATCH(D821,[3]Sheet1!$C$3:$Q$3)))/(INDEX([3]Sheet1!$C$3:$Q$3,1,MATCH(D821,[3]Sheet1!$C$3:$Q$3)+1)-INDEX([3]Sheet1!$C$3:$Q$3,1,MATCH(
D821,[3]Sheet1!$C$3:$Q$3)))*(INDEX([3]Sheet1!$C$4:$Q$23,MATCH(K821,[3]Sheet1!$B$4:$B$23,1),MATCH(D821,[3]Sheet1!$C$3:$Q$3,1)+1)-INDEX([3]Sheet1!$C$4:$Q$23,MATCH(K821,[3]Sheet1!$B$4:$B$23,1),MATCH(D821,[3]Sheet1!$C$3:$Q$3,1))))</f>
        <v>0</v>
      </c>
      <c r="M821" cm="1">
        <f t="array" ref="M821" xml:space="preserve"> IF(E821*J821=0,0,(INDEX([2]Sheet1!$C$4:$Q$23,MATCH(K821,[2]Sheet1!$B$4:$B$23,1),MATCH(D821,[2]Sheet1!$C$3:$Q$3,1))
+ (K821 - INDEX([2]Sheet1!$B$4:$B$23,MATCH(K821,[2]Sheet1!$B$4:$B$23,1),1))/(INDEX([2]Sheet1!$B$4:$B$23,MATCH(K821,[2]Sheet1!$B$4:$B$23,1)+1,1) - INDEX([2]Sheet1!$B$4:$B$23,MATCH(K821,[2]Sheet1!$B$4:$B$23,1),1))*(INDEX([2]Sheet1!$C$4:$Q$23,MATCH(K821,[2]Sheet1!$B$4:$B$23,1)+1,MATCH(D821,[2]Sheet1!$C$3:$Q$3,1)) - INDEX([2]Sheet1!$C$4:$Q$23,MATCH(K821,[2]Sheet1!$B$4:$B$23,1),MATCH(D821,[2]Sheet1!$C$3:$Q$3,1)))
+ (D821 - INDEX([2]Sheet1!$C$3:$Q$3,1,MATCH(D821,[2]Sheet1!$C$3:$Q$3)))/(INDEX([2]Sheet1!$C$3:$Q$3,1,MATCH(D821,[2]Sheet1!$C$3:$Q$3)+1) - INDEX([2]Sheet1!$C$3:$Q$3,1,MATCH(D821,[2]Sheet1!$C$3:$Q$3)))*(
INDEX([2]Sheet1!$C$4:$Q$23,MATCH(K821,[2]Sheet1!$B$4:$B$23,1),MATCH(D821,[2]Sheet1!$C$3:$Q$3,1)+1) - INDEX([2]Sheet1!$C$4:$Q$23,MATCH(K821,[2]Sheet1!$B$4:$B$23,1),MATCH(D821,[2]Sheet1!$C$3:$Q$3,1)))))</f>
        <v>0</v>
      </c>
      <c r="N821">
        <f t="shared" si="234"/>
        <v>12</v>
      </c>
      <c r="O821">
        <v>187.02450568394099</v>
      </c>
      <c r="P821" t="e">
        <f t="shared" si="235"/>
        <v>#DIV/0!</v>
      </c>
      <c r="Q821">
        <f t="shared" si="236"/>
        <v>0</v>
      </c>
      <c r="R821">
        <f t="shared" si="237"/>
        <v>741.9099431943954</v>
      </c>
      <c r="T821" t="e">
        <f t="shared" si="238"/>
        <v>#DIV/0!</v>
      </c>
      <c r="U821" t="e">
        <f t="shared" si="239"/>
        <v>#DIV/0!</v>
      </c>
      <c r="V821">
        <f t="shared" si="240"/>
        <v>0</v>
      </c>
      <c r="W821" t="e">
        <f t="shared" si="241"/>
        <v>#DIV/0!</v>
      </c>
    </row>
    <row r="822" spans="1:23" x14ac:dyDescent="0.55000000000000004">
      <c r="A822">
        <f t="shared" si="243"/>
        <v>78.799999999999798</v>
      </c>
      <c r="B822">
        <f t="shared" si="244"/>
        <v>0.316</v>
      </c>
      <c r="C822">
        <f t="shared" si="227"/>
        <v>-46.391304347825965</v>
      </c>
      <c r="D822">
        <v>188.43984551913201</v>
      </c>
      <c r="E822">
        <f t="shared" si="228"/>
        <v>0</v>
      </c>
      <c r="F822">
        <f t="shared" si="229"/>
        <v>4.8605058816845369E-2</v>
      </c>
      <c r="G822">
        <f t="shared" si="230"/>
        <v>39.513748498891111</v>
      </c>
      <c r="H822">
        <f t="shared" si="231"/>
        <v>0</v>
      </c>
      <c r="I822" s="1">
        <f t="shared" si="242"/>
        <v>0</v>
      </c>
      <c r="J822">
        <f t="shared" si="232"/>
        <v>0</v>
      </c>
      <c r="K822">
        <f t="shared" si="233"/>
        <v>0</v>
      </c>
      <c r="L822" cm="1">
        <f t="array" ref="L822">IF(E822*J822=0,0,$C$21*INDEX([3]Sheet1!$C$4:$Q$23,MATCH(K822,[3]Sheet1!$B$4:$B$23,1),MATCH(D822,[3]Sheet1!$C$3:$Q$3,1))
+(K822-INDEX([3]Sheet1!$B$4:$B$23,MATCH(K822,[3]Sheet1!$B$4:$B$23,1),1))/(INDEX([3]Sheet1!$B$4:$B$23,MATCH(K822,[3]Sheet1!$B$4:$B$23,1)+1,1)-INDEX([3]Sheet1!$B$4:$B$23,
MATCH(K822,[3]Sheet1!$B$4:$B$23,1),1))*(INDEX([3]Sheet1!$C$4:$Q$23,MATCH(K822,[3]Sheet1!$B$4:$B$23,1)+1,MATCH(D822,[3]Sheet1!$C$3:$Q$3,1))-INDEX([3]Sheet1!$C$4:$Q$23,
MATCH(K822,[3]Sheet1!$B$4:$B$23,1),MATCH(D822,[3]Sheet1!$C$3:$Q$3,1)))
+(D822-INDEX([3]Sheet1!$C$3:$Q$3,1,MATCH(D822,[3]Sheet1!$C$3:$Q$3)))/(INDEX([3]Sheet1!$C$3:$Q$3,1,MATCH(D822,[3]Sheet1!$C$3:$Q$3)+1)-INDEX([3]Sheet1!$C$3:$Q$3,1,MATCH(
D822,[3]Sheet1!$C$3:$Q$3)))*(INDEX([3]Sheet1!$C$4:$Q$23,MATCH(K822,[3]Sheet1!$B$4:$B$23,1),MATCH(D822,[3]Sheet1!$C$3:$Q$3,1)+1)-INDEX([3]Sheet1!$C$4:$Q$23,MATCH(K822,[3]Sheet1!$B$4:$B$23,1),MATCH(D822,[3]Sheet1!$C$3:$Q$3,1))))</f>
        <v>0</v>
      </c>
      <c r="M822" cm="1">
        <f t="array" ref="M822" xml:space="preserve"> IF(E822*J822=0,0,(INDEX([2]Sheet1!$C$4:$Q$23,MATCH(K822,[2]Sheet1!$B$4:$B$23,1),MATCH(D822,[2]Sheet1!$C$3:$Q$3,1))
+ (K822 - INDEX([2]Sheet1!$B$4:$B$23,MATCH(K822,[2]Sheet1!$B$4:$B$23,1),1))/(INDEX([2]Sheet1!$B$4:$B$23,MATCH(K822,[2]Sheet1!$B$4:$B$23,1)+1,1) - INDEX([2]Sheet1!$B$4:$B$23,MATCH(K822,[2]Sheet1!$B$4:$B$23,1),1))*(INDEX([2]Sheet1!$C$4:$Q$23,MATCH(K822,[2]Sheet1!$B$4:$B$23,1)+1,MATCH(D822,[2]Sheet1!$C$3:$Q$3,1)) - INDEX([2]Sheet1!$C$4:$Q$23,MATCH(K822,[2]Sheet1!$B$4:$B$23,1),MATCH(D822,[2]Sheet1!$C$3:$Q$3,1)))
+ (D822 - INDEX([2]Sheet1!$C$3:$Q$3,1,MATCH(D822,[2]Sheet1!$C$3:$Q$3)))/(INDEX([2]Sheet1!$C$3:$Q$3,1,MATCH(D822,[2]Sheet1!$C$3:$Q$3)+1) - INDEX([2]Sheet1!$C$3:$Q$3,1,MATCH(D822,[2]Sheet1!$C$3:$Q$3)))*(
INDEX([2]Sheet1!$C$4:$Q$23,MATCH(K822,[2]Sheet1!$B$4:$B$23,1),MATCH(D822,[2]Sheet1!$C$3:$Q$3,1)+1) - INDEX([2]Sheet1!$C$4:$Q$23,MATCH(K822,[2]Sheet1!$B$4:$B$23,1),MATCH(D822,[2]Sheet1!$C$3:$Q$3,1)))))</f>
        <v>0</v>
      </c>
      <c r="N822">
        <f t="shared" si="234"/>
        <v>12</v>
      </c>
      <c r="O822">
        <v>188.02450568394099</v>
      </c>
      <c r="P822" t="e">
        <f t="shared" si="235"/>
        <v>#DIV/0!</v>
      </c>
      <c r="Q822">
        <f t="shared" si="236"/>
        <v>0</v>
      </c>
      <c r="R822">
        <f t="shared" si="237"/>
        <v>741.9099431943954</v>
      </c>
      <c r="T822" t="e">
        <f t="shared" si="238"/>
        <v>#DIV/0!</v>
      </c>
      <c r="U822" t="e">
        <f t="shared" si="239"/>
        <v>#DIV/0!</v>
      </c>
      <c r="V822">
        <f t="shared" si="240"/>
        <v>0</v>
      </c>
      <c r="W822" t="e">
        <f t="shared" si="241"/>
        <v>#DIV/0!</v>
      </c>
    </row>
    <row r="823" spans="1:23" x14ac:dyDescent="0.55000000000000004">
      <c r="A823">
        <f t="shared" si="243"/>
        <v>78.899999999999793</v>
      </c>
      <c r="B823">
        <f t="shared" si="244"/>
        <v>0.316</v>
      </c>
      <c r="C823">
        <f t="shared" si="227"/>
        <v>-46.456521739130302</v>
      </c>
      <c r="D823">
        <v>189.43984551913201</v>
      </c>
      <c r="E823">
        <f t="shared" si="228"/>
        <v>0</v>
      </c>
      <c r="F823">
        <f t="shared" si="229"/>
        <v>4.8605058816845369E-2</v>
      </c>
      <c r="G823">
        <f t="shared" si="230"/>
        <v>39.513748498891111</v>
      </c>
      <c r="H823">
        <f t="shared" si="231"/>
        <v>0</v>
      </c>
      <c r="I823" s="1">
        <f t="shared" si="242"/>
        <v>0</v>
      </c>
      <c r="J823">
        <f t="shared" si="232"/>
        <v>0</v>
      </c>
      <c r="K823">
        <f t="shared" si="233"/>
        <v>0</v>
      </c>
      <c r="L823" cm="1">
        <f t="array" ref="L823">IF(E823*J823=0,0,$C$21*INDEX([3]Sheet1!$C$4:$Q$23,MATCH(K823,[3]Sheet1!$B$4:$B$23,1),MATCH(D823,[3]Sheet1!$C$3:$Q$3,1))
+(K823-INDEX([3]Sheet1!$B$4:$B$23,MATCH(K823,[3]Sheet1!$B$4:$B$23,1),1))/(INDEX([3]Sheet1!$B$4:$B$23,MATCH(K823,[3]Sheet1!$B$4:$B$23,1)+1,1)-INDEX([3]Sheet1!$B$4:$B$23,
MATCH(K823,[3]Sheet1!$B$4:$B$23,1),1))*(INDEX([3]Sheet1!$C$4:$Q$23,MATCH(K823,[3]Sheet1!$B$4:$B$23,1)+1,MATCH(D823,[3]Sheet1!$C$3:$Q$3,1))-INDEX([3]Sheet1!$C$4:$Q$23,
MATCH(K823,[3]Sheet1!$B$4:$B$23,1),MATCH(D823,[3]Sheet1!$C$3:$Q$3,1)))
+(D823-INDEX([3]Sheet1!$C$3:$Q$3,1,MATCH(D823,[3]Sheet1!$C$3:$Q$3)))/(INDEX([3]Sheet1!$C$3:$Q$3,1,MATCH(D823,[3]Sheet1!$C$3:$Q$3)+1)-INDEX([3]Sheet1!$C$3:$Q$3,1,MATCH(
D823,[3]Sheet1!$C$3:$Q$3)))*(INDEX([3]Sheet1!$C$4:$Q$23,MATCH(K823,[3]Sheet1!$B$4:$B$23,1),MATCH(D823,[3]Sheet1!$C$3:$Q$3,1)+1)-INDEX([3]Sheet1!$C$4:$Q$23,MATCH(K823,[3]Sheet1!$B$4:$B$23,1),MATCH(D823,[3]Sheet1!$C$3:$Q$3,1))))</f>
        <v>0</v>
      </c>
      <c r="M823" cm="1">
        <f t="array" ref="M823" xml:space="preserve"> IF(E823*J823=0,0,(INDEX([2]Sheet1!$C$4:$Q$23,MATCH(K823,[2]Sheet1!$B$4:$B$23,1),MATCH(D823,[2]Sheet1!$C$3:$Q$3,1))
+ (K823 - INDEX([2]Sheet1!$B$4:$B$23,MATCH(K823,[2]Sheet1!$B$4:$B$23,1),1))/(INDEX([2]Sheet1!$B$4:$B$23,MATCH(K823,[2]Sheet1!$B$4:$B$23,1)+1,1) - INDEX([2]Sheet1!$B$4:$B$23,MATCH(K823,[2]Sheet1!$B$4:$B$23,1),1))*(INDEX([2]Sheet1!$C$4:$Q$23,MATCH(K823,[2]Sheet1!$B$4:$B$23,1)+1,MATCH(D823,[2]Sheet1!$C$3:$Q$3,1)) - INDEX([2]Sheet1!$C$4:$Q$23,MATCH(K823,[2]Sheet1!$B$4:$B$23,1),MATCH(D823,[2]Sheet1!$C$3:$Q$3,1)))
+ (D823 - INDEX([2]Sheet1!$C$3:$Q$3,1,MATCH(D823,[2]Sheet1!$C$3:$Q$3)))/(INDEX([2]Sheet1!$C$3:$Q$3,1,MATCH(D823,[2]Sheet1!$C$3:$Q$3)+1) - INDEX([2]Sheet1!$C$3:$Q$3,1,MATCH(D823,[2]Sheet1!$C$3:$Q$3)))*(
INDEX([2]Sheet1!$C$4:$Q$23,MATCH(K823,[2]Sheet1!$B$4:$B$23,1),MATCH(D823,[2]Sheet1!$C$3:$Q$3,1)+1) - INDEX([2]Sheet1!$C$4:$Q$23,MATCH(K823,[2]Sheet1!$B$4:$B$23,1),MATCH(D823,[2]Sheet1!$C$3:$Q$3,1)))))</f>
        <v>0</v>
      </c>
      <c r="N823">
        <f t="shared" si="234"/>
        <v>12</v>
      </c>
      <c r="O823">
        <v>189.02450568394099</v>
      </c>
      <c r="P823" t="e">
        <f t="shared" si="235"/>
        <v>#DIV/0!</v>
      </c>
      <c r="Q823">
        <f t="shared" si="236"/>
        <v>0</v>
      </c>
      <c r="R823">
        <f t="shared" si="237"/>
        <v>741.9099431943954</v>
      </c>
      <c r="T823" t="e">
        <f t="shared" si="238"/>
        <v>#DIV/0!</v>
      </c>
      <c r="U823" t="e">
        <f t="shared" si="239"/>
        <v>#DIV/0!</v>
      </c>
      <c r="V823">
        <f t="shared" si="240"/>
        <v>0</v>
      </c>
      <c r="W823" t="e">
        <f t="shared" si="241"/>
        <v>#DIV/0!</v>
      </c>
    </row>
    <row r="824" spans="1:23" x14ac:dyDescent="0.55000000000000004">
      <c r="A824">
        <f t="shared" si="243"/>
        <v>78.999999999999787</v>
      </c>
      <c r="B824">
        <f t="shared" si="244"/>
        <v>0.316</v>
      </c>
      <c r="C824">
        <f t="shared" si="227"/>
        <v>-46.521739130434653</v>
      </c>
      <c r="D824">
        <v>190.43984551913201</v>
      </c>
      <c r="E824">
        <f t="shared" si="228"/>
        <v>0</v>
      </c>
      <c r="F824">
        <f t="shared" si="229"/>
        <v>4.8605058816845369E-2</v>
      </c>
      <c r="G824">
        <f t="shared" si="230"/>
        <v>39.513748498891111</v>
      </c>
      <c r="H824">
        <f t="shared" si="231"/>
        <v>0</v>
      </c>
      <c r="I824" s="1">
        <f t="shared" si="242"/>
        <v>0</v>
      </c>
      <c r="J824">
        <f t="shared" si="232"/>
        <v>0</v>
      </c>
      <c r="K824">
        <f t="shared" si="233"/>
        <v>0</v>
      </c>
      <c r="L824" cm="1">
        <f t="array" ref="L824">IF(E824*J824=0,0,$C$21*INDEX([3]Sheet1!$C$4:$Q$23,MATCH(K824,[3]Sheet1!$B$4:$B$23,1),MATCH(D824,[3]Sheet1!$C$3:$Q$3,1))
+(K824-INDEX([3]Sheet1!$B$4:$B$23,MATCH(K824,[3]Sheet1!$B$4:$B$23,1),1))/(INDEX([3]Sheet1!$B$4:$B$23,MATCH(K824,[3]Sheet1!$B$4:$B$23,1)+1,1)-INDEX([3]Sheet1!$B$4:$B$23,
MATCH(K824,[3]Sheet1!$B$4:$B$23,1),1))*(INDEX([3]Sheet1!$C$4:$Q$23,MATCH(K824,[3]Sheet1!$B$4:$B$23,1)+1,MATCH(D824,[3]Sheet1!$C$3:$Q$3,1))-INDEX([3]Sheet1!$C$4:$Q$23,
MATCH(K824,[3]Sheet1!$B$4:$B$23,1),MATCH(D824,[3]Sheet1!$C$3:$Q$3,1)))
+(D824-INDEX([3]Sheet1!$C$3:$Q$3,1,MATCH(D824,[3]Sheet1!$C$3:$Q$3)))/(INDEX([3]Sheet1!$C$3:$Q$3,1,MATCH(D824,[3]Sheet1!$C$3:$Q$3)+1)-INDEX([3]Sheet1!$C$3:$Q$3,1,MATCH(
D824,[3]Sheet1!$C$3:$Q$3)))*(INDEX([3]Sheet1!$C$4:$Q$23,MATCH(K824,[3]Sheet1!$B$4:$B$23,1),MATCH(D824,[3]Sheet1!$C$3:$Q$3,1)+1)-INDEX([3]Sheet1!$C$4:$Q$23,MATCH(K824,[3]Sheet1!$B$4:$B$23,1),MATCH(D824,[3]Sheet1!$C$3:$Q$3,1))))</f>
        <v>0</v>
      </c>
      <c r="M824" cm="1">
        <f t="array" ref="M824" xml:space="preserve"> IF(E824*J824=0,0,(INDEX([2]Sheet1!$C$4:$Q$23,MATCH(K824,[2]Sheet1!$B$4:$B$23,1),MATCH(D824,[2]Sheet1!$C$3:$Q$3,1))
+ (K824 - INDEX([2]Sheet1!$B$4:$B$23,MATCH(K824,[2]Sheet1!$B$4:$B$23,1),1))/(INDEX([2]Sheet1!$B$4:$B$23,MATCH(K824,[2]Sheet1!$B$4:$B$23,1)+1,1) - INDEX([2]Sheet1!$B$4:$B$23,MATCH(K824,[2]Sheet1!$B$4:$B$23,1),1))*(INDEX([2]Sheet1!$C$4:$Q$23,MATCH(K824,[2]Sheet1!$B$4:$B$23,1)+1,MATCH(D824,[2]Sheet1!$C$3:$Q$3,1)) - INDEX([2]Sheet1!$C$4:$Q$23,MATCH(K824,[2]Sheet1!$B$4:$B$23,1),MATCH(D824,[2]Sheet1!$C$3:$Q$3,1)))
+ (D824 - INDEX([2]Sheet1!$C$3:$Q$3,1,MATCH(D824,[2]Sheet1!$C$3:$Q$3)))/(INDEX([2]Sheet1!$C$3:$Q$3,1,MATCH(D824,[2]Sheet1!$C$3:$Q$3)+1) - INDEX([2]Sheet1!$C$3:$Q$3,1,MATCH(D824,[2]Sheet1!$C$3:$Q$3)))*(
INDEX([2]Sheet1!$C$4:$Q$23,MATCH(K824,[2]Sheet1!$B$4:$B$23,1),MATCH(D824,[2]Sheet1!$C$3:$Q$3,1)+1) - INDEX([2]Sheet1!$C$4:$Q$23,MATCH(K824,[2]Sheet1!$B$4:$B$23,1),MATCH(D824,[2]Sheet1!$C$3:$Q$3,1)))))</f>
        <v>0</v>
      </c>
      <c r="N824">
        <f t="shared" si="234"/>
        <v>12</v>
      </c>
      <c r="O824">
        <v>190.02450568394099</v>
      </c>
      <c r="P824" t="e">
        <f t="shared" si="235"/>
        <v>#DIV/0!</v>
      </c>
      <c r="Q824">
        <f t="shared" si="236"/>
        <v>0</v>
      </c>
      <c r="R824">
        <f t="shared" si="237"/>
        <v>741.9099431943954</v>
      </c>
      <c r="T824" t="e">
        <f t="shared" si="238"/>
        <v>#DIV/0!</v>
      </c>
      <c r="U824" t="e">
        <f t="shared" si="239"/>
        <v>#DIV/0!</v>
      </c>
      <c r="V824">
        <f t="shared" si="240"/>
        <v>0</v>
      </c>
      <c r="W824" t="e">
        <f t="shared" si="241"/>
        <v>#DIV/0!</v>
      </c>
    </row>
    <row r="825" spans="1:23" x14ac:dyDescent="0.55000000000000004">
      <c r="A825">
        <f t="shared" si="243"/>
        <v>79.099999999999781</v>
      </c>
      <c r="B825">
        <f t="shared" si="244"/>
        <v>0.316</v>
      </c>
      <c r="C825">
        <f t="shared" si="227"/>
        <v>-46.58695652173899</v>
      </c>
      <c r="D825">
        <v>191.43984551913201</v>
      </c>
      <c r="E825">
        <f t="shared" si="228"/>
        <v>0</v>
      </c>
      <c r="F825">
        <f t="shared" si="229"/>
        <v>4.8605058816845369E-2</v>
      </c>
      <c r="G825">
        <f t="shared" si="230"/>
        <v>39.513748498891111</v>
      </c>
      <c r="H825">
        <f t="shared" si="231"/>
        <v>0</v>
      </c>
      <c r="I825" s="1">
        <f t="shared" si="242"/>
        <v>0</v>
      </c>
      <c r="J825">
        <f t="shared" si="232"/>
        <v>0</v>
      </c>
      <c r="K825">
        <f t="shared" si="233"/>
        <v>0</v>
      </c>
      <c r="L825" cm="1">
        <f t="array" ref="L825">IF(E825*J825=0,0,$C$21*INDEX([3]Sheet1!$C$4:$Q$23,MATCH(K825,[3]Sheet1!$B$4:$B$23,1),MATCH(D825,[3]Sheet1!$C$3:$Q$3,1))
+(K825-INDEX([3]Sheet1!$B$4:$B$23,MATCH(K825,[3]Sheet1!$B$4:$B$23,1),1))/(INDEX([3]Sheet1!$B$4:$B$23,MATCH(K825,[3]Sheet1!$B$4:$B$23,1)+1,1)-INDEX([3]Sheet1!$B$4:$B$23,
MATCH(K825,[3]Sheet1!$B$4:$B$23,1),1))*(INDEX([3]Sheet1!$C$4:$Q$23,MATCH(K825,[3]Sheet1!$B$4:$B$23,1)+1,MATCH(D825,[3]Sheet1!$C$3:$Q$3,1))-INDEX([3]Sheet1!$C$4:$Q$23,
MATCH(K825,[3]Sheet1!$B$4:$B$23,1),MATCH(D825,[3]Sheet1!$C$3:$Q$3,1)))
+(D825-INDEX([3]Sheet1!$C$3:$Q$3,1,MATCH(D825,[3]Sheet1!$C$3:$Q$3)))/(INDEX([3]Sheet1!$C$3:$Q$3,1,MATCH(D825,[3]Sheet1!$C$3:$Q$3)+1)-INDEX([3]Sheet1!$C$3:$Q$3,1,MATCH(
D825,[3]Sheet1!$C$3:$Q$3)))*(INDEX([3]Sheet1!$C$4:$Q$23,MATCH(K825,[3]Sheet1!$B$4:$B$23,1),MATCH(D825,[3]Sheet1!$C$3:$Q$3,1)+1)-INDEX([3]Sheet1!$C$4:$Q$23,MATCH(K825,[3]Sheet1!$B$4:$B$23,1),MATCH(D825,[3]Sheet1!$C$3:$Q$3,1))))</f>
        <v>0</v>
      </c>
      <c r="M825" cm="1">
        <f t="array" ref="M825" xml:space="preserve"> IF(E825*J825=0,0,(INDEX([2]Sheet1!$C$4:$Q$23,MATCH(K825,[2]Sheet1!$B$4:$B$23,1),MATCH(D825,[2]Sheet1!$C$3:$Q$3,1))
+ (K825 - INDEX([2]Sheet1!$B$4:$B$23,MATCH(K825,[2]Sheet1!$B$4:$B$23,1),1))/(INDEX([2]Sheet1!$B$4:$B$23,MATCH(K825,[2]Sheet1!$B$4:$B$23,1)+1,1) - INDEX([2]Sheet1!$B$4:$B$23,MATCH(K825,[2]Sheet1!$B$4:$B$23,1),1))*(INDEX([2]Sheet1!$C$4:$Q$23,MATCH(K825,[2]Sheet1!$B$4:$B$23,1)+1,MATCH(D825,[2]Sheet1!$C$3:$Q$3,1)) - INDEX([2]Sheet1!$C$4:$Q$23,MATCH(K825,[2]Sheet1!$B$4:$B$23,1),MATCH(D825,[2]Sheet1!$C$3:$Q$3,1)))
+ (D825 - INDEX([2]Sheet1!$C$3:$Q$3,1,MATCH(D825,[2]Sheet1!$C$3:$Q$3)))/(INDEX([2]Sheet1!$C$3:$Q$3,1,MATCH(D825,[2]Sheet1!$C$3:$Q$3)+1) - INDEX([2]Sheet1!$C$3:$Q$3,1,MATCH(D825,[2]Sheet1!$C$3:$Q$3)))*(
INDEX([2]Sheet1!$C$4:$Q$23,MATCH(K825,[2]Sheet1!$B$4:$B$23,1),MATCH(D825,[2]Sheet1!$C$3:$Q$3,1)+1) - INDEX([2]Sheet1!$C$4:$Q$23,MATCH(K825,[2]Sheet1!$B$4:$B$23,1),MATCH(D825,[2]Sheet1!$C$3:$Q$3,1)))))</f>
        <v>0</v>
      </c>
      <c r="N825">
        <f t="shared" si="234"/>
        <v>12</v>
      </c>
      <c r="O825">
        <v>191.02450568394099</v>
      </c>
      <c r="P825" t="e">
        <f t="shared" si="235"/>
        <v>#DIV/0!</v>
      </c>
      <c r="Q825">
        <f t="shared" si="236"/>
        <v>0</v>
      </c>
      <c r="R825">
        <f t="shared" si="237"/>
        <v>741.9099431943954</v>
      </c>
      <c r="T825" t="e">
        <f t="shared" si="238"/>
        <v>#DIV/0!</v>
      </c>
      <c r="U825" t="e">
        <f t="shared" si="239"/>
        <v>#DIV/0!</v>
      </c>
      <c r="V825">
        <f t="shared" si="240"/>
        <v>0</v>
      </c>
      <c r="W825" t="e">
        <f t="shared" si="241"/>
        <v>#DIV/0!</v>
      </c>
    </row>
    <row r="826" spans="1:23" x14ac:dyDescent="0.55000000000000004">
      <c r="A826">
        <f t="shared" si="243"/>
        <v>79.199999999999775</v>
      </c>
      <c r="B826">
        <f t="shared" si="244"/>
        <v>0.316</v>
      </c>
      <c r="C826">
        <f t="shared" si="227"/>
        <v>-46.652173913043342</v>
      </c>
      <c r="D826">
        <v>192.43984551913201</v>
      </c>
      <c r="E826">
        <f t="shared" si="228"/>
        <v>0</v>
      </c>
      <c r="F826">
        <f t="shared" si="229"/>
        <v>4.8605058816845369E-2</v>
      </c>
      <c r="G826">
        <f t="shared" si="230"/>
        <v>39.513748498891111</v>
      </c>
      <c r="H826">
        <f t="shared" si="231"/>
        <v>0</v>
      </c>
      <c r="I826" s="1">
        <f t="shared" si="242"/>
        <v>0</v>
      </c>
      <c r="J826">
        <f t="shared" si="232"/>
        <v>0</v>
      </c>
      <c r="K826">
        <f t="shared" si="233"/>
        <v>0</v>
      </c>
      <c r="L826" cm="1">
        <f t="array" ref="L826">IF(E826*J826=0,0,$C$21*INDEX([3]Sheet1!$C$4:$Q$23,MATCH(K826,[3]Sheet1!$B$4:$B$23,1),MATCH(D826,[3]Sheet1!$C$3:$Q$3,1))
+(K826-INDEX([3]Sheet1!$B$4:$B$23,MATCH(K826,[3]Sheet1!$B$4:$B$23,1),1))/(INDEX([3]Sheet1!$B$4:$B$23,MATCH(K826,[3]Sheet1!$B$4:$B$23,1)+1,1)-INDEX([3]Sheet1!$B$4:$B$23,
MATCH(K826,[3]Sheet1!$B$4:$B$23,1),1))*(INDEX([3]Sheet1!$C$4:$Q$23,MATCH(K826,[3]Sheet1!$B$4:$B$23,1)+1,MATCH(D826,[3]Sheet1!$C$3:$Q$3,1))-INDEX([3]Sheet1!$C$4:$Q$23,
MATCH(K826,[3]Sheet1!$B$4:$B$23,1),MATCH(D826,[3]Sheet1!$C$3:$Q$3,1)))
+(D826-INDEX([3]Sheet1!$C$3:$Q$3,1,MATCH(D826,[3]Sheet1!$C$3:$Q$3)))/(INDEX([3]Sheet1!$C$3:$Q$3,1,MATCH(D826,[3]Sheet1!$C$3:$Q$3)+1)-INDEX([3]Sheet1!$C$3:$Q$3,1,MATCH(
D826,[3]Sheet1!$C$3:$Q$3)))*(INDEX([3]Sheet1!$C$4:$Q$23,MATCH(K826,[3]Sheet1!$B$4:$B$23,1),MATCH(D826,[3]Sheet1!$C$3:$Q$3,1)+1)-INDEX([3]Sheet1!$C$4:$Q$23,MATCH(K826,[3]Sheet1!$B$4:$B$23,1),MATCH(D826,[3]Sheet1!$C$3:$Q$3,1))))</f>
        <v>0</v>
      </c>
      <c r="M826" cm="1">
        <f t="array" ref="M826" xml:space="preserve"> IF(E826*J826=0,0,(INDEX([2]Sheet1!$C$4:$Q$23,MATCH(K826,[2]Sheet1!$B$4:$B$23,1),MATCH(D826,[2]Sheet1!$C$3:$Q$3,1))
+ (K826 - INDEX([2]Sheet1!$B$4:$B$23,MATCH(K826,[2]Sheet1!$B$4:$B$23,1),1))/(INDEX([2]Sheet1!$B$4:$B$23,MATCH(K826,[2]Sheet1!$B$4:$B$23,1)+1,1) - INDEX([2]Sheet1!$B$4:$B$23,MATCH(K826,[2]Sheet1!$B$4:$B$23,1),1))*(INDEX([2]Sheet1!$C$4:$Q$23,MATCH(K826,[2]Sheet1!$B$4:$B$23,1)+1,MATCH(D826,[2]Sheet1!$C$3:$Q$3,1)) - INDEX([2]Sheet1!$C$4:$Q$23,MATCH(K826,[2]Sheet1!$B$4:$B$23,1),MATCH(D826,[2]Sheet1!$C$3:$Q$3,1)))
+ (D826 - INDEX([2]Sheet1!$C$3:$Q$3,1,MATCH(D826,[2]Sheet1!$C$3:$Q$3)))/(INDEX([2]Sheet1!$C$3:$Q$3,1,MATCH(D826,[2]Sheet1!$C$3:$Q$3)+1) - INDEX([2]Sheet1!$C$3:$Q$3,1,MATCH(D826,[2]Sheet1!$C$3:$Q$3)))*(
INDEX([2]Sheet1!$C$4:$Q$23,MATCH(K826,[2]Sheet1!$B$4:$B$23,1),MATCH(D826,[2]Sheet1!$C$3:$Q$3,1)+1) - INDEX([2]Sheet1!$C$4:$Q$23,MATCH(K826,[2]Sheet1!$B$4:$B$23,1),MATCH(D826,[2]Sheet1!$C$3:$Q$3,1)))))</f>
        <v>0</v>
      </c>
      <c r="N826">
        <f t="shared" si="234"/>
        <v>12</v>
      </c>
      <c r="O826">
        <v>192.02450568394099</v>
      </c>
      <c r="P826" t="e">
        <f t="shared" si="235"/>
        <v>#DIV/0!</v>
      </c>
      <c r="Q826">
        <f t="shared" si="236"/>
        <v>0</v>
      </c>
      <c r="R826">
        <f t="shared" si="237"/>
        <v>741.9099431943954</v>
      </c>
      <c r="T826" t="e">
        <f t="shared" si="238"/>
        <v>#DIV/0!</v>
      </c>
      <c r="U826" t="e">
        <f t="shared" si="239"/>
        <v>#DIV/0!</v>
      </c>
      <c r="V826">
        <f t="shared" si="240"/>
        <v>0</v>
      </c>
      <c r="W826" t="e">
        <f t="shared" si="241"/>
        <v>#DIV/0!</v>
      </c>
    </row>
    <row r="827" spans="1:23" x14ac:dyDescent="0.55000000000000004">
      <c r="A827">
        <f t="shared" si="243"/>
        <v>79.29999999999977</v>
      </c>
      <c r="B827">
        <f t="shared" si="244"/>
        <v>0.316</v>
      </c>
      <c r="C827">
        <f t="shared" ref="C827:C890" si="245">($C$3-$C$2)*A827/$C$4+$C$2</f>
        <v>-46.717391304347679</v>
      </c>
      <c r="D827">
        <v>193.43984551913201</v>
      </c>
      <c r="E827">
        <f t="shared" ref="E827:E890" si="246">IF(B827&lt;($C$5*$C$6*10^-6),$C$9*(PI()/4*($C$8*0.001)^2)*SQRT(2*$C$6*IF(C827&gt;D827,(C827-D827),0)*10^6),0)</f>
        <v>0</v>
      </c>
      <c r="F827">
        <f t="shared" ref="F827:F890" si="247">F826+(J826+J825)*(A827-A826)/2</f>
        <v>4.8605058816845369E-2</v>
      </c>
      <c r="G827">
        <f t="shared" ref="G827:G890" si="248">IF(SQRT(4*F827/($C$15*PI()*$C$11*$C$12*0.001)+($C$13*0.001)^2)*1000&lt;$C$14,SQRT(4*F827/($C$15*PI()*$C$11*$C$12*0.001)+($C$13*0.001)^2)*1000,$C$14)</f>
        <v>39.513748498891111</v>
      </c>
      <c r="H827">
        <f t="shared" ref="H827:H890" si="249">4*E827/($C$15*PI()*(G827*0.001)^2)</f>
        <v>0</v>
      </c>
      <c r="I827" s="1">
        <f t="shared" si="242"/>
        <v>0</v>
      </c>
      <c r="J827">
        <f t="shared" ref="J827:J890" si="250">($C$12*10^-3)*PI()*(G827*10^-3)*$C$11*(I827*10^-3)*$C$15</f>
        <v>0</v>
      </c>
      <c r="K827">
        <f t="shared" ref="K827:K890" si="251">IF(E827*J827=0,0,E827/J827)</f>
        <v>0</v>
      </c>
      <c r="L827" cm="1">
        <f t="array" ref="L827">IF(E827*J827=0,0,$C$21*INDEX([3]Sheet1!$C$4:$Q$23,MATCH(K827,[3]Sheet1!$B$4:$B$23,1),MATCH(D827,[3]Sheet1!$C$3:$Q$3,1))
+(K827-INDEX([3]Sheet1!$B$4:$B$23,MATCH(K827,[3]Sheet1!$B$4:$B$23,1),1))/(INDEX([3]Sheet1!$B$4:$B$23,MATCH(K827,[3]Sheet1!$B$4:$B$23,1)+1,1)-INDEX([3]Sheet1!$B$4:$B$23,
MATCH(K827,[3]Sheet1!$B$4:$B$23,1),1))*(INDEX([3]Sheet1!$C$4:$Q$23,MATCH(K827,[3]Sheet1!$B$4:$B$23,1)+1,MATCH(D827,[3]Sheet1!$C$3:$Q$3,1))-INDEX([3]Sheet1!$C$4:$Q$23,
MATCH(K827,[3]Sheet1!$B$4:$B$23,1),MATCH(D827,[3]Sheet1!$C$3:$Q$3,1)))
+(D827-INDEX([3]Sheet1!$C$3:$Q$3,1,MATCH(D827,[3]Sheet1!$C$3:$Q$3)))/(INDEX([3]Sheet1!$C$3:$Q$3,1,MATCH(D827,[3]Sheet1!$C$3:$Q$3)+1)-INDEX([3]Sheet1!$C$3:$Q$3,1,MATCH(
D827,[3]Sheet1!$C$3:$Q$3)))*(INDEX([3]Sheet1!$C$4:$Q$23,MATCH(K827,[3]Sheet1!$B$4:$B$23,1),MATCH(D827,[3]Sheet1!$C$3:$Q$3,1)+1)-INDEX([3]Sheet1!$C$4:$Q$23,MATCH(K827,[3]Sheet1!$B$4:$B$23,1),MATCH(D827,[3]Sheet1!$C$3:$Q$3,1))))</f>
        <v>0</v>
      </c>
      <c r="M827" cm="1">
        <f t="array" ref="M827" xml:space="preserve"> IF(E827*J827=0,0,(INDEX([2]Sheet1!$C$4:$Q$23,MATCH(K827,[2]Sheet1!$B$4:$B$23,1),MATCH(D827,[2]Sheet1!$C$3:$Q$3,1))
+ (K827 - INDEX([2]Sheet1!$B$4:$B$23,MATCH(K827,[2]Sheet1!$B$4:$B$23,1),1))/(INDEX([2]Sheet1!$B$4:$B$23,MATCH(K827,[2]Sheet1!$B$4:$B$23,1)+1,1) - INDEX([2]Sheet1!$B$4:$B$23,MATCH(K827,[2]Sheet1!$B$4:$B$23,1),1))*(INDEX([2]Sheet1!$C$4:$Q$23,MATCH(K827,[2]Sheet1!$B$4:$B$23,1)+1,MATCH(D827,[2]Sheet1!$C$3:$Q$3,1)) - INDEX([2]Sheet1!$C$4:$Q$23,MATCH(K827,[2]Sheet1!$B$4:$B$23,1),MATCH(D827,[2]Sheet1!$C$3:$Q$3,1)))
+ (D827 - INDEX([2]Sheet1!$C$3:$Q$3,1,MATCH(D827,[2]Sheet1!$C$3:$Q$3)))/(INDEX([2]Sheet1!$C$3:$Q$3,1,MATCH(D827,[2]Sheet1!$C$3:$Q$3)+1) - INDEX([2]Sheet1!$C$3:$Q$3,1,MATCH(D827,[2]Sheet1!$C$3:$Q$3)))*(
INDEX([2]Sheet1!$C$4:$Q$23,MATCH(K827,[2]Sheet1!$B$4:$B$23,1),MATCH(D827,[2]Sheet1!$C$3:$Q$3,1)+1) - INDEX([2]Sheet1!$C$4:$Q$23,MATCH(K827,[2]Sheet1!$B$4:$B$23,1),MATCH(D827,[2]Sheet1!$C$3:$Q$3,1)))))</f>
        <v>0</v>
      </c>
      <c r="N827">
        <f t="shared" ref="N827:N890" si="252">C$23+$C$26*(A828-A827)</f>
        <v>12</v>
      </c>
      <c r="O827">
        <v>193.02450568394099</v>
      </c>
      <c r="P827" t="e">
        <f t="shared" ref="P827:P890" si="253">SQRT(2*(M827^2)/(M827-1)*((2/(M827+1))^((M827+1)/(M827-1)))*(1-(O827/D827)^((M827-1)/M827)))+((O827-$C$22)/D827)*(($C$24^2)/($C$23^2))</f>
        <v>#DIV/0!</v>
      </c>
      <c r="Q827">
        <f t="shared" ref="Q827:Q890" si="254">IF(E827*J827=0,0,((1+COS(RADIANS($C$25)))/2)*P827*D827*(PI()*($C$23^2)/4))</f>
        <v>0</v>
      </c>
      <c r="R827">
        <f t="shared" ref="R827:R890" si="255">R826+(Q827+Q826)*(A827-A826)/2</f>
        <v>741.9099431943954</v>
      </c>
      <c r="T827" t="e">
        <f t="shared" ref="T827:T890" si="256">((2/(M827+1))^(1/(M827-1)))*((D827/O827)^(1/M827))/SQRT(((M827+1)/(M827-1))*(1-(O827/D827)^((M827-1)/M827)))</f>
        <v>#DIV/0!</v>
      </c>
      <c r="U827" t="e">
        <f t="shared" ref="U827:U890" si="257">(T827-(($C$24^2)/(N827^2)))/(($C$24^2)/(N827^2))*100</f>
        <v>#DIV/0!</v>
      </c>
      <c r="V827">
        <f t="shared" ref="V827:V890" si="258">4*L827*(E827+J827)/(PI()*N827^2)</f>
        <v>0</v>
      </c>
      <c r="W827" t="e">
        <f t="shared" ref="W827:W890" si="259">(D827-V827)/V827*100</f>
        <v>#DIV/0!</v>
      </c>
    </row>
    <row r="828" spans="1:23" x14ac:dyDescent="0.55000000000000004">
      <c r="A828">
        <f t="shared" si="243"/>
        <v>79.399999999999764</v>
      </c>
      <c r="B828">
        <f t="shared" si="244"/>
        <v>0.316</v>
      </c>
      <c r="C828">
        <f t="shared" si="245"/>
        <v>-46.78260869565203</v>
      </c>
      <c r="D828">
        <v>194.43984551913201</v>
      </c>
      <c r="E828">
        <f t="shared" si="246"/>
        <v>0</v>
      </c>
      <c r="F828">
        <f t="shared" si="247"/>
        <v>4.8605058816845369E-2</v>
      </c>
      <c r="G828">
        <f t="shared" si="248"/>
        <v>39.513748498891111</v>
      </c>
      <c r="H828">
        <f t="shared" si="249"/>
        <v>0</v>
      </c>
      <c r="I828" s="1">
        <f t="shared" si="242"/>
        <v>0</v>
      </c>
      <c r="J828">
        <f t="shared" si="250"/>
        <v>0</v>
      </c>
      <c r="K828">
        <f t="shared" si="251"/>
        <v>0</v>
      </c>
      <c r="L828" cm="1">
        <f t="array" ref="L828">IF(E828*J828=0,0,$C$21*INDEX([3]Sheet1!$C$4:$Q$23,MATCH(K828,[3]Sheet1!$B$4:$B$23,1),MATCH(D828,[3]Sheet1!$C$3:$Q$3,1))
+(K828-INDEX([3]Sheet1!$B$4:$B$23,MATCH(K828,[3]Sheet1!$B$4:$B$23,1),1))/(INDEX([3]Sheet1!$B$4:$B$23,MATCH(K828,[3]Sheet1!$B$4:$B$23,1)+1,1)-INDEX([3]Sheet1!$B$4:$B$23,
MATCH(K828,[3]Sheet1!$B$4:$B$23,1),1))*(INDEX([3]Sheet1!$C$4:$Q$23,MATCH(K828,[3]Sheet1!$B$4:$B$23,1)+1,MATCH(D828,[3]Sheet1!$C$3:$Q$3,1))-INDEX([3]Sheet1!$C$4:$Q$23,
MATCH(K828,[3]Sheet1!$B$4:$B$23,1),MATCH(D828,[3]Sheet1!$C$3:$Q$3,1)))
+(D828-INDEX([3]Sheet1!$C$3:$Q$3,1,MATCH(D828,[3]Sheet1!$C$3:$Q$3)))/(INDEX([3]Sheet1!$C$3:$Q$3,1,MATCH(D828,[3]Sheet1!$C$3:$Q$3)+1)-INDEX([3]Sheet1!$C$3:$Q$3,1,MATCH(
D828,[3]Sheet1!$C$3:$Q$3)))*(INDEX([3]Sheet1!$C$4:$Q$23,MATCH(K828,[3]Sheet1!$B$4:$B$23,1),MATCH(D828,[3]Sheet1!$C$3:$Q$3,1)+1)-INDEX([3]Sheet1!$C$4:$Q$23,MATCH(K828,[3]Sheet1!$B$4:$B$23,1),MATCH(D828,[3]Sheet1!$C$3:$Q$3,1))))</f>
        <v>0</v>
      </c>
      <c r="M828" cm="1">
        <f t="array" ref="M828" xml:space="preserve"> IF(E828*J828=0,0,(INDEX([2]Sheet1!$C$4:$Q$23,MATCH(K828,[2]Sheet1!$B$4:$B$23,1),MATCH(D828,[2]Sheet1!$C$3:$Q$3,1))
+ (K828 - INDEX([2]Sheet1!$B$4:$B$23,MATCH(K828,[2]Sheet1!$B$4:$B$23,1),1))/(INDEX([2]Sheet1!$B$4:$B$23,MATCH(K828,[2]Sheet1!$B$4:$B$23,1)+1,1) - INDEX([2]Sheet1!$B$4:$B$23,MATCH(K828,[2]Sheet1!$B$4:$B$23,1),1))*(INDEX([2]Sheet1!$C$4:$Q$23,MATCH(K828,[2]Sheet1!$B$4:$B$23,1)+1,MATCH(D828,[2]Sheet1!$C$3:$Q$3,1)) - INDEX([2]Sheet1!$C$4:$Q$23,MATCH(K828,[2]Sheet1!$B$4:$B$23,1),MATCH(D828,[2]Sheet1!$C$3:$Q$3,1)))
+ (D828 - INDEX([2]Sheet1!$C$3:$Q$3,1,MATCH(D828,[2]Sheet1!$C$3:$Q$3)))/(INDEX([2]Sheet1!$C$3:$Q$3,1,MATCH(D828,[2]Sheet1!$C$3:$Q$3)+1) - INDEX([2]Sheet1!$C$3:$Q$3,1,MATCH(D828,[2]Sheet1!$C$3:$Q$3)))*(
INDEX([2]Sheet1!$C$4:$Q$23,MATCH(K828,[2]Sheet1!$B$4:$B$23,1),MATCH(D828,[2]Sheet1!$C$3:$Q$3,1)+1) - INDEX([2]Sheet1!$C$4:$Q$23,MATCH(K828,[2]Sheet1!$B$4:$B$23,1),MATCH(D828,[2]Sheet1!$C$3:$Q$3,1)))))</f>
        <v>0</v>
      </c>
      <c r="N828">
        <f t="shared" si="252"/>
        <v>12</v>
      </c>
      <c r="O828">
        <v>194.02450568394099</v>
      </c>
      <c r="P828" t="e">
        <f t="shared" si="253"/>
        <v>#DIV/0!</v>
      </c>
      <c r="Q828">
        <f t="shared" si="254"/>
        <v>0</v>
      </c>
      <c r="R828">
        <f t="shared" si="255"/>
        <v>741.9099431943954</v>
      </c>
      <c r="T828" t="e">
        <f t="shared" si="256"/>
        <v>#DIV/0!</v>
      </c>
      <c r="U828" t="e">
        <f t="shared" si="257"/>
        <v>#DIV/0!</v>
      </c>
      <c r="V828">
        <f t="shared" si="258"/>
        <v>0</v>
      </c>
      <c r="W828" t="e">
        <f t="shared" si="259"/>
        <v>#DIV/0!</v>
      </c>
    </row>
    <row r="829" spans="1:23" x14ac:dyDescent="0.55000000000000004">
      <c r="A829">
        <f t="shared" si="243"/>
        <v>79.499999999999758</v>
      </c>
      <c r="B829">
        <f t="shared" si="244"/>
        <v>0.316</v>
      </c>
      <c r="C829">
        <f t="shared" si="245"/>
        <v>-46.847826086956367</v>
      </c>
      <c r="D829">
        <v>195.43984551913201</v>
      </c>
      <c r="E829">
        <f t="shared" si="246"/>
        <v>0</v>
      </c>
      <c r="F829">
        <f t="shared" si="247"/>
        <v>4.8605058816845369E-2</v>
      </c>
      <c r="G829">
        <f t="shared" si="248"/>
        <v>39.513748498891111</v>
      </c>
      <c r="H829">
        <f t="shared" si="249"/>
        <v>0</v>
      </c>
      <c r="I829" s="1">
        <f t="shared" si="242"/>
        <v>0</v>
      </c>
      <c r="J829">
        <f t="shared" si="250"/>
        <v>0</v>
      </c>
      <c r="K829">
        <f t="shared" si="251"/>
        <v>0</v>
      </c>
      <c r="L829" cm="1">
        <f t="array" ref="L829">IF(E829*J829=0,0,$C$21*INDEX([3]Sheet1!$C$4:$Q$23,MATCH(K829,[3]Sheet1!$B$4:$B$23,1),MATCH(D829,[3]Sheet1!$C$3:$Q$3,1))
+(K829-INDEX([3]Sheet1!$B$4:$B$23,MATCH(K829,[3]Sheet1!$B$4:$B$23,1),1))/(INDEX([3]Sheet1!$B$4:$B$23,MATCH(K829,[3]Sheet1!$B$4:$B$23,1)+1,1)-INDEX([3]Sheet1!$B$4:$B$23,
MATCH(K829,[3]Sheet1!$B$4:$B$23,1),1))*(INDEX([3]Sheet1!$C$4:$Q$23,MATCH(K829,[3]Sheet1!$B$4:$B$23,1)+1,MATCH(D829,[3]Sheet1!$C$3:$Q$3,1))-INDEX([3]Sheet1!$C$4:$Q$23,
MATCH(K829,[3]Sheet1!$B$4:$B$23,1),MATCH(D829,[3]Sheet1!$C$3:$Q$3,1)))
+(D829-INDEX([3]Sheet1!$C$3:$Q$3,1,MATCH(D829,[3]Sheet1!$C$3:$Q$3)))/(INDEX([3]Sheet1!$C$3:$Q$3,1,MATCH(D829,[3]Sheet1!$C$3:$Q$3)+1)-INDEX([3]Sheet1!$C$3:$Q$3,1,MATCH(
D829,[3]Sheet1!$C$3:$Q$3)))*(INDEX([3]Sheet1!$C$4:$Q$23,MATCH(K829,[3]Sheet1!$B$4:$B$23,1),MATCH(D829,[3]Sheet1!$C$3:$Q$3,1)+1)-INDEX([3]Sheet1!$C$4:$Q$23,MATCH(K829,[3]Sheet1!$B$4:$B$23,1),MATCH(D829,[3]Sheet1!$C$3:$Q$3,1))))</f>
        <v>0</v>
      </c>
      <c r="M829" cm="1">
        <f t="array" ref="M829" xml:space="preserve"> IF(E829*J829=0,0,(INDEX([2]Sheet1!$C$4:$Q$23,MATCH(K829,[2]Sheet1!$B$4:$B$23,1),MATCH(D829,[2]Sheet1!$C$3:$Q$3,1))
+ (K829 - INDEX([2]Sheet1!$B$4:$B$23,MATCH(K829,[2]Sheet1!$B$4:$B$23,1),1))/(INDEX([2]Sheet1!$B$4:$B$23,MATCH(K829,[2]Sheet1!$B$4:$B$23,1)+1,1) - INDEX([2]Sheet1!$B$4:$B$23,MATCH(K829,[2]Sheet1!$B$4:$B$23,1),1))*(INDEX([2]Sheet1!$C$4:$Q$23,MATCH(K829,[2]Sheet1!$B$4:$B$23,1)+1,MATCH(D829,[2]Sheet1!$C$3:$Q$3,1)) - INDEX([2]Sheet1!$C$4:$Q$23,MATCH(K829,[2]Sheet1!$B$4:$B$23,1),MATCH(D829,[2]Sheet1!$C$3:$Q$3,1)))
+ (D829 - INDEX([2]Sheet1!$C$3:$Q$3,1,MATCH(D829,[2]Sheet1!$C$3:$Q$3)))/(INDEX([2]Sheet1!$C$3:$Q$3,1,MATCH(D829,[2]Sheet1!$C$3:$Q$3)+1) - INDEX([2]Sheet1!$C$3:$Q$3,1,MATCH(D829,[2]Sheet1!$C$3:$Q$3)))*(
INDEX([2]Sheet1!$C$4:$Q$23,MATCH(K829,[2]Sheet1!$B$4:$B$23,1),MATCH(D829,[2]Sheet1!$C$3:$Q$3,1)+1) - INDEX([2]Sheet1!$C$4:$Q$23,MATCH(K829,[2]Sheet1!$B$4:$B$23,1),MATCH(D829,[2]Sheet1!$C$3:$Q$3,1)))))</f>
        <v>0</v>
      </c>
      <c r="N829">
        <f t="shared" si="252"/>
        <v>12</v>
      </c>
      <c r="O829">
        <v>195.02450568394099</v>
      </c>
      <c r="P829" t="e">
        <f t="shared" si="253"/>
        <v>#DIV/0!</v>
      </c>
      <c r="Q829">
        <f t="shared" si="254"/>
        <v>0</v>
      </c>
      <c r="R829">
        <f t="shared" si="255"/>
        <v>741.9099431943954</v>
      </c>
      <c r="T829" t="e">
        <f t="shared" si="256"/>
        <v>#DIV/0!</v>
      </c>
      <c r="U829" t="e">
        <f t="shared" si="257"/>
        <v>#DIV/0!</v>
      </c>
      <c r="V829">
        <f t="shared" si="258"/>
        <v>0</v>
      </c>
      <c r="W829" t="e">
        <f t="shared" si="259"/>
        <v>#DIV/0!</v>
      </c>
    </row>
    <row r="830" spans="1:23" x14ac:dyDescent="0.55000000000000004">
      <c r="A830">
        <f t="shared" si="243"/>
        <v>79.599999999999753</v>
      </c>
      <c r="B830">
        <f t="shared" si="244"/>
        <v>0.316</v>
      </c>
      <c r="C830">
        <f t="shared" si="245"/>
        <v>-46.913043478260718</v>
      </c>
      <c r="D830">
        <v>196.43984551913201</v>
      </c>
      <c r="E830">
        <f t="shared" si="246"/>
        <v>0</v>
      </c>
      <c r="F830">
        <f t="shared" si="247"/>
        <v>4.8605058816845369E-2</v>
      </c>
      <c r="G830">
        <f t="shared" si="248"/>
        <v>39.513748498891111</v>
      </c>
      <c r="H830">
        <f t="shared" si="249"/>
        <v>0</v>
      </c>
      <c r="I830" s="1">
        <f t="shared" si="242"/>
        <v>0</v>
      </c>
      <c r="J830">
        <f t="shared" si="250"/>
        <v>0</v>
      </c>
      <c r="K830">
        <f t="shared" si="251"/>
        <v>0</v>
      </c>
      <c r="L830" cm="1">
        <f t="array" ref="L830">IF(E830*J830=0,0,$C$21*INDEX([3]Sheet1!$C$4:$Q$23,MATCH(K830,[3]Sheet1!$B$4:$B$23,1),MATCH(D830,[3]Sheet1!$C$3:$Q$3,1))
+(K830-INDEX([3]Sheet1!$B$4:$B$23,MATCH(K830,[3]Sheet1!$B$4:$B$23,1),1))/(INDEX([3]Sheet1!$B$4:$B$23,MATCH(K830,[3]Sheet1!$B$4:$B$23,1)+1,1)-INDEX([3]Sheet1!$B$4:$B$23,
MATCH(K830,[3]Sheet1!$B$4:$B$23,1),1))*(INDEX([3]Sheet1!$C$4:$Q$23,MATCH(K830,[3]Sheet1!$B$4:$B$23,1)+1,MATCH(D830,[3]Sheet1!$C$3:$Q$3,1))-INDEX([3]Sheet1!$C$4:$Q$23,
MATCH(K830,[3]Sheet1!$B$4:$B$23,1),MATCH(D830,[3]Sheet1!$C$3:$Q$3,1)))
+(D830-INDEX([3]Sheet1!$C$3:$Q$3,1,MATCH(D830,[3]Sheet1!$C$3:$Q$3)))/(INDEX([3]Sheet1!$C$3:$Q$3,1,MATCH(D830,[3]Sheet1!$C$3:$Q$3)+1)-INDEX([3]Sheet1!$C$3:$Q$3,1,MATCH(
D830,[3]Sheet1!$C$3:$Q$3)))*(INDEX([3]Sheet1!$C$4:$Q$23,MATCH(K830,[3]Sheet1!$B$4:$B$23,1),MATCH(D830,[3]Sheet1!$C$3:$Q$3,1)+1)-INDEX([3]Sheet1!$C$4:$Q$23,MATCH(K830,[3]Sheet1!$B$4:$B$23,1),MATCH(D830,[3]Sheet1!$C$3:$Q$3,1))))</f>
        <v>0</v>
      </c>
      <c r="M830" cm="1">
        <f t="array" ref="M830" xml:space="preserve"> IF(E830*J830=0,0,(INDEX([2]Sheet1!$C$4:$Q$23,MATCH(K830,[2]Sheet1!$B$4:$B$23,1),MATCH(D830,[2]Sheet1!$C$3:$Q$3,1))
+ (K830 - INDEX([2]Sheet1!$B$4:$B$23,MATCH(K830,[2]Sheet1!$B$4:$B$23,1),1))/(INDEX([2]Sheet1!$B$4:$B$23,MATCH(K830,[2]Sheet1!$B$4:$B$23,1)+1,1) - INDEX([2]Sheet1!$B$4:$B$23,MATCH(K830,[2]Sheet1!$B$4:$B$23,1),1))*(INDEX([2]Sheet1!$C$4:$Q$23,MATCH(K830,[2]Sheet1!$B$4:$B$23,1)+1,MATCH(D830,[2]Sheet1!$C$3:$Q$3,1)) - INDEX([2]Sheet1!$C$4:$Q$23,MATCH(K830,[2]Sheet1!$B$4:$B$23,1),MATCH(D830,[2]Sheet1!$C$3:$Q$3,1)))
+ (D830 - INDEX([2]Sheet1!$C$3:$Q$3,1,MATCH(D830,[2]Sheet1!$C$3:$Q$3)))/(INDEX([2]Sheet1!$C$3:$Q$3,1,MATCH(D830,[2]Sheet1!$C$3:$Q$3)+1) - INDEX([2]Sheet1!$C$3:$Q$3,1,MATCH(D830,[2]Sheet1!$C$3:$Q$3)))*(
INDEX([2]Sheet1!$C$4:$Q$23,MATCH(K830,[2]Sheet1!$B$4:$B$23,1),MATCH(D830,[2]Sheet1!$C$3:$Q$3,1)+1) - INDEX([2]Sheet1!$C$4:$Q$23,MATCH(K830,[2]Sheet1!$B$4:$B$23,1),MATCH(D830,[2]Sheet1!$C$3:$Q$3,1)))))</f>
        <v>0</v>
      </c>
      <c r="N830">
        <f t="shared" si="252"/>
        <v>12</v>
      </c>
      <c r="O830">
        <v>196.02450568394099</v>
      </c>
      <c r="P830" t="e">
        <f t="shared" si="253"/>
        <v>#DIV/0!</v>
      </c>
      <c r="Q830">
        <f t="shared" si="254"/>
        <v>0</v>
      </c>
      <c r="R830">
        <f t="shared" si="255"/>
        <v>741.9099431943954</v>
      </c>
      <c r="T830" t="e">
        <f t="shared" si="256"/>
        <v>#DIV/0!</v>
      </c>
      <c r="U830" t="e">
        <f t="shared" si="257"/>
        <v>#DIV/0!</v>
      </c>
      <c r="V830">
        <f t="shared" si="258"/>
        <v>0</v>
      </c>
      <c r="W830" t="e">
        <f t="shared" si="259"/>
        <v>#DIV/0!</v>
      </c>
    </row>
    <row r="831" spans="1:23" x14ac:dyDescent="0.55000000000000004">
      <c r="A831">
        <f t="shared" si="243"/>
        <v>79.699999999999747</v>
      </c>
      <c r="B831">
        <f t="shared" si="244"/>
        <v>0.316</v>
      </c>
      <c r="C831">
        <f t="shared" si="245"/>
        <v>-46.978260869565055</v>
      </c>
      <c r="D831">
        <v>197.43984551913201</v>
      </c>
      <c r="E831">
        <f t="shared" si="246"/>
        <v>0</v>
      </c>
      <c r="F831">
        <f t="shared" si="247"/>
        <v>4.8605058816845369E-2</v>
      </c>
      <c r="G831">
        <f t="shared" si="248"/>
        <v>39.513748498891111</v>
      </c>
      <c r="H831">
        <f t="shared" si="249"/>
        <v>0</v>
      </c>
      <c r="I831" s="1">
        <f t="shared" si="242"/>
        <v>0</v>
      </c>
      <c r="J831">
        <f t="shared" si="250"/>
        <v>0</v>
      </c>
      <c r="K831">
        <f t="shared" si="251"/>
        <v>0</v>
      </c>
      <c r="L831" cm="1">
        <f t="array" ref="L831">IF(E831*J831=0,0,$C$21*INDEX([3]Sheet1!$C$4:$Q$23,MATCH(K831,[3]Sheet1!$B$4:$B$23,1),MATCH(D831,[3]Sheet1!$C$3:$Q$3,1))
+(K831-INDEX([3]Sheet1!$B$4:$B$23,MATCH(K831,[3]Sheet1!$B$4:$B$23,1),1))/(INDEX([3]Sheet1!$B$4:$B$23,MATCH(K831,[3]Sheet1!$B$4:$B$23,1)+1,1)-INDEX([3]Sheet1!$B$4:$B$23,
MATCH(K831,[3]Sheet1!$B$4:$B$23,1),1))*(INDEX([3]Sheet1!$C$4:$Q$23,MATCH(K831,[3]Sheet1!$B$4:$B$23,1)+1,MATCH(D831,[3]Sheet1!$C$3:$Q$3,1))-INDEX([3]Sheet1!$C$4:$Q$23,
MATCH(K831,[3]Sheet1!$B$4:$B$23,1),MATCH(D831,[3]Sheet1!$C$3:$Q$3,1)))
+(D831-INDEX([3]Sheet1!$C$3:$Q$3,1,MATCH(D831,[3]Sheet1!$C$3:$Q$3)))/(INDEX([3]Sheet1!$C$3:$Q$3,1,MATCH(D831,[3]Sheet1!$C$3:$Q$3)+1)-INDEX([3]Sheet1!$C$3:$Q$3,1,MATCH(
D831,[3]Sheet1!$C$3:$Q$3)))*(INDEX([3]Sheet1!$C$4:$Q$23,MATCH(K831,[3]Sheet1!$B$4:$B$23,1),MATCH(D831,[3]Sheet1!$C$3:$Q$3,1)+1)-INDEX([3]Sheet1!$C$4:$Q$23,MATCH(K831,[3]Sheet1!$B$4:$B$23,1),MATCH(D831,[3]Sheet1!$C$3:$Q$3,1))))</f>
        <v>0</v>
      </c>
      <c r="M831" cm="1">
        <f t="array" ref="M831" xml:space="preserve"> IF(E831*J831=0,0,(INDEX([2]Sheet1!$C$4:$Q$23,MATCH(K831,[2]Sheet1!$B$4:$B$23,1),MATCH(D831,[2]Sheet1!$C$3:$Q$3,1))
+ (K831 - INDEX([2]Sheet1!$B$4:$B$23,MATCH(K831,[2]Sheet1!$B$4:$B$23,1),1))/(INDEX([2]Sheet1!$B$4:$B$23,MATCH(K831,[2]Sheet1!$B$4:$B$23,1)+1,1) - INDEX([2]Sheet1!$B$4:$B$23,MATCH(K831,[2]Sheet1!$B$4:$B$23,1),1))*(INDEX([2]Sheet1!$C$4:$Q$23,MATCH(K831,[2]Sheet1!$B$4:$B$23,1)+1,MATCH(D831,[2]Sheet1!$C$3:$Q$3,1)) - INDEX([2]Sheet1!$C$4:$Q$23,MATCH(K831,[2]Sheet1!$B$4:$B$23,1),MATCH(D831,[2]Sheet1!$C$3:$Q$3,1)))
+ (D831 - INDEX([2]Sheet1!$C$3:$Q$3,1,MATCH(D831,[2]Sheet1!$C$3:$Q$3)))/(INDEX([2]Sheet1!$C$3:$Q$3,1,MATCH(D831,[2]Sheet1!$C$3:$Q$3)+1) - INDEX([2]Sheet1!$C$3:$Q$3,1,MATCH(D831,[2]Sheet1!$C$3:$Q$3)))*(
INDEX([2]Sheet1!$C$4:$Q$23,MATCH(K831,[2]Sheet1!$B$4:$B$23,1),MATCH(D831,[2]Sheet1!$C$3:$Q$3,1)+1) - INDEX([2]Sheet1!$C$4:$Q$23,MATCH(K831,[2]Sheet1!$B$4:$B$23,1),MATCH(D831,[2]Sheet1!$C$3:$Q$3,1)))))</f>
        <v>0</v>
      </c>
      <c r="N831">
        <f t="shared" si="252"/>
        <v>12</v>
      </c>
      <c r="O831">
        <v>197.02450568394099</v>
      </c>
      <c r="P831" t="e">
        <f t="shared" si="253"/>
        <v>#DIV/0!</v>
      </c>
      <c r="Q831">
        <f t="shared" si="254"/>
        <v>0</v>
      </c>
      <c r="R831">
        <f t="shared" si="255"/>
        <v>741.9099431943954</v>
      </c>
      <c r="T831" t="e">
        <f t="shared" si="256"/>
        <v>#DIV/0!</v>
      </c>
      <c r="U831" t="e">
        <f t="shared" si="257"/>
        <v>#DIV/0!</v>
      </c>
      <c r="V831">
        <f t="shared" si="258"/>
        <v>0</v>
      </c>
      <c r="W831" t="e">
        <f t="shared" si="259"/>
        <v>#DIV/0!</v>
      </c>
    </row>
    <row r="832" spans="1:23" x14ac:dyDescent="0.55000000000000004">
      <c r="A832">
        <f t="shared" si="243"/>
        <v>79.799999999999741</v>
      </c>
      <c r="B832">
        <f t="shared" si="244"/>
        <v>0.316</v>
      </c>
      <c r="C832">
        <f t="shared" si="245"/>
        <v>-47.043478260869406</v>
      </c>
      <c r="D832">
        <v>198.43984551913201</v>
      </c>
      <c r="E832">
        <f t="shared" si="246"/>
        <v>0</v>
      </c>
      <c r="F832">
        <f t="shared" si="247"/>
        <v>4.8605058816845369E-2</v>
      </c>
      <c r="G832">
        <f t="shared" si="248"/>
        <v>39.513748498891111</v>
      </c>
      <c r="H832">
        <f t="shared" si="249"/>
        <v>0</v>
      </c>
      <c r="I832" s="1">
        <f t="shared" si="242"/>
        <v>0</v>
      </c>
      <c r="J832">
        <f t="shared" si="250"/>
        <v>0</v>
      </c>
      <c r="K832">
        <f t="shared" si="251"/>
        <v>0</v>
      </c>
      <c r="L832" cm="1">
        <f t="array" ref="L832">IF(E832*J832=0,0,$C$21*INDEX([3]Sheet1!$C$4:$Q$23,MATCH(K832,[3]Sheet1!$B$4:$B$23,1),MATCH(D832,[3]Sheet1!$C$3:$Q$3,1))
+(K832-INDEX([3]Sheet1!$B$4:$B$23,MATCH(K832,[3]Sheet1!$B$4:$B$23,1),1))/(INDEX([3]Sheet1!$B$4:$B$23,MATCH(K832,[3]Sheet1!$B$4:$B$23,1)+1,1)-INDEX([3]Sheet1!$B$4:$B$23,
MATCH(K832,[3]Sheet1!$B$4:$B$23,1),1))*(INDEX([3]Sheet1!$C$4:$Q$23,MATCH(K832,[3]Sheet1!$B$4:$B$23,1)+1,MATCH(D832,[3]Sheet1!$C$3:$Q$3,1))-INDEX([3]Sheet1!$C$4:$Q$23,
MATCH(K832,[3]Sheet1!$B$4:$B$23,1),MATCH(D832,[3]Sheet1!$C$3:$Q$3,1)))
+(D832-INDEX([3]Sheet1!$C$3:$Q$3,1,MATCH(D832,[3]Sheet1!$C$3:$Q$3)))/(INDEX([3]Sheet1!$C$3:$Q$3,1,MATCH(D832,[3]Sheet1!$C$3:$Q$3)+1)-INDEX([3]Sheet1!$C$3:$Q$3,1,MATCH(
D832,[3]Sheet1!$C$3:$Q$3)))*(INDEX([3]Sheet1!$C$4:$Q$23,MATCH(K832,[3]Sheet1!$B$4:$B$23,1),MATCH(D832,[3]Sheet1!$C$3:$Q$3,1)+1)-INDEX([3]Sheet1!$C$4:$Q$23,MATCH(K832,[3]Sheet1!$B$4:$B$23,1),MATCH(D832,[3]Sheet1!$C$3:$Q$3,1))))</f>
        <v>0</v>
      </c>
      <c r="M832" cm="1">
        <f t="array" ref="M832" xml:space="preserve"> IF(E832*J832=0,0,(INDEX([2]Sheet1!$C$4:$Q$23,MATCH(K832,[2]Sheet1!$B$4:$B$23,1),MATCH(D832,[2]Sheet1!$C$3:$Q$3,1))
+ (K832 - INDEX([2]Sheet1!$B$4:$B$23,MATCH(K832,[2]Sheet1!$B$4:$B$23,1),1))/(INDEX([2]Sheet1!$B$4:$B$23,MATCH(K832,[2]Sheet1!$B$4:$B$23,1)+1,1) - INDEX([2]Sheet1!$B$4:$B$23,MATCH(K832,[2]Sheet1!$B$4:$B$23,1),1))*(INDEX([2]Sheet1!$C$4:$Q$23,MATCH(K832,[2]Sheet1!$B$4:$B$23,1)+1,MATCH(D832,[2]Sheet1!$C$3:$Q$3,1)) - INDEX([2]Sheet1!$C$4:$Q$23,MATCH(K832,[2]Sheet1!$B$4:$B$23,1),MATCH(D832,[2]Sheet1!$C$3:$Q$3,1)))
+ (D832 - INDEX([2]Sheet1!$C$3:$Q$3,1,MATCH(D832,[2]Sheet1!$C$3:$Q$3)))/(INDEX([2]Sheet1!$C$3:$Q$3,1,MATCH(D832,[2]Sheet1!$C$3:$Q$3)+1) - INDEX([2]Sheet1!$C$3:$Q$3,1,MATCH(D832,[2]Sheet1!$C$3:$Q$3)))*(
INDEX([2]Sheet1!$C$4:$Q$23,MATCH(K832,[2]Sheet1!$B$4:$B$23,1),MATCH(D832,[2]Sheet1!$C$3:$Q$3,1)+1) - INDEX([2]Sheet1!$C$4:$Q$23,MATCH(K832,[2]Sheet1!$B$4:$B$23,1),MATCH(D832,[2]Sheet1!$C$3:$Q$3,1)))))</f>
        <v>0</v>
      </c>
      <c r="N832">
        <f t="shared" si="252"/>
        <v>12</v>
      </c>
      <c r="O832">
        <v>198.02450568394099</v>
      </c>
      <c r="P832" t="e">
        <f t="shared" si="253"/>
        <v>#DIV/0!</v>
      </c>
      <c r="Q832">
        <f t="shared" si="254"/>
        <v>0</v>
      </c>
      <c r="R832">
        <f t="shared" si="255"/>
        <v>741.9099431943954</v>
      </c>
      <c r="T832" t="e">
        <f t="shared" si="256"/>
        <v>#DIV/0!</v>
      </c>
      <c r="U832" t="e">
        <f t="shared" si="257"/>
        <v>#DIV/0!</v>
      </c>
      <c r="V832">
        <f t="shared" si="258"/>
        <v>0</v>
      </c>
      <c r="W832" t="e">
        <f t="shared" si="259"/>
        <v>#DIV/0!</v>
      </c>
    </row>
    <row r="833" spans="1:23" x14ac:dyDescent="0.55000000000000004">
      <c r="A833">
        <f t="shared" si="243"/>
        <v>79.899999999999736</v>
      </c>
      <c r="B833">
        <f t="shared" si="244"/>
        <v>0.316</v>
      </c>
      <c r="C833">
        <f t="shared" si="245"/>
        <v>-47.108695652173743</v>
      </c>
      <c r="D833">
        <v>199.43984551913201</v>
      </c>
      <c r="E833">
        <f t="shared" si="246"/>
        <v>0</v>
      </c>
      <c r="F833">
        <f t="shared" si="247"/>
        <v>4.8605058816845369E-2</v>
      </c>
      <c r="G833">
        <f t="shared" si="248"/>
        <v>39.513748498891111</v>
      </c>
      <c r="H833">
        <f t="shared" si="249"/>
        <v>0</v>
      </c>
      <c r="I833" s="1">
        <f t="shared" si="242"/>
        <v>0</v>
      </c>
      <c r="J833">
        <f t="shared" si="250"/>
        <v>0</v>
      </c>
      <c r="K833">
        <f t="shared" si="251"/>
        <v>0</v>
      </c>
      <c r="L833" cm="1">
        <f t="array" ref="L833">IF(E833*J833=0,0,$C$21*INDEX([3]Sheet1!$C$4:$Q$23,MATCH(K833,[3]Sheet1!$B$4:$B$23,1),MATCH(D833,[3]Sheet1!$C$3:$Q$3,1))
+(K833-INDEX([3]Sheet1!$B$4:$B$23,MATCH(K833,[3]Sheet1!$B$4:$B$23,1),1))/(INDEX([3]Sheet1!$B$4:$B$23,MATCH(K833,[3]Sheet1!$B$4:$B$23,1)+1,1)-INDEX([3]Sheet1!$B$4:$B$23,
MATCH(K833,[3]Sheet1!$B$4:$B$23,1),1))*(INDEX([3]Sheet1!$C$4:$Q$23,MATCH(K833,[3]Sheet1!$B$4:$B$23,1)+1,MATCH(D833,[3]Sheet1!$C$3:$Q$3,1))-INDEX([3]Sheet1!$C$4:$Q$23,
MATCH(K833,[3]Sheet1!$B$4:$B$23,1),MATCH(D833,[3]Sheet1!$C$3:$Q$3,1)))
+(D833-INDEX([3]Sheet1!$C$3:$Q$3,1,MATCH(D833,[3]Sheet1!$C$3:$Q$3)))/(INDEX([3]Sheet1!$C$3:$Q$3,1,MATCH(D833,[3]Sheet1!$C$3:$Q$3)+1)-INDEX([3]Sheet1!$C$3:$Q$3,1,MATCH(
D833,[3]Sheet1!$C$3:$Q$3)))*(INDEX([3]Sheet1!$C$4:$Q$23,MATCH(K833,[3]Sheet1!$B$4:$B$23,1),MATCH(D833,[3]Sheet1!$C$3:$Q$3,1)+1)-INDEX([3]Sheet1!$C$4:$Q$23,MATCH(K833,[3]Sheet1!$B$4:$B$23,1),MATCH(D833,[3]Sheet1!$C$3:$Q$3,1))))</f>
        <v>0</v>
      </c>
      <c r="M833" cm="1">
        <f t="array" ref="M833" xml:space="preserve"> IF(E833*J833=0,0,(INDEX([2]Sheet1!$C$4:$Q$23,MATCH(K833,[2]Sheet1!$B$4:$B$23,1),MATCH(D833,[2]Sheet1!$C$3:$Q$3,1))
+ (K833 - INDEX([2]Sheet1!$B$4:$B$23,MATCH(K833,[2]Sheet1!$B$4:$B$23,1),1))/(INDEX([2]Sheet1!$B$4:$B$23,MATCH(K833,[2]Sheet1!$B$4:$B$23,1)+1,1) - INDEX([2]Sheet1!$B$4:$B$23,MATCH(K833,[2]Sheet1!$B$4:$B$23,1),1))*(INDEX([2]Sheet1!$C$4:$Q$23,MATCH(K833,[2]Sheet1!$B$4:$B$23,1)+1,MATCH(D833,[2]Sheet1!$C$3:$Q$3,1)) - INDEX([2]Sheet1!$C$4:$Q$23,MATCH(K833,[2]Sheet1!$B$4:$B$23,1),MATCH(D833,[2]Sheet1!$C$3:$Q$3,1)))
+ (D833 - INDEX([2]Sheet1!$C$3:$Q$3,1,MATCH(D833,[2]Sheet1!$C$3:$Q$3)))/(INDEX([2]Sheet1!$C$3:$Q$3,1,MATCH(D833,[2]Sheet1!$C$3:$Q$3)+1) - INDEX([2]Sheet1!$C$3:$Q$3,1,MATCH(D833,[2]Sheet1!$C$3:$Q$3)))*(
INDEX([2]Sheet1!$C$4:$Q$23,MATCH(K833,[2]Sheet1!$B$4:$B$23,1),MATCH(D833,[2]Sheet1!$C$3:$Q$3,1)+1) - INDEX([2]Sheet1!$C$4:$Q$23,MATCH(K833,[2]Sheet1!$B$4:$B$23,1),MATCH(D833,[2]Sheet1!$C$3:$Q$3,1)))))</f>
        <v>0</v>
      </c>
      <c r="N833">
        <f t="shared" si="252"/>
        <v>12</v>
      </c>
      <c r="O833">
        <v>199.02450568394099</v>
      </c>
      <c r="P833" t="e">
        <f t="shared" si="253"/>
        <v>#DIV/0!</v>
      </c>
      <c r="Q833">
        <f t="shared" si="254"/>
        <v>0</v>
      </c>
      <c r="R833">
        <f t="shared" si="255"/>
        <v>741.9099431943954</v>
      </c>
      <c r="T833" t="e">
        <f t="shared" si="256"/>
        <v>#DIV/0!</v>
      </c>
      <c r="U833" t="e">
        <f t="shared" si="257"/>
        <v>#DIV/0!</v>
      </c>
      <c r="V833">
        <f t="shared" si="258"/>
        <v>0</v>
      </c>
      <c r="W833" t="e">
        <f t="shared" si="259"/>
        <v>#DIV/0!</v>
      </c>
    </row>
    <row r="834" spans="1:23" x14ac:dyDescent="0.55000000000000004">
      <c r="A834">
        <f t="shared" si="243"/>
        <v>79.99999999999973</v>
      </c>
      <c r="B834">
        <f t="shared" si="244"/>
        <v>0.316</v>
      </c>
      <c r="C834">
        <f t="shared" si="245"/>
        <v>-47.173913043478095</v>
      </c>
      <c r="D834">
        <v>200.43984551913201</v>
      </c>
      <c r="E834">
        <f t="shared" si="246"/>
        <v>0</v>
      </c>
      <c r="F834">
        <f t="shared" si="247"/>
        <v>4.8605058816845369E-2</v>
      </c>
      <c r="G834">
        <f t="shared" si="248"/>
        <v>39.513748498891111</v>
      </c>
      <c r="H834">
        <f t="shared" si="249"/>
        <v>0</v>
      </c>
      <c r="I834" s="1">
        <f t="shared" si="242"/>
        <v>0</v>
      </c>
      <c r="J834">
        <f t="shared" si="250"/>
        <v>0</v>
      </c>
      <c r="K834">
        <f t="shared" si="251"/>
        <v>0</v>
      </c>
      <c r="L834" cm="1">
        <f t="array" ref="L834">IF(E834*J834=0,0,$C$21*INDEX([3]Sheet1!$C$4:$Q$23,MATCH(K834,[3]Sheet1!$B$4:$B$23,1),MATCH(D834,[3]Sheet1!$C$3:$Q$3,1))
+(K834-INDEX([3]Sheet1!$B$4:$B$23,MATCH(K834,[3]Sheet1!$B$4:$B$23,1),1))/(INDEX([3]Sheet1!$B$4:$B$23,MATCH(K834,[3]Sheet1!$B$4:$B$23,1)+1,1)-INDEX([3]Sheet1!$B$4:$B$23,
MATCH(K834,[3]Sheet1!$B$4:$B$23,1),1))*(INDEX([3]Sheet1!$C$4:$Q$23,MATCH(K834,[3]Sheet1!$B$4:$B$23,1)+1,MATCH(D834,[3]Sheet1!$C$3:$Q$3,1))-INDEX([3]Sheet1!$C$4:$Q$23,
MATCH(K834,[3]Sheet1!$B$4:$B$23,1),MATCH(D834,[3]Sheet1!$C$3:$Q$3,1)))
+(D834-INDEX([3]Sheet1!$C$3:$Q$3,1,MATCH(D834,[3]Sheet1!$C$3:$Q$3)))/(INDEX([3]Sheet1!$C$3:$Q$3,1,MATCH(D834,[3]Sheet1!$C$3:$Q$3)+1)-INDEX([3]Sheet1!$C$3:$Q$3,1,MATCH(
D834,[3]Sheet1!$C$3:$Q$3)))*(INDEX([3]Sheet1!$C$4:$Q$23,MATCH(K834,[3]Sheet1!$B$4:$B$23,1),MATCH(D834,[3]Sheet1!$C$3:$Q$3,1)+1)-INDEX([3]Sheet1!$C$4:$Q$23,MATCH(K834,[3]Sheet1!$B$4:$B$23,1),MATCH(D834,[3]Sheet1!$C$3:$Q$3,1))))</f>
        <v>0</v>
      </c>
      <c r="M834" cm="1">
        <f t="array" ref="M834" xml:space="preserve"> IF(E834*J834=0,0,(INDEX([2]Sheet1!$C$4:$Q$23,MATCH(K834,[2]Sheet1!$B$4:$B$23,1),MATCH(D834,[2]Sheet1!$C$3:$Q$3,1))
+ (K834 - INDEX([2]Sheet1!$B$4:$B$23,MATCH(K834,[2]Sheet1!$B$4:$B$23,1),1))/(INDEX([2]Sheet1!$B$4:$B$23,MATCH(K834,[2]Sheet1!$B$4:$B$23,1)+1,1) - INDEX([2]Sheet1!$B$4:$B$23,MATCH(K834,[2]Sheet1!$B$4:$B$23,1),1))*(INDEX([2]Sheet1!$C$4:$Q$23,MATCH(K834,[2]Sheet1!$B$4:$B$23,1)+1,MATCH(D834,[2]Sheet1!$C$3:$Q$3,1)) - INDEX([2]Sheet1!$C$4:$Q$23,MATCH(K834,[2]Sheet1!$B$4:$B$23,1),MATCH(D834,[2]Sheet1!$C$3:$Q$3,1)))
+ (D834 - INDEX([2]Sheet1!$C$3:$Q$3,1,MATCH(D834,[2]Sheet1!$C$3:$Q$3)))/(INDEX([2]Sheet1!$C$3:$Q$3,1,MATCH(D834,[2]Sheet1!$C$3:$Q$3)+1) - INDEX([2]Sheet1!$C$3:$Q$3,1,MATCH(D834,[2]Sheet1!$C$3:$Q$3)))*(
INDEX([2]Sheet1!$C$4:$Q$23,MATCH(K834,[2]Sheet1!$B$4:$B$23,1),MATCH(D834,[2]Sheet1!$C$3:$Q$3,1)+1) - INDEX([2]Sheet1!$C$4:$Q$23,MATCH(K834,[2]Sheet1!$B$4:$B$23,1),MATCH(D834,[2]Sheet1!$C$3:$Q$3,1)))))</f>
        <v>0</v>
      </c>
      <c r="N834">
        <f t="shared" si="252"/>
        <v>12</v>
      </c>
      <c r="O834">
        <v>200.02450568394099</v>
      </c>
      <c r="P834" t="e">
        <f t="shared" si="253"/>
        <v>#DIV/0!</v>
      </c>
      <c r="Q834">
        <f t="shared" si="254"/>
        <v>0</v>
      </c>
      <c r="R834">
        <f t="shared" si="255"/>
        <v>741.9099431943954</v>
      </c>
      <c r="T834" t="e">
        <f t="shared" si="256"/>
        <v>#DIV/0!</v>
      </c>
      <c r="U834" t="e">
        <f t="shared" si="257"/>
        <v>#DIV/0!</v>
      </c>
      <c r="V834">
        <f t="shared" si="258"/>
        <v>0</v>
      </c>
      <c r="W834" t="e">
        <f t="shared" si="259"/>
        <v>#DIV/0!</v>
      </c>
    </row>
    <row r="835" spans="1:23" x14ac:dyDescent="0.55000000000000004">
      <c r="A835">
        <f t="shared" si="243"/>
        <v>80.099999999999724</v>
      </c>
      <c r="B835">
        <f t="shared" si="244"/>
        <v>0.316</v>
      </c>
      <c r="C835">
        <f t="shared" si="245"/>
        <v>-47.239130434782432</v>
      </c>
      <c r="D835">
        <v>201.43984551913201</v>
      </c>
      <c r="E835">
        <f t="shared" si="246"/>
        <v>0</v>
      </c>
      <c r="F835">
        <f t="shared" si="247"/>
        <v>4.8605058816845369E-2</v>
      </c>
      <c r="G835">
        <f t="shared" si="248"/>
        <v>39.513748498891111</v>
      </c>
      <c r="H835">
        <f t="shared" si="249"/>
        <v>0</v>
      </c>
      <c r="I835" s="1">
        <f t="shared" si="242"/>
        <v>0</v>
      </c>
      <c r="J835">
        <f t="shared" si="250"/>
        <v>0</v>
      </c>
      <c r="K835">
        <f t="shared" si="251"/>
        <v>0</v>
      </c>
      <c r="L835" cm="1">
        <f t="array" ref="L835">IF(E835*J835=0,0,$C$21*INDEX([3]Sheet1!$C$4:$Q$23,MATCH(K835,[3]Sheet1!$B$4:$B$23,1),MATCH(D835,[3]Sheet1!$C$3:$Q$3,1))
+(K835-INDEX([3]Sheet1!$B$4:$B$23,MATCH(K835,[3]Sheet1!$B$4:$B$23,1),1))/(INDEX([3]Sheet1!$B$4:$B$23,MATCH(K835,[3]Sheet1!$B$4:$B$23,1)+1,1)-INDEX([3]Sheet1!$B$4:$B$23,
MATCH(K835,[3]Sheet1!$B$4:$B$23,1),1))*(INDEX([3]Sheet1!$C$4:$Q$23,MATCH(K835,[3]Sheet1!$B$4:$B$23,1)+1,MATCH(D835,[3]Sheet1!$C$3:$Q$3,1))-INDEX([3]Sheet1!$C$4:$Q$23,
MATCH(K835,[3]Sheet1!$B$4:$B$23,1),MATCH(D835,[3]Sheet1!$C$3:$Q$3,1)))
+(D835-INDEX([3]Sheet1!$C$3:$Q$3,1,MATCH(D835,[3]Sheet1!$C$3:$Q$3)))/(INDEX([3]Sheet1!$C$3:$Q$3,1,MATCH(D835,[3]Sheet1!$C$3:$Q$3)+1)-INDEX([3]Sheet1!$C$3:$Q$3,1,MATCH(
D835,[3]Sheet1!$C$3:$Q$3)))*(INDEX([3]Sheet1!$C$4:$Q$23,MATCH(K835,[3]Sheet1!$B$4:$B$23,1),MATCH(D835,[3]Sheet1!$C$3:$Q$3,1)+1)-INDEX([3]Sheet1!$C$4:$Q$23,MATCH(K835,[3]Sheet1!$B$4:$B$23,1),MATCH(D835,[3]Sheet1!$C$3:$Q$3,1))))</f>
        <v>0</v>
      </c>
      <c r="M835" cm="1">
        <f t="array" ref="M835" xml:space="preserve"> IF(E835*J835=0,0,(INDEX([2]Sheet1!$C$4:$Q$23,MATCH(K835,[2]Sheet1!$B$4:$B$23,1),MATCH(D835,[2]Sheet1!$C$3:$Q$3,1))
+ (K835 - INDEX([2]Sheet1!$B$4:$B$23,MATCH(K835,[2]Sheet1!$B$4:$B$23,1),1))/(INDEX([2]Sheet1!$B$4:$B$23,MATCH(K835,[2]Sheet1!$B$4:$B$23,1)+1,1) - INDEX([2]Sheet1!$B$4:$B$23,MATCH(K835,[2]Sheet1!$B$4:$B$23,1),1))*(INDEX([2]Sheet1!$C$4:$Q$23,MATCH(K835,[2]Sheet1!$B$4:$B$23,1)+1,MATCH(D835,[2]Sheet1!$C$3:$Q$3,1)) - INDEX([2]Sheet1!$C$4:$Q$23,MATCH(K835,[2]Sheet1!$B$4:$B$23,1),MATCH(D835,[2]Sheet1!$C$3:$Q$3,1)))
+ (D835 - INDEX([2]Sheet1!$C$3:$Q$3,1,MATCH(D835,[2]Sheet1!$C$3:$Q$3)))/(INDEX([2]Sheet1!$C$3:$Q$3,1,MATCH(D835,[2]Sheet1!$C$3:$Q$3)+1) - INDEX([2]Sheet1!$C$3:$Q$3,1,MATCH(D835,[2]Sheet1!$C$3:$Q$3)))*(
INDEX([2]Sheet1!$C$4:$Q$23,MATCH(K835,[2]Sheet1!$B$4:$B$23,1),MATCH(D835,[2]Sheet1!$C$3:$Q$3,1)+1) - INDEX([2]Sheet1!$C$4:$Q$23,MATCH(K835,[2]Sheet1!$B$4:$B$23,1),MATCH(D835,[2]Sheet1!$C$3:$Q$3,1)))))</f>
        <v>0</v>
      </c>
      <c r="N835">
        <f t="shared" si="252"/>
        <v>12</v>
      </c>
      <c r="O835">
        <v>201.02450568394099</v>
      </c>
      <c r="P835" t="e">
        <f t="shared" si="253"/>
        <v>#DIV/0!</v>
      </c>
      <c r="Q835">
        <f t="shared" si="254"/>
        <v>0</v>
      </c>
      <c r="R835">
        <f t="shared" si="255"/>
        <v>741.9099431943954</v>
      </c>
      <c r="T835" t="e">
        <f t="shared" si="256"/>
        <v>#DIV/0!</v>
      </c>
      <c r="U835" t="e">
        <f t="shared" si="257"/>
        <v>#DIV/0!</v>
      </c>
      <c r="V835">
        <f t="shared" si="258"/>
        <v>0</v>
      </c>
      <c r="W835" t="e">
        <f t="shared" si="259"/>
        <v>#DIV/0!</v>
      </c>
    </row>
    <row r="836" spans="1:23" x14ac:dyDescent="0.55000000000000004">
      <c r="A836">
        <f t="shared" si="243"/>
        <v>80.199999999999719</v>
      </c>
      <c r="B836">
        <f t="shared" si="244"/>
        <v>0.316</v>
      </c>
      <c r="C836">
        <f t="shared" si="245"/>
        <v>-47.304347826086783</v>
      </c>
      <c r="D836">
        <v>202.43984551913201</v>
      </c>
      <c r="E836">
        <f t="shared" si="246"/>
        <v>0</v>
      </c>
      <c r="F836">
        <f t="shared" si="247"/>
        <v>4.8605058816845369E-2</v>
      </c>
      <c r="G836">
        <f t="shared" si="248"/>
        <v>39.513748498891111</v>
      </c>
      <c r="H836">
        <f t="shared" si="249"/>
        <v>0</v>
      </c>
      <c r="I836" s="1">
        <f t="shared" si="242"/>
        <v>0</v>
      </c>
      <c r="J836">
        <f t="shared" si="250"/>
        <v>0</v>
      </c>
      <c r="K836">
        <f t="shared" si="251"/>
        <v>0</v>
      </c>
      <c r="L836" cm="1">
        <f t="array" ref="L836">IF(E836*J836=0,0,$C$21*INDEX([3]Sheet1!$C$4:$Q$23,MATCH(K836,[3]Sheet1!$B$4:$B$23,1),MATCH(D836,[3]Sheet1!$C$3:$Q$3,1))
+(K836-INDEX([3]Sheet1!$B$4:$B$23,MATCH(K836,[3]Sheet1!$B$4:$B$23,1),1))/(INDEX([3]Sheet1!$B$4:$B$23,MATCH(K836,[3]Sheet1!$B$4:$B$23,1)+1,1)-INDEX([3]Sheet1!$B$4:$B$23,
MATCH(K836,[3]Sheet1!$B$4:$B$23,1),1))*(INDEX([3]Sheet1!$C$4:$Q$23,MATCH(K836,[3]Sheet1!$B$4:$B$23,1)+1,MATCH(D836,[3]Sheet1!$C$3:$Q$3,1))-INDEX([3]Sheet1!$C$4:$Q$23,
MATCH(K836,[3]Sheet1!$B$4:$B$23,1),MATCH(D836,[3]Sheet1!$C$3:$Q$3,1)))
+(D836-INDEX([3]Sheet1!$C$3:$Q$3,1,MATCH(D836,[3]Sheet1!$C$3:$Q$3)))/(INDEX([3]Sheet1!$C$3:$Q$3,1,MATCH(D836,[3]Sheet1!$C$3:$Q$3)+1)-INDEX([3]Sheet1!$C$3:$Q$3,1,MATCH(
D836,[3]Sheet1!$C$3:$Q$3)))*(INDEX([3]Sheet1!$C$4:$Q$23,MATCH(K836,[3]Sheet1!$B$4:$B$23,1),MATCH(D836,[3]Sheet1!$C$3:$Q$3,1)+1)-INDEX([3]Sheet1!$C$4:$Q$23,MATCH(K836,[3]Sheet1!$B$4:$B$23,1),MATCH(D836,[3]Sheet1!$C$3:$Q$3,1))))</f>
        <v>0</v>
      </c>
      <c r="M836" cm="1">
        <f t="array" ref="M836" xml:space="preserve"> IF(E836*J836=0,0,(INDEX([2]Sheet1!$C$4:$Q$23,MATCH(K836,[2]Sheet1!$B$4:$B$23,1),MATCH(D836,[2]Sheet1!$C$3:$Q$3,1))
+ (K836 - INDEX([2]Sheet1!$B$4:$B$23,MATCH(K836,[2]Sheet1!$B$4:$B$23,1),1))/(INDEX([2]Sheet1!$B$4:$B$23,MATCH(K836,[2]Sheet1!$B$4:$B$23,1)+1,1) - INDEX([2]Sheet1!$B$4:$B$23,MATCH(K836,[2]Sheet1!$B$4:$B$23,1),1))*(INDEX([2]Sheet1!$C$4:$Q$23,MATCH(K836,[2]Sheet1!$B$4:$B$23,1)+1,MATCH(D836,[2]Sheet1!$C$3:$Q$3,1)) - INDEX([2]Sheet1!$C$4:$Q$23,MATCH(K836,[2]Sheet1!$B$4:$B$23,1),MATCH(D836,[2]Sheet1!$C$3:$Q$3,1)))
+ (D836 - INDEX([2]Sheet1!$C$3:$Q$3,1,MATCH(D836,[2]Sheet1!$C$3:$Q$3)))/(INDEX([2]Sheet1!$C$3:$Q$3,1,MATCH(D836,[2]Sheet1!$C$3:$Q$3)+1) - INDEX([2]Sheet1!$C$3:$Q$3,1,MATCH(D836,[2]Sheet1!$C$3:$Q$3)))*(
INDEX([2]Sheet1!$C$4:$Q$23,MATCH(K836,[2]Sheet1!$B$4:$B$23,1),MATCH(D836,[2]Sheet1!$C$3:$Q$3,1)+1) - INDEX([2]Sheet1!$C$4:$Q$23,MATCH(K836,[2]Sheet1!$B$4:$B$23,1),MATCH(D836,[2]Sheet1!$C$3:$Q$3,1)))))</f>
        <v>0</v>
      </c>
      <c r="N836">
        <f t="shared" si="252"/>
        <v>12</v>
      </c>
      <c r="O836">
        <v>202.02450568394099</v>
      </c>
      <c r="P836" t="e">
        <f t="shared" si="253"/>
        <v>#DIV/0!</v>
      </c>
      <c r="Q836">
        <f t="shared" si="254"/>
        <v>0</v>
      </c>
      <c r="R836">
        <f t="shared" si="255"/>
        <v>741.9099431943954</v>
      </c>
      <c r="T836" t="e">
        <f t="shared" si="256"/>
        <v>#DIV/0!</v>
      </c>
      <c r="U836" t="e">
        <f t="shared" si="257"/>
        <v>#DIV/0!</v>
      </c>
      <c r="V836">
        <f t="shared" si="258"/>
        <v>0</v>
      </c>
      <c r="W836" t="e">
        <f t="shared" si="259"/>
        <v>#DIV/0!</v>
      </c>
    </row>
    <row r="837" spans="1:23" x14ac:dyDescent="0.55000000000000004">
      <c r="A837">
        <f t="shared" si="243"/>
        <v>80.299999999999713</v>
      </c>
      <c r="B837">
        <f t="shared" si="244"/>
        <v>0.316</v>
      </c>
      <c r="C837">
        <f t="shared" si="245"/>
        <v>-47.36956521739112</v>
      </c>
      <c r="D837">
        <v>203.43984551913201</v>
      </c>
      <c r="E837">
        <f t="shared" si="246"/>
        <v>0</v>
      </c>
      <c r="F837">
        <f t="shared" si="247"/>
        <v>4.8605058816845369E-2</v>
      </c>
      <c r="G837">
        <f t="shared" si="248"/>
        <v>39.513748498891111</v>
      </c>
      <c r="H837">
        <f t="shared" si="249"/>
        <v>0</v>
      </c>
      <c r="I837" s="1">
        <f t="shared" si="242"/>
        <v>0</v>
      </c>
      <c r="J837">
        <f t="shared" si="250"/>
        <v>0</v>
      </c>
      <c r="K837">
        <f t="shared" si="251"/>
        <v>0</v>
      </c>
      <c r="L837" cm="1">
        <f t="array" ref="L837">IF(E837*J837=0,0,$C$21*INDEX([3]Sheet1!$C$4:$Q$23,MATCH(K837,[3]Sheet1!$B$4:$B$23,1),MATCH(D837,[3]Sheet1!$C$3:$Q$3,1))
+(K837-INDEX([3]Sheet1!$B$4:$B$23,MATCH(K837,[3]Sheet1!$B$4:$B$23,1),1))/(INDEX([3]Sheet1!$B$4:$B$23,MATCH(K837,[3]Sheet1!$B$4:$B$23,1)+1,1)-INDEX([3]Sheet1!$B$4:$B$23,
MATCH(K837,[3]Sheet1!$B$4:$B$23,1),1))*(INDEX([3]Sheet1!$C$4:$Q$23,MATCH(K837,[3]Sheet1!$B$4:$B$23,1)+1,MATCH(D837,[3]Sheet1!$C$3:$Q$3,1))-INDEX([3]Sheet1!$C$4:$Q$23,
MATCH(K837,[3]Sheet1!$B$4:$B$23,1),MATCH(D837,[3]Sheet1!$C$3:$Q$3,1)))
+(D837-INDEX([3]Sheet1!$C$3:$Q$3,1,MATCH(D837,[3]Sheet1!$C$3:$Q$3)))/(INDEX([3]Sheet1!$C$3:$Q$3,1,MATCH(D837,[3]Sheet1!$C$3:$Q$3)+1)-INDEX([3]Sheet1!$C$3:$Q$3,1,MATCH(
D837,[3]Sheet1!$C$3:$Q$3)))*(INDEX([3]Sheet1!$C$4:$Q$23,MATCH(K837,[3]Sheet1!$B$4:$B$23,1),MATCH(D837,[3]Sheet1!$C$3:$Q$3,1)+1)-INDEX([3]Sheet1!$C$4:$Q$23,MATCH(K837,[3]Sheet1!$B$4:$B$23,1),MATCH(D837,[3]Sheet1!$C$3:$Q$3,1))))</f>
        <v>0</v>
      </c>
      <c r="M837" cm="1">
        <f t="array" ref="M837" xml:space="preserve"> IF(E837*J837=0,0,(INDEX([2]Sheet1!$C$4:$Q$23,MATCH(K837,[2]Sheet1!$B$4:$B$23,1),MATCH(D837,[2]Sheet1!$C$3:$Q$3,1))
+ (K837 - INDEX([2]Sheet1!$B$4:$B$23,MATCH(K837,[2]Sheet1!$B$4:$B$23,1),1))/(INDEX([2]Sheet1!$B$4:$B$23,MATCH(K837,[2]Sheet1!$B$4:$B$23,1)+1,1) - INDEX([2]Sheet1!$B$4:$B$23,MATCH(K837,[2]Sheet1!$B$4:$B$23,1),1))*(INDEX([2]Sheet1!$C$4:$Q$23,MATCH(K837,[2]Sheet1!$B$4:$B$23,1)+1,MATCH(D837,[2]Sheet1!$C$3:$Q$3,1)) - INDEX([2]Sheet1!$C$4:$Q$23,MATCH(K837,[2]Sheet1!$B$4:$B$23,1),MATCH(D837,[2]Sheet1!$C$3:$Q$3,1)))
+ (D837 - INDEX([2]Sheet1!$C$3:$Q$3,1,MATCH(D837,[2]Sheet1!$C$3:$Q$3)))/(INDEX([2]Sheet1!$C$3:$Q$3,1,MATCH(D837,[2]Sheet1!$C$3:$Q$3)+1) - INDEX([2]Sheet1!$C$3:$Q$3,1,MATCH(D837,[2]Sheet1!$C$3:$Q$3)))*(
INDEX([2]Sheet1!$C$4:$Q$23,MATCH(K837,[2]Sheet1!$B$4:$B$23,1),MATCH(D837,[2]Sheet1!$C$3:$Q$3,1)+1) - INDEX([2]Sheet1!$C$4:$Q$23,MATCH(K837,[2]Sheet1!$B$4:$B$23,1),MATCH(D837,[2]Sheet1!$C$3:$Q$3,1)))))</f>
        <v>0</v>
      </c>
      <c r="N837">
        <f t="shared" si="252"/>
        <v>12</v>
      </c>
      <c r="O837">
        <v>203.02450568394099</v>
      </c>
      <c r="P837" t="e">
        <f t="shared" si="253"/>
        <v>#DIV/0!</v>
      </c>
      <c r="Q837">
        <f t="shared" si="254"/>
        <v>0</v>
      </c>
      <c r="R837">
        <f t="shared" si="255"/>
        <v>741.9099431943954</v>
      </c>
      <c r="T837" t="e">
        <f t="shared" si="256"/>
        <v>#DIV/0!</v>
      </c>
      <c r="U837" t="e">
        <f t="shared" si="257"/>
        <v>#DIV/0!</v>
      </c>
      <c r="V837">
        <f t="shared" si="258"/>
        <v>0</v>
      </c>
      <c r="W837" t="e">
        <f t="shared" si="259"/>
        <v>#DIV/0!</v>
      </c>
    </row>
    <row r="838" spans="1:23" x14ac:dyDescent="0.55000000000000004">
      <c r="A838">
        <f t="shared" si="243"/>
        <v>80.399999999999707</v>
      </c>
      <c r="B838">
        <f t="shared" si="244"/>
        <v>0.316</v>
      </c>
      <c r="C838">
        <f t="shared" si="245"/>
        <v>-47.434782608695471</v>
      </c>
      <c r="D838">
        <v>204.43984551913201</v>
      </c>
      <c r="E838">
        <f t="shared" si="246"/>
        <v>0</v>
      </c>
      <c r="F838">
        <f t="shared" si="247"/>
        <v>4.8605058816845369E-2</v>
      </c>
      <c r="G838">
        <f t="shared" si="248"/>
        <v>39.513748498891111</v>
      </c>
      <c r="H838">
        <f t="shared" si="249"/>
        <v>0</v>
      </c>
      <c r="I838" s="1">
        <f t="shared" si="242"/>
        <v>0</v>
      </c>
      <c r="J838">
        <f t="shared" si="250"/>
        <v>0</v>
      </c>
      <c r="K838">
        <f t="shared" si="251"/>
        <v>0</v>
      </c>
      <c r="L838" cm="1">
        <f t="array" ref="L838">IF(E838*J838=0,0,$C$21*INDEX([3]Sheet1!$C$4:$Q$23,MATCH(K838,[3]Sheet1!$B$4:$B$23,1),MATCH(D838,[3]Sheet1!$C$3:$Q$3,1))
+(K838-INDEX([3]Sheet1!$B$4:$B$23,MATCH(K838,[3]Sheet1!$B$4:$B$23,1),1))/(INDEX([3]Sheet1!$B$4:$B$23,MATCH(K838,[3]Sheet1!$B$4:$B$23,1)+1,1)-INDEX([3]Sheet1!$B$4:$B$23,
MATCH(K838,[3]Sheet1!$B$4:$B$23,1),1))*(INDEX([3]Sheet1!$C$4:$Q$23,MATCH(K838,[3]Sheet1!$B$4:$B$23,1)+1,MATCH(D838,[3]Sheet1!$C$3:$Q$3,1))-INDEX([3]Sheet1!$C$4:$Q$23,
MATCH(K838,[3]Sheet1!$B$4:$B$23,1),MATCH(D838,[3]Sheet1!$C$3:$Q$3,1)))
+(D838-INDEX([3]Sheet1!$C$3:$Q$3,1,MATCH(D838,[3]Sheet1!$C$3:$Q$3)))/(INDEX([3]Sheet1!$C$3:$Q$3,1,MATCH(D838,[3]Sheet1!$C$3:$Q$3)+1)-INDEX([3]Sheet1!$C$3:$Q$3,1,MATCH(
D838,[3]Sheet1!$C$3:$Q$3)))*(INDEX([3]Sheet1!$C$4:$Q$23,MATCH(K838,[3]Sheet1!$B$4:$B$23,1),MATCH(D838,[3]Sheet1!$C$3:$Q$3,1)+1)-INDEX([3]Sheet1!$C$4:$Q$23,MATCH(K838,[3]Sheet1!$B$4:$B$23,1),MATCH(D838,[3]Sheet1!$C$3:$Q$3,1))))</f>
        <v>0</v>
      </c>
      <c r="M838" cm="1">
        <f t="array" ref="M838" xml:space="preserve"> IF(E838*J838=0,0,(INDEX([2]Sheet1!$C$4:$Q$23,MATCH(K838,[2]Sheet1!$B$4:$B$23,1),MATCH(D838,[2]Sheet1!$C$3:$Q$3,1))
+ (K838 - INDEX([2]Sheet1!$B$4:$B$23,MATCH(K838,[2]Sheet1!$B$4:$B$23,1),1))/(INDEX([2]Sheet1!$B$4:$B$23,MATCH(K838,[2]Sheet1!$B$4:$B$23,1)+1,1) - INDEX([2]Sheet1!$B$4:$B$23,MATCH(K838,[2]Sheet1!$B$4:$B$23,1),1))*(INDEX([2]Sheet1!$C$4:$Q$23,MATCH(K838,[2]Sheet1!$B$4:$B$23,1)+1,MATCH(D838,[2]Sheet1!$C$3:$Q$3,1)) - INDEX([2]Sheet1!$C$4:$Q$23,MATCH(K838,[2]Sheet1!$B$4:$B$23,1),MATCH(D838,[2]Sheet1!$C$3:$Q$3,1)))
+ (D838 - INDEX([2]Sheet1!$C$3:$Q$3,1,MATCH(D838,[2]Sheet1!$C$3:$Q$3)))/(INDEX([2]Sheet1!$C$3:$Q$3,1,MATCH(D838,[2]Sheet1!$C$3:$Q$3)+1) - INDEX([2]Sheet1!$C$3:$Q$3,1,MATCH(D838,[2]Sheet1!$C$3:$Q$3)))*(
INDEX([2]Sheet1!$C$4:$Q$23,MATCH(K838,[2]Sheet1!$B$4:$B$23,1),MATCH(D838,[2]Sheet1!$C$3:$Q$3,1)+1) - INDEX([2]Sheet1!$C$4:$Q$23,MATCH(K838,[2]Sheet1!$B$4:$B$23,1),MATCH(D838,[2]Sheet1!$C$3:$Q$3,1)))))</f>
        <v>0</v>
      </c>
      <c r="N838">
        <f t="shared" si="252"/>
        <v>12</v>
      </c>
      <c r="O838">
        <v>204.02450568394099</v>
      </c>
      <c r="P838" t="e">
        <f t="shared" si="253"/>
        <v>#DIV/0!</v>
      </c>
      <c r="Q838">
        <f t="shared" si="254"/>
        <v>0</v>
      </c>
      <c r="R838">
        <f t="shared" si="255"/>
        <v>741.9099431943954</v>
      </c>
      <c r="T838" t="e">
        <f t="shared" si="256"/>
        <v>#DIV/0!</v>
      </c>
      <c r="U838" t="e">
        <f t="shared" si="257"/>
        <v>#DIV/0!</v>
      </c>
      <c r="V838">
        <f t="shared" si="258"/>
        <v>0</v>
      </c>
      <c r="W838" t="e">
        <f t="shared" si="259"/>
        <v>#DIV/0!</v>
      </c>
    </row>
    <row r="839" spans="1:23" x14ac:dyDescent="0.55000000000000004">
      <c r="A839">
        <f t="shared" si="243"/>
        <v>80.499999999999702</v>
      </c>
      <c r="B839">
        <f t="shared" si="244"/>
        <v>0.316</v>
      </c>
      <c r="C839">
        <f t="shared" si="245"/>
        <v>-47.499999999999808</v>
      </c>
      <c r="D839">
        <v>205.43984551913201</v>
      </c>
      <c r="E839">
        <f t="shared" si="246"/>
        <v>0</v>
      </c>
      <c r="F839">
        <f t="shared" si="247"/>
        <v>4.8605058816845369E-2</v>
      </c>
      <c r="G839">
        <f t="shared" si="248"/>
        <v>39.513748498891111</v>
      </c>
      <c r="H839">
        <f t="shared" si="249"/>
        <v>0</v>
      </c>
      <c r="I839" s="1">
        <f t="shared" si="242"/>
        <v>0</v>
      </c>
      <c r="J839">
        <f t="shared" si="250"/>
        <v>0</v>
      </c>
      <c r="K839">
        <f t="shared" si="251"/>
        <v>0</v>
      </c>
      <c r="L839" cm="1">
        <f t="array" ref="L839">IF(E839*J839=0,0,$C$21*INDEX([3]Sheet1!$C$4:$Q$23,MATCH(K839,[3]Sheet1!$B$4:$B$23,1),MATCH(D839,[3]Sheet1!$C$3:$Q$3,1))
+(K839-INDEX([3]Sheet1!$B$4:$B$23,MATCH(K839,[3]Sheet1!$B$4:$B$23,1),1))/(INDEX([3]Sheet1!$B$4:$B$23,MATCH(K839,[3]Sheet1!$B$4:$B$23,1)+1,1)-INDEX([3]Sheet1!$B$4:$B$23,
MATCH(K839,[3]Sheet1!$B$4:$B$23,1),1))*(INDEX([3]Sheet1!$C$4:$Q$23,MATCH(K839,[3]Sheet1!$B$4:$B$23,1)+1,MATCH(D839,[3]Sheet1!$C$3:$Q$3,1))-INDEX([3]Sheet1!$C$4:$Q$23,
MATCH(K839,[3]Sheet1!$B$4:$B$23,1),MATCH(D839,[3]Sheet1!$C$3:$Q$3,1)))
+(D839-INDEX([3]Sheet1!$C$3:$Q$3,1,MATCH(D839,[3]Sheet1!$C$3:$Q$3)))/(INDEX([3]Sheet1!$C$3:$Q$3,1,MATCH(D839,[3]Sheet1!$C$3:$Q$3)+1)-INDEX([3]Sheet1!$C$3:$Q$3,1,MATCH(
D839,[3]Sheet1!$C$3:$Q$3)))*(INDEX([3]Sheet1!$C$4:$Q$23,MATCH(K839,[3]Sheet1!$B$4:$B$23,1),MATCH(D839,[3]Sheet1!$C$3:$Q$3,1)+1)-INDEX([3]Sheet1!$C$4:$Q$23,MATCH(K839,[3]Sheet1!$B$4:$B$23,1),MATCH(D839,[3]Sheet1!$C$3:$Q$3,1))))</f>
        <v>0</v>
      </c>
      <c r="M839" cm="1">
        <f t="array" ref="M839" xml:space="preserve"> IF(E839*J839=0,0,(INDEX([2]Sheet1!$C$4:$Q$23,MATCH(K839,[2]Sheet1!$B$4:$B$23,1),MATCH(D839,[2]Sheet1!$C$3:$Q$3,1))
+ (K839 - INDEX([2]Sheet1!$B$4:$B$23,MATCH(K839,[2]Sheet1!$B$4:$B$23,1),1))/(INDEX([2]Sheet1!$B$4:$B$23,MATCH(K839,[2]Sheet1!$B$4:$B$23,1)+1,1) - INDEX([2]Sheet1!$B$4:$B$23,MATCH(K839,[2]Sheet1!$B$4:$B$23,1),1))*(INDEX([2]Sheet1!$C$4:$Q$23,MATCH(K839,[2]Sheet1!$B$4:$B$23,1)+1,MATCH(D839,[2]Sheet1!$C$3:$Q$3,1)) - INDEX([2]Sheet1!$C$4:$Q$23,MATCH(K839,[2]Sheet1!$B$4:$B$23,1),MATCH(D839,[2]Sheet1!$C$3:$Q$3,1)))
+ (D839 - INDEX([2]Sheet1!$C$3:$Q$3,1,MATCH(D839,[2]Sheet1!$C$3:$Q$3)))/(INDEX([2]Sheet1!$C$3:$Q$3,1,MATCH(D839,[2]Sheet1!$C$3:$Q$3)+1) - INDEX([2]Sheet1!$C$3:$Q$3,1,MATCH(D839,[2]Sheet1!$C$3:$Q$3)))*(
INDEX([2]Sheet1!$C$4:$Q$23,MATCH(K839,[2]Sheet1!$B$4:$B$23,1),MATCH(D839,[2]Sheet1!$C$3:$Q$3,1)+1) - INDEX([2]Sheet1!$C$4:$Q$23,MATCH(K839,[2]Sheet1!$B$4:$B$23,1),MATCH(D839,[2]Sheet1!$C$3:$Q$3,1)))))</f>
        <v>0</v>
      </c>
      <c r="N839">
        <f t="shared" si="252"/>
        <v>12</v>
      </c>
      <c r="O839">
        <v>205.02450568394099</v>
      </c>
      <c r="P839" t="e">
        <f t="shared" si="253"/>
        <v>#DIV/0!</v>
      </c>
      <c r="Q839">
        <f t="shared" si="254"/>
        <v>0</v>
      </c>
      <c r="R839">
        <f t="shared" si="255"/>
        <v>741.9099431943954</v>
      </c>
      <c r="T839" t="e">
        <f t="shared" si="256"/>
        <v>#DIV/0!</v>
      </c>
      <c r="U839" t="e">
        <f t="shared" si="257"/>
        <v>#DIV/0!</v>
      </c>
      <c r="V839">
        <f t="shared" si="258"/>
        <v>0</v>
      </c>
      <c r="W839" t="e">
        <f t="shared" si="259"/>
        <v>#DIV/0!</v>
      </c>
    </row>
    <row r="840" spans="1:23" x14ac:dyDescent="0.55000000000000004">
      <c r="A840">
        <f t="shared" si="243"/>
        <v>80.599999999999696</v>
      </c>
      <c r="B840">
        <f t="shared" si="244"/>
        <v>0.316</v>
      </c>
      <c r="C840">
        <f t="shared" si="245"/>
        <v>-47.565217391304159</v>
      </c>
      <c r="D840">
        <v>206.43984551913201</v>
      </c>
      <c r="E840">
        <f t="shared" si="246"/>
        <v>0</v>
      </c>
      <c r="F840">
        <f t="shared" si="247"/>
        <v>4.8605058816845369E-2</v>
      </c>
      <c r="G840">
        <f t="shared" si="248"/>
        <v>39.513748498891111</v>
      </c>
      <c r="H840">
        <f t="shared" si="249"/>
        <v>0</v>
      </c>
      <c r="I840" s="1">
        <f t="shared" si="242"/>
        <v>0</v>
      </c>
      <c r="J840">
        <f t="shared" si="250"/>
        <v>0</v>
      </c>
      <c r="K840">
        <f t="shared" si="251"/>
        <v>0</v>
      </c>
      <c r="L840" cm="1">
        <f t="array" ref="L840">IF(E840*J840=0,0,$C$21*INDEX([3]Sheet1!$C$4:$Q$23,MATCH(K840,[3]Sheet1!$B$4:$B$23,1),MATCH(D840,[3]Sheet1!$C$3:$Q$3,1))
+(K840-INDEX([3]Sheet1!$B$4:$B$23,MATCH(K840,[3]Sheet1!$B$4:$B$23,1),1))/(INDEX([3]Sheet1!$B$4:$B$23,MATCH(K840,[3]Sheet1!$B$4:$B$23,1)+1,1)-INDEX([3]Sheet1!$B$4:$B$23,
MATCH(K840,[3]Sheet1!$B$4:$B$23,1),1))*(INDEX([3]Sheet1!$C$4:$Q$23,MATCH(K840,[3]Sheet1!$B$4:$B$23,1)+1,MATCH(D840,[3]Sheet1!$C$3:$Q$3,1))-INDEX([3]Sheet1!$C$4:$Q$23,
MATCH(K840,[3]Sheet1!$B$4:$B$23,1),MATCH(D840,[3]Sheet1!$C$3:$Q$3,1)))
+(D840-INDEX([3]Sheet1!$C$3:$Q$3,1,MATCH(D840,[3]Sheet1!$C$3:$Q$3)))/(INDEX([3]Sheet1!$C$3:$Q$3,1,MATCH(D840,[3]Sheet1!$C$3:$Q$3)+1)-INDEX([3]Sheet1!$C$3:$Q$3,1,MATCH(
D840,[3]Sheet1!$C$3:$Q$3)))*(INDEX([3]Sheet1!$C$4:$Q$23,MATCH(K840,[3]Sheet1!$B$4:$B$23,1),MATCH(D840,[3]Sheet1!$C$3:$Q$3,1)+1)-INDEX([3]Sheet1!$C$4:$Q$23,MATCH(K840,[3]Sheet1!$B$4:$B$23,1),MATCH(D840,[3]Sheet1!$C$3:$Q$3,1))))</f>
        <v>0</v>
      </c>
      <c r="M840" cm="1">
        <f t="array" ref="M840" xml:space="preserve"> IF(E840*J840=0,0,(INDEX([2]Sheet1!$C$4:$Q$23,MATCH(K840,[2]Sheet1!$B$4:$B$23,1),MATCH(D840,[2]Sheet1!$C$3:$Q$3,1))
+ (K840 - INDEX([2]Sheet1!$B$4:$B$23,MATCH(K840,[2]Sheet1!$B$4:$B$23,1),1))/(INDEX([2]Sheet1!$B$4:$B$23,MATCH(K840,[2]Sheet1!$B$4:$B$23,1)+1,1) - INDEX([2]Sheet1!$B$4:$B$23,MATCH(K840,[2]Sheet1!$B$4:$B$23,1),1))*(INDEX([2]Sheet1!$C$4:$Q$23,MATCH(K840,[2]Sheet1!$B$4:$B$23,1)+1,MATCH(D840,[2]Sheet1!$C$3:$Q$3,1)) - INDEX([2]Sheet1!$C$4:$Q$23,MATCH(K840,[2]Sheet1!$B$4:$B$23,1),MATCH(D840,[2]Sheet1!$C$3:$Q$3,1)))
+ (D840 - INDEX([2]Sheet1!$C$3:$Q$3,1,MATCH(D840,[2]Sheet1!$C$3:$Q$3)))/(INDEX([2]Sheet1!$C$3:$Q$3,1,MATCH(D840,[2]Sheet1!$C$3:$Q$3)+1) - INDEX([2]Sheet1!$C$3:$Q$3,1,MATCH(D840,[2]Sheet1!$C$3:$Q$3)))*(
INDEX([2]Sheet1!$C$4:$Q$23,MATCH(K840,[2]Sheet1!$B$4:$B$23,1),MATCH(D840,[2]Sheet1!$C$3:$Q$3,1)+1) - INDEX([2]Sheet1!$C$4:$Q$23,MATCH(K840,[2]Sheet1!$B$4:$B$23,1),MATCH(D840,[2]Sheet1!$C$3:$Q$3,1)))))</f>
        <v>0</v>
      </c>
      <c r="N840">
        <f t="shared" si="252"/>
        <v>12</v>
      </c>
      <c r="O840">
        <v>206.02450568394099</v>
      </c>
      <c r="P840" t="e">
        <f t="shared" si="253"/>
        <v>#DIV/0!</v>
      </c>
      <c r="Q840">
        <f t="shared" si="254"/>
        <v>0</v>
      </c>
      <c r="R840">
        <f t="shared" si="255"/>
        <v>741.9099431943954</v>
      </c>
      <c r="T840" t="e">
        <f t="shared" si="256"/>
        <v>#DIV/0!</v>
      </c>
      <c r="U840" t="e">
        <f t="shared" si="257"/>
        <v>#DIV/0!</v>
      </c>
      <c r="V840">
        <f t="shared" si="258"/>
        <v>0</v>
      </c>
      <c r="W840" t="e">
        <f t="shared" si="259"/>
        <v>#DIV/0!</v>
      </c>
    </row>
    <row r="841" spans="1:23" x14ac:dyDescent="0.55000000000000004">
      <c r="A841">
        <f t="shared" si="243"/>
        <v>80.69999999999969</v>
      </c>
      <c r="B841">
        <f t="shared" si="244"/>
        <v>0.316</v>
      </c>
      <c r="C841">
        <f t="shared" si="245"/>
        <v>-47.630434782608496</v>
      </c>
      <c r="D841">
        <v>207.43984551913201</v>
      </c>
      <c r="E841">
        <f t="shared" si="246"/>
        <v>0</v>
      </c>
      <c r="F841">
        <f t="shared" si="247"/>
        <v>4.8605058816845369E-2</v>
      </c>
      <c r="G841">
        <f t="shared" si="248"/>
        <v>39.513748498891111</v>
      </c>
      <c r="H841">
        <f t="shared" si="249"/>
        <v>0</v>
      </c>
      <c r="I841" s="1">
        <f t="shared" si="242"/>
        <v>0</v>
      </c>
      <c r="J841">
        <f t="shared" si="250"/>
        <v>0</v>
      </c>
      <c r="K841">
        <f t="shared" si="251"/>
        <v>0</v>
      </c>
      <c r="L841" cm="1">
        <f t="array" ref="L841">IF(E841*J841=0,0,$C$21*INDEX([3]Sheet1!$C$4:$Q$23,MATCH(K841,[3]Sheet1!$B$4:$B$23,1),MATCH(D841,[3]Sheet1!$C$3:$Q$3,1))
+(K841-INDEX([3]Sheet1!$B$4:$B$23,MATCH(K841,[3]Sheet1!$B$4:$B$23,1),1))/(INDEX([3]Sheet1!$B$4:$B$23,MATCH(K841,[3]Sheet1!$B$4:$B$23,1)+1,1)-INDEX([3]Sheet1!$B$4:$B$23,
MATCH(K841,[3]Sheet1!$B$4:$B$23,1),1))*(INDEX([3]Sheet1!$C$4:$Q$23,MATCH(K841,[3]Sheet1!$B$4:$B$23,1)+1,MATCH(D841,[3]Sheet1!$C$3:$Q$3,1))-INDEX([3]Sheet1!$C$4:$Q$23,
MATCH(K841,[3]Sheet1!$B$4:$B$23,1),MATCH(D841,[3]Sheet1!$C$3:$Q$3,1)))
+(D841-INDEX([3]Sheet1!$C$3:$Q$3,1,MATCH(D841,[3]Sheet1!$C$3:$Q$3)))/(INDEX([3]Sheet1!$C$3:$Q$3,1,MATCH(D841,[3]Sheet1!$C$3:$Q$3)+1)-INDEX([3]Sheet1!$C$3:$Q$3,1,MATCH(
D841,[3]Sheet1!$C$3:$Q$3)))*(INDEX([3]Sheet1!$C$4:$Q$23,MATCH(K841,[3]Sheet1!$B$4:$B$23,1),MATCH(D841,[3]Sheet1!$C$3:$Q$3,1)+1)-INDEX([3]Sheet1!$C$4:$Q$23,MATCH(K841,[3]Sheet1!$B$4:$B$23,1),MATCH(D841,[3]Sheet1!$C$3:$Q$3,1))))</f>
        <v>0</v>
      </c>
      <c r="M841" cm="1">
        <f t="array" ref="M841" xml:space="preserve"> IF(E841*J841=0,0,(INDEX([2]Sheet1!$C$4:$Q$23,MATCH(K841,[2]Sheet1!$B$4:$B$23,1),MATCH(D841,[2]Sheet1!$C$3:$Q$3,1))
+ (K841 - INDEX([2]Sheet1!$B$4:$B$23,MATCH(K841,[2]Sheet1!$B$4:$B$23,1),1))/(INDEX([2]Sheet1!$B$4:$B$23,MATCH(K841,[2]Sheet1!$B$4:$B$23,1)+1,1) - INDEX([2]Sheet1!$B$4:$B$23,MATCH(K841,[2]Sheet1!$B$4:$B$23,1),1))*(INDEX([2]Sheet1!$C$4:$Q$23,MATCH(K841,[2]Sheet1!$B$4:$B$23,1)+1,MATCH(D841,[2]Sheet1!$C$3:$Q$3,1)) - INDEX([2]Sheet1!$C$4:$Q$23,MATCH(K841,[2]Sheet1!$B$4:$B$23,1),MATCH(D841,[2]Sheet1!$C$3:$Q$3,1)))
+ (D841 - INDEX([2]Sheet1!$C$3:$Q$3,1,MATCH(D841,[2]Sheet1!$C$3:$Q$3)))/(INDEX([2]Sheet1!$C$3:$Q$3,1,MATCH(D841,[2]Sheet1!$C$3:$Q$3)+1) - INDEX([2]Sheet1!$C$3:$Q$3,1,MATCH(D841,[2]Sheet1!$C$3:$Q$3)))*(
INDEX([2]Sheet1!$C$4:$Q$23,MATCH(K841,[2]Sheet1!$B$4:$B$23,1),MATCH(D841,[2]Sheet1!$C$3:$Q$3,1)+1) - INDEX([2]Sheet1!$C$4:$Q$23,MATCH(K841,[2]Sheet1!$B$4:$B$23,1),MATCH(D841,[2]Sheet1!$C$3:$Q$3,1)))))</f>
        <v>0</v>
      </c>
      <c r="N841">
        <f t="shared" si="252"/>
        <v>12</v>
      </c>
      <c r="O841">
        <v>207.02450568394099</v>
      </c>
      <c r="P841" t="e">
        <f t="shared" si="253"/>
        <v>#DIV/0!</v>
      </c>
      <c r="Q841">
        <f t="shared" si="254"/>
        <v>0</v>
      </c>
      <c r="R841">
        <f t="shared" si="255"/>
        <v>741.9099431943954</v>
      </c>
      <c r="T841" t="e">
        <f t="shared" si="256"/>
        <v>#DIV/0!</v>
      </c>
      <c r="U841" t="e">
        <f t="shared" si="257"/>
        <v>#DIV/0!</v>
      </c>
      <c r="V841">
        <f t="shared" si="258"/>
        <v>0</v>
      </c>
      <c r="W841" t="e">
        <f t="shared" si="259"/>
        <v>#DIV/0!</v>
      </c>
    </row>
    <row r="842" spans="1:23" x14ac:dyDescent="0.55000000000000004">
      <c r="A842">
        <f t="shared" si="243"/>
        <v>80.799999999999685</v>
      </c>
      <c r="B842">
        <f t="shared" si="244"/>
        <v>0.316</v>
      </c>
      <c r="C842">
        <f t="shared" si="245"/>
        <v>-47.695652173912848</v>
      </c>
      <c r="D842">
        <v>208.43984551913201</v>
      </c>
      <c r="E842">
        <f t="shared" si="246"/>
        <v>0</v>
      </c>
      <c r="F842">
        <f t="shared" si="247"/>
        <v>4.8605058816845369E-2</v>
      </c>
      <c r="G842">
        <f t="shared" si="248"/>
        <v>39.513748498891111</v>
      </c>
      <c r="H842">
        <f t="shared" si="249"/>
        <v>0</v>
      </c>
      <c r="I842" s="1">
        <f t="shared" si="242"/>
        <v>0</v>
      </c>
      <c r="J842">
        <f t="shared" si="250"/>
        <v>0</v>
      </c>
      <c r="K842">
        <f t="shared" si="251"/>
        <v>0</v>
      </c>
      <c r="L842" cm="1">
        <f t="array" ref="L842">IF(E842*J842=0,0,$C$21*INDEX([3]Sheet1!$C$4:$Q$23,MATCH(K842,[3]Sheet1!$B$4:$B$23,1),MATCH(D842,[3]Sheet1!$C$3:$Q$3,1))
+(K842-INDEX([3]Sheet1!$B$4:$B$23,MATCH(K842,[3]Sheet1!$B$4:$B$23,1),1))/(INDEX([3]Sheet1!$B$4:$B$23,MATCH(K842,[3]Sheet1!$B$4:$B$23,1)+1,1)-INDEX([3]Sheet1!$B$4:$B$23,
MATCH(K842,[3]Sheet1!$B$4:$B$23,1),1))*(INDEX([3]Sheet1!$C$4:$Q$23,MATCH(K842,[3]Sheet1!$B$4:$B$23,1)+1,MATCH(D842,[3]Sheet1!$C$3:$Q$3,1))-INDEX([3]Sheet1!$C$4:$Q$23,
MATCH(K842,[3]Sheet1!$B$4:$B$23,1),MATCH(D842,[3]Sheet1!$C$3:$Q$3,1)))
+(D842-INDEX([3]Sheet1!$C$3:$Q$3,1,MATCH(D842,[3]Sheet1!$C$3:$Q$3)))/(INDEX([3]Sheet1!$C$3:$Q$3,1,MATCH(D842,[3]Sheet1!$C$3:$Q$3)+1)-INDEX([3]Sheet1!$C$3:$Q$3,1,MATCH(
D842,[3]Sheet1!$C$3:$Q$3)))*(INDEX([3]Sheet1!$C$4:$Q$23,MATCH(K842,[3]Sheet1!$B$4:$B$23,1),MATCH(D842,[3]Sheet1!$C$3:$Q$3,1)+1)-INDEX([3]Sheet1!$C$4:$Q$23,MATCH(K842,[3]Sheet1!$B$4:$B$23,1),MATCH(D842,[3]Sheet1!$C$3:$Q$3,1))))</f>
        <v>0</v>
      </c>
      <c r="M842" cm="1">
        <f t="array" ref="M842" xml:space="preserve"> IF(E842*J842=0,0,(INDEX([2]Sheet1!$C$4:$Q$23,MATCH(K842,[2]Sheet1!$B$4:$B$23,1),MATCH(D842,[2]Sheet1!$C$3:$Q$3,1))
+ (K842 - INDEX([2]Sheet1!$B$4:$B$23,MATCH(K842,[2]Sheet1!$B$4:$B$23,1),1))/(INDEX([2]Sheet1!$B$4:$B$23,MATCH(K842,[2]Sheet1!$B$4:$B$23,1)+1,1) - INDEX([2]Sheet1!$B$4:$B$23,MATCH(K842,[2]Sheet1!$B$4:$B$23,1),1))*(INDEX([2]Sheet1!$C$4:$Q$23,MATCH(K842,[2]Sheet1!$B$4:$B$23,1)+1,MATCH(D842,[2]Sheet1!$C$3:$Q$3,1)) - INDEX([2]Sheet1!$C$4:$Q$23,MATCH(K842,[2]Sheet1!$B$4:$B$23,1),MATCH(D842,[2]Sheet1!$C$3:$Q$3,1)))
+ (D842 - INDEX([2]Sheet1!$C$3:$Q$3,1,MATCH(D842,[2]Sheet1!$C$3:$Q$3)))/(INDEX([2]Sheet1!$C$3:$Q$3,1,MATCH(D842,[2]Sheet1!$C$3:$Q$3)+1) - INDEX([2]Sheet1!$C$3:$Q$3,1,MATCH(D842,[2]Sheet1!$C$3:$Q$3)))*(
INDEX([2]Sheet1!$C$4:$Q$23,MATCH(K842,[2]Sheet1!$B$4:$B$23,1),MATCH(D842,[2]Sheet1!$C$3:$Q$3,1)+1) - INDEX([2]Sheet1!$C$4:$Q$23,MATCH(K842,[2]Sheet1!$B$4:$B$23,1),MATCH(D842,[2]Sheet1!$C$3:$Q$3,1)))))</f>
        <v>0</v>
      </c>
      <c r="N842">
        <f t="shared" si="252"/>
        <v>12</v>
      </c>
      <c r="O842">
        <v>208.02450568394099</v>
      </c>
      <c r="P842" t="e">
        <f t="shared" si="253"/>
        <v>#DIV/0!</v>
      </c>
      <c r="Q842">
        <f t="shared" si="254"/>
        <v>0</v>
      </c>
      <c r="R842">
        <f t="shared" si="255"/>
        <v>741.9099431943954</v>
      </c>
      <c r="T842" t="e">
        <f t="shared" si="256"/>
        <v>#DIV/0!</v>
      </c>
      <c r="U842" t="e">
        <f t="shared" si="257"/>
        <v>#DIV/0!</v>
      </c>
      <c r="V842">
        <f t="shared" si="258"/>
        <v>0</v>
      </c>
      <c r="W842" t="e">
        <f t="shared" si="259"/>
        <v>#DIV/0!</v>
      </c>
    </row>
    <row r="843" spans="1:23" x14ac:dyDescent="0.55000000000000004">
      <c r="A843">
        <f t="shared" si="243"/>
        <v>80.899999999999679</v>
      </c>
      <c r="B843">
        <f t="shared" si="244"/>
        <v>0.316</v>
      </c>
      <c r="C843">
        <f t="shared" si="245"/>
        <v>-47.760869565217185</v>
      </c>
      <c r="D843">
        <v>209.43984551913201</v>
      </c>
      <c r="E843">
        <f t="shared" si="246"/>
        <v>0</v>
      </c>
      <c r="F843">
        <f t="shared" si="247"/>
        <v>4.8605058816845369E-2</v>
      </c>
      <c r="G843">
        <f t="shared" si="248"/>
        <v>39.513748498891111</v>
      </c>
      <c r="H843">
        <f t="shared" si="249"/>
        <v>0</v>
      </c>
      <c r="I843" s="1">
        <f t="shared" si="242"/>
        <v>0</v>
      </c>
      <c r="J843">
        <f t="shared" si="250"/>
        <v>0</v>
      </c>
      <c r="K843">
        <f t="shared" si="251"/>
        <v>0</v>
      </c>
      <c r="L843" cm="1">
        <f t="array" ref="L843">IF(E843*J843=0,0,$C$21*INDEX([3]Sheet1!$C$4:$Q$23,MATCH(K843,[3]Sheet1!$B$4:$B$23,1),MATCH(D843,[3]Sheet1!$C$3:$Q$3,1))
+(K843-INDEX([3]Sheet1!$B$4:$B$23,MATCH(K843,[3]Sheet1!$B$4:$B$23,1),1))/(INDEX([3]Sheet1!$B$4:$B$23,MATCH(K843,[3]Sheet1!$B$4:$B$23,1)+1,1)-INDEX([3]Sheet1!$B$4:$B$23,
MATCH(K843,[3]Sheet1!$B$4:$B$23,1),1))*(INDEX([3]Sheet1!$C$4:$Q$23,MATCH(K843,[3]Sheet1!$B$4:$B$23,1)+1,MATCH(D843,[3]Sheet1!$C$3:$Q$3,1))-INDEX([3]Sheet1!$C$4:$Q$23,
MATCH(K843,[3]Sheet1!$B$4:$B$23,1),MATCH(D843,[3]Sheet1!$C$3:$Q$3,1)))
+(D843-INDEX([3]Sheet1!$C$3:$Q$3,1,MATCH(D843,[3]Sheet1!$C$3:$Q$3)))/(INDEX([3]Sheet1!$C$3:$Q$3,1,MATCH(D843,[3]Sheet1!$C$3:$Q$3)+1)-INDEX([3]Sheet1!$C$3:$Q$3,1,MATCH(
D843,[3]Sheet1!$C$3:$Q$3)))*(INDEX([3]Sheet1!$C$4:$Q$23,MATCH(K843,[3]Sheet1!$B$4:$B$23,1),MATCH(D843,[3]Sheet1!$C$3:$Q$3,1)+1)-INDEX([3]Sheet1!$C$4:$Q$23,MATCH(K843,[3]Sheet1!$B$4:$B$23,1),MATCH(D843,[3]Sheet1!$C$3:$Q$3,1))))</f>
        <v>0</v>
      </c>
      <c r="M843" cm="1">
        <f t="array" ref="M843" xml:space="preserve"> IF(E843*J843=0,0,(INDEX([2]Sheet1!$C$4:$Q$23,MATCH(K843,[2]Sheet1!$B$4:$B$23,1),MATCH(D843,[2]Sheet1!$C$3:$Q$3,1))
+ (K843 - INDEX([2]Sheet1!$B$4:$B$23,MATCH(K843,[2]Sheet1!$B$4:$B$23,1),1))/(INDEX([2]Sheet1!$B$4:$B$23,MATCH(K843,[2]Sheet1!$B$4:$B$23,1)+1,1) - INDEX([2]Sheet1!$B$4:$B$23,MATCH(K843,[2]Sheet1!$B$4:$B$23,1),1))*(INDEX([2]Sheet1!$C$4:$Q$23,MATCH(K843,[2]Sheet1!$B$4:$B$23,1)+1,MATCH(D843,[2]Sheet1!$C$3:$Q$3,1)) - INDEX([2]Sheet1!$C$4:$Q$23,MATCH(K843,[2]Sheet1!$B$4:$B$23,1),MATCH(D843,[2]Sheet1!$C$3:$Q$3,1)))
+ (D843 - INDEX([2]Sheet1!$C$3:$Q$3,1,MATCH(D843,[2]Sheet1!$C$3:$Q$3)))/(INDEX([2]Sheet1!$C$3:$Q$3,1,MATCH(D843,[2]Sheet1!$C$3:$Q$3)+1) - INDEX([2]Sheet1!$C$3:$Q$3,1,MATCH(D843,[2]Sheet1!$C$3:$Q$3)))*(
INDEX([2]Sheet1!$C$4:$Q$23,MATCH(K843,[2]Sheet1!$B$4:$B$23,1),MATCH(D843,[2]Sheet1!$C$3:$Q$3,1)+1) - INDEX([2]Sheet1!$C$4:$Q$23,MATCH(K843,[2]Sheet1!$B$4:$B$23,1),MATCH(D843,[2]Sheet1!$C$3:$Q$3,1)))))</f>
        <v>0</v>
      </c>
      <c r="N843">
        <f t="shared" si="252"/>
        <v>12</v>
      </c>
      <c r="O843">
        <v>209.02450568394099</v>
      </c>
      <c r="P843" t="e">
        <f t="shared" si="253"/>
        <v>#DIV/0!</v>
      </c>
      <c r="Q843">
        <f t="shared" si="254"/>
        <v>0</v>
      </c>
      <c r="R843">
        <f t="shared" si="255"/>
        <v>741.9099431943954</v>
      </c>
      <c r="T843" t="e">
        <f t="shared" si="256"/>
        <v>#DIV/0!</v>
      </c>
      <c r="U843" t="e">
        <f t="shared" si="257"/>
        <v>#DIV/0!</v>
      </c>
      <c r="V843">
        <f t="shared" si="258"/>
        <v>0</v>
      </c>
      <c r="W843" t="e">
        <f t="shared" si="259"/>
        <v>#DIV/0!</v>
      </c>
    </row>
    <row r="844" spans="1:23" x14ac:dyDescent="0.55000000000000004">
      <c r="A844">
        <f t="shared" si="243"/>
        <v>80.999999999999673</v>
      </c>
      <c r="B844">
        <f t="shared" si="244"/>
        <v>0.316</v>
      </c>
      <c r="C844">
        <f t="shared" si="245"/>
        <v>-47.826086956521536</v>
      </c>
      <c r="D844">
        <v>210.43984551913201</v>
      </c>
      <c r="E844">
        <f t="shared" si="246"/>
        <v>0</v>
      </c>
      <c r="F844">
        <f t="shared" si="247"/>
        <v>4.8605058816845369E-2</v>
      </c>
      <c r="G844">
        <f t="shared" si="248"/>
        <v>39.513748498891111</v>
      </c>
      <c r="H844">
        <f t="shared" si="249"/>
        <v>0</v>
      </c>
      <c r="I844" s="1">
        <f t="shared" si="242"/>
        <v>0</v>
      </c>
      <c r="J844">
        <f t="shared" si="250"/>
        <v>0</v>
      </c>
      <c r="K844">
        <f t="shared" si="251"/>
        <v>0</v>
      </c>
      <c r="L844" cm="1">
        <f t="array" ref="L844">IF(E844*J844=0,0,$C$21*INDEX([3]Sheet1!$C$4:$Q$23,MATCH(K844,[3]Sheet1!$B$4:$B$23,1),MATCH(D844,[3]Sheet1!$C$3:$Q$3,1))
+(K844-INDEX([3]Sheet1!$B$4:$B$23,MATCH(K844,[3]Sheet1!$B$4:$B$23,1),1))/(INDEX([3]Sheet1!$B$4:$B$23,MATCH(K844,[3]Sheet1!$B$4:$B$23,1)+1,1)-INDEX([3]Sheet1!$B$4:$B$23,
MATCH(K844,[3]Sheet1!$B$4:$B$23,1),1))*(INDEX([3]Sheet1!$C$4:$Q$23,MATCH(K844,[3]Sheet1!$B$4:$B$23,1)+1,MATCH(D844,[3]Sheet1!$C$3:$Q$3,1))-INDEX([3]Sheet1!$C$4:$Q$23,
MATCH(K844,[3]Sheet1!$B$4:$B$23,1),MATCH(D844,[3]Sheet1!$C$3:$Q$3,1)))
+(D844-INDEX([3]Sheet1!$C$3:$Q$3,1,MATCH(D844,[3]Sheet1!$C$3:$Q$3)))/(INDEX([3]Sheet1!$C$3:$Q$3,1,MATCH(D844,[3]Sheet1!$C$3:$Q$3)+1)-INDEX([3]Sheet1!$C$3:$Q$3,1,MATCH(
D844,[3]Sheet1!$C$3:$Q$3)))*(INDEX([3]Sheet1!$C$4:$Q$23,MATCH(K844,[3]Sheet1!$B$4:$B$23,1),MATCH(D844,[3]Sheet1!$C$3:$Q$3,1)+1)-INDEX([3]Sheet1!$C$4:$Q$23,MATCH(K844,[3]Sheet1!$B$4:$B$23,1),MATCH(D844,[3]Sheet1!$C$3:$Q$3,1))))</f>
        <v>0</v>
      </c>
      <c r="M844" cm="1">
        <f t="array" ref="M844" xml:space="preserve"> IF(E844*J844=0,0,(INDEX([2]Sheet1!$C$4:$Q$23,MATCH(K844,[2]Sheet1!$B$4:$B$23,1),MATCH(D844,[2]Sheet1!$C$3:$Q$3,1))
+ (K844 - INDEX([2]Sheet1!$B$4:$B$23,MATCH(K844,[2]Sheet1!$B$4:$B$23,1),1))/(INDEX([2]Sheet1!$B$4:$B$23,MATCH(K844,[2]Sheet1!$B$4:$B$23,1)+1,1) - INDEX([2]Sheet1!$B$4:$B$23,MATCH(K844,[2]Sheet1!$B$4:$B$23,1),1))*(INDEX([2]Sheet1!$C$4:$Q$23,MATCH(K844,[2]Sheet1!$B$4:$B$23,1)+1,MATCH(D844,[2]Sheet1!$C$3:$Q$3,1)) - INDEX([2]Sheet1!$C$4:$Q$23,MATCH(K844,[2]Sheet1!$B$4:$B$23,1),MATCH(D844,[2]Sheet1!$C$3:$Q$3,1)))
+ (D844 - INDEX([2]Sheet1!$C$3:$Q$3,1,MATCH(D844,[2]Sheet1!$C$3:$Q$3)))/(INDEX([2]Sheet1!$C$3:$Q$3,1,MATCH(D844,[2]Sheet1!$C$3:$Q$3)+1) - INDEX([2]Sheet1!$C$3:$Q$3,1,MATCH(D844,[2]Sheet1!$C$3:$Q$3)))*(
INDEX([2]Sheet1!$C$4:$Q$23,MATCH(K844,[2]Sheet1!$B$4:$B$23,1),MATCH(D844,[2]Sheet1!$C$3:$Q$3,1)+1) - INDEX([2]Sheet1!$C$4:$Q$23,MATCH(K844,[2]Sheet1!$B$4:$B$23,1),MATCH(D844,[2]Sheet1!$C$3:$Q$3,1)))))</f>
        <v>0</v>
      </c>
      <c r="N844">
        <f t="shared" si="252"/>
        <v>12</v>
      </c>
      <c r="O844">
        <v>210.02450568394099</v>
      </c>
      <c r="P844" t="e">
        <f t="shared" si="253"/>
        <v>#DIV/0!</v>
      </c>
      <c r="Q844">
        <f t="shared" si="254"/>
        <v>0</v>
      </c>
      <c r="R844">
        <f t="shared" si="255"/>
        <v>741.9099431943954</v>
      </c>
      <c r="T844" t="e">
        <f t="shared" si="256"/>
        <v>#DIV/0!</v>
      </c>
      <c r="U844" t="e">
        <f t="shared" si="257"/>
        <v>#DIV/0!</v>
      </c>
      <c r="V844">
        <f t="shared" si="258"/>
        <v>0</v>
      </c>
      <c r="W844" t="e">
        <f t="shared" si="259"/>
        <v>#DIV/0!</v>
      </c>
    </row>
    <row r="845" spans="1:23" x14ac:dyDescent="0.55000000000000004">
      <c r="A845">
        <f t="shared" si="243"/>
        <v>81.099999999999667</v>
      </c>
      <c r="B845">
        <f t="shared" si="244"/>
        <v>0.316</v>
      </c>
      <c r="C845">
        <f t="shared" si="245"/>
        <v>-47.891304347825873</v>
      </c>
      <c r="D845">
        <v>211.43984551913201</v>
      </c>
      <c r="E845">
        <f t="shared" si="246"/>
        <v>0</v>
      </c>
      <c r="F845">
        <f t="shared" si="247"/>
        <v>4.8605058816845369E-2</v>
      </c>
      <c r="G845">
        <f t="shared" si="248"/>
        <v>39.513748498891111</v>
      </c>
      <c r="H845">
        <f t="shared" si="249"/>
        <v>0</v>
      </c>
      <c r="I845" s="1">
        <f t="shared" si="242"/>
        <v>0</v>
      </c>
      <c r="J845">
        <f t="shared" si="250"/>
        <v>0</v>
      </c>
      <c r="K845">
        <f t="shared" si="251"/>
        <v>0</v>
      </c>
      <c r="L845" cm="1">
        <f t="array" ref="L845">IF(E845*J845=0,0,$C$21*INDEX([3]Sheet1!$C$4:$Q$23,MATCH(K845,[3]Sheet1!$B$4:$B$23,1),MATCH(D845,[3]Sheet1!$C$3:$Q$3,1))
+(K845-INDEX([3]Sheet1!$B$4:$B$23,MATCH(K845,[3]Sheet1!$B$4:$B$23,1),1))/(INDEX([3]Sheet1!$B$4:$B$23,MATCH(K845,[3]Sheet1!$B$4:$B$23,1)+1,1)-INDEX([3]Sheet1!$B$4:$B$23,
MATCH(K845,[3]Sheet1!$B$4:$B$23,1),1))*(INDEX([3]Sheet1!$C$4:$Q$23,MATCH(K845,[3]Sheet1!$B$4:$B$23,1)+1,MATCH(D845,[3]Sheet1!$C$3:$Q$3,1))-INDEX([3]Sheet1!$C$4:$Q$23,
MATCH(K845,[3]Sheet1!$B$4:$B$23,1),MATCH(D845,[3]Sheet1!$C$3:$Q$3,1)))
+(D845-INDEX([3]Sheet1!$C$3:$Q$3,1,MATCH(D845,[3]Sheet1!$C$3:$Q$3)))/(INDEX([3]Sheet1!$C$3:$Q$3,1,MATCH(D845,[3]Sheet1!$C$3:$Q$3)+1)-INDEX([3]Sheet1!$C$3:$Q$3,1,MATCH(
D845,[3]Sheet1!$C$3:$Q$3)))*(INDEX([3]Sheet1!$C$4:$Q$23,MATCH(K845,[3]Sheet1!$B$4:$B$23,1),MATCH(D845,[3]Sheet1!$C$3:$Q$3,1)+1)-INDEX([3]Sheet1!$C$4:$Q$23,MATCH(K845,[3]Sheet1!$B$4:$B$23,1),MATCH(D845,[3]Sheet1!$C$3:$Q$3,1))))</f>
        <v>0</v>
      </c>
      <c r="M845" cm="1">
        <f t="array" ref="M845" xml:space="preserve"> IF(E845*J845=0,0,(INDEX([2]Sheet1!$C$4:$Q$23,MATCH(K845,[2]Sheet1!$B$4:$B$23,1),MATCH(D845,[2]Sheet1!$C$3:$Q$3,1))
+ (K845 - INDEX([2]Sheet1!$B$4:$B$23,MATCH(K845,[2]Sheet1!$B$4:$B$23,1),1))/(INDEX([2]Sheet1!$B$4:$B$23,MATCH(K845,[2]Sheet1!$B$4:$B$23,1)+1,1) - INDEX([2]Sheet1!$B$4:$B$23,MATCH(K845,[2]Sheet1!$B$4:$B$23,1),1))*(INDEX([2]Sheet1!$C$4:$Q$23,MATCH(K845,[2]Sheet1!$B$4:$B$23,1)+1,MATCH(D845,[2]Sheet1!$C$3:$Q$3,1)) - INDEX([2]Sheet1!$C$4:$Q$23,MATCH(K845,[2]Sheet1!$B$4:$B$23,1),MATCH(D845,[2]Sheet1!$C$3:$Q$3,1)))
+ (D845 - INDEX([2]Sheet1!$C$3:$Q$3,1,MATCH(D845,[2]Sheet1!$C$3:$Q$3)))/(INDEX([2]Sheet1!$C$3:$Q$3,1,MATCH(D845,[2]Sheet1!$C$3:$Q$3)+1) - INDEX([2]Sheet1!$C$3:$Q$3,1,MATCH(D845,[2]Sheet1!$C$3:$Q$3)))*(
INDEX([2]Sheet1!$C$4:$Q$23,MATCH(K845,[2]Sheet1!$B$4:$B$23,1),MATCH(D845,[2]Sheet1!$C$3:$Q$3,1)+1) - INDEX([2]Sheet1!$C$4:$Q$23,MATCH(K845,[2]Sheet1!$B$4:$B$23,1),MATCH(D845,[2]Sheet1!$C$3:$Q$3,1)))))</f>
        <v>0</v>
      </c>
      <c r="N845">
        <f t="shared" si="252"/>
        <v>12</v>
      </c>
      <c r="O845">
        <v>211.02450568394099</v>
      </c>
      <c r="P845" t="e">
        <f t="shared" si="253"/>
        <v>#DIV/0!</v>
      </c>
      <c r="Q845">
        <f t="shared" si="254"/>
        <v>0</v>
      </c>
      <c r="R845">
        <f t="shared" si="255"/>
        <v>741.9099431943954</v>
      </c>
      <c r="T845" t="e">
        <f t="shared" si="256"/>
        <v>#DIV/0!</v>
      </c>
      <c r="U845" t="e">
        <f t="shared" si="257"/>
        <v>#DIV/0!</v>
      </c>
      <c r="V845">
        <f t="shared" si="258"/>
        <v>0</v>
      </c>
      <c r="W845" t="e">
        <f t="shared" si="259"/>
        <v>#DIV/0!</v>
      </c>
    </row>
    <row r="846" spans="1:23" x14ac:dyDescent="0.55000000000000004">
      <c r="A846">
        <f t="shared" si="243"/>
        <v>81.199999999999662</v>
      </c>
      <c r="B846">
        <f t="shared" si="244"/>
        <v>0.316</v>
      </c>
      <c r="C846">
        <f t="shared" si="245"/>
        <v>-47.956521739130224</v>
      </c>
      <c r="D846">
        <v>212.43984551913201</v>
      </c>
      <c r="E846">
        <f t="shared" si="246"/>
        <v>0</v>
      </c>
      <c r="F846">
        <f t="shared" si="247"/>
        <v>4.8605058816845369E-2</v>
      </c>
      <c r="G846">
        <f t="shared" si="248"/>
        <v>39.513748498891111</v>
      </c>
      <c r="H846">
        <f t="shared" si="249"/>
        <v>0</v>
      </c>
      <c r="I846" s="1">
        <f t="shared" si="242"/>
        <v>0</v>
      </c>
      <c r="J846">
        <f t="shared" si="250"/>
        <v>0</v>
      </c>
      <c r="K846">
        <f t="shared" si="251"/>
        <v>0</v>
      </c>
      <c r="L846" cm="1">
        <f t="array" ref="L846">IF(E846*J846=0,0,$C$21*INDEX([3]Sheet1!$C$4:$Q$23,MATCH(K846,[3]Sheet1!$B$4:$B$23,1),MATCH(D846,[3]Sheet1!$C$3:$Q$3,1))
+(K846-INDEX([3]Sheet1!$B$4:$B$23,MATCH(K846,[3]Sheet1!$B$4:$B$23,1),1))/(INDEX([3]Sheet1!$B$4:$B$23,MATCH(K846,[3]Sheet1!$B$4:$B$23,1)+1,1)-INDEX([3]Sheet1!$B$4:$B$23,
MATCH(K846,[3]Sheet1!$B$4:$B$23,1),1))*(INDEX([3]Sheet1!$C$4:$Q$23,MATCH(K846,[3]Sheet1!$B$4:$B$23,1)+1,MATCH(D846,[3]Sheet1!$C$3:$Q$3,1))-INDEX([3]Sheet1!$C$4:$Q$23,
MATCH(K846,[3]Sheet1!$B$4:$B$23,1),MATCH(D846,[3]Sheet1!$C$3:$Q$3,1)))
+(D846-INDEX([3]Sheet1!$C$3:$Q$3,1,MATCH(D846,[3]Sheet1!$C$3:$Q$3)))/(INDEX([3]Sheet1!$C$3:$Q$3,1,MATCH(D846,[3]Sheet1!$C$3:$Q$3)+1)-INDEX([3]Sheet1!$C$3:$Q$3,1,MATCH(
D846,[3]Sheet1!$C$3:$Q$3)))*(INDEX([3]Sheet1!$C$4:$Q$23,MATCH(K846,[3]Sheet1!$B$4:$B$23,1),MATCH(D846,[3]Sheet1!$C$3:$Q$3,1)+1)-INDEX([3]Sheet1!$C$4:$Q$23,MATCH(K846,[3]Sheet1!$B$4:$B$23,1),MATCH(D846,[3]Sheet1!$C$3:$Q$3,1))))</f>
        <v>0</v>
      </c>
      <c r="M846" cm="1">
        <f t="array" ref="M846" xml:space="preserve"> IF(E846*J846=0,0,(INDEX([2]Sheet1!$C$4:$Q$23,MATCH(K846,[2]Sheet1!$B$4:$B$23,1),MATCH(D846,[2]Sheet1!$C$3:$Q$3,1))
+ (K846 - INDEX([2]Sheet1!$B$4:$B$23,MATCH(K846,[2]Sheet1!$B$4:$B$23,1),1))/(INDEX([2]Sheet1!$B$4:$B$23,MATCH(K846,[2]Sheet1!$B$4:$B$23,1)+1,1) - INDEX([2]Sheet1!$B$4:$B$23,MATCH(K846,[2]Sheet1!$B$4:$B$23,1),1))*(INDEX([2]Sheet1!$C$4:$Q$23,MATCH(K846,[2]Sheet1!$B$4:$B$23,1)+1,MATCH(D846,[2]Sheet1!$C$3:$Q$3,1)) - INDEX([2]Sheet1!$C$4:$Q$23,MATCH(K846,[2]Sheet1!$B$4:$B$23,1),MATCH(D846,[2]Sheet1!$C$3:$Q$3,1)))
+ (D846 - INDEX([2]Sheet1!$C$3:$Q$3,1,MATCH(D846,[2]Sheet1!$C$3:$Q$3)))/(INDEX([2]Sheet1!$C$3:$Q$3,1,MATCH(D846,[2]Sheet1!$C$3:$Q$3)+1) - INDEX([2]Sheet1!$C$3:$Q$3,1,MATCH(D846,[2]Sheet1!$C$3:$Q$3)))*(
INDEX([2]Sheet1!$C$4:$Q$23,MATCH(K846,[2]Sheet1!$B$4:$B$23,1),MATCH(D846,[2]Sheet1!$C$3:$Q$3,1)+1) - INDEX([2]Sheet1!$C$4:$Q$23,MATCH(K846,[2]Sheet1!$B$4:$B$23,1),MATCH(D846,[2]Sheet1!$C$3:$Q$3,1)))))</f>
        <v>0</v>
      </c>
      <c r="N846">
        <f t="shared" si="252"/>
        <v>12</v>
      </c>
      <c r="O846">
        <v>212.02450568394099</v>
      </c>
      <c r="P846" t="e">
        <f t="shared" si="253"/>
        <v>#DIV/0!</v>
      </c>
      <c r="Q846">
        <f t="shared" si="254"/>
        <v>0</v>
      </c>
      <c r="R846">
        <f t="shared" si="255"/>
        <v>741.9099431943954</v>
      </c>
      <c r="T846" t="e">
        <f t="shared" si="256"/>
        <v>#DIV/0!</v>
      </c>
      <c r="U846" t="e">
        <f t="shared" si="257"/>
        <v>#DIV/0!</v>
      </c>
      <c r="V846">
        <f t="shared" si="258"/>
        <v>0</v>
      </c>
      <c r="W846" t="e">
        <f t="shared" si="259"/>
        <v>#DIV/0!</v>
      </c>
    </row>
    <row r="847" spans="1:23" x14ac:dyDescent="0.55000000000000004">
      <c r="A847">
        <f t="shared" si="243"/>
        <v>81.299999999999656</v>
      </c>
      <c r="B847">
        <f t="shared" si="244"/>
        <v>0.316</v>
      </c>
      <c r="C847">
        <f t="shared" si="245"/>
        <v>-48.021739130434561</v>
      </c>
      <c r="D847">
        <v>213.43984551913201</v>
      </c>
      <c r="E847">
        <f t="shared" si="246"/>
        <v>0</v>
      </c>
      <c r="F847">
        <f t="shared" si="247"/>
        <v>4.8605058816845369E-2</v>
      </c>
      <c r="G847">
        <f t="shared" si="248"/>
        <v>39.513748498891111</v>
      </c>
      <c r="H847">
        <f t="shared" si="249"/>
        <v>0</v>
      </c>
      <c r="I847" s="1">
        <f t="shared" si="242"/>
        <v>0</v>
      </c>
      <c r="J847">
        <f t="shared" si="250"/>
        <v>0</v>
      </c>
      <c r="K847">
        <f t="shared" si="251"/>
        <v>0</v>
      </c>
      <c r="L847" cm="1">
        <f t="array" ref="L847">IF(E847*J847=0,0,$C$21*INDEX([3]Sheet1!$C$4:$Q$23,MATCH(K847,[3]Sheet1!$B$4:$B$23,1),MATCH(D847,[3]Sheet1!$C$3:$Q$3,1))
+(K847-INDEX([3]Sheet1!$B$4:$B$23,MATCH(K847,[3]Sheet1!$B$4:$B$23,1),1))/(INDEX([3]Sheet1!$B$4:$B$23,MATCH(K847,[3]Sheet1!$B$4:$B$23,1)+1,1)-INDEX([3]Sheet1!$B$4:$B$23,
MATCH(K847,[3]Sheet1!$B$4:$B$23,1),1))*(INDEX([3]Sheet1!$C$4:$Q$23,MATCH(K847,[3]Sheet1!$B$4:$B$23,1)+1,MATCH(D847,[3]Sheet1!$C$3:$Q$3,1))-INDEX([3]Sheet1!$C$4:$Q$23,
MATCH(K847,[3]Sheet1!$B$4:$B$23,1),MATCH(D847,[3]Sheet1!$C$3:$Q$3,1)))
+(D847-INDEX([3]Sheet1!$C$3:$Q$3,1,MATCH(D847,[3]Sheet1!$C$3:$Q$3)))/(INDEX([3]Sheet1!$C$3:$Q$3,1,MATCH(D847,[3]Sheet1!$C$3:$Q$3)+1)-INDEX([3]Sheet1!$C$3:$Q$3,1,MATCH(
D847,[3]Sheet1!$C$3:$Q$3)))*(INDEX([3]Sheet1!$C$4:$Q$23,MATCH(K847,[3]Sheet1!$B$4:$B$23,1),MATCH(D847,[3]Sheet1!$C$3:$Q$3,1)+1)-INDEX([3]Sheet1!$C$4:$Q$23,MATCH(K847,[3]Sheet1!$B$4:$B$23,1),MATCH(D847,[3]Sheet1!$C$3:$Q$3,1))))</f>
        <v>0</v>
      </c>
      <c r="M847" cm="1">
        <f t="array" ref="M847" xml:space="preserve"> IF(E847*J847=0,0,(INDEX([2]Sheet1!$C$4:$Q$23,MATCH(K847,[2]Sheet1!$B$4:$B$23,1),MATCH(D847,[2]Sheet1!$C$3:$Q$3,1))
+ (K847 - INDEX([2]Sheet1!$B$4:$B$23,MATCH(K847,[2]Sheet1!$B$4:$B$23,1),1))/(INDEX([2]Sheet1!$B$4:$B$23,MATCH(K847,[2]Sheet1!$B$4:$B$23,1)+1,1) - INDEX([2]Sheet1!$B$4:$B$23,MATCH(K847,[2]Sheet1!$B$4:$B$23,1),1))*(INDEX([2]Sheet1!$C$4:$Q$23,MATCH(K847,[2]Sheet1!$B$4:$B$23,1)+1,MATCH(D847,[2]Sheet1!$C$3:$Q$3,1)) - INDEX([2]Sheet1!$C$4:$Q$23,MATCH(K847,[2]Sheet1!$B$4:$B$23,1),MATCH(D847,[2]Sheet1!$C$3:$Q$3,1)))
+ (D847 - INDEX([2]Sheet1!$C$3:$Q$3,1,MATCH(D847,[2]Sheet1!$C$3:$Q$3)))/(INDEX([2]Sheet1!$C$3:$Q$3,1,MATCH(D847,[2]Sheet1!$C$3:$Q$3)+1) - INDEX([2]Sheet1!$C$3:$Q$3,1,MATCH(D847,[2]Sheet1!$C$3:$Q$3)))*(
INDEX([2]Sheet1!$C$4:$Q$23,MATCH(K847,[2]Sheet1!$B$4:$B$23,1),MATCH(D847,[2]Sheet1!$C$3:$Q$3,1)+1) - INDEX([2]Sheet1!$C$4:$Q$23,MATCH(K847,[2]Sheet1!$B$4:$B$23,1),MATCH(D847,[2]Sheet1!$C$3:$Q$3,1)))))</f>
        <v>0</v>
      </c>
      <c r="N847">
        <f t="shared" si="252"/>
        <v>12</v>
      </c>
      <c r="O847">
        <v>213.02450568394099</v>
      </c>
      <c r="P847" t="e">
        <f t="shared" si="253"/>
        <v>#DIV/0!</v>
      </c>
      <c r="Q847">
        <f t="shared" si="254"/>
        <v>0</v>
      </c>
      <c r="R847">
        <f t="shared" si="255"/>
        <v>741.9099431943954</v>
      </c>
      <c r="T847" t="e">
        <f t="shared" si="256"/>
        <v>#DIV/0!</v>
      </c>
      <c r="U847" t="e">
        <f t="shared" si="257"/>
        <v>#DIV/0!</v>
      </c>
      <c r="V847">
        <f t="shared" si="258"/>
        <v>0</v>
      </c>
      <c r="W847" t="e">
        <f t="shared" si="259"/>
        <v>#DIV/0!</v>
      </c>
    </row>
    <row r="848" spans="1:23" x14ac:dyDescent="0.55000000000000004">
      <c r="A848">
        <f t="shared" si="243"/>
        <v>81.39999999999965</v>
      </c>
      <c r="B848">
        <f t="shared" si="244"/>
        <v>0.316</v>
      </c>
      <c r="C848">
        <f t="shared" si="245"/>
        <v>-48.086956521738912</v>
      </c>
      <c r="D848">
        <v>214.43984551913201</v>
      </c>
      <c r="E848">
        <f t="shared" si="246"/>
        <v>0</v>
      </c>
      <c r="F848">
        <f t="shared" si="247"/>
        <v>4.8605058816845369E-2</v>
      </c>
      <c r="G848">
        <f t="shared" si="248"/>
        <v>39.513748498891111</v>
      </c>
      <c r="H848">
        <f t="shared" si="249"/>
        <v>0</v>
      </c>
      <c r="I848" s="1">
        <f t="shared" si="242"/>
        <v>0</v>
      </c>
      <c r="J848">
        <f t="shared" si="250"/>
        <v>0</v>
      </c>
      <c r="K848">
        <f t="shared" si="251"/>
        <v>0</v>
      </c>
      <c r="L848" cm="1">
        <f t="array" ref="L848">IF(E848*J848=0,0,$C$21*INDEX([3]Sheet1!$C$4:$Q$23,MATCH(K848,[3]Sheet1!$B$4:$B$23,1),MATCH(D848,[3]Sheet1!$C$3:$Q$3,1))
+(K848-INDEX([3]Sheet1!$B$4:$B$23,MATCH(K848,[3]Sheet1!$B$4:$B$23,1),1))/(INDEX([3]Sheet1!$B$4:$B$23,MATCH(K848,[3]Sheet1!$B$4:$B$23,1)+1,1)-INDEX([3]Sheet1!$B$4:$B$23,
MATCH(K848,[3]Sheet1!$B$4:$B$23,1),1))*(INDEX([3]Sheet1!$C$4:$Q$23,MATCH(K848,[3]Sheet1!$B$4:$B$23,1)+1,MATCH(D848,[3]Sheet1!$C$3:$Q$3,1))-INDEX([3]Sheet1!$C$4:$Q$23,
MATCH(K848,[3]Sheet1!$B$4:$B$23,1),MATCH(D848,[3]Sheet1!$C$3:$Q$3,1)))
+(D848-INDEX([3]Sheet1!$C$3:$Q$3,1,MATCH(D848,[3]Sheet1!$C$3:$Q$3)))/(INDEX([3]Sheet1!$C$3:$Q$3,1,MATCH(D848,[3]Sheet1!$C$3:$Q$3)+1)-INDEX([3]Sheet1!$C$3:$Q$3,1,MATCH(
D848,[3]Sheet1!$C$3:$Q$3)))*(INDEX([3]Sheet1!$C$4:$Q$23,MATCH(K848,[3]Sheet1!$B$4:$B$23,1),MATCH(D848,[3]Sheet1!$C$3:$Q$3,1)+1)-INDEX([3]Sheet1!$C$4:$Q$23,MATCH(K848,[3]Sheet1!$B$4:$B$23,1),MATCH(D848,[3]Sheet1!$C$3:$Q$3,1))))</f>
        <v>0</v>
      </c>
      <c r="M848" cm="1">
        <f t="array" ref="M848" xml:space="preserve"> IF(E848*J848=0,0,(INDEX([2]Sheet1!$C$4:$Q$23,MATCH(K848,[2]Sheet1!$B$4:$B$23,1),MATCH(D848,[2]Sheet1!$C$3:$Q$3,1))
+ (K848 - INDEX([2]Sheet1!$B$4:$B$23,MATCH(K848,[2]Sheet1!$B$4:$B$23,1),1))/(INDEX([2]Sheet1!$B$4:$B$23,MATCH(K848,[2]Sheet1!$B$4:$B$23,1)+1,1) - INDEX([2]Sheet1!$B$4:$B$23,MATCH(K848,[2]Sheet1!$B$4:$B$23,1),1))*(INDEX([2]Sheet1!$C$4:$Q$23,MATCH(K848,[2]Sheet1!$B$4:$B$23,1)+1,MATCH(D848,[2]Sheet1!$C$3:$Q$3,1)) - INDEX([2]Sheet1!$C$4:$Q$23,MATCH(K848,[2]Sheet1!$B$4:$B$23,1),MATCH(D848,[2]Sheet1!$C$3:$Q$3,1)))
+ (D848 - INDEX([2]Sheet1!$C$3:$Q$3,1,MATCH(D848,[2]Sheet1!$C$3:$Q$3)))/(INDEX([2]Sheet1!$C$3:$Q$3,1,MATCH(D848,[2]Sheet1!$C$3:$Q$3)+1) - INDEX([2]Sheet1!$C$3:$Q$3,1,MATCH(D848,[2]Sheet1!$C$3:$Q$3)))*(
INDEX([2]Sheet1!$C$4:$Q$23,MATCH(K848,[2]Sheet1!$B$4:$B$23,1),MATCH(D848,[2]Sheet1!$C$3:$Q$3,1)+1) - INDEX([2]Sheet1!$C$4:$Q$23,MATCH(K848,[2]Sheet1!$B$4:$B$23,1),MATCH(D848,[2]Sheet1!$C$3:$Q$3,1)))))</f>
        <v>0</v>
      </c>
      <c r="N848">
        <f t="shared" si="252"/>
        <v>12</v>
      </c>
      <c r="O848">
        <v>214.02450568394099</v>
      </c>
      <c r="P848" t="e">
        <f t="shared" si="253"/>
        <v>#DIV/0!</v>
      </c>
      <c r="Q848">
        <f t="shared" si="254"/>
        <v>0</v>
      </c>
      <c r="R848">
        <f t="shared" si="255"/>
        <v>741.9099431943954</v>
      </c>
      <c r="T848" t="e">
        <f t="shared" si="256"/>
        <v>#DIV/0!</v>
      </c>
      <c r="U848" t="e">
        <f t="shared" si="257"/>
        <v>#DIV/0!</v>
      </c>
      <c r="V848">
        <f t="shared" si="258"/>
        <v>0</v>
      </c>
      <c r="W848" t="e">
        <f t="shared" si="259"/>
        <v>#DIV/0!</v>
      </c>
    </row>
    <row r="849" spans="1:23" x14ac:dyDescent="0.55000000000000004">
      <c r="A849">
        <f t="shared" si="243"/>
        <v>81.499999999999645</v>
      </c>
      <c r="B849">
        <f t="shared" si="244"/>
        <v>0.316</v>
      </c>
      <c r="C849">
        <f t="shared" si="245"/>
        <v>-48.152173913043249</v>
      </c>
      <c r="D849">
        <v>215.43984551913201</v>
      </c>
      <c r="E849">
        <f t="shared" si="246"/>
        <v>0</v>
      </c>
      <c r="F849">
        <f t="shared" si="247"/>
        <v>4.8605058816845369E-2</v>
      </c>
      <c r="G849">
        <f t="shared" si="248"/>
        <v>39.513748498891111</v>
      </c>
      <c r="H849">
        <f t="shared" si="249"/>
        <v>0</v>
      </c>
      <c r="I849" s="1">
        <f t="shared" si="242"/>
        <v>0</v>
      </c>
      <c r="J849">
        <f t="shared" si="250"/>
        <v>0</v>
      </c>
      <c r="K849">
        <f t="shared" si="251"/>
        <v>0</v>
      </c>
      <c r="L849" cm="1">
        <f t="array" ref="L849">IF(E849*J849=0,0,$C$21*INDEX([3]Sheet1!$C$4:$Q$23,MATCH(K849,[3]Sheet1!$B$4:$B$23,1),MATCH(D849,[3]Sheet1!$C$3:$Q$3,1))
+(K849-INDEX([3]Sheet1!$B$4:$B$23,MATCH(K849,[3]Sheet1!$B$4:$B$23,1),1))/(INDEX([3]Sheet1!$B$4:$B$23,MATCH(K849,[3]Sheet1!$B$4:$B$23,1)+1,1)-INDEX([3]Sheet1!$B$4:$B$23,
MATCH(K849,[3]Sheet1!$B$4:$B$23,1),1))*(INDEX([3]Sheet1!$C$4:$Q$23,MATCH(K849,[3]Sheet1!$B$4:$B$23,1)+1,MATCH(D849,[3]Sheet1!$C$3:$Q$3,1))-INDEX([3]Sheet1!$C$4:$Q$23,
MATCH(K849,[3]Sheet1!$B$4:$B$23,1),MATCH(D849,[3]Sheet1!$C$3:$Q$3,1)))
+(D849-INDEX([3]Sheet1!$C$3:$Q$3,1,MATCH(D849,[3]Sheet1!$C$3:$Q$3)))/(INDEX([3]Sheet1!$C$3:$Q$3,1,MATCH(D849,[3]Sheet1!$C$3:$Q$3)+1)-INDEX([3]Sheet1!$C$3:$Q$3,1,MATCH(
D849,[3]Sheet1!$C$3:$Q$3)))*(INDEX([3]Sheet1!$C$4:$Q$23,MATCH(K849,[3]Sheet1!$B$4:$B$23,1),MATCH(D849,[3]Sheet1!$C$3:$Q$3,1)+1)-INDEX([3]Sheet1!$C$4:$Q$23,MATCH(K849,[3]Sheet1!$B$4:$B$23,1),MATCH(D849,[3]Sheet1!$C$3:$Q$3,1))))</f>
        <v>0</v>
      </c>
      <c r="M849" cm="1">
        <f t="array" ref="M849" xml:space="preserve"> IF(E849*J849=0,0,(INDEX([2]Sheet1!$C$4:$Q$23,MATCH(K849,[2]Sheet1!$B$4:$B$23,1),MATCH(D849,[2]Sheet1!$C$3:$Q$3,1))
+ (K849 - INDEX([2]Sheet1!$B$4:$B$23,MATCH(K849,[2]Sheet1!$B$4:$B$23,1),1))/(INDEX([2]Sheet1!$B$4:$B$23,MATCH(K849,[2]Sheet1!$B$4:$B$23,1)+1,1) - INDEX([2]Sheet1!$B$4:$B$23,MATCH(K849,[2]Sheet1!$B$4:$B$23,1),1))*(INDEX([2]Sheet1!$C$4:$Q$23,MATCH(K849,[2]Sheet1!$B$4:$B$23,1)+1,MATCH(D849,[2]Sheet1!$C$3:$Q$3,1)) - INDEX([2]Sheet1!$C$4:$Q$23,MATCH(K849,[2]Sheet1!$B$4:$B$23,1),MATCH(D849,[2]Sheet1!$C$3:$Q$3,1)))
+ (D849 - INDEX([2]Sheet1!$C$3:$Q$3,1,MATCH(D849,[2]Sheet1!$C$3:$Q$3)))/(INDEX([2]Sheet1!$C$3:$Q$3,1,MATCH(D849,[2]Sheet1!$C$3:$Q$3)+1) - INDEX([2]Sheet1!$C$3:$Q$3,1,MATCH(D849,[2]Sheet1!$C$3:$Q$3)))*(
INDEX([2]Sheet1!$C$4:$Q$23,MATCH(K849,[2]Sheet1!$B$4:$B$23,1),MATCH(D849,[2]Sheet1!$C$3:$Q$3,1)+1) - INDEX([2]Sheet1!$C$4:$Q$23,MATCH(K849,[2]Sheet1!$B$4:$B$23,1),MATCH(D849,[2]Sheet1!$C$3:$Q$3,1)))))</f>
        <v>0</v>
      </c>
      <c r="N849">
        <f t="shared" si="252"/>
        <v>12</v>
      </c>
      <c r="O849">
        <v>215.02450568394099</v>
      </c>
      <c r="P849" t="e">
        <f t="shared" si="253"/>
        <v>#DIV/0!</v>
      </c>
      <c r="Q849">
        <f t="shared" si="254"/>
        <v>0</v>
      </c>
      <c r="R849">
        <f t="shared" si="255"/>
        <v>741.9099431943954</v>
      </c>
      <c r="T849" t="e">
        <f t="shared" si="256"/>
        <v>#DIV/0!</v>
      </c>
      <c r="U849" t="e">
        <f t="shared" si="257"/>
        <v>#DIV/0!</v>
      </c>
      <c r="V849">
        <f t="shared" si="258"/>
        <v>0</v>
      </c>
      <c r="W849" t="e">
        <f t="shared" si="259"/>
        <v>#DIV/0!</v>
      </c>
    </row>
    <row r="850" spans="1:23" x14ac:dyDescent="0.55000000000000004">
      <c r="A850">
        <f t="shared" si="243"/>
        <v>81.599999999999639</v>
      </c>
      <c r="B850">
        <f t="shared" si="244"/>
        <v>0.316</v>
      </c>
      <c r="C850">
        <f t="shared" si="245"/>
        <v>-48.217391304347601</v>
      </c>
      <c r="D850">
        <v>216.43984551913201</v>
      </c>
      <c r="E850">
        <f t="shared" si="246"/>
        <v>0</v>
      </c>
      <c r="F850">
        <f t="shared" si="247"/>
        <v>4.8605058816845369E-2</v>
      </c>
      <c r="G850">
        <f t="shared" si="248"/>
        <v>39.513748498891111</v>
      </c>
      <c r="H850">
        <f t="shared" si="249"/>
        <v>0</v>
      </c>
      <c r="I850" s="1">
        <f t="shared" si="242"/>
        <v>0</v>
      </c>
      <c r="J850">
        <f t="shared" si="250"/>
        <v>0</v>
      </c>
      <c r="K850">
        <f t="shared" si="251"/>
        <v>0</v>
      </c>
      <c r="L850" cm="1">
        <f t="array" ref="L850">IF(E850*J850=0,0,$C$21*INDEX([3]Sheet1!$C$4:$Q$23,MATCH(K850,[3]Sheet1!$B$4:$B$23,1),MATCH(D850,[3]Sheet1!$C$3:$Q$3,1))
+(K850-INDEX([3]Sheet1!$B$4:$B$23,MATCH(K850,[3]Sheet1!$B$4:$B$23,1),1))/(INDEX([3]Sheet1!$B$4:$B$23,MATCH(K850,[3]Sheet1!$B$4:$B$23,1)+1,1)-INDEX([3]Sheet1!$B$4:$B$23,
MATCH(K850,[3]Sheet1!$B$4:$B$23,1),1))*(INDEX([3]Sheet1!$C$4:$Q$23,MATCH(K850,[3]Sheet1!$B$4:$B$23,1)+1,MATCH(D850,[3]Sheet1!$C$3:$Q$3,1))-INDEX([3]Sheet1!$C$4:$Q$23,
MATCH(K850,[3]Sheet1!$B$4:$B$23,1),MATCH(D850,[3]Sheet1!$C$3:$Q$3,1)))
+(D850-INDEX([3]Sheet1!$C$3:$Q$3,1,MATCH(D850,[3]Sheet1!$C$3:$Q$3)))/(INDEX([3]Sheet1!$C$3:$Q$3,1,MATCH(D850,[3]Sheet1!$C$3:$Q$3)+1)-INDEX([3]Sheet1!$C$3:$Q$3,1,MATCH(
D850,[3]Sheet1!$C$3:$Q$3)))*(INDEX([3]Sheet1!$C$4:$Q$23,MATCH(K850,[3]Sheet1!$B$4:$B$23,1),MATCH(D850,[3]Sheet1!$C$3:$Q$3,1)+1)-INDEX([3]Sheet1!$C$4:$Q$23,MATCH(K850,[3]Sheet1!$B$4:$B$23,1),MATCH(D850,[3]Sheet1!$C$3:$Q$3,1))))</f>
        <v>0</v>
      </c>
      <c r="M850" cm="1">
        <f t="array" ref="M850" xml:space="preserve"> IF(E850*J850=0,0,(INDEX([2]Sheet1!$C$4:$Q$23,MATCH(K850,[2]Sheet1!$B$4:$B$23,1),MATCH(D850,[2]Sheet1!$C$3:$Q$3,1))
+ (K850 - INDEX([2]Sheet1!$B$4:$B$23,MATCH(K850,[2]Sheet1!$B$4:$B$23,1),1))/(INDEX([2]Sheet1!$B$4:$B$23,MATCH(K850,[2]Sheet1!$B$4:$B$23,1)+1,1) - INDEX([2]Sheet1!$B$4:$B$23,MATCH(K850,[2]Sheet1!$B$4:$B$23,1),1))*(INDEX([2]Sheet1!$C$4:$Q$23,MATCH(K850,[2]Sheet1!$B$4:$B$23,1)+1,MATCH(D850,[2]Sheet1!$C$3:$Q$3,1)) - INDEX([2]Sheet1!$C$4:$Q$23,MATCH(K850,[2]Sheet1!$B$4:$B$23,1),MATCH(D850,[2]Sheet1!$C$3:$Q$3,1)))
+ (D850 - INDEX([2]Sheet1!$C$3:$Q$3,1,MATCH(D850,[2]Sheet1!$C$3:$Q$3)))/(INDEX([2]Sheet1!$C$3:$Q$3,1,MATCH(D850,[2]Sheet1!$C$3:$Q$3)+1) - INDEX([2]Sheet1!$C$3:$Q$3,1,MATCH(D850,[2]Sheet1!$C$3:$Q$3)))*(
INDEX([2]Sheet1!$C$4:$Q$23,MATCH(K850,[2]Sheet1!$B$4:$B$23,1),MATCH(D850,[2]Sheet1!$C$3:$Q$3,1)+1) - INDEX([2]Sheet1!$C$4:$Q$23,MATCH(K850,[2]Sheet1!$B$4:$B$23,1),MATCH(D850,[2]Sheet1!$C$3:$Q$3,1)))))</f>
        <v>0</v>
      </c>
      <c r="N850">
        <f t="shared" si="252"/>
        <v>12</v>
      </c>
      <c r="O850">
        <v>216.02450568394099</v>
      </c>
      <c r="P850" t="e">
        <f t="shared" si="253"/>
        <v>#DIV/0!</v>
      </c>
      <c r="Q850">
        <f t="shared" si="254"/>
        <v>0</v>
      </c>
      <c r="R850">
        <f t="shared" si="255"/>
        <v>741.9099431943954</v>
      </c>
      <c r="T850" t="e">
        <f t="shared" si="256"/>
        <v>#DIV/0!</v>
      </c>
      <c r="U850" t="e">
        <f t="shared" si="257"/>
        <v>#DIV/0!</v>
      </c>
      <c r="V850">
        <f t="shared" si="258"/>
        <v>0</v>
      </c>
      <c r="W850" t="e">
        <f t="shared" si="259"/>
        <v>#DIV/0!</v>
      </c>
    </row>
    <row r="851" spans="1:23" x14ac:dyDescent="0.55000000000000004">
      <c r="A851">
        <f t="shared" si="243"/>
        <v>81.699999999999633</v>
      </c>
      <c r="B851">
        <f t="shared" si="244"/>
        <v>0.316</v>
      </c>
      <c r="C851">
        <f t="shared" si="245"/>
        <v>-48.282608695651938</v>
      </c>
      <c r="D851">
        <v>217.43984551913201</v>
      </c>
      <c r="E851">
        <f t="shared" si="246"/>
        <v>0</v>
      </c>
      <c r="F851">
        <f t="shared" si="247"/>
        <v>4.8605058816845369E-2</v>
      </c>
      <c r="G851">
        <f t="shared" si="248"/>
        <v>39.513748498891111</v>
      </c>
      <c r="H851">
        <f t="shared" si="249"/>
        <v>0</v>
      </c>
      <c r="I851" s="1">
        <f t="shared" si="242"/>
        <v>0</v>
      </c>
      <c r="J851">
        <f t="shared" si="250"/>
        <v>0</v>
      </c>
      <c r="K851">
        <f t="shared" si="251"/>
        <v>0</v>
      </c>
      <c r="L851" cm="1">
        <f t="array" ref="L851">IF(E851*J851=0,0,$C$21*INDEX([3]Sheet1!$C$4:$Q$23,MATCH(K851,[3]Sheet1!$B$4:$B$23,1),MATCH(D851,[3]Sheet1!$C$3:$Q$3,1))
+(K851-INDEX([3]Sheet1!$B$4:$B$23,MATCH(K851,[3]Sheet1!$B$4:$B$23,1),1))/(INDEX([3]Sheet1!$B$4:$B$23,MATCH(K851,[3]Sheet1!$B$4:$B$23,1)+1,1)-INDEX([3]Sheet1!$B$4:$B$23,
MATCH(K851,[3]Sheet1!$B$4:$B$23,1),1))*(INDEX([3]Sheet1!$C$4:$Q$23,MATCH(K851,[3]Sheet1!$B$4:$B$23,1)+1,MATCH(D851,[3]Sheet1!$C$3:$Q$3,1))-INDEX([3]Sheet1!$C$4:$Q$23,
MATCH(K851,[3]Sheet1!$B$4:$B$23,1),MATCH(D851,[3]Sheet1!$C$3:$Q$3,1)))
+(D851-INDEX([3]Sheet1!$C$3:$Q$3,1,MATCH(D851,[3]Sheet1!$C$3:$Q$3)))/(INDEX([3]Sheet1!$C$3:$Q$3,1,MATCH(D851,[3]Sheet1!$C$3:$Q$3)+1)-INDEX([3]Sheet1!$C$3:$Q$3,1,MATCH(
D851,[3]Sheet1!$C$3:$Q$3)))*(INDEX([3]Sheet1!$C$4:$Q$23,MATCH(K851,[3]Sheet1!$B$4:$B$23,1),MATCH(D851,[3]Sheet1!$C$3:$Q$3,1)+1)-INDEX([3]Sheet1!$C$4:$Q$23,MATCH(K851,[3]Sheet1!$B$4:$B$23,1),MATCH(D851,[3]Sheet1!$C$3:$Q$3,1))))</f>
        <v>0</v>
      </c>
      <c r="M851" cm="1">
        <f t="array" ref="M851" xml:space="preserve"> IF(E851*J851=0,0,(INDEX([2]Sheet1!$C$4:$Q$23,MATCH(K851,[2]Sheet1!$B$4:$B$23,1),MATCH(D851,[2]Sheet1!$C$3:$Q$3,1))
+ (K851 - INDEX([2]Sheet1!$B$4:$B$23,MATCH(K851,[2]Sheet1!$B$4:$B$23,1),1))/(INDEX([2]Sheet1!$B$4:$B$23,MATCH(K851,[2]Sheet1!$B$4:$B$23,1)+1,1) - INDEX([2]Sheet1!$B$4:$B$23,MATCH(K851,[2]Sheet1!$B$4:$B$23,1),1))*(INDEX([2]Sheet1!$C$4:$Q$23,MATCH(K851,[2]Sheet1!$B$4:$B$23,1)+1,MATCH(D851,[2]Sheet1!$C$3:$Q$3,1)) - INDEX([2]Sheet1!$C$4:$Q$23,MATCH(K851,[2]Sheet1!$B$4:$B$23,1),MATCH(D851,[2]Sheet1!$C$3:$Q$3,1)))
+ (D851 - INDEX([2]Sheet1!$C$3:$Q$3,1,MATCH(D851,[2]Sheet1!$C$3:$Q$3)))/(INDEX([2]Sheet1!$C$3:$Q$3,1,MATCH(D851,[2]Sheet1!$C$3:$Q$3)+1) - INDEX([2]Sheet1!$C$3:$Q$3,1,MATCH(D851,[2]Sheet1!$C$3:$Q$3)))*(
INDEX([2]Sheet1!$C$4:$Q$23,MATCH(K851,[2]Sheet1!$B$4:$B$23,1),MATCH(D851,[2]Sheet1!$C$3:$Q$3,1)+1) - INDEX([2]Sheet1!$C$4:$Q$23,MATCH(K851,[2]Sheet1!$B$4:$B$23,1),MATCH(D851,[2]Sheet1!$C$3:$Q$3,1)))))</f>
        <v>0</v>
      </c>
      <c r="N851">
        <f t="shared" si="252"/>
        <v>12</v>
      </c>
      <c r="O851">
        <v>217.02450568394099</v>
      </c>
      <c r="P851" t="e">
        <f t="shared" si="253"/>
        <v>#DIV/0!</v>
      </c>
      <c r="Q851">
        <f t="shared" si="254"/>
        <v>0</v>
      </c>
      <c r="R851">
        <f t="shared" si="255"/>
        <v>741.9099431943954</v>
      </c>
      <c r="T851" t="e">
        <f t="shared" si="256"/>
        <v>#DIV/0!</v>
      </c>
      <c r="U851" t="e">
        <f t="shared" si="257"/>
        <v>#DIV/0!</v>
      </c>
      <c r="V851">
        <f t="shared" si="258"/>
        <v>0</v>
      </c>
      <c r="W851" t="e">
        <f t="shared" si="259"/>
        <v>#DIV/0!</v>
      </c>
    </row>
    <row r="852" spans="1:23" x14ac:dyDescent="0.55000000000000004">
      <c r="A852">
        <f t="shared" si="243"/>
        <v>81.799999999999628</v>
      </c>
      <c r="B852">
        <f t="shared" si="244"/>
        <v>0.316</v>
      </c>
      <c r="C852">
        <f t="shared" si="245"/>
        <v>-48.347826086956289</v>
      </c>
      <c r="D852">
        <v>218.43984551913201</v>
      </c>
      <c r="E852">
        <f t="shared" si="246"/>
        <v>0</v>
      </c>
      <c r="F852">
        <f t="shared" si="247"/>
        <v>4.8605058816845369E-2</v>
      </c>
      <c r="G852">
        <f t="shared" si="248"/>
        <v>39.513748498891111</v>
      </c>
      <c r="H852">
        <f t="shared" si="249"/>
        <v>0</v>
      </c>
      <c r="I852" s="1">
        <f t="shared" si="242"/>
        <v>0</v>
      </c>
      <c r="J852">
        <f t="shared" si="250"/>
        <v>0</v>
      </c>
      <c r="K852">
        <f t="shared" si="251"/>
        <v>0</v>
      </c>
      <c r="L852" cm="1">
        <f t="array" ref="L852">IF(E852*J852=0,0,$C$21*INDEX([3]Sheet1!$C$4:$Q$23,MATCH(K852,[3]Sheet1!$B$4:$B$23,1),MATCH(D852,[3]Sheet1!$C$3:$Q$3,1))
+(K852-INDEX([3]Sheet1!$B$4:$B$23,MATCH(K852,[3]Sheet1!$B$4:$B$23,1),1))/(INDEX([3]Sheet1!$B$4:$B$23,MATCH(K852,[3]Sheet1!$B$4:$B$23,1)+1,1)-INDEX([3]Sheet1!$B$4:$B$23,
MATCH(K852,[3]Sheet1!$B$4:$B$23,1),1))*(INDEX([3]Sheet1!$C$4:$Q$23,MATCH(K852,[3]Sheet1!$B$4:$B$23,1)+1,MATCH(D852,[3]Sheet1!$C$3:$Q$3,1))-INDEX([3]Sheet1!$C$4:$Q$23,
MATCH(K852,[3]Sheet1!$B$4:$B$23,1),MATCH(D852,[3]Sheet1!$C$3:$Q$3,1)))
+(D852-INDEX([3]Sheet1!$C$3:$Q$3,1,MATCH(D852,[3]Sheet1!$C$3:$Q$3)))/(INDEX([3]Sheet1!$C$3:$Q$3,1,MATCH(D852,[3]Sheet1!$C$3:$Q$3)+1)-INDEX([3]Sheet1!$C$3:$Q$3,1,MATCH(
D852,[3]Sheet1!$C$3:$Q$3)))*(INDEX([3]Sheet1!$C$4:$Q$23,MATCH(K852,[3]Sheet1!$B$4:$B$23,1),MATCH(D852,[3]Sheet1!$C$3:$Q$3,1)+1)-INDEX([3]Sheet1!$C$4:$Q$23,MATCH(K852,[3]Sheet1!$B$4:$B$23,1),MATCH(D852,[3]Sheet1!$C$3:$Q$3,1))))</f>
        <v>0</v>
      </c>
      <c r="M852" cm="1">
        <f t="array" ref="M852" xml:space="preserve"> IF(E852*J852=0,0,(INDEX([2]Sheet1!$C$4:$Q$23,MATCH(K852,[2]Sheet1!$B$4:$B$23,1),MATCH(D852,[2]Sheet1!$C$3:$Q$3,1))
+ (K852 - INDEX([2]Sheet1!$B$4:$B$23,MATCH(K852,[2]Sheet1!$B$4:$B$23,1),1))/(INDEX([2]Sheet1!$B$4:$B$23,MATCH(K852,[2]Sheet1!$B$4:$B$23,1)+1,1) - INDEX([2]Sheet1!$B$4:$B$23,MATCH(K852,[2]Sheet1!$B$4:$B$23,1),1))*(INDEX([2]Sheet1!$C$4:$Q$23,MATCH(K852,[2]Sheet1!$B$4:$B$23,1)+1,MATCH(D852,[2]Sheet1!$C$3:$Q$3,1)) - INDEX([2]Sheet1!$C$4:$Q$23,MATCH(K852,[2]Sheet1!$B$4:$B$23,1),MATCH(D852,[2]Sheet1!$C$3:$Q$3,1)))
+ (D852 - INDEX([2]Sheet1!$C$3:$Q$3,1,MATCH(D852,[2]Sheet1!$C$3:$Q$3)))/(INDEX([2]Sheet1!$C$3:$Q$3,1,MATCH(D852,[2]Sheet1!$C$3:$Q$3)+1) - INDEX([2]Sheet1!$C$3:$Q$3,1,MATCH(D852,[2]Sheet1!$C$3:$Q$3)))*(
INDEX([2]Sheet1!$C$4:$Q$23,MATCH(K852,[2]Sheet1!$B$4:$B$23,1),MATCH(D852,[2]Sheet1!$C$3:$Q$3,1)+1) - INDEX([2]Sheet1!$C$4:$Q$23,MATCH(K852,[2]Sheet1!$B$4:$B$23,1),MATCH(D852,[2]Sheet1!$C$3:$Q$3,1)))))</f>
        <v>0</v>
      </c>
      <c r="N852">
        <f t="shared" si="252"/>
        <v>12</v>
      </c>
      <c r="O852">
        <v>218.02450568394099</v>
      </c>
      <c r="P852" t="e">
        <f t="shared" si="253"/>
        <v>#DIV/0!</v>
      </c>
      <c r="Q852">
        <f t="shared" si="254"/>
        <v>0</v>
      </c>
      <c r="R852">
        <f t="shared" si="255"/>
        <v>741.9099431943954</v>
      </c>
      <c r="T852" t="e">
        <f t="shared" si="256"/>
        <v>#DIV/0!</v>
      </c>
      <c r="U852" t="e">
        <f t="shared" si="257"/>
        <v>#DIV/0!</v>
      </c>
      <c r="V852">
        <f t="shared" si="258"/>
        <v>0</v>
      </c>
      <c r="W852" t="e">
        <f t="shared" si="259"/>
        <v>#DIV/0!</v>
      </c>
    </row>
    <row r="853" spans="1:23" x14ac:dyDescent="0.55000000000000004">
      <c r="A853">
        <f t="shared" si="243"/>
        <v>81.899999999999622</v>
      </c>
      <c r="B853">
        <f t="shared" si="244"/>
        <v>0.316</v>
      </c>
      <c r="C853">
        <f t="shared" si="245"/>
        <v>-48.413043478260626</v>
      </c>
      <c r="D853">
        <v>219.43984551913201</v>
      </c>
      <c r="E853">
        <f t="shared" si="246"/>
        <v>0</v>
      </c>
      <c r="F853">
        <f t="shared" si="247"/>
        <v>4.8605058816845369E-2</v>
      </c>
      <c r="G853">
        <f t="shared" si="248"/>
        <v>39.513748498891111</v>
      </c>
      <c r="H853">
        <f t="shared" si="249"/>
        <v>0</v>
      </c>
      <c r="I853" s="1">
        <f t="shared" si="242"/>
        <v>0</v>
      </c>
      <c r="J853">
        <f t="shared" si="250"/>
        <v>0</v>
      </c>
      <c r="K853">
        <f t="shared" si="251"/>
        <v>0</v>
      </c>
      <c r="L853" cm="1">
        <f t="array" ref="L853">IF(E853*J853=0,0,$C$21*INDEX([3]Sheet1!$C$4:$Q$23,MATCH(K853,[3]Sheet1!$B$4:$B$23,1),MATCH(D853,[3]Sheet1!$C$3:$Q$3,1))
+(K853-INDEX([3]Sheet1!$B$4:$B$23,MATCH(K853,[3]Sheet1!$B$4:$B$23,1),1))/(INDEX([3]Sheet1!$B$4:$B$23,MATCH(K853,[3]Sheet1!$B$4:$B$23,1)+1,1)-INDEX([3]Sheet1!$B$4:$B$23,
MATCH(K853,[3]Sheet1!$B$4:$B$23,1),1))*(INDEX([3]Sheet1!$C$4:$Q$23,MATCH(K853,[3]Sheet1!$B$4:$B$23,1)+1,MATCH(D853,[3]Sheet1!$C$3:$Q$3,1))-INDEX([3]Sheet1!$C$4:$Q$23,
MATCH(K853,[3]Sheet1!$B$4:$B$23,1),MATCH(D853,[3]Sheet1!$C$3:$Q$3,1)))
+(D853-INDEX([3]Sheet1!$C$3:$Q$3,1,MATCH(D853,[3]Sheet1!$C$3:$Q$3)))/(INDEX([3]Sheet1!$C$3:$Q$3,1,MATCH(D853,[3]Sheet1!$C$3:$Q$3)+1)-INDEX([3]Sheet1!$C$3:$Q$3,1,MATCH(
D853,[3]Sheet1!$C$3:$Q$3)))*(INDEX([3]Sheet1!$C$4:$Q$23,MATCH(K853,[3]Sheet1!$B$4:$B$23,1),MATCH(D853,[3]Sheet1!$C$3:$Q$3,1)+1)-INDEX([3]Sheet1!$C$4:$Q$23,MATCH(K853,[3]Sheet1!$B$4:$B$23,1),MATCH(D853,[3]Sheet1!$C$3:$Q$3,1))))</f>
        <v>0</v>
      </c>
      <c r="M853" cm="1">
        <f t="array" ref="M853" xml:space="preserve"> IF(E853*J853=0,0,(INDEX([2]Sheet1!$C$4:$Q$23,MATCH(K853,[2]Sheet1!$B$4:$B$23,1),MATCH(D853,[2]Sheet1!$C$3:$Q$3,1))
+ (K853 - INDEX([2]Sheet1!$B$4:$B$23,MATCH(K853,[2]Sheet1!$B$4:$B$23,1),1))/(INDEX([2]Sheet1!$B$4:$B$23,MATCH(K853,[2]Sheet1!$B$4:$B$23,1)+1,1) - INDEX([2]Sheet1!$B$4:$B$23,MATCH(K853,[2]Sheet1!$B$4:$B$23,1),1))*(INDEX([2]Sheet1!$C$4:$Q$23,MATCH(K853,[2]Sheet1!$B$4:$B$23,1)+1,MATCH(D853,[2]Sheet1!$C$3:$Q$3,1)) - INDEX([2]Sheet1!$C$4:$Q$23,MATCH(K853,[2]Sheet1!$B$4:$B$23,1),MATCH(D853,[2]Sheet1!$C$3:$Q$3,1)))
+ (D853 - INDEX([2]Sheet1!$C$3:$Q$3,1,MATCH(D853,[2]Sheet1!$C$3:$Q$3)))/(INDEX([2]Sheet1!$C$3:$Q$3,1,MATCH(D853,[2]Sheet1!$C$3:$Q$3)+1) - INDEX([2]Sheet1!$C$3:$Q$3,1,MATCH(D853,[2]Sheet1!$C$3:$Q$3)))*(
INDEX([2]Sheet1!$C$4:$Q$23,MATCH(K853,[2]Sheet1!$B$4:$B$23,1),MATCH(D853,[2]Sheet1!$C$3:$Q$3,1)+1) - INDEX([2]Sheet1!$C$4:$Q$23,MATCH(K853,[2]Sheet1!$B$4:$B$23,1),MATCH(D853,[2]Sheet1!$C$3:$Q$3,1)))))</f>
        <v>0</v>
      </c>
      <c r="N853">
        <f t="shared" si="252"/>
        <v>12</v>
      </c>
      <c r="O853">
        <v>219.02450568394099</v>
      </c>
      <c r="P853" t="e">
        <f t="shared" si="253"/>
        <v>#DIV/0!</v>
      </c>
      <c r="Q853">
        <f t="shared" si="254"/>
        <v>0</v>
      </c>
      <c r="R853">
        <f t="shared" si="255"/>
        <v>741.9099431943954</v>
      </c>
      <c r="T853" t="e">
        <f t="shared" si="256"/>
        <v>#DIV/0!</v>
      </c>
      <c r="U853" t="e">
        <f t="shared" si="257"/>
        <v>#DIV/0!</v>
      </c>
      <c r="V853">
        <f t="shared" si="258"/>
        <v>0</v>
      </c>
      <c r="W853" t="e">
        <f t="shared" si="259"/>
        <v>#DIV/0!</v>
      </c>
    </row>
    <row r="854" spans="1:23" x14ac:dyDescent="0.55000000000000004">
      <c r="A854">
        <f t="shared" si="243"/>
        <v>81.999999999999616</v>
      </c>
      <c r="B854">
        <f t="shared" si="244"/>
        <v>0.316</v>
      </c>
      <c r="C854">
        <f t="shared" si="245"/>
        <v>-48.478260869564977</v>
      </c>
      <c r="D854">
        <v>220.43984551913201</v>
      </c>
      <c r="E854">
        <f t="shared" si="246"/>
        <v>0</v>
      </c>
      <c r="F854">
        <f t="shared" si="247"/>
        <v>4.8605058816845369E-2</v>
      </c>
      <c r="G854">
        <f t="shared" si="248"/>
        <v>39.513748498891111</v>
      </c>
      <c r="H854">
        <f t="shared" si="249"/>
        <v>0</v>
      </c>
      <c r="I854" s="1">
        <f t="shared" si="242"/>
        <v>0</v>
      </c>
      <c r="J854">
        <f t="shared" si="250"/>
        <v>0</v>
      </c>
      <c r="K854">
        <f t="shared" si="251"/>
        <v>0</v>
      </c>
      <c r="L854" cm="1">
        <f t="array" ref="L854">IF(E854*J854=0,0,$C$21*INDEX([3]Sheet1!$C$4:$Q$23,MATCH(K854,[3]Sheet1!$B$4:$B$23,1),MATCH(D854,[3]Sheet1!$C$3:$Q$3,1))
+(K854-INDEX([3]Sheet1!$B$4:$B$23,MATCH(K854,[3]Sheet1!$B$4:$B$23,1),1))/(INDEX([3]Sheet1!$B$4:$B$23,MATCH(K854,[3]Sheet1!$B$4:$B$23,1)+1,1)-INDEX([3]Sheet1!$B$4:$B$23,
MATCH(K854,[3]Sheet1!$B$4:$B$23,1),1))*(INDEX([3]Sheet1!$C$4:$Q$23,MATCH(K854,[3]Sheet1!$B$4:$B$23,1)+1,MATCH(D854,[3]Sheet1!$C$3:$Q$3,1))-INDEX([3]Sheet1!$C$4:$Q$23,
MATCH(K854,[3]Sheet1!$B$4:$B$23,1),MATCH(D854,[3]Sheet1!$C$3:$Q$3,1)))
+(D854-INDEX([3]Sheet1!$C$3:$Q$3,1,MATCH(D854,[3]Sheet1!$C$3:$Q$3)))/(INDEX([3]Sheet1!$C$3:$Q$3,1,MATCH(D854,[3]Sheet1!$C$3:$Q$3)+1)-INDEX([3]Sheet1!$C$3:$Q$3,1,MATCH(
D854,[3]Sheet1!$C$3:$Q$3)))*(INDEX([3]Sheet1!$C$4:$Q$23,MATCH(K854,[3]Sheet1!$B$4:$B$23,1),MATCH(D854,[3]Sheet1!$C$3:$Q$3,1)+1)-INDEX([3]Sheet1!$C$4:$Q$23,MATCH(K854,[3]Sheet1!$B$4:$B$23,1),MATCH(D854,[3]Sheet1!$C$3:$Q$3,1))))</f>
        <v>0</v>
      </c>
      <c r="M854" cm="1">
        <f t="array" ref="M854" xml:space="preserve"> IF(E854*J854=0,0,(INDEX([2]Sheet1!$C$4:$Q$23,MATCH(K854,[2]Sheet1!$B$4:$B$23,1),MATCH(D854,[2]Sheet1!$C$3:$Q$3,1))
+ (K854 - INDEX([2]Sheet1!$B$4:$B$23,MATCH(K854,[2]Sheet1!$B$4:$B$23,1),1))/(INDEX([2]Sheet1!$B$4:$B$23,MATCH(K854,[2]Sheet1!$B$4:$B$23,1)+1,1) - INDEX([2]Sheet1!$B$4:$B$23,MATCH(K854,[2]Sheet1!$B$4:$B$23,1),1))*(INDEX([2]Sheet1!$C$4:$Q$23,MATCH(K854,[2]Sheet1!$B$4:$B$23,1)+1,MATCH(D854,[2]Sheet1!$C$3:$Q$3,1)) - INDEX([2]Sheet1!$C$4:$Q$23,MATCH(K854,[2]Sheet1!$B$4:$B$23,1),MATCH(D854,[2]Sheet1!$C$3:$Q$3,1)))
+ (D854 - INDEX([2]Sheet1!$C$3:$Q$3,1,MATCH(D854,[2]Sheet1!$C$3:$Q$3)))/(INDEX([2]Sheet1!$C$3:$Q$3,1,MATCH(D854,[2]Sheet1!$C$3:$Q$3)+1) - INDEX([2]Sheet1!$C$3:$Q$3,1,MATCH(D854,[2]Sheet1!$C$3:$Q$3)))*(
INDEX([2]Sheet1!$C$4:$Q$23,MATCH(K854,[2]Sheet1!$B$4:$B$23,1),MATCH(D854,[2]Sheet1!$C$3:$Q$3,1)+1) - INDEX([2]Sheet1!$C$4:$Q$23,MATCH(K854,[2]Sheet1!$B$4:$B$23,1),MATCH(D854,[2]Sheet1!$C$3:$Q$3,1)))))</f>
        <v>0</v>
      </c>
      <c r="N854">
        <f t="shared" si="252"/>
        <v>12</v>
      </c>
      <c r="O854">
        <v>220.02450568394099</v>
      </c>
      <c r="P854" t="e">
        <f t="shared" si="253"/>
        <v>#DIV/0!</v>
      </c>
      <c r="Q854">
        <f t="shared" si="254"/>
        <v>0</v>
      </c>
      <c r="R854">
        <f t="shared" si="255"/>
        <v>741.9099431943954</v>
      </c>
      <c r="T854" t="e">
        <f t="shared" si="256"/>
        <v>#DIV/0!</v>
      </c>
      <c r="U854" t="e">
        <f t="shared" si="257"/>
        <v>#DIV/0!</v>
      </c>
      <c r="V854">
        <f t="shared" si="258"/>
        <v>0</v>
      </c>
      <c r="W854" t="e">
        <f t="shared" si="259"/>
        <v>#DIV/0!</v>
      </c>
    </row>
    <row r="855" spans="1:23" x14ac:dyDescent="0.55000000000000004">
      <c r="A855">
        <f t="shared" si="243"/>
        <v>82.099999999999611</v>
      </c>
      <c r="B855">
        <f t="shared" si="244"/>
        <v>0.316</v>
      </c>
      <c r="C855">
        <f t="shared" si="245"/>
        <v>-48.543478260869314</v>
      </c>
      <c r="D855">
        <v>221.43984551913201</v>
      </c>
      <c r="E855">
        <f t="shared" si="246"/>
        <v>0</v>
      </c>
      <c r="F855">
        <f t="shared" si="247"/>
        <v>4.8605058816845369E-2</v>
      </c>
      <c r="G855">
        <f t="shared" si="248"/>
        <v>39.513748498891111</v>
      </c>
      <c r="H855">
        <f t="shared" si="249"/>
        <v>0</v>
      </c>
      <c r="I855" s="1">
        <f t="shared" si="242"/>
        <v>0</v>
      </c>
      <c r="J855">
        <f t="shared" si="250"/>
        <v>0</v>
      </c>
      <c r="K855">
        <f t="shared" si="251"/>
        <v>0</v>
      </c>
      <c r="L855" cm="1">
        <f t="array" ref="L855">IF(E855*J855=0,0,$C$21*INDEX([3]Sheet1!$C$4:$Q$23,MATCH(K855,[3]Sheet1!$B$4:$B$23,1),MATCH(D855,[3]Sheet1!$C$3:$Q$3,1))
+(K855-INDEX([3]Sheet1!$B$4:$B$23,MATCH(K855,[3]Sheet1!$B$4:$B$23,1),1))/(INDEX([3]Sheet1!$B$4:$B$23,MATCH(K855,[3]Sheet1!$B$4:$B$23,1)+1,1)-INDEX([3]Sheet1!$B$4:$B$23,
MATCH(K855,[3]Sheet1!$B$4:$B$23,1),1))*(INDEX([3]Sheet1!$C$4:$Q$23,MATCH(K855,[3]Sheet1!$B$4:$B$23,1)+1,MATCH(D855,[3]Sheet1!$C$3:$Q$3,1))-INDEX([3]Sheet1!$C$4:$Q$23,
MATCH(K855,[3]Sheet1!$B$4:$B$23,1),MATCH(D855,[3]Sheet1!$C$3:$Q$3,1)))
+(D855-INDEX([3]Sheet1!$C$3:$Q$3,1,MATCH(D855,[3]Sheet1!$C$3:$Q$3)))/(INDEX([3]Sheet1!$C$3:$Q$3,1,MATCH(D855,[3]Sheet1!$C$3:$Q$3)+1)-INDEX([3]Sheet1!$C$3:$Q$3,1,MATCH(
D855,[3]Sheet1!$C$3:$Q$3)))*(INDEX([3]Sheet1!$C$4:$Q$23,MATCH(K855,[3]Sheet1!$B$4:$B$23,1),MATCH(D855,[3]Sheet1!$C$3:$Q$3,1)+1)-INDEX([3]Sheet1!$C$4:$Q$23,MATCH(K855,[3]Sheet1!$B$4:$B$23,1),MATCH(D855,[3]Sheet1!$C$3:$Q$3,1))))</f>
        <v>0</v>
      </c>
      <c r="M855" cm="1">
        <f t="array" ref="M855" xml:space="preserve"> IF(E855*J855=0,0,(INDEX([2]Sheet1!$C$4:$Q$23,MATCH(K855,[2]Sheet1!$B$4:$B$23,1),MATCH(D855,[2]Sheet1!$C$3:$Q$3,1))
+ (K855 - INDEX([2]Sheet1!$B$4:$B$23,MATCH(K855,[2]Sheet1!$B$4:$B$23,1),1))/(INDEX([2]Sheet1!$B$4:$B$23,MATCH(K855,[2]Sheet1!$B$4:$B$23,1)+1,1) - INDEX([2]Sheet1!$B$4:$B$23,MATCH(K855,[2]Sheet1!$B$4:$B$23,1),1))*(INDEX([2]Sheet1!$C$4:$Q$23,MATCH(K855,[2]Sheet1!$B$4:$B$23,1)+1,MATCH(D855,[2]Sheet1!$C$3:$Q$3,1)) - INDEX([2]Sheet1!$C$4:$Q$23,MATCH(K855,[2]Sheet1!$B$4:$B$23,1),MATCH(D855,[2]Sheet1!$C$3:$Q$3,1)))
+ (D855 - INDEX([2]Sheet1!$C$3:$Q$3,1,MATCH(D855,[2]Sheet1!$C$3:$Q$3)))/(INDEX([2]Sheet1!$C$3:$Q$3,1,MATCH(D855,[2]Sheet1!$C$3:$Q$3)+1) - INDEX([2]Sheet1!$C$3:$Q$3,1,MATCH(D855,[2]Sheet1!$C$3:$Q$3)))*(
INDEX([2]Sheet1!$C$4:$Q$23,MATCH(K855,[2]Sheet1!$B$4:$B$23,1),MATCH(D855,[2]Sheet1!$C$3:$Q$3,1)+1) - INDEX([2]Sheet1!$C$4:$Q$23,MATCH(K855,[2]Sheet1!$B$4:$B$23,1),MATCH(D855,[2]Sheet1!$C$3:$Q$3,1)))))</f>
        <v>0</v>
      </c>
      <c r="N855">
        <f t="shared" si="252"/>
        <v>12</v>
      </c>
      <c r="O855">
        <v>221.02450568394099</v>
      </c>
      <c r="P855" t="e">
        <f t="shared" si="253"/>
        <v>#DIV/0!</v>
      </c>
      <c r="Q855">
        <f t="shared" si="254"/>
        <v>0</v>
      </c>
      <c r="R855">
        <f t="shared" si="255"/>
        <v>741.9099431943954</v>
      </c>
      <c r="T855" t="e">
        <f t="shared" si="256"/>
        <v>#DIV/0!</v>
      </c>
      <c r="U855" t="e">
        <f t="shared" si="257"/>
        <v>#DIV/0!</v>
      </c>
      <c r="V855">
        <f t="shared" si="258"/>
        <v>0</v>
      </c>
      <c r="W855" t="e">
        <f t="shared" si="259"/>
        <v>#DIV/0!</v>
      </c>
    </row>
    <row r="856" spans="1:23" x14ac:dyDescent="0.55000000000000004">
      <c r="A856">
        <f t="shared" si="243"/>
        <v>82.199999999999605</v>
      </c>
      <c r="B856">
        <f t="shared" si="244"/>
        <v>0.316</v>
      </c>
      <c r="C856">
        <f t="shared" si="245"/>
        <v>-48.608695652173665</v>
      </c>
      <c r="D856">
        <v>222.43984551913201</v>
      </c>
      <c r="E856">
        <f t="shared" si="246"/>
        <v>0</v>
      </c>
      <c r="F856">
        <f t="shared" si="247"/>
        <v>4.8605058816845369E-2</v>
      </c>
      <c r="G856">
        <f t="shared" si="248"/>
        <v>39.513748498891111</v>
      </c>
      <c r="H856">
        <f t="shared" si="249"/>
        <v>0</v>
      </c>
      <c r="I856" s="1">
        <f t="shared" si="242"/>
        <v>0</v>
      </c>
      <c r="J856">
        <f t="shared" si="250"/>
        <v>0</v>
      </c>
      <c r="K856">
        <f t="shared" si="251"/>
        <v>0</v>
      </c>
      <c r="L856" cm="1">
        <f t="array" ref="L856">IF(E856*J856=0,0,$C$21*INDEX([3]Sheet1!$C$4:$Q$23,MATCH(K856,[3]Sheet1!$B$4:$B$23,1),MATCH(D856,[3]Sheet1!$C$3:$Q$3,1))
+(K856-INDEX([3]Sheet1!$B$4:$B$23,MATCH(K856,[3]Sheet1!$B$4:$B$23,1),1))/(INDEX([3]Sheet1!$B$4:$B$23,MATCH(K856,[3]Sheet1!$B$4:$B$23,1)+1,1)-INDEX([3]Sheet1!$B$4:$B$23,
MATCH(K856,[3]Sheet1!$B$4:$B$23,1),1))*(INDEX([3]Sheet1!$C$4:$Q$23,MATCH(K856,[3]Sheet1!$B$4:$B$23,1)+1,MATCH(D856,[3]Sheet1!$C$3:$Q$3,1))-INDEX([3]Sheet1!$C$4:$Q$23,
MATCH(K856,[3]Sheet1!$B$4:$B$23,1),MATCH(D856,[3]Sheet1!$C$3:$Q$3,1)))
+(D856-INDEX([3]Sheet1!$C$3:$Q$3,1,MATCH(D856,[3]Sheet1!$C$3:$Q$3)))/(INDEX([3]Sheet1!$C$3:$Q$3,1,MATCH(D856,[3]Sheet1!$C$3:$Q$3)+1)-INDEX([3]Sheet1!$C$3:$Q$3,1,MATCH(
D856,[3]Sheet1!$C$3:$Q$3)))*(INDEX([3]Sheet1!$C$4:$Q$23,MATCH(K856,[3]Sheet1!$B$4:$B$23,1),MATCH(D856,[3]Sheet1!$C$3:$Q$3,1)+1)-INDEX([3]Sheet1!$C$4:$Q$23,MATCH(K856,[3]Sheet1!$B$4:$B$23,1),MATCH(D856,[3]Sheet1!$C$3:$Q$3,1))))</f>
        <v>0</v>
      </c>
      <c r="M856" cm="1">
        <f t="array" ref="M856" xml:space="preserve"> IF(E856*J856=0,0,(INDEX([2]Sheet1!$C$4:$Q$23,MATCH(K856,[2]Sheet1!$B$4:$B$23,1),MATCH(D856,[2]Sheet1!$C$3:$Q$3,1))
+ (K856 - INDEX([2]Sheet1!$B$4:$B$23,MATCH(K856,[2]Sheet1!$B$4:$B$23,1),1))/(INDEX([2]Sheet1!$B$4:$B$23,MATCH(K856,[2]Sheet1!$B$4:$B$23,1)+1,1) - INDEX([2]Sheet1!$B$4:$B$23,MATCH(K856,[2]Sheet1!$B$4:$B$23,1),1))*(INDEX([2]Sheet1!$C$4:$Q$23,MATCH(K856,[2]Sheet1!$B$4:$B$23,1)+1,MATCH(D856,[2]Sheet1!$C$3:$Q$3,1)) - INDEX([2]Sheet1!$C$4:$Q$23,MATCH(K856,[2]Sheet1!$B$4:$B$23,1),MATCH(D856,[2]Sheet1!$C$3:$Q$3,1)))
+ (D856 - INDEX([2]Sheet1!$C$3:$Q$3,1,MATCH(D856,[2]Sheet1!$C$3:$Q$3)))/(INDEX([2]Sheet1!$C$3:$Q$3,1,MATCH(D856,[2]Sheet1!$C$3:$Q$3)+1) - INDEX([2]Sheet1!$C$3:$Q$3,1,MATCH(D856,[2]Sheet1!$C$3:$Q$3)))*(
INDEX([2]Sheet1!$C$4:$Q$23,MATCH(K856,[2]Sheet1!$B$4:$B$23,1),MATCH(D856,[2]Sheet1!$C$3:$Q$3,1)+1) - INDEX([2]Sheet1!$C$4:$Q$23,MATCH(K856,[2]Sheet1!$B$4:$B$23,1),MATCH(D856,[2]Sheet1!$C$3:$Q$3,1)))))</f>
        <v>0</v>
      </c>
      <c r="N856">
        <f t="shared" si="252"/>
        <v>12</v>
      </c>
      <c r="O856">
        <v>222.02450568394099</v>
      </c>
      <c r="P856" t="e">
        <f t="shared" si="253"/>
        <v>#DIV/0!</v>
      </c>
      <c r="Q856">
        <f t="shared" si="254"/>
        <v>0</v>
      </c>
      <c r="R856">
        <f t="shared" si="255"/>
        <v>741.9099431943954</v>
      </c>
      <c r="T856" t="e">
        <f t="shared" si="256"/>
        <v>#DIV/0!</v>
      </c>
      <c r="U856" t="e">
        <f t="shared" si="257"/>
        <v>#DIV/0!</v>
      </c>
      <c r="V856">
        <f t="shared" si="258"/>
        <v>0</v>
      </c>
      <c r="W856" t="e">
        <f t="shared" si="259"/>
        <v>#DIV/0!</v>
      </c>
    </row>
    <row r="857" spans="1:23" x14ac:dyDescent="0.55000000000000004">
      <c r="A857">
        <f t="shared" si="243"/>
        <v>82.299999999999599</v>
      </c>
      <c r="B857">
        <f t="shared" si="244"/>
        <v>0.316</v>
      </c>
      <c r="C857">
        <f t="shared" si="245"/>
        <v>-48.673913043478002</v>
      </c>
      <c r="D857">
        <v>223.43984551913201</v>
      </c>
      <c r="E857">
        <f t="shared" si="246"/>
        <v>0</v>
      </c>
      <c r="F857">
        <f t="shared" si="247"/>
        <v>4.8605058816845369E-2</v>
      </c>
      <c r="G857">
        <f t="shared" si="248"/>
        <v>39.513748498891111</v>
      </c>
      <c r="H857">
        <f t="shared" si="249"/>
        <v>0</v>
      </c>
      <c r="I857" s="1">
        <f t="shared" si="242"/>
        <v>0</v>
      </c>
      <c r="J857">
        <f t="shared" si="250"/>
        <v>0</v>
      </c>
      <c r="K857">
        <f t="shared" si="251"/>
        <v>0</v>
      </c>
      <c r="L857" cm="1">
        <f t="array" ref="L857">IF(E857*J857=0,0,$C$21*INDEX([3]Sheet1!$C$4:$Q$23,MATCH(K857,[3]Sheet1!$B$4:$B$23,1),MATCH(D857,[3]Sheet1!$C$3:$Q$3,1))
+(K857-INDEX([3]Sheet1!$B$4:$B$23,MATCH(K857,[3]Sheet1!$B$4:$B$23,1),1))/(INDEX([3]Sheet1!$B$4:$B$23,MATCH(K857,[3]Sheet1!$B$4:$B$23,1)+1,1)-INDEX([3]Sheet1!$B$4:$B$23,
MATCH(K857,[3]Sheet1!$B$4:$B$23,1),1))*(INDEX([3]Sheet1!$C$4:$Q$23,MATCH(K857,[3]Sheet1!$B$4:$B$23,1)+1,MATCH(D857,[3]Sheet1!$C$3:$Q$3,1))-INDEX([3]Sheet1!$C$4:$Q$23,
MATCH(K857,[3]Sheet1!$B$4:$B$23,1),MATCH(D857,[3]Sheet1!$C$3:$Q$3,1)))
+(D857-INDEX([3]Sheet1!$C$3:$Q$3,1,MATCH(D857,[3]Sheet1!$C$3:$Q$3)))/(INDEX([3]Sheet1!$C$3:$Q$3,1,MATCH(D857,[3]Sheet1!$C$3:$Q$3)+1)-INDEX([3]Sheet1!$C$3:$Q$3,1,MATCH(
D857,[3]Sheet1!$C$3:$Q$3)))*(INDEX([3]Sheet1!$C$4:$Q$23,MATCH(K857,[3]Sheet1!$B$4:$B$23,1),MATCH(D857,[3]Sheet1!$C$3:$Q$3,1)+1)-INDEX([3]Sheet1!$C$4:$Q$23,MATCH(K857,[3]Sheet1!$B$4:$B$23,1),MATCH(D857,[3]Sheet1!$C$3:$Q$3,1))))</f>
        <v>0</v>
      </c>
      <c r="M857" cm="1">
        <f t="array" ref="M857" xml:space="preserve"> IF(E857*J857=0,0,(INDEX([2]Sheet1!$C$4:$Q$23,MATCH(K857,[2]Sheet1!$B$4:$B$23,1),MATCH(D857,[2]Sheet1!$C$3:$Q$3,1))
+ (K857 - INDEX([2]Sheet1!$B$4:$B$23,MATCH(K857,[2]Sheet1!$B$4:$B$23,1),1))/(INDEX([2]Sheet1!$B$4:$B$23,MATCH(K857,[2]Sheet1!$B$4:$B$23,1)+1,1) - INDEX([2]Sheet1!$B$4:$B$23,MATCH(K857,[2]Sheet1!$B$4:$B$23,1),1))*(INDEX([2]Sheet1!$C$4:$Q$23,MATCH(K857,[2]Sheet1!$B$4:$B$23,1)+1,MATCH(D857,[2]Sheet1!$C$3:$Q$3,1)) - INDEX([2]Sheet1!$C$4:$Q$23,MATCH(K857,[2]Sheet1!$B$4:$B$23,1),MATCH(D857,[2]Sheet1!$C$3:$Q$3,1)))
+ (D857 - INDEX([2]Sheet1!$C$3:$Q$3,1,MATCH(D857,[2]Sheet1!$C$3:$Q$3)))/(INDEX([2]Sheet1!$C$3:$Q$3,1,MATCH(D857,[2]Sheet1!$C$3:$Q$3)+1) - INDEX([2]Sheet1!$C$3:$Q$3,1,MATCH(D857,[2]Sheet1!$C$3:$Q$3)))*(
INDEX([2]Sheet1!$C$4:$Q$23,MATCH(K857,[2]Sheet1!$B$4:$B$23,1),MATCH(D857,[2]Sheet1!$C$3:$Q$3,1)+1) - INDEX([2]Sheet1!$C$4:$Q$23,MATCH(K857,[2]Sheet1!$B$4:$B$23,1),MATCH(D857,[2]Sheet1!$C$3:$Q$3,1)))))</f>
        <v>0</v>
      </c>
      <c r="N857">
        <f t="shared" si="252"/>
        <v>12</v>
      </c>
      <c r="O857">
        <v>223.02450568394099</v>
      </c>
      <c r="P857" t="e">
        <f t="shared" si="253"/>
        <v>#DIV/0!</v>
      </c>
      <c r="Q857">
        <f t="shared" si="254"/>
        <v>0</v>
      </c>
      <c r="R857">
        <f t="shared" si="255"/>
        <v>741.9099431943954</v>
      </c>
      <c r="T857" t="e">
        <f t="shared" si="256"/>
        <v>#DIV/0!</v>
      </c>
      <c r="U857" t="e">
        <f t="shared" si="257"/>
        <v>#DIV/0!</v>
      </c>
      <c r="V857">
        <f t="shared" si="258"/>
        <v>0</v>
      </c>
      <c r="W857" t="e">
        <f t="shared" si="259"/>
        <v>#DIV/0!</v>
      </c>
    </row>
    <row r="858" spans="1:23" x14ac:dyDescent="0.55000000000000004">
      <c r="A858">
        <f t="shared" si="243"/>
        <v>82.399999999999594</v>
      </c>
      <c r="B858">
        <f t="shared" si="244"/>
        <v>0.316</v>
      </c>
      <c r="C858">
        <f t="shared" si="245"/>
        <v>-48.739130434782354</v>
      </c>
      <c r="D858">
        <v>224.43984551913201</v>
      </c>
      <c r="E858">
        <f t="shared" si="246"/>
        <v>0</v>
      </c>
      <c r="F858">
        <f t="shared" si="247"/>
        <v>4.8605058816845369E-2</v>
      </c>
      <c r="G858">
        <f t="shared" si="248"/>
        <v>39.513748498891111</v>
      </c>
      <c r="H858">
        <f t="shared" si="249"/>
        <v>0</v>
      </c>
      <c r="I858" s="1">
        <f t="shared" si="242"/>
        <v>0</v>
      </c>
      <c r="J858">
        <f t="shared" si="250"/>
        <v>0</v>
      </c>
      <c r="K858">
        <f t="shared" si="251"/>
        <v>0</v>
      </c>
      <c r="L858" cm="1">
        <f t="array" ref="L858">IF(E858*J858=0,0,$C$21*INDEX([3]Sheet1!$C$4:$Q$23,MATCH(K858,[3]Sheet1!$B$4:$B$23,1),MATCH(D858,[3]Sheet1!$C$3:$Q$3,1))
+(K858-INDEX([3]Sheet1!$B$4:$B$23,MATCH(K858,[3]Sheet1!$B$4:$B$23,1),1))/(INDEX([3]Sheet1!$B$4:$B$23,MATCH(K858,[3]Sheet1!$B$4:$B$23,1)+1,1)-INDEX([3]Sheet1!$B$4:$B$23,
MATCH(K858,[3]Sheet1!$B$4:$B$23,1),1))*(INDEX([3]Sheet1!$C$4:$Q$23,MATCH(K858,[3]Sheet1!$B$4:$B$23,1)+1,MATCH(D858,[3]Sheet1!$C$3:$Q$3,1))-INDEX([3]Sheet1!$C$4:$Q$23,
MATCH(K858,[3]Sheet1!$B$4:$B$23,1),MATCH(D858,[3]Sheet1!$C$3:$Q$3,1)))
+(D858-INDEX([3]Sheet1!$C$3:$Q$3,1,MATCH(D858,[3]Sheet1!$C$3:$Q$3)))/(INDEX([3]Sheet1!$C$3:$Q$3,1,MATCH(D858,[3]Sheet1!$C$3:$Q$3)+1)-INDEX([3]Sheet1!$C$3:$Q$3,1,MATCH(
D858,[3]Sheet1!$C$3:$Q$3)))*(INDEX([3]Sheet1!$C$4:$Q$23,MATCH(K858,[3]Sheet1!$B$4:$B$23,1),MATCH(D858,[3]Sheet1!$C$3:$Q$3,1)+1)-INDEX([3]Sheet1!$C$4:$Q$23,MATCH(K858,[3]Sheet1!$B$4:$B$23,1),MATCH(D858,[3]Sheet1!$C$3:$Q$3,1))))</f>
        <v>0</v>
      </c>
      <c r="M858" cm="1">
        <f t="array" ref="M858" xml:space="preserve"> IF(E858*J858=0,0,(INDEX([2]Sheet1!$C$4:$Q$23,MATCH(K858,[2]Sheet1!$B$4:$B$23,1),MATCH(D858,[2]Sheet1!$C$3:$Q$3,1))
+ (K858 - INDEX([2]Sheet1!$B$4:$B$23,MATCH(K858,[2]Sheet1!$B$4:$B$23,1),1))/(INDEX([2]Sheet1!$B$4:$B$23,MATCH(K858,[2]Sheet1!$B$4:$B$23,1)+1,1) - INDEX([2]Sheet1!$B$4:$B$23,MATCH(K858,[2]Sheet1!$B$4:$B$23,1),1))*(INDEX([2]Sheet1!$C$4:$Q$23,MATCH(K858,[2]Sheet1!$B$4:$B$23,1)+1,MATCH(D858,[2]Sheet1!$C$3:$Q$3,1)) - INDEX([2]Sheet1!$C$4:$Q$23,MATCH(K858,[2]Sheet1!$B$4:$B$23,1),MATCH(D858,[2]Sheet1!$C$3:$Q$3,1)))
+ (D858 - INDEX([2]Sheet1!$C$3:$Q$3,1,MATCH(D858,[2]Sheet1!$C$3:$Q$3)))/(INDEX([2]Sheet1!$C$3:$Q$3,1,MATCH(D858,[2]Sheet1!$C$3:$Q$3)+1) - INDEX([2]Sheet1!$C$3:$Q$3,1,MATCH(D858,[2]Sheet1!$C$3:$Q$3)))*(
INDEX([2]Sheet1!$C$4:$Q$23,MATCH(K858,[2]Sheet1!$B$4:$B$23,1),MATCH(D858,[2]Sheet1!$C$3:$Q$3,1)+1) - INDEX([2]Sheet1!$C$4:$Q$23,MATCH(K858,[2]Sheet1!$B$4:$B$23,1),MATCH(D858,[2]Sheet1!$C$3:$Q$3,1)))))</f>
        <v>0</v>
      </c>
      <c r="N858">
        <f t="shared" si="252"/>
        <v>12</v>
      </c>
      <c r="O858">
        <v>224.02450568394099</v>
      </c>
      <c r="P858" t="e">
        <f t="shared" si="253"/>
        <v>#DIV/0!</v>
      </c>
      <c r="Q858">
        <f t="shared" si="254"/>
        <v>0</v>
      </c>
      <c r="R858">
        <f t="shared" si="255"/>
        <v>741.9099431943954</v>
      </c>
      <c r="T858" t="e">
        <f t="shared" si="256"/>
        <v>#DIV/0!</v>
      </c>
      <c r="U858" t="e">
        <f t="shared" si="257"/>
        <v>#DIV/0!</v>
      </c>
      <c r="V858">
        <f t="shared" si="258"/>
        <v>0</v>
      </c>
      <c r="W858" t="e">
        <f t="shared" si="259"/>
        <v>#DIV/0!</v>
      </c>
    </row>
    <row r="859" spans="1:23" x14ac:dyDescent="0.55000000000000004">
      <c r="A859">
        <f t="shared" si="243"/>
        <v>82.499999999999588</v>
      </c>
      <c r="B859">
        <f t="shared" si="244"/>
        <v>0.316</v>
      </c>
      <c r="C859">
        <f t="shared" si="245"/>
        <v>-48.804347826086691</v>
      </c>
      <c r="D859">
        <v>225.43984551913201</v>
      </c>
      <c r="E859">
        <f t="shared" si="246"/>
        <v>0</v>
      </c>
      <c r="F859">
        <f t="shared" si="247"/>
        <v>4.8605058816845369E-2</v>
      </c>
      <c r="G859">
        <f t="shared" si="248"/>
        <v>39.513748498891111</v>
      </c>
      <c r="H859">
        <f t="shared" si="249"/>
        <v>0</v>
      </c>
      <c r="I859" s="1">
        <f t="shared" si="242"/>
        <v>0</v>
      </c>
      <c r="J859">
        <f t="shared" si="250"/>
        <v>0</v>
      </c>
      <c r="K859">
        <f t="shared" si="251"/>
        <v>0</v>
      </c>
      <c r="L859" cm="1">
        <f t="array" ref="L859">IF(E859*J859=0,0,$C$21*INDEX([3]Sheet1!$C$4:$Q$23,MATCH(K859,[3]Sheet1!$B$4:$B$23,1),MATCH(D859,[3]Sheet1!$C$3:$Q$3,1))
+(K859-INDEX([3]Sheet1!$B$4:$B$23,MATCH(K859,[3]Sheet1!$B$4:$B$23,1),1))/(INDEX([3]Sheet1!$B$4:$B$23,MATCH(K859,[3]Sheet1!$B$4:$B$23,1)+1,1)-INDEX([3]Sheet1!$B$4:$B$23,
MATCH(K859,[3]Sheet1!$B$4:$B$23,1),1))*(INDEX([3]Sheet1!$C$4:$Q$23,MATCH(K859,[3]Sheet1!$B$4:$B$23,1)+1,MATCH(D859,[3]Sheet1!$C$3:$Q$3,1))-INDEX([3]Sheet1!$C$4:$Q$23,
MATCH(K859,[3]Sheet1!$B$4:$B$23,1),MATCH(D859,[3]Sheet1!$C$3:$Q$3,1)))
+(D859-INDEX([3]Sheet1!$C$3:$Q$3,1,MATCH(D859,[3]Sheet1!$C$3:$Q$3)))/(INDEX([3]Sheet1!$C$3:$Q$3,1,MATCH(D859,[3]Sheet1!$C$3:$Q$3)+1)-INDEX([3]Sheet1!$C$3:$Q$3,1,MATCH(
D859,[3]Sheet1!$C$3:$Q$3)))*(INDEX([3]Sheet1!$C$4:$Q$23,MATCH(K859,[3]Sheet1!$B$4:$B$23,1),MATCH(D859,[3]Sheet1!$C$3:$Q$3,1)+1)-INDEX([3]Sheet1!$C$4:$Q$23,MATCH(K859,[3]Sheet1!$B$4:$B$23,1),MATCH(D859,[3]Sheet1!$C$3:$Q$3,1))))</f>
        <v>0</v>
      </c>
      <c r="M859" cm="1">
        <f t="array" ref="M859" xml:space="preserve"> IF(E859*J859=0,0,(INDEX([2]Sheet1!$C$4:$Q$23,MATCH(K859,[2]Sheet1!$B$4:$B$23,1),MATCH(D859,[2]Sheet1!$C$3:$Q$3,1))
+ (K859 - INDEX([2]Sheet1!$B$4:$B$23,MATCH(K859,[2]Sheet1!$B$4:$B$23,1),1))/(INDEX([2]Sheet1!$B$4:$B$23,MATCH(K859,[2]Sheet1!$B$4:$B$23,1)+1,1) - INDEX([2]Sheet1!$B$4:$B$23,MATCH(K859,[2]Sheet1!$B$4:$B$23,1),1))*(INDEX([2]Sheet1!$C$4:$Q$23,MATCH(K859,[2]Sheet1!$B$4:$B$23,1)+1,MATCH(D859,[2]Sheet1!$C$3:$Q$3,1)) - INDEX([2]Sheet1!$C$4:$Q$23,MATCH(K859,[2]Sheet1!$B$4:$B$23,1),MATCH(D859,[2]Sheet1!$C$3:$Q$3,1)))
+ (D859 - INDEX([2]Sheet1!$C$3:$Q$3,1,MATCH(D859,[2]Sheet1!$C$3:$Q$3)))/(INDEX([2]Sheet1!$C$3:$Q$3,1,MATCH(D859,[2]Sheet1!$C$3:$Q$3)+1) - INDEX([2]Sheet1!$C$3:$Q$3,1,MATCH(D859,[2]Sheet1!$C$3:$Q$3)))*(
INDEX([2]Sheet1!$C$4:$Q$23,MATCH(K859,[2]Sheet1!$B$4:$B$23,1),MATCH(D859,[2]Sheet1!$C$3:$Q$3,1)+1) - INDEX([2]Sheet1!$C$4:$Q$23,MATCH(K859,[2]Sheet1!$B$4:$B$23,1),MATCH(D859,[2]Sheet1!$C$3:$Q$3,1)))))</f>
        <v>0</v>
      </c>
      <c r="N859">
        <f t="shared" si="252"/>
        <v>12</v>
      </c>
      <c r="O859">
        <v>225.02450568394099</v>
      </c>
      <c r="P859" t="e">
        <f t="shared" si="253"/>
        <v>#DIV/0!</v>
      </c>
      <c r="Q859">
        <f t="shared" si="254"/>
        <v>0</v>
      </c>
      <c r="R859">
        <f t="shared" si="255"/>
        <v>741.9099431943954</v>
      </c>
      <c r="T859" t="e">
        <f t="shared" si="256"/>
        <v>#DIV/0!</v>
      </c>
      <c r="U859" t="e">
        <f t="shared" si="257"/>
        <v>#DIV/0!</v>
      </c>
      <c r="V859">
        <f t="shared" si="258"/>
        <v>0</v>
      </c>
      <c r="W859" t="e">
        <f t="shared" si="259"/>
        <v>#DIV/0!</v>
      </c>
    </row>
    <row r="860" spans="1:23" x14ac:dyDescent="0.55000000000000004">
      <c r="A860">
        <f t="shared" si="243"/>
        <v>82.599999999999582</v>
      </c>
      <c r="B860">
        <f t="shared" si="244"/>
        <v>0.316</v>
      </c>
      <c r="C860">
        <f t="shared" si="245"/>
        <v>-48.869565217391042</v>
      </c>
      <c r="D860">
        <v>226.43984551913201</v>
      </c>
      <c r="E860">
        <f t="shared" si="246"/>
        <v>0</v>
      </c>
      <c r="F860">
        <f t="shared" si="247"/>
        <v>4.8605058816845369E-2</v>
      </c>
      <c r="G860">
        <f t="shared" si="248"/>
        <v>39.513748498891111</v>
      </c>
      <c r="H860">
        <f t="shared" si="249"/>
        <v>0</v>
      </c>
      <c r="I860" s="1">
        <f t="shared" si="242"/>
        <v>0</v>
      </c>
      <c r="J860">
        <f t="shared" si="250"/>
        <v>0</v>
      </c>
      <c r="K860">
        <f t="shared" si="251"/>
        <v>0</v>
      </c>
      <c r="L860" cm="1">
        <f t="array" ref="L860">IF(E860*J860=0,0,$C$21*INDEX([3]Sheet1!$C$4:$Q$23,MATCH(K860,[3]Sheet1!$B$4:$B$23,1),MATCH(D860,[3]Sheet1!$C$3:$Q$3,1))
+(K860-INDEX([3]Sheet1!$B$4:$B$23,MATCH(K860,[3]Sheet1!$B$4:$B$23,1),1))/(INDEX([3]Sheet1!$B$4:$B$23,MATCH(K860,[3]Sheet1!$B$4:$B$23,1)+1,1)-INDEX([3]Sheet1!$B$4:$B$23,
MATCH(K860,[3]Sheet1!$B$4:$B$23,1),1))*(INDEX([3]Sheet1!$C$4:$Q$23,MATCH(K860,[3]Sheet1!$B$4:$B$23,1)+1,MATCH(D860,[3]Sheet1!$C$3:$Q$3,1))-INDEX([3]Sheet1!$C$4:$Q$23,
MATCH(K860,[3]Sheet1!$B$4:$B$23,1),MATCH(D860,[3]Sheet1!$C$3:$Q$3,1)))
+(D860-INDEX([3]Sheet1!$C$3:$Q$3,1,MATCH(D860,[3]Sheet1!$C$3:$Q$3)))/(INDEX([3]Sheet1!$C$3:$Q$3,1,MATCH(D860,[3]Sheet1!$C$3:$Q$3)+1)-INDEX([3]Sheet1!$C$3:$Q$3,1,MATCH(
D860,[3]Sheet1!$C$3:$Q$3)))*(INDEX([3]Sheet1!$C$4:$Q$23,MATCH(K860,[3]Sheet1!$B$4:$B$23,1),MATCH(D860,[3]Sheet1!$C$3:$Q$3,1)+1)-INDEX([3]Sheet1!$C$4:$Q$23,MATCH(K860,[3]Sheet1!$B$4:$B$23,1),MATCH(D860,[3]Sheet1!$C$3:$Q$3,1))))</f>
        <v>0</v>
      </c>
      <c r="M860" cm="1">
        <f t="array" ref="M860" xml:space="preserve"> IF(E860*J860=0,0,(INDEX([2]Sheet1!$C$4:$Q$23,MATCH(K860,[2]Sheet1!$B$4:$B$23,1),MATCH(D860,[2]Sheet1!$C$3:$Q$3,1))
+ (K860 - INDEX([2]Sheet1!$B$4:$B$23,MATCH(K860,[2]Sheet1!$B$4:$B$23,1),1))/(INDEX([2]Sheet1!$B$4:$B$23,MATCH(K860,[2]Sheet1!$B$4:$B$23,1)+1,1) - INDEX([2]Sheet1!$B$4:$B$23,MATCH(K860,[2]Sheet1!$B$4:$B$23,1),1))*(INDEX([2]Sheet1!$C$4:$Q$23,MATCH(K860,[2]Sheet1!$B$4:$B$23,1)+1,MATCH(D860,[2]Sheet1!$C$3:$Q$3,1)) - INDEX([2]Sheet1!$C$4:$Q$23,MATCH(K860,[2]Sheet1!$B$4:$B$23,1),MATCH(D860,[2]Sheet1!$C$3:$Q$3,1)))
+ (D860 - INDEX([2]Sheet1!$C$3:$Q$3,1,MATCH(D860,[2]Sheet1!$C$3:$Q$3)))/(INDEX([2]Sheet1!$C$3:$Q$3,1,MATCH(D860,[2]Sheet1!$C$3:$Q$3)+1) - INDEX([2]Sheet1!$C$3:$Q$3,1,MATCH(D860,[2]Sheet1!$C$3:$Q$3)))*(
INDEX([2]Sheet1!$C$4:$Q$23,MATCH(K860,[2]Sheet1!$B$4:$B$23,1),MATCH(D860,[2]Sheet1!$C$3:$Q$3,1)+1) - INDEX([2]Sheet1!$C$4:$Q$23,MATCH(K860,[2]Sheet1!$B$4:$B$23,1),MATCH(D860,[2]Sheet1!$C$3:$Q$3,1)))))</f>
        <v>0</v>
      </c>
      <c r="N860">
        <f t="shared" si="252"/>
        <v>12</v>
      </c>
      <c r="O860">
        <v>226.02450568394099</v>
      </c>
      <c r="P860" t="e">
        <f t="shared" si="253"/>
        <v>#DIV/0!</v>
      </c>
      <c r="Q860">
        <f t="shared" si="254"/>
        <v>0</v>
      </c>
      <c r="R860">
        <f t="shared" si="255"/>
        <v>741.9099431943954</v>
      </c>
      <c r="T860" t="e">
        <f t="shared" si="256"/>
        <v>#DIV/0!</v>
      </c>
      <c r="U860" t="e">
        <f t="shared" si="257"/>
        <v>#DIV/0!</v>
      </c>
      <c r="V860">
        <f t="shared" si="258"/>
        <v>0</v>
      </c>
      <c r="W860" t="e">
        <f t="shared" si="259"/>
        <v>#DIV/0!</v>
      </c>
    </row>
    <row r="861" spans="1:23" x14ac:dyDescent="0.55000000000000004">
      <c r="A861">
        <f t="shared" si="243"/>
        <v>82.699999999999577</v>
      </c>
      <c r="B861">
        <f t="shared" si="244"/>
        <v>0.316</v>
      </c>
      <c r="C861">
        <f t="shared" si="245"/>
        <v>-48.934782608695379</v>
      </c>
      <c r="D861">
        <v>227.43984551913201</v>
      </c>
      <c r="E861">
        <f t="shared" si="246"/>
        <v>0</v>
      </c>
      <c r="F861">
        <f t="shared" si="247"/>
        <v>4.8605058816845369E-2</v>
      </c>
      <c r="G861">
        <f t="shared" si="248"/>
        <v>39.513748498891111</v>
      </c>
      <c r="H861">
        <f t="shared" si="249"/>
        <v>0</v>
      </c>
      <c r="I861" s="1">
        <f t="shared" si="242"/>
        <v>0</v>
      </c>
      <c r="J861">
        <f t="shared" si="250"/>
        <v>0</v>
      </c>
      <c r="K861">
        <f t="shared" si="251"/>
        <v>0</v>
      </c>
      <c r="L861" cm="1">
        <f t="array" ref="L861">IF(E861*J861=0,0,$C$21*INDEX([3]Sheet1!$C$4:$Q$23,MATCH(K861,[3]Sheet1!$B$4:$B$23,1),MATCH(D861,[3]Sheet1!$C$3:$Q$3,1))
+(K861-INDEX([3]Sheet1!$B$4:$B$23,MATCH(K861,[3]Sheet1!$B$4:$B$23,1),1))/(INDEX([3]Sheet1!$B$4:$B$23,MATCH(K861,[3]Sheet1!$B$4:$B$23,1)+1,1)-INDEX([3]Sheet1!$B$4:$B$23,
MATCH(K861,[3]Sheet1!$B$4:$B$23,1),1))*(INDEX([3]Sheet1!$C$4:$Q$23,MATCH(K861,[3]Sheet1!$B$4:$B$23,1)+1,MATCH(D861,[3]Sheet1!$C$3:$Q$3,1))-INDEX([3]Sheet1!$C$4:$Q$23,
MATCH(K861,[3]Sheet1!$B$4:$B$23,1),MATCH(D861,[3]Sheet1!$C$3:$Q$3,1)))
+(D861-INDEX([3]Sheet1!$C$3:$Q$3,1,MATCH(D861,[3]Sheet1!$C$3:$Q$3)))/(INDEX([3]Sheet1!$C$3:$Q$3,1,MATCH(D861,[3]Sheet1!$C$3:$Q$3)+1)-INDEX([3]Sheet1!$C$3:$Q$3,1,MATCH(
D861,[3]Sheet1!$C$3:$Q$3)))*(INDEX([3]Sheet1!$C$4:$Q$23,MATCH(K861,[3]Sheet1!$B$4:$B$23,1),MATCH(D861,[3]Sheet1!$C$3:$Q$3,1)+1)-INDEX([3]Sheet1!$C$4:$Q$23,MATCH(K861,[3]Sheet1!$B$4:$B$23,1),MATCH(D861,[3]Sheet1!$C$3:$Q$3,1))))</f>
        <v>0</v>
      </c>
      <c r="M861" cm="1">
        <f t="array" ref="M861" xml:space="preserve"> IF(E861*J861=0,0,(INDEX([2]Sheet1!$C$4:$Q$23,MATCH(K861,[2]Sheet1!$B$4:$B$23,1),MATCH(D861,[2]Sheet1!$C$3:$Q$3,1))
+ (K861 - INDEX([2]Sheet1!$B$4:$B$23,MATCH(K861,[2]Sheet1!$B$4:$B$23,1),1))/(INDEX([2]Sheet1!$B$4:$B$23,MATCH(K861,[2]Sheet1!$B$4:$B$23,1)+1,1) - INDEX([2]Sheet1!$B$4:$B$23,MATCH(K861,[2]Sheet1!$B$4:$B$23,1),1))*(INDEX([2]Sheet1!$C$4:$Q$23,MATCH(K861,[2]Sheet1!$B$4:$B$23,1)+1,MATCH(D861,[2]Sheet1!$C$3:$Q$3,1)) - INDEX([2]Sheet1!$C$4:$Q$23,MATCH(K861,[2]Sheet1!$B$4:$B$23,1),MATCH(D861,[2]Sheet1!$C$3:$Q$3,1)))
+ (D861 - INDEX([2]Sheet1!$C$3:$Q$3,1,MATCH(D861,[2]Sheet1!$C$3:$Q$3)))/(INDEX([2]Sheet1!$C$3:$Q$3,1,MATCH(D861,[2]Sheet1!$C$3:$Q$3)+1) - INDEX([2]Sheet1!$C$3:$Q$3,1,MATCH(D861,[2]Sheet1!$C$3:$Q$3)))*(
INDEX([2]Sheet1!$C$4:$Q$23,MATCH(K861,[2]Sheet1!$B$4:$B$23,1),MATCH(D861,[2]Sheet1!$C$3:$Q$3,1)+1) - INDEX([2]Sheet1!$C$4:$Q$23,MATCH(K861,[2]Sheet1!$B$4:$B$23,1),MATCH(D861,[2]Sheet1!$C$3:$Q$3,1)))))</f>
        <v>0</v>
      </c>
      <c r="N861">
        <f t="shared" si="252"/>
        <v>12</v>
      </c>
      <c r="O861">
        <v>227.02450568394099</v>
      </c>
      <c r="P861" t="e">
        <f t="shared" si="253"/>
        <v>#DIV/0!</v>
      </c>
      <c r="Q861">
        <f t="shared" si="254"/>
        <v>0</v>
      </c>
      <c r="R861">
        <f t="shared" si="255"/>
        <v>741.9099431943954</v>
      </c>
      <c r="T861" t="e">
        <f t="shared" si="256"/>
        <v>#DIV/0!</v>
      </c>
      <c r="U861" t="e">
        <f t="shared" si="257"/>
        <v>#DIV/0!</v>
      </c>
      <c r="V861">
        <f t="shared" si="258"/>
        <v>0</v>
      </c>
      <c r="W861" t="e">
        <f t="shared" si="259"/>
        <v>#DIV/0!</v>
      </c>
    </row>
    <row r="862" spans="1:23" x14ac:dyDescent="0.55000000000000004">
      <c r="A862">
        <f t="shared" si="243"/>
        <v>82.799999999999571</v>
      </c>
      <c r="B862">
        <f t="shared" si="244"/>
        <v>0.316</v>
      </c>
      <c r="C862">
        <f t="shared" si="245"/>
        <v>-48.99999999999973</v>
      </c>
      <c r="D862">
        <v>228.43984551913201</v>
      </c>
      <c r="E862">
        <f t="shared" si="246"/>
        <v>0</v>
      </c>
      <c r="F862">
        <f t="shared" si="247"/>
        <v>4.8605058816845369E-2</v>
      </c>
      <c r="G862">
        <f t="shared" si="248"/>
        <v>39.513748498891111</v>
      </c>
      <c r="H862">
        <f t="shared" si="249"/>
        <v>0</v>
      </c>
      <c r="I862" s="1">
        <f t="shared" si="242"/>
        <v>0</v>
      </c>
      <c r="J862">
        <f t="shared" si="250"/>
        <v>0</v>
      </c>
      <c r="K862">
        <f t="shared" si="251"/>
        <v>0</v>
      </c>
      <c r="L862" cm="1">
        <f t="array" ref="L862">IF(E862*J862=0,0,$C$21*INDEX([3]Sheet1!$C$4:$Q$23,MATCH(K862,[3]Sheet1!$B$4:$B$23,1),MATCH(D862,[3]Sheet1!$C$3:$Q$3,1))
+(K862-INDEX([3]Sheet1!$B$4:$B$23,MATCH(K862,[3]Sheet1!$B$4:$B$23,1),1))/(INDEX([3]Sheet1!$B$4:$B$23,MATCH(K862,[3]Sheet1!$B$4:$B$23,1)+1,1)-INDEX([3]Sheet1!$B$4:$B$23,
MATCH(K862,[3]Sheet1!$B$4:$B$23,1),1))*(INDEX([3]Sheet1!$C$4:$Q$23,MATCH(K862,[3]Sheet1!$B$4:$B$23,1)+1,MATCH(D862,[3]Sheet1!$C$3:$Q$3,1))-INDEX([3]Sheet1!$C$4:$Q$23,
MATCH(K862,[3]Sheet1!$B$4:$B$23,1),MATCH(D862,[3]Sheet1!$C$3:$Q$3,1)))
+(D862-INDEX([3]Sheet1!$C$3:$Q$3,1,MATCH(D862,[3]Sheet1!$C$3:$Q$3)))/(INDEX([3]Sheet1!$C$3:$Q$3,1,MATCH(D862,[3]Sheet1!$C$3:$Q$3)+1)-INDEX([3]Sheet1!$C$3:$Q$3,1,MATCH(
D862,[3]Sheet1!$C$3:$Q$3)))*(INDEX([3]Sheet1!$C$4:$Q$23,MATCH(K862,[3]Sheet1!$B$4:$B$23,1),MATCH(D862,[3]Sheet1!$C$3:$Q$3,1)+1)-INDEX([3]Sheet1!$C$4:$Q$23,MATCH(K862,[3]Sheet1!$B$4:$B$23,1),MATCH(D862,[3]Sheet1!$C$3:$Q$3,1))))</f>
        <v>0</v>
      </c>
      <c r="M862" cm="1">
        <f t="array" ref="M862" xml:space="preserve"> IF(E862*J862=0,0,(INDEX([2]Sheet1!$C$4:$Q$23,MATCH(K862,[2]Sheet1!$B$4:$B$23,1),MATCH(D862,[2]Sheet1!$C$3:$Q$3,1))
+ (K862 - INDEX([2]Sheet1!$B$4:$B$23,MATCH(K862,[2]Sheet1!$B$4:$B$23,1),1))/(INDEX([2]Sheet1!$B$4:$B$23,MATCH(K862,[2]Sheet1!$B$4:$B$23,1)+1,1) - INDEX([2]Sheet1!$B$4:$B$23,MATCH(K862,[2]Sheet1!$B$4:$B$23,1),1))*(INDEX([2]Sheet1!$C$4:$Q$23,MATCH(K862,[2]Sheet1!$B$4:$B$23,1)+1,MATCH(D862,[2]Sheet1!$C$3:$Q$3,1)) - INDEX([2]Sheet1!$C$4:$Q$23,MATCH(K862,[2]Sheet1!$B$4:$B$23,1),MATCH(D862,[2]Sheet1!$C$3:$Q$3,1)))
+ (D862 - INDEX([2]Sheet1!$C$3:$Q$3,1,MATCH(D862,[2]Sheet1!$C$3:$Q$3)))/(INDEX([2]Sheet1!$C$3:$Q$3,1,MATCH(D862,[2]Sheet1!$C$3:$Q$3)+1) - INDEX([2]Sheet1!$C$3:$Q$3,1,MATCH(D862,[2]Sheet1!$C$3:$Q$3)))*(
INDEX([2]Sheet1!$C$4:$Q$23,MATCH(K862,[2]Sheet1!$B$4:$B$23,1),MATCH(D862,[2]Sheet1!$C$3:$Q$3,1)+1) - INDEX([2]Sheet1!$C$4:$Q$23,MATCH(K862,[2]Sheet1!$B$4:$B$23,1),MATCH(D862,[2]Sheet1!$C$3:$Q$3,1)))))</f>
        <v>0</v>
      </c>
      <c r="N862">
        <f t="shared" si="252"/>
        <v>12</v>
      </c>
      <c r="O862">
        <v>228.02450568394099</v>
      </c>
      <c r="P862" t="e">
        <f t="shared" si="253"/>
        <v>#DIV/0!</v>
      </c>
      <c r="Q862">
        <f t="shared" si="254"/>
        <v>0</v>
      </c>
      <c r="R862">
        <f t="shared" si="255"/>
        <v>741.9099431943954</v>
      </c>
      <c r="T862" t="e">
        <f t="shared" si="256"/>
        <v>#DIV/0!</v>
      </c>
      <c r="U862" t="e">
        <f t="shared" si="257"/>
        <v>#DIV/0!</v>
      </c>
      <c r="V862">
        <f t="shared" si="258"/>
        <v>0</v>
      </c>
      <c r="W862" t="e">
        <f t="shared" si="259"/>
        <v>#DIV/0!</v>
      </c>
    </row>
    <row r="863" spans="1:23" x14ac:dyDescent="0.55000000000000004">
      <c r="A863">
        <f t="shared" si="243"/>
        <v>82.899999999999565</v>
      </c>
      <c r="B863">
        <f t="shared" si="244"/>
        <v>0.316</v>
      </c>
      <c r="C863">
        <f t="shared" si="245"/>
        <v>-49.065217391304067</v>
      </c>
      <c r="D863">
        <v>229.43984551913201</v>
      </c>
      <c r="E863">
        <f t="shared" si="246"/>
        <v>0</v>
      </c>
      <c r="F863">
        <f t="shared" si="247"/>
        <v>4.8605058816845369E-2</v>
      </c>
      <c r="G863">
        <f t="shared" si="248"/>
        <v>39.513748498891111</v>
      </c>
      <c r="H863">
        <f t="shared" si="249"/>
        <v>0</v>
      </c>
      <c r="I863" s="1">
        <f t="shared" si="242"/>
        <v>0</v>
      </c>
      <c r="J863">
        <f t="shared" si="250"/>
        <v>0</v>
      </c>
      <c r="K863">
        <f t="shared" si="251"/>
        <v>0</v>
      </c>
      <c r="L863" cm="1">
        <f t="array" ref="L863">IF(E863*J863=0,0,$C$21*INDEX([3]Sheet1!$C$4:$Q$23,MATCH(K863,[3]Sheet1!$B$4:$B$23,1),MATCH(D863,[3]Sheet1!$C$3:$Q$3,1))
+(K863-INDEX([3]Sheet1!$B$4:$B$23,MATCH(K863,[3]Sheet1!$B$4:$B$23,1),1))/(INDEX([3]Sheet1!$B$4:$B$23,MATCH(K863,[3]Sheet1!$B$4:$B$23,1)+1,1)-INDEX([3]Sheet1!$B$4:$B$23,
MATCH(K863,[3]Sheet1!$B$4:$B$23,1),1))*(INDEX([3]Sheet1!$C$4:$Q$23,MATCH(K863,[3]Sheet1!$B$4:$B$23,1)+1,MATCH(D863,[3]Sheet1!$C$3:$Q$3,1))-INDEX([3]Sheet1!$C$4:$Q$23,
MATCH(K863,[3]Sheet1!$B$4:$B$23,1),MATCH(D863,[3]Sheet1!$C$3:$Q$3,1)))
+(D863-INDEX([3]Sheet1!$C$3:$Q$3,1,MATCH(D863,[3]Sheet1!$C$3:$Q$3)))/(INDEX([3]Sheet1!$C$3:$Q$3,1,MATCH(D863,[3]Sheet1!$C$3:$Q$3)+1)-INDEX([3]Sheet1!$C$3:$Q$3,1,MATCH(
D863,[3]Sheet1!$C$3:$Q$3)))*(INDEX([3]Sheet1!$C$4:$Q$23,MATCH(K863,[3]Sheet1!$B$4:$B$23,1),MATCH(D863,[3]Sheet1!$C$3:$Q$3,1)+1)-INDEX([3]Sheet1!$C$4:$Q$23,MATCH(K863,[3]Sheet1!$B$4:$B$23,1),MATCH(D863,[3]Sheet1!$C$3:$Q$3,1))))</f>
        <v>0</v>
      </c>
      <c r="M863" cm="1">
        <f t="array" ref="M863" xml:space="preserve"> IF(E863*J863=0,0,(INDEX([2]Sheet1!$C$4:$Q$23,MATCH(K863,[2]Sheet1!$B$4:$B$23,1),MATCH(D863,[2]Sheet1!$C$3:$Q$3,1))
+ (K863 - INDEX([2]Sheet1!$B$4:$B$23,MATCH(K863,[2]Sheet1!$B$4:$B$23,1),1))/(INDEX([2]Sheet1!$B$4:$B$23,MATCH(K863,[2]Sheet1!$B$4:$B$23,1)+1,1) - INDEX([2]Sheet1!$B$4:$B$23,MATCH(K863,[2]Sheet1!$B$4:$B$23,1),1))*(INDEX([2]Sheet1!$C$4:$Q$23,MATCH(K863,[2]Sheet1!$B$4:$B$23,1)+1,MATCH(D863,[2]Sheet1!$C$3:$Q$3,1)) - INDEX([2]Sheet1!$C$4:$Q$23,MATCH(K863,[2]Sheet1!$B$4:$B$23,1),MATCH(D863,[2]Sheet1!$C$3:$Q$3,1)))
+ (D863 - INDEX([2]Sheet1!$C$3:$Q$3,1,MATCH(D863,[2]Sheet1!$C$3:$Q$3)))/(INDEX([2]Sheet1!$C$3:$Q$3,1,MATCH(D863,[2]Sheet1!$C$3:$Q$3)+1) - INDEX([2]Sheet1!$C$3:$Q$3,1,MATCH(D863,[2]Sheet1!$C$3:$Q$3)))*(
INDEX([2]Sheet1!$C$4:$Q$23,MATCH(K863,[2]Sheet1!$B$4:$B$23,1),MATCH(D863,[2]Sheet1!$C$3:$Q$3,1)+1) - INDEX([2]Sheet1!$C$4:$Q$23,MATCH(K863,[2]Sheet1!$B$4:$B$23,1),MATCH(D863,[2]Sheet1!$C$3:$Q$3,1)))))</f>
        <v>0</v>
      </c>
      <c r="N863">
        <f t="shared" si="252"/>
        <v>12</v>
      </c>
      <c r="O863">
        <v>229.02450568394099</v>
      </c>
      <c r="P863" t="e">
        <f t="shared" si="253"/>
        <v>#DIV/0!</v>
      </c>
      <c r="Q863">
        <f t="shared" si="254"/>
        <v>0</v>
      </c>
      <c r="R863">
        <f t="shared" si="255"/>
        <v>741.9099431943954</v>
      </c>
      <c r="T863" t="e">
        <f t="shared" si="256"/>
        <v>#DIV/0!</v>
      </c>
      <c r="U863" t="e">
        <f t="shared" si="257"/>
        <v>#DIV/0!</v>
      </c>
      <c r="V863">
        <f t="shared" si="258"/>
        <v>0</v>
      </c>
      <c r="W863" t="e">
        <f t="shared" si="259"/>
        <v>#DIV/0!</v>
      </c>
    </row>
    <row r="864" spans="1:23" x14ac:dyDescent="0.55000000000000004">
      <c r="A864">
        <f t="shared" si="243"/>
        <v>82.999999999999559</v>
      </c>
      <c r="B864">
        <f t="shared" si="244"/>
        <v>0.316</v>
      </c>
      <c r="C864">
        <f t="shared" si="245"/>
        <v>-49.130434782608418</v>
      </c>
      <c r="D864">
        <v>230.43984551913201</v>
      </c>
      <c r="E864">
        <f t="shared" si="246"/>
        <v>0</v>
      </c>
      <c r="F864">
        <f t="shared" si="247"/>
        <v>4.8605058816845369E-2</v>
      </c>
      <c r="G864">
        <f t="shared" si="248"/>
        <v>39.513748498891111</v>
      </c>
      <c r="H864">
        <f t="shared" si="249"/>
        <v>0</v>
      </c>
      <c r="I864" s="1">
        <f t="shared" si="242"/>
        <v>0</v>
      </c>
      <c r="J864">
        <f t="shared" si="250"/>
        <v>0</v>
      </c>
      <c r="K864">
        <f t="shared" si="251"/>
        <v>0</v>
      </c>
      <c r="L864" cm="1">
        <f t="array" ref="L864">IF(E864*J864=0,0,$C$21*INDEX([3]Sheet1!$C$4:$Q$23,MATCH(K864,[3]Sheet1!$B$4:$B$23,1),MATCH(D864,[3]Sheet1!$C$3:$Q$3,1))
+(K864-INDEX([3]Sheet1!$B$4:$B$23,MATCH(K864,[3]Sheet1!$B$4:$B$23,1),1))/(INDEX([3]Sheet1!$B$4:$B$23,MATCH(K864,[3]Sheet1!$B$4:$B$23,1)+1,1)-INDEX([3]Sheet1!$B$4:$B$23,
MATCH(K864,[3]Sheet1!$B$4:$B$23,1),1))*(INDEX([3]Sheet1!$C$4:$Q$23,MATCH(K864,[3]Sheet1!$B$4:$B$23,1)+1,MATCH(D864,[3]Sheet1!$C$3:$Q$3,1))-INDEX([3]Sheet1!$C$4:$Q$23,
MATCH(K864,[3]Sheet1!$B$4:$B$23,1),MATCH(D864,[3]Sheet1!$C$3:$Q$3,1)))
+(D864-INDEX([3]Sheet1!$C$3:$Q$3,1,MATCH(D864,[3]Sheet1!$C$3:$Q$3)))/(INDEX([3]Sheet1!$C$3:$Q$3,1,MATCH(D864,[3]Sheet1!$C$3:$Q$3)+1)-INDEX([3]Sheet1!$C$3:$Q$3,1,MATCH(
D864,[3]Sheet1!$C$3:$Q$3)))*(INDEX([3]Sheet1!$C$4:$Q$23,MATCH(K864,[3]Sheet1!$B$4:$B$23,1),MATCH(D864,[3]Sheet1!$C$3:$Q$3,1)+1)-INDEX([3]Sheet1!$C$4:$Q$23,MATCH(K864,[3]Sheet1!$B$4:$B$23,1),MATCH(D864,[3]Sheet1!$C$3:$Q$3,1))))</f>
        <v>0</v>
      </c>
      <c r="M864" cm="1">
        <f t="array" ref="M864" xml:space="preserve"> IF(E864*J864=0,0,(INDEX([2]Sheet1!$C$4:$Q$23,MATCH(K864,[2]Sheet1!$B$4:$B$23,1),MATCH(D864,[2]Sheet1!$C$3:$Q$3,1))
+ (K864 - INDEX([2]Sheet1!$B$4:$B$23,MATCH(K864,[2]Sheet1!$B$4:$B$23,1),1))/(INDEX([2]Sheet1!$B$4:$B$23,MATCH(K864,[2]Sheet1!$B$4:$B$23,1)+1,1) - INDEX([2]Sheet1!$B$4:$B$23,MATCH(K864,[2]Sheet1!$B$4:$B$23,1),1))*(INDEX([2]Sheet1!$C$4:$Q$23,MATCH(K864,[2]Sheet1!$B$4:$B$23,1)+1,MATCH(D864,[2]Sheet1!$C$3:$Q$3,1)) - INDEX([2]Sheet1!$C$4:$Q$23,MATCH(K864,[2]Sheet1!$B$4:$B$23,1),MATCH(D864,[2]Sheet1!$C$3:$Q$3,1)))
+ (D864 - INDEX([2]Sheet1!$C$3:$Q$3,1,MATCH(D864,[2]Sheet1!$C$3:$Q$3)))/(INDEX([2]Sheet1!$C$3:$Q$3,1,MATCH(D864,[2]Sheet1!$C$3:$Q$3)+1) - INDEX([2]Sheet1!$C$3:$Q$3,1,MATCH(D864,[2]Sheet1!$C$3:$Q$3)))*(
INDEX([2]Sheet1!$C$4:$Q$23,MATCH(K864,[2]Sheet1!$B$4:$B$23,1),MATCH(D864,[2]Sheet1!$C$3:$Q$3,1)+1) - INDEX([2]Sheet1!$C$4:$Q$23,MATCH(K864,[2]Sheet1!$B$4:$B$23,1),MATCH(D864,[2]Sheet1!$C$3:$Q$3,1)))))</f>
        <v>0</v>
      </c>
      <c r="N864">
        <f t="shared" si="252"/>
        <v>12</v>
      </c>
      <c r="O864">
        <v>230.02450568394099</v>
      </c>
      <c r="P864" t="e">
        <f t="shared" si="253"/>
        <v>#DIV/0!</v>
      </c>
      <c r="Q864">
        <f t="shared" si="254"/>
        <v>0</v>
      </c>
      <c r="R864">
        <f t="shared" si="255"/>
        <v>741.9099431943954</v>
      </c>
      <c r="T864" t="e">
        <f t="shared" si="256"/>
        <v>#DIV/0!</v>
      </c>
      <c r="U864" t="e">
        <f t="shared" si="257"/>
        <v>#DIV/0!</v>
      </c>
      <c r="V864">
        <f t="shared" si="258"/>
        <v>0</v>
      </c>
      <c r="W864" t="e">
        <f t="shared" si="259"/>
        <v>#DIV/0!</v>
      </c>
    </row>
    <row r="865" spans="1:23" x14ac:dyDescent="0.55000000000000004">
      <c r="A865">
        <f t="shared" si="243"/>
        <v>83.099999999999554</v>
      </c>
      <c r="B865">
        <f t="shared" si="244"/>
        <v>0.316</v>
      </c>
      <c r="C865">
        <f t="shared" si="245"/>
        <v>-49.195652173912755</v>
      </c>
      <c r="D865">
        <v>231.43984551913201</v>
      </c>
      <c r="E865">
        <f t="shared" si="246"/>
        <v>0</v>
      </c>
      <c r="F865">
        <f t="shared" si="247"/>
        <v>4.8605058816845369E-2</v>
      </c>
      <c r="G865">
        <f t="shared" si="248"/>
        <v>39.513748498891111</v>
      </c>
      <c r="H865">
        <f t="shared" si="249"/>
        <v>0</v>
      </c>
      <c r="I865" s="1">
        <f t="shared" si="242"/>
        <v>0</v>
      </c>
      <c r="J865">
        <f t="shared" si="250"/>
        <v>0</v>
      </c>
      <c r="K865">
        <f t="shared" si="251"/>
        <v>0</v>
      </c>
      <c r="L865" cm="1">
        <f t="array" ref="L865">IF(E865*J865=0,0,$C$21*INDEX([3]Sheet1!$C$4:$Q$23,MATCH(K865,[3]Sheet1!$B$4:$B$23,1),MATCH(D865,[3]Sheet1!$C$3:$Q$3,1))
+(K865-INDEX([3]Sheet1!$B$4:$B$23,MATCH(K865,[3]Sheet1!$B$4:$B$23,1),1))/(INDEX([3]Sheet1!$B$4:$B$23,MATCH(K865,[3]Sheet1!$B$4:$B$23,1)+1,1)-INDEX([3]Sheet1!$B$4:$B$23,
MATCH(K865,[3]Sheet1!$B$4:$B$23,1),1))*(INDEX([3]Sheet1!$C$4:$Q$23,MATCH(K865,[3]Sheet1!$B$4:$B$23,1)+1,MATCH(D865,[3]Sheet1!$C$3:$Q$3,1))-INDEX([3]Sheet1!$C$4:$Q$23,
MATCH(K865,[3]Sheet1!$B$4:$B$23,1),MATCH(D865,[3]Sheet1!$C$3:$Q$3,1)))
+(D865-INDEX([3]Sheet1!$C$3:$Q$3,1,MATCH(D865,[3]Sheet1!$C$3:$Q$3)))/(INDEX([3]Sheet1!$C$3:$Q$3,1,MATCH(D865,[3]Sheet1!$C$3:$Q$3)+1)-INDEX([3]Sheet1!$C$3:$Q$3,1,MATCH(
D865,[3]Sheet1!$C$3:$Q$3)))*(INDEX([3]Sheet1!$C$4:$Q$23,MATCH(K865,[3]Sheet1!$B$4:$B$23,1),MATCH(D865,[3]Sheet1!$C$3:$Q$3,1)+1)-INDEX([3]Sheet1!$C$4:$Q$23,MATCH(K865,[3]Sheet1!$B$4:$B$23,1),MATCH(D865,[3]Sheet1!$C$3:$Q$3,1))))</f>
        <v>0</v>
      </c>
      <c r="M865" cm="1">
        <f t="array" ref="M865" xml:space="preserve"> IF(E865*J865=0,0,(INDEX([2]Sheet1!$C$4:$Q$23,MATCH(K865,[2]Sheet1!$B$4:$B$23,1),MATCH(D865,[2]Sheet1!$C$3:$Q$3,1))
+ (K865 - INDEX([2]Sheet1!$B$4:$B$23,MATCH(K865,[2]Sheet1!$B$4:$B$23,1),1))/(INDEX([2]Sheet1!$B$4:$B$23,MATCH(K865,[2]Sheet1!$B$4:$B$23,1)+1,1) - INDEX([2]Sheet1!$B$4:$B$23,MATCH(K865,[2]Sheet1!$B$4:$B$23,1),1))*(INDEX([2]Sheet1!$C$4:$Q$23,MATCH(K865,[2]Sheet1!$B$4:$B$23,1)+1,MATCH(D865,[2]Sheet1!$C$3:$Q$3,1)) - INDEX([2]Sheet1!$C$4:$Q$23,MATCH(K865,[2]Sheet1!$B$4:$B$23,1),MATCH(D865,[2]Sheet1!$C$3:$Q$3,1)))
+ (D865 - INDEX([2]Sheet1!$C$3:$Q$3,1,MATCH(D865,[2]Sheet1!$C$3:$Q$3)))/(INDEX([2]Sheet1!$C$3:$Q$3,1,MATCH(D865,[2]Sheet1!$C$3:$Q$3)+1) - INDEX([2]Sheet1!$C$3:$Q$3,1,MATCH(D865,[2]Sheet1!$C$3:$Q$3)))*(
INDEX([2]Sheet1!$C$4:$Q$23,MATCH(K865,[2]Sheet1!$B$4:$B$23,1),MATCH(D865,[2]Sheet1!$C$3:$Q$3,1)+1) - INDEX([2]Sheet1!$C$4:$Q$23,MATCH(K865,[2]Sheet1!$B$4:$B$23,1),MATCH(D865,[2]Sheet1!$C$3:$Q$3,1)))))</f>
        <v>0</v>
      </c>
      <c r="N865">
        <f t="shared" si="252"/>
        <v>12</v>
      </c>
      <c r="O865">
        <v>231.02450568394099</v>
      </c>
      <c r="P865" t="e">
        <f t="shared" si="253"/>
        <v>#DIV/0!</v>
      </c>
      <c r="Q865">
        <f t="shared" si="254"/>
        <v>0</v>
      </c>
      <c r="R865">
        <f t="shared" si="255"/>
        <v>741.9099431943954</v>
      </c>
      <c r="T865" t="e">
        <f t="shared" si="256"/>
        <v>#DIV/0!</v>
      </c>
      <c r="U865" t="e">
        <f t="shared" si="257"/>
        <v>#DIV/0!</v>
      </c>
      <c r="V865">
        <f t="shared" si="258"/>
        <v>0</v>
      </c>
      <c r="W865" t="e">
        <f t="shared" si="259"/>
        <v>#DIV/0!</v>
      </c>
    </row>
    <row r="866" spans="1:23" x14ac:dyDescent="0.55000000000000004">
      <c r="A866">
        <f t="shared" si="243"/>
        <v>83.199999999999548</v>
      </c>
      <c r="B866">
        <f t="shared" si="244"/>
        <v>0.316</v>
      </c>
      <c r="C866">
        <f t="shared" si="245"/>
        <v>-49.260869565217106</v>
      </c>
      <c r="D866">
        <v>232.43984551913201</v>
      </c>
      <c r="E866">
        <f t="shared" si="246"/>
        <v>0</v>
      </c>
      <c r="F866">
        <f t="shared" si="247"/>
        <v>4.8605058816845369E-2</v>
      </c>
      <c r="G866">
        <f t="shared" si="248"/>
        <v>39.513748498891111</v>
      </c>
      <c r="H866">
        <f t="shared" si="249"/>
        <v>0</v>
      </c>
      <c r="I866" s="1">
        <f t="shared" si="242"/>
        <v>0</v>
      </c>
      <c r="J866">
        <f t="shared" si="250"/>
        <v>0</v>
      </c>
      <c r="K866">
        <f t="shared" si="251"/>
        <v>0</v>
      </c>
      <c r="L866" cm="1">
        <f t="array" ref="L866">IF(E866*J866=0,0,$C$21*INDEX([3]Sheet1!$C$4:$Q$23,MATCH(K866,[3]Sheet1!$B$4:$B$23,1),MATCH(D866,[3]Sheet1!$C$3:$Q$3,1))
+(K866-INDEX([3]Sheet1!$B$4:$B$23,MATCH(K866,[3]Sheet1!$B$4:$B$23,1),1))/(INDEX([3]Sheet1!$B$4:$B$23,MATCH(K866,[3]Sheet1!$B$4:$B$23,1)+1,1)-INDEX([3]Sheet1!$B$4:$B$23,
MATCH(K866,[3]Sheet1!$B$4:$B$23,1),1))*(INDEX([3]Sheet1!$C$4:$Q$23,MATCH(K866,[3]Sheet1!$B$4:$B$23,1)+1,MATCH(D866,[3]Sheet1!$C$3:$Q$3,1))-INDEX([3]Sheet1!$C$4:$Q$23,
MATCH(K866,[3]Sheet1!$B$4:$B$23,1),MATCH(D866,[3]Sheet1!$C$3:$Q$3,1)))
+(D866-INDEX([3]Sheet1!$C$3:$Q$3,1,MATCH(D866,[3]Sheet1!$C$3:$Q$3)))/(INDEX([3]Sheet1!$C$3:$Q$3,1,MATCH(D866,[3]Sheet1!$C$3:$Q$3)+1)-INDEX([3]Sheet1!$C$3:$Q$3,1,MATCH(
D866,[3]Sheet1!$C$3:$Q$3)))*(INDEX([3]Sheet1!$C$4:$Q$23,MATCH(K866,[3]Sheet1!$B$4:$B$23,1),MATCH(D866,[3]Sheet1!$C$3:$Q$3,1)+1)-INDEX([3]Sheet1!$C$4:$Q$23,MATCH(K866,[3]Sheet1!$B$4:$B$23,1),MATCH(D866,[3]Sheet1!$C$3:$Q$3,1))))</f>
        <v>0</v>
      </c>
      <c r="M866" cm="1">
        <f t="array" ref="M866" xml:space="preserve"> IF(E866*J866=0,0,(INDEX([2]Sheet1!$C$4:$Q$23,MATCH(K866,[2]Sheet1!$B$4:$B$23,1),MATCH(D866,[2]Sheet1!$C$3:$Q$3,1))
+ (K866 - INDEX([2]Sheet1!$B$4:$B$23,MATCH(K866,[2]Sheet1!$B$4:$B$23,1),1))/(INDEX([2]Sheet1!$B$4:$B$23,MATCH(K866,[2]Sheet1!$B$4:$B$23,1)+1,1) - INDEX([2]Sheet1!$B$4:$B$23,MATCH(K866,[2]Sheet1!$B$4:$B$23,1),1))*(INDEX([2]Sheet1!$C$4:$Q$23,MATCH(K866,[2]Sheet1!$B$4:$B$23,1)+1,MATCH(D866,[2]Sheet1!$C$3:$Q$3,1)) - INDEX([2]Sheet1!$C$4:$Q$23,MATCH(K866,[2]Sheet1!$B$4:$B$23,1),MATCH(D866,[2]Sheet1!$C$3:$Q$3,1)))
+ (D866 - INDEX([2]Sheet1!$C$3:$Q$3,1,MATCH(D866,[2]Sheet1!$C$3:$Q$3)))/(INDEX([2]Sheet1!$C$3:$Q$3,1,MATCH(D866,[2]Sheet1!$C$3:$Q$3)+1) - INDEX([2]Sheet1!$C$3:$Q$3,1,MATCH(D866,[2]Sheet1!$C$3:$Q$3)))*(
INDEX([2]Sheet1!$C$4:$Q$23,MATCH(K866,[2]Sheet1!$B$4:$B$23,1),MATCH(D866,[2]Sheet1!$C$3:$Q$3,1)+1) - INDEX([2]Sheet1!$C$4:$Q$23,MATCH(K866,[2]Sheet1!$B$4:$B$23,1),MATCH(D866,[2]Sheet1!$C$3:$Q$3,1)))))</f>
        <v>0</v>
      </c>
      <c r="N866">
        <f t="shared" si="252"/>
        <v>12</v>
      </c>
      <c r="O866">
        <v>232.02450568394099</v>
      </c>
      <c r="P866" t="e">
        <f t="shared" si="253"/>
        <v>#DIV/0!</v>
      </c>
      <c r="Q866">
        <f t="shared" si="254"/>
        <v>0</v>
      </c>
      <c r="R866">
        <f t="shared" si="255"/>
        <v>741.9099431943954</v>
      </c>
      <c r="T866" t="e">
        <f t="shared" si="256"/>
        <v>#DIV/0!</v>
      </c>
      <c r="U866" t="e">
        <f t="shared" si="257"/>
        <v>#DIV/0!</v>
      </c>
      <c r="V866">
        <f t="shared" si="258"/>
        <v>0</v>
      </c>
      <c r="W866" t="e">
        <f t="shared" si="259"/>
        <v>#DIV/0!</v>
      </c>
    </row>
    <row r="867" spans="1:23" x14ac:dyDescent="0.55000000000000004">
      <c r="A867">
        <f t="shared" si="243"/>
        <v>83.299999999999542</v>
      </c>
      <c r="B867">
        <f t="shared" si="244"/>
        <v>0.316</v>
      </c>
      <c r="C867">
        <f t="shared" si="245"/>
        <v>-49.326086956521443</v>
      </c>
      <c r="D867">
        <v>233.43984551913201</v>
      </c>
      <c r="E867">
        <f t="shared" si="246"/>
        <v>0</v>
      </c>
      <c r="F867">
        <f t="shared" si="247"/>
        <v>4.8605058816845369E-2</v>
      </c>
      <c r="G867">
        <f t="shared" si="248"/>
        <v>39.513748498891111</v>
      </c>
      <c r="H867">
        <f t="shared" si="249"/>
        <v>0</v>
      </c>
      <c r="I867" s="1">
        <f t="shared" ref="I867:I930" si="260">IF(G867=$C$14,0,$C$16*(H867)^$C$17)</f>
        <v>0</v>
      </c>
      <c r="J867">
        <f t="shared" si="250"/>
        <v>0</v>
      </c>
      <c r="K867">
        <f t="shared" si="251"/>
        <v>0</v>
      </c>
      <c r="L867" cm="1">
        <f t="array" ref="L867">IF(E867*J867=0,0,$C$21*INDEX([3]Sheet1!$C$4:$Q$23,MATCH(K867,[3]Sheet1!$B$4:$B$23,1),MATCH(D867,[3]Sheet1!$C$3:$Q$3,1))
+(K867-INDEX([3]Sheet1!$B$4:$B$23,MATCH(K867,[3]Sheet1!$B$4:$B$23,1),1))/(INDEX([3]Sheet1!$B$4:$B$23,MATCH(K867,[3]Sheet1!$B$4:$B$23,1)+1,1)-INDEX([3]Sheet1!$B$4:$B$23,
MATCH(K867,[3]Sheet1!$B$4:$B$23,1),1))*(INDEX([3]Sheet1!$C$4:$Q$23,MATCH(K867,[3]Sheet1!$B$4:$B$23,1)+1,MATCH(D867,[3]Sheet1!$C$3:$Q$3,1))-INDEX([3]Sheet1!$C$4:$Q$23,
MATCH(K867,[3]Sheet1!$B$4:$B$23,1),MATCH(D867,[3]Sheet1!$C$3:$Q$3,1)))
+(D867-INDEX([3]Sheet1!$C$3:$Q$3,1,MATCH(D867,[3]Sheet1!$C$3:$Q$3)))/(INDEX([3]Sheet1!$C$3:$Q$3,1,MATCH(D867,[3]Sheet1!$C$3:$Q$3)+1)-INDEX([3]Sheet1!$C$3:$Q$3,1,MATCH(
D867,[3]Sheet1!$C$3:$Q$3)))*(INDEX([3]Sheet1!$C$4:$Q$23,MATCH(K867,[3]Sheet1!$B$4:$B$23,1),MATCH(D867,[3]Sheet1!$C$3:$Q$3,1)+1)-INDEX([3]Sheet1!$C$4:$Q$23,MATCH(K867,[3]Sheet1!$B$4:$B$23,1),MATCH(D867,[3]Sheet1!$C$3:$Q$3,1))))</f>
        <v>0</v>
      </c>
      <c r="M867" cm="1">
        <f t="array" ref="M867" xml:space="preserve"> IF(E867*J867=0,0,(INDEX([2]Sheet1!$C$4:$Q$23,MATCH(K867,[2]Sheet1!$B$4:$B$23,1),MATCH(D867,[2]Sheet1!$C$3:$Q$3,1))
+ (K867 - INDEX([2]Sheet1!$B$4:$B$23,MATCH(K867,[2]Sheet1!$B$4:$B$23,1),1))/(INDEX([2]Sheet1!$B$4:$B$23,MATCH(K867,[2]Sheet1!$B$4:$B$23,1)+1,1) - INDEX([2]Sheet1!$B$4:$B$23,MATCH(K867,[2]Sheet1!$B$4:$B$23,1),1))*(INDEX([2]Sheet1!$C$4:$Q$23,MATCH(K867,[2]Sheet1!$B$4:$B$23,1)+1,MATCH(D867,[2]Sheet1!$C$3:$Q$3,1)) - INDEX([2]Sheet1!$C$4:$Q$23,MATCH(K867,[2]Sheet1!$B$4:$B$23,1),MATCH(D867,[2]Sheet1!$C$3:$Q$3,1)))
+ (D867 - INDEX([2]Sheet1!$C$3:$Q$3,1,MATCH(D867,[2]Sheet1!$C$3:$Q$3)))/(INDEX([2]Sheet1!$C$3:$Q$3,1,MATCH(D867,[2]Sheet1!$C$3:$Q$3)+1) - INDEX([2]Sheet1!$C$3:$Q$3,1,MATCH(D867,[2]Sheet1!$C$3:$Q$3)))*(
INDEX([2]Sheet1!$C$4:$Q$23,MATCH(K867,[2]Sheet1!$B$4:$B$23,1),MATCH(D867,[2]Sheet1!$C$3:$Q$3,1)+1) - INDEX([2]Sheet1!$C$4:$Q$23,MATCH(K867,[2]Sheet1!$B$4:$B$23,1),MATCH(D867,[2]Sheet1!$C$3:$Q$3,1)))))</f>
        <v>0</v>
      </c>
      <c r="N867">
        <f t="shared" si="252"/>
        <v>12</v>
      </c>
      <c r="O867">
        <v>233.02450568394099</v>
      </c>
      <c r="P867" t="e">
        <f t="shared" si="253"/>
        <v>#DIV/0!</v>
      </c>
      <c r="Q867">
        <f t="shared" si="254"/>
        <v>0</v>
      </c>
      <c r="R867">
        <f t="shared" si="255"/>
        <v>741.9099431943954</v>
      </c>
      <c r="T867" t="e">
        <f t="shared" si="256"/>
        <v>#DIV/0!</v>
      </c>
      <c r="U867" t="e">
        <f t="shared" si="257"/>
        <v>#DIV/0!</v>
      </c>
      <c r="V867">
        <f t="shared" si="258"/>
        <v>0</v>
      </c>
      <c r="W867" t="e">
        <f t="shared" si="259"/>
        <v>#DIV/0!</v>
      </c>
    </row>
    <row r="868" spans="1:23" x14ac:dyDescent="0.55000000000000004">
      <c r="A868">
        <f t="shared" ref="A868:A931" si="261">A867+$C$29</f>
        <v>83.399999999999537</v>
      </c>
      <c r="B868">
        <f t="shared" si="244"/>
        <v>0.316</v>
      </c>
      <c r="C868">
        <f t="shared" si="245"/>
        <v>-49.391304347825795</v>
      </c>
      <c r="D868">
        <v>234.43984551913201</v>
      </c>
      <c r="E868">
        <f t="shared" si="246"/>
        <v>0</v>
      </c>
      <c r="F868">
        <f t="shared" si="247"/>
        <v>4.8605058816845369E-2</v>
      </c>
      <c r="G868">
        <f t="shared" si="248"/>
        <v>39.513748498891111</v>
      </c>
      <c r="H868">
        <f t="shared" si="249"/>
        <v>0</v>
      </c>
      <c r="I868" s="1">
        <f t="shared" si="260"/>
        <v>0</v>
      </c>
      <c r="J868">
        <f t="shared" si="250"/>
        <v>0</v>
      </c>
      <c r="K868">
        <f t="shared" si="251"/>
        <v>0</v>
      </c>
      <c r="L868" cm="1">
        <f t="array" ref="L868">IF(E868*J868=0,0,$C$21*INDEX([3]Sheet1!$C$4:$Q$23,MATCH(K868,[3]Sheet1!$B$4:$B$23,1),MATCH(D868,[3]Sheet1!$C$3:$Q$3,1))
+(K868-INDEX([3]Sheet1!$B$4:$B$23,MATCH(K868,[3]Sheet1!$B$4:$B$23,1),1))/(INDEX([3]Sheet1!$B$4:$B$23,MATCH(K868,[3]Sheet1!$B$4:$B$23,1)+1,1)-INDEX([3]Sheet1!$B$4:$B$23,
MATCH(K868,[3]Sheet1!$B$4:$B$23,1),1))*(INDEX([3]Sheet1!$C$4:$Q$23,MATCH(K868,[3]Sheet1!$B$4:$B$23,1)+1,MATCH(D868,[3]Sheet1!$C$3:$Q$3,1))-INDEX([3]Sheet1!$C$4:$Q$23,
MATCH(K868,[3]Sheet1!$B$4:$B$23,1),MATCH(D868,[3]Sheet1!$C$3:$Q$3,1)))
+(D868-INDEX([3]Sheet1!$C$3:$Q$3,1,MATCH(D868,[3]Sheet1!$C$3:$Q$3)))/(INDEX([3]Sheet1!$C$3:$Q$3,1,MATCH(D868,[3]Sheet1!$C$3:$Q$3)+1)-INDEX([3]Sheet1!$C$3:$Q$3,1,MATCH(
D868,[3]Sheet1!$C$3:$Q$3)))*(INDEX([3]Sheet1!$C$4:$Q$23,MATCH(K868,[3]Sheet1!$B$4:$B$23,1),MATCH(D868,[3]Sheet1!$C$3:$Q$3,1)+1)-INDEX([3]Sheet1!$C$4:$Q$23,MATCH(K868,[3]Sheet1!$B$4:$B$23,1),MATCH(D868,[3]Sheet1!$C$3:$Q$3,1))))</f>
        <v>0</v>
      </c>
      <c r="M868" cm="1">
        <f t="array" ref="M868" xml:space="preserve"> IF(E868*J868=0,0,(INDEX([2]Sheet1!$C$4:$Q$23,MATCH(K868,[2]Sheet1!$B$4:$B$23,1),MATCH(D868,[2]Sheet1!$C$3:$Q$3,1))
+ (K868 - INDEX([2]Sheet1!$B$4:$B$23,MATCH(K868,[2]Sheet1!$B$4:$B$23,1),1))/(INDEX([2]Sheet1!$B$4:$B$23,MATCH(K868,[2]Sheet1!$B$4:$B$23,1)+1,1) - INDEX([2]Sheet1!$B$4:$B$23,MATCH(K868,[2]Sheet1!$B$4:$B$23,1),1))*(INDEX([2]Sheet1!$C$4:$Q$23,MATCH(K868,[2]Sheet1!$B$4:$B$23,1)+1,MATCH(D868,[2]Sheet1!$C$3:$Q$3,1)) - INDEX([2]Sheet1!$C$4:$Q$23,MATCH(K868,[2]Sheet1!$B$4:$B$23,1),MATCH(D868,[2]Sheet1!$C$3:$Q$3,1)))
+ (D868 - INDEX([2]Sheet1!$C$3:$Q$3,1,MATCH(D868,[2]Sheet1!$C$3:$Q$3)))/(INDEX([2]Sheet1!$C$3:$Q$3,1,MATCH(D868,[2]Sheet1!$C$3:$Q$3)+1) - INDEX([2]Sheet1!$C$3:$Q$3,1,MATCH(D868,[2]Sheet1!$C$3:$Q$3)))*(
INDEX([2]Sheet1!$C$4:$Q$23,MATCH(K868,[2]Sheet1!$B$4:$B$23,1),MATCH(D868,[2]Sheet1!$C$3:$Q$3,1)+1) - INDEX([2]Sheet1!$C$4:$Q$23,MATCH(K868,[2]Sheet1!$B$4:$B$23,1),MATCH(D868,[2]Sheet1!$C$3:$Q$3,1)))))</f>
        <v>0</v>
      </c>
      <c r="N868">
        <f t="shared" si="252"/>
        <v>12</v>
      </c>
      <c r="O868">
        <v>234.02450568394099</v>
      </c>
      <c r="P868" t="e">
        <f t="shared" si="253"/>
        <v>#DIV/0!</v>
      </c>
      <c r="Q868">
        <f t="shared" si="254"/>
        <v>0</v>
      </c>
      <c r="R868">
        <f t="shared" si="255"/>
        <v>741.9099431943954</v>
      </c>
      <c r="T868" t="e">
        <f t="shared" si="256"/>
        <v>#DIV/0!</v>
      </c>
      <c r="U868" t="e">
        <f t="shared" si="257"/>
        <v>#DIV/0!</v>
      </c>
      <c r="V868">
        <f t="shared" si="258"/>
        <v>0</v>
      </c>
      <c r="W868" t="e">
        <f t="shared" si="259"/>
        <v>#DIV/0!</v>
      </c>
    </row>
    <row r="869" spans="1:23" x14ac:dyDescent="0.55000000000000004">
      <c r="A869">
        <f t="shared" si="261"/>
        <v>83.499999999999531</v>
      </c>
      <c r="B869">
        <f t="shared" si="244"/>
        <v>0.316</v>
      </c>
      <c r="C869">
        <f t="shared" si="245"/>
        <v>-49.456521739130132</v>
      </c>
      <c r="D869">
        <v>235.43984551913201</v>
      </c>
      <c r="E869">
        <f t="shared" si="246"/>
        <v>0</v>
      </c>
      <c r="F869">
        <f t="shared" si="247"/>
        <v>4.8605058816845369E-2</v>
      </c>
      <c r="G869">
        <f t="shared" si="248"/>
        <v>39.513748498891111</v>
      </c>
      <c r="H869">
        <f t="shared" si="249"/>
        <v>0</v>
      </c>
      <c r="I869" s="1">
        <f t="shared" si="260"/>
        <v>0</v>
      </c>
      <c r="J869">
        <f t="shared" si="250"/>
        <v>0</v>
      </c>
      <c r="K869">
        <f t="shared" si="251"/>
        <v>0</v>
      </c>
      <c r="L869" cm="1">
        <f t="array" ref="L869">IF(E869*J869=0,0,$C$21*INDEX([3]Sheet1!$C$4:$Q$23,MATCH(K869,[3]Sheet1!$B$4:$B$23,1),MATCH(D869,[3]Sheet1!$C$3:$Q$3,1))
+(K869-INDEX([3]Sheet1!$B$4:$B$23,MATCH(K869,[3]Sheet1!$B$4:$B$23,1),1))/(INDEX([3]Sheet1!$B$4:$B$23,MATCH(K869,[3]Sheet1!$B$4:$B$23,1)+1,1)-INDEX([3]Sheet1!$B$4:$B$23,
MATCH(K869,[3]Sheet1!$B$4:$B$23,1),1))*(INDEX([3]Sheet1!$C$4:$Q$23,MATCH(K869,[3]Sheet1!$B$4:$B$23,1)+1,MATCH(D869,[3]Sheet1!$C$3:$Q$3,1))-INDEX([3]Sheet1!$C$4:$Q$23,
MATCH(K869,[3]Sheet1!$B$4:$B$23,1),MATCH(D869,[3]Sheet1!$C$3:$Q$3,1)))
+(D869-INDEX([3]Sheet1!$C$3:$Q$3,1,MATCH(D869,[3]Sheet1!$C$3:$Q$3)))/(INDEX([3]Sheet1!$C$3:$Q$3,1,MATCH(D869,[3]Sheet1!$C$3:$Q$3)+1)-INDEX([3]Sheet1!$C$3:$Q$3,1,MATCH(
D869,[3]Sheet1!$C$3:$Q$3)))*(INDEX([3]Sheet1!$C$4:$Q$23,MATCH(K869,[3]Sheet1!$B$4:$B$23,1),MATCH(D869,[3]Sheet1!$C$3:$Q$3,1)+1)-INDEX([3]Sheet1!$C$4:$Q$23,MATCH(K869,[3]Sheet1!$B$4:$B$23,1),MATCH(D869,[3]Sheet1!$C$3:$Q$3,1))))</f>
        <v>0</v>
      </c>
      <c r="M869" cm="1">
        <f t="array" ref="M869" xml:space="preserve"> IF(E869*J869=0,0,(INDEX([2]Sheet1!$C$4:$Q$23,MATCH(K869,[2]Sheet1!$B$4:$B$23,1),MATCH(D869,[2]Sheet1!$C$3:$Q$3,1))
+ (K869 - INDEX([2]Sheet1!$B$4:$B$23,MATCH(K869,[2]Sheet1!$B$4:$B$23,1),1))/(INDEX([2]Sheet1!$B$4:$B$23,MATCH(K869,[2]Sheet1!$B$4:$B$23,1)+1,1) - INDEX([2]Sheet1!$B$4:$B$23,MATCH(K869,[2]Sheet1!$B$4:$B$23,1),1))*(INDEX([2]Sheet1!$C$4:$Q$23,MATCH(K869,[2]Sheet1!$B$4:$B$23,1)+1,MATCH(D869,[2]Sheet1!$C$3:$Q$3,1)) - INDEX([2]Sheet1!$C$4:$Q$23,MATCH(K869,[2]Sheet1!$B$4:$B$23,1),MATCH(D869,[2]Sheet1!$C$3:$Q$3,1)))
+ (D869 - INDEX([2]Sheet1!$C$3:$Q$3,1,MATCH(D869,[2]Sheet1!$C$3:$Q$3)))/(INDEX([2]Sheet1!$C$3:$Q$3,1,MATCH(D869,[2]Sheet1!$C$3:$Q$3)+1) - INDEX([2]Sheet1!$C$3:$Q$3,1,MATCH(D869,[2]Sheet1!$C$3:$Q$3)))*(
INDEX([2]Sheet1!$C$4:$Q$23,MATCH(K869,[2]Sheet1!$B$4:$B$23,1),MATCH(D869,[2]Sheet1!$C$3:$Q$3,1)+1) - INDEX([2]Sheet1!$C$4:$Q$23,MATCH(K869,[2]Sheet1!$B$4:$B$23,1),MATCH(D869,[2]Sheet1!$C$3:$Q$3,1)))))</f>
        <v>0</v>
      </c>
      <c r="N869">
        <f t="shared" si="252"/>
        <v>12</v>
      </c>
      <c r="O869">
        <v>235.02450568394099</v>
      </c>
      <c r="P869" t="e">
        <f t="shared" si="253"/>
        <v>#DIV/0!</v>
      </c>
      <c r="Q869">
        <f t="shared" si="254"/>
        <v>0</v>
      </c>
      <c r="R869">
        <f t="shared" si="255"/>
        <v>741.9099431943954</v>
      </c>
      <c r="T869" t="e">
        <f t="shared" si="256"/>
        <v>#DIV/0!</v>
      </c>
      <c r="U869" t="e">
        <f t="shared" si="257"/>
        <v>#DIV/0!</v>
      </c>
      <c r="V869">
        <f t="shared" si="258"/>
        <v>0</v>
      </c>
      <c r="W869" t="e">
        <f t="shared" si="259"/>
        <v>#DIV/0!</v>
      </c>
    </row>
    <row r="870" spans="1:23" x14ac:dyDescent="0.55000000000000004">
      <c r="A870">
        <f t="shared" si="261"/>
        <v>83.599999999999525</v>
      </c>
      <c r="B870">
        <f t="shared" ref="B870:B933" si="262">IF(B869+(E869+E868)*(A869-A868)/2&lt;$C$5*$C$6*10^-6,B869+(E869+E868)*(A869-A868)/2,$C$5*$C$6*10^-6)</f>
        <v>0.316</v>
      </c>
      <c r="C870">
        <f t="shared" si="245"/>
        <v>-49.521739130434483</v>
      </c>
      <c r="D870">
        <v>236.43984551913201</v>
      </c>
      <c r="E870">
        <f t="shared" si="246"/>
        <v>0</v>
      </c>
      <c r="F870">
        <f t="shared" si="247"/>
        <v>4.8605058816845369E-2</v>
      </c>
      <c r="G870">
        <f t="shared" si="248"/>
        <v>39.513748498891111</v>
      </c>
      <c r="H870">
        <f t="shared" si="249"/>
        <v>0</v>
      </c>
      <c r="I870" s="1">
        <f t="shared" si="260"/>
        <v>0</v>
      </c>
      <c r="J870">
        <f t="shared" si="250"/>
        <v>0</v>
      </c>
      <c r="K870">
        <f t="shared" si="251"/>
        <v>0</v>
      </c>
      <c r="L870" cm="1">
        <f t="array" ref="L870">IF(E870*J870=0,0,$C$21*INDEX([3]Sheet1!$C$4:$Q$23,MATCH(K870,[3]Sheet1!$B$4:$B$23,1),MATCH(D870,[3]Sheet1!$C$3:$Q$3,1))
+(K870-INDEX([3]Sheet1!$B$4:$B$23,MATCH(K870,[3]Sheet1!$B$4:$B$23,1),1))/(INDEX([3]Sheet1!$B$4:$B$23,MATCH(K870,[3]Sheet1!$B$4:$B$23,1)+1,1)-INDEX([3]Sheet1!$B$4:$B$23,
MATCH(K870,[3]Sheet1!$B$4:$B$23,1),1))*(INDEX([3]Sheet1!$C$4:$Q$23,MATCH(K870,[3]Sheet1!$B$4:$B$23,1)+1,MATCH(D870,[3]Sheet1!$C$3:$Q$3,1))-INDEX([3]Sheet1!$C$4:$Q$23,
MATCH(K870,[3]Sheet1!$B$4:$B$23,1),MATCH(D870,[3]Sheet1!$C$3:$Q$3,1)))
+(D870-INDEX([3]Sheet1!$C$3:$Q$3,1,MATCH(D870,[3]Sheet1!$C$3:$Q$3)))/(INDEX([3]Sheet1!$C$3:$Q$3,1,MATCH(D870,[3]Sheet1!$C$3:$Q$3)+1)-INDEX([3]Sheet1!$C$3:$Q$3,1,MATCH(
D870,[3]Sheet1!$C$3:$Q$3)))*(INDEX([3]Sheet1!$C$4:$Q$23,MATCH(K870,[3]Sheet1!$B$4:$B$23,1),MATCH(D870,[3]Sheet1!$C$3:$Q$3,1)+1)-INDEX([3]Sheet1!$C$4:$Q$23,MATCH(K870,[3]Sheet1!$B$4:$B$23,1),MATCH(D870,[3]Sheet1!$C$3:$Q$3,1))))</f>
        <v>0</v>
      </c>
      <c r="M870" cm="1">
        <f t="array" ref="M870" xml:space="preserve"> IF(E870*J870=0,0,(INDEX([2]Sheet1!$C$4:$Q$23,MATCH(K870,[2]Sheet1!$B$4:$B$23,1),MATCH(D870,[2]Sheet1!$C$3:$Q$3,1))
+ (K870 - INDEX([2]Sheet1!$B$4:$B$23,MATCH(K870,[2]Sheet1!$B$4:$B$23,1),1))/(INDEX([2]Sheet1!$B$4:$B$23,MATCH(K870,[2]Sheet1!$B$4:$B$23,1)+1,1) - INDEX([2]Sheet1!$B$4:$B$23,MATCH(K870,[2]Sheet1!$B$4:$B$23,1),1))*(INDEX([2]Sheet1!$C$4:$Q$23,MATCH(K870,[2]Sheet1!$B$4:$B$23,1)+1,MATCH(D870,[2]Sheet1!$C$3:$Q$3,1)) - INDEX([2]Sheet1!$C$4:$Q$23,MATCH(K870,[2]Sheet1!$B$4:$B$23,1),MATCH(D870,[2]Sheet1!$C$3:$Q$3,1)))
+ (D870 - INDEX([2]Sheet1!$C$3:$Q$3,1,MATCH(D870,[2]Sheet1!$C$3:$Q$3)))/(INDEX([2]Sheet1!$C$3:$Q$3,1,MATCH(D870,[2]Sheet1!$C$3:$Q$3)+1) - INDEX([2]Sheet1!$C$3:$Q$3,1,MATCH(D870,[2]Sheet1!$C$3:$Q$3)))*(
INDEX([2]Sheet1!$C$4:$Q$23,MATCH(K870,[2]Sheet1!$B$4:$B$23,1),MATCH(D870,[2]Sheet1!$C$3:$Q$3,1)+1) - INDEX([2]Sheet1!$C$4:$Q$23,MATCH(K870,[2]Sheet1!$B$4:$B$23,1),MATCH(D870,[2]Sheet1!$C$3:$Q$3,1)))))</f>
        <v>0</v>
      </c>
      <c r="N870">
        <f t="shared" si="252"/>
        <v>12</v>
      </c>
      <c r="O870">
        <v>236.02450568394099</v>
      </c>
      <c r="P870" t="e">
        <f t="shared" si="253"/>
        <v>#DIV/0!</v>
      </c>
      <c r="Q870">
        <f t="shared" si="254"/>
        <v>0</v>
      </c>
      <c r="R870">
        <f t="shared" si="255"/>
        <v>741.9099431943954</v>
      </c>
      <c r="T870" t="e">
        <f t="shared" si="256"/>
        <v>#DIV/0!</v>
      </c>
      <c r="U870" t="e">
        <f t="shared" si="257"/>
        <v>#DIV/0!</v>
      </c>
      <c r="V870">
        <f t="shared" si="258"/>
        <v>0</v>
      </c>
      <c r="W870" t="e">
        <f t="shared" si="259"/>
        <v>#DIV/0!</v>
      </c>
    </row>
    <row r="871" spans="1:23" x14ac:dyDescent="0.55000000000000004">
      <c r="A871">
        <f t="shared" si="261"/>
        <v>83.69999999999952</v>
      </c>
      <c r="B871">
        <f t="shared" si="262"/>
        <v>0.316</v>
      </c>
      <c r="C871">
        <f t="shared" si="245"/>
        <v>-49.58695652173882</v>
      </c>
      <c r="D871">
        <v>237.43984551913201</v>
      </c>
      <c r="E871">
        <f t="shared" si="246"/>
        <v>0</v>
      </c>
      <c r="F871">
        <f t="shared" si="247"/>
        <v>4.8605058816845369E-2</v>
      </c>
      <c r="G871">
        <f t="shared" si="248"/>
        <v>39.513748498891111</v>
      </c>
      <c r="H871">
        <f t="shared" si="249"/>
        <v>0</v>
      </c>
      <c r="I871" s="1">
        <f t="shared" si="260"/>
        <v>0</v>
      </c>
      <c r="J871">
        <f t="shared" si="250"/>
        <v>0</v>
      </c>
      <c r="K871">
        <f t="shared" si="251"/>
        <v>0</v>
      </c>
      <c r="L871" cm="1">
        <f t="array" ref="L871">IF(E871*J871=0,0,$C$21*INDEX([3]Sheet1!$C$4:$Q$23,MATCH(K871,[3]Sheet1!$B$4:$B$23,1),MATCH(D871,[3]Sheet1!$C$3:$Q$3,1))
+(K871-INDEX([3]Sheet1!$B$4:$B$23,MATCH(K871,[3]Sheet1!$B$4:$B$23,1),1))/(INDEX([3]Sheet1!$B$4:$B$23,MATCH(K871,[3]Sheet1!$B$4:$B$23,1)+1,1)-INDEX([3]Sheet1!$B$4:$B$23,
MATCH(K871,[3]Sheet1!$B$4:$B$23,1),1))*(INDEX([3]Sheet1!$C$4:$Q$23,MATCH(K871,[3]Sheet1!$B$4:$B$23,1)+1,MATCH(D871,[3]Sheet1!$C$3:$Q$3,1))-INDEX([3]Sheet1!$C$4:$Q$23,
MATCH(K871,[3]Sheet1!$B$4:$B$23,1),MATCH(D871,[3]Sheet1!$C$3:$Q$3,1)))
+(D871-INDEX([3]Sheet1!$C$3:$Q$3,1,MATCH(D871,[3]Sheet1!$C$3:$Q$3)))/(INDEX([3]Sheet1!$C$3:$Q$3,1,MATCH(D871,[3]Sheet1!$C$3:$Q$3)+1)-INDEX([3]Sheet1!$C$3:$Q$3,1,MATCH(
D871,[3]Sheet1!$C$3:$Q$3)))*(INDEX([3]Sheet1!$C$4:$Q$23,MATCH(K871,[3]Sheet1!$B$4:$B$23,1),MATCH(D871,[3]Sheet1!$C$3:$Q$3,1)+1)-INDEX([3]Sheet1!$C$4:$Q$23,MATCH(K871,[3]Sheet1!$B$4:$B$23,1),MATCH(D871,[3]Sheet1!$C$3:$Q$3,1))))</f>
        <v>0</v>
      </c>
      <c r="M871" cm="1">
        <f t="array" ref="M871" xml:space="preserve"> IF(E871*J871=0,0,(INDEX([2]Sheet1!$C$4:$Q$23,MATCH(K871,[2]Sheet1!$B$4:$B$23,1),MATCH(D871,[2]Sheet1!$C$3:$Q$3,1))
+ (K871 - INDEX([2]Sheet1!$B$4:$B$23,MATCH(K871,[2]Sheet1!$B$4:$B$23,1),1))/(INDEX([2]Sheet1!$B$4:$B$23,MATCH(K871,[2]Sheet1!$B$4:$B$23,1)+1,1) - INDEX([2]Sheet1!$B$4:$B$23,MATCH(K871,[2]Sheet1!$B$4:$B$23,1),1))*(INDEX([2]Sheet1!$C$4:$Q$23,MATCH(K871,[2]Sheet1!$B$4:$B$23,1)+1,MATCH(D871,[2]Sheet1!$C$3:$Q$3,1)) - INDEX([2]Sheet1!$C$4:$Q$23,MATCH(K871,[2]Sheet1!$B$4:$B$23,1),MATCH(D871,[2]Sheet1!$C$3:$Q$3,1)))
+ (D871 - INDEX([2]Sheet1!$C$3:$Q$3,1,MATCH(D871,[2]Sheet1!$C$3:$Q$3)))/(INDEX([2]Sheet1!$C$3:$Q$3,1,MATCH(D871,[2]Sheet1!$C$3:$Q$3)+1) - INDEX([2]Sheet1!$C$3:$Q$3,1,MATCH(D871,[2]Sheet1!$C$3:$Q$3)))*(
INDEX([2]Sheet1!$C$4:$Q$23,MATCH(K871,[2]Sheet1!$B$4:$B$23,1),MATCH(D871,[2]Sheet1!$C$3:$Q$3,1)+1) - INDEX([2]Sheet1!$C$4:$Q$23,MATCH(K871,[2]Sheet1!$B$4:$B$23,1),MATCH(D871,[2]Sheet1!$C$3:$Q$3,1)))))</f>
        <v>0</v>
      </c>
      <c r="N871">
        <f t="shared" si="252"/>
        <v>12</v>
      </c>
      <c r="O871">
        <v>237.02450568394099</v>
      </c>
      <c r="P871" t="e">
        <f t="shared" si="253"/>
        <v>#DIV/0!</v>
      </c>
      <c r="Q871">
        <f t="shared" si="254"/>
        <v>0</v>
      </c>
      <c r="R871">
        <f t="shared" si="255"/>
        <v>741.9099431943954</v>
      </c>
      <c r="T871" t="e">
        <f t="shared" si="256"/>
        <v>#DIV/0!</v>
      </c>
      <c r="U871" t="e">
        <f t="shared" si="257"/>
        <v>#DIV/0!</v>
      </c>
      <c r="V871">
        <f t="shared" si="258"/>
        <v>0</v>
      </c>
      <c r="W871" t="e">
        <f t="shared" si="259"/>
        <v>#DIV/0!</v>
      </c>
    </row>
    <row r="872" spans="1:23" x14ac:dyDescent="0.55000000000000004">
      <c r="A872">
        <f t="shared" si="261"/>
        <v>83.799999999999514</v>
      </c>
      <c r="B872">
        <f t="shared" si="262"/>
        <v>0.316</v>
      </c>
      <c r="C872">
        <f t="shared" si="245"/>
        <v>-49.652173913043171</v>
      </c>
      <c r="D872">
        <v>238.43984551913201</v>
      </c>
      <c r="E872">
        <f t="shared" si="246"/>
        <v>0</v>
      </c>
      <c r="F872">
        <f t="shared" si="247"/>
        <v>4.8605058816845369E-2</v>
      </c>
      <c r="G872">
        <f t="shared" si="248"/>
        <v>39.513748498891111</v>
      </c>
      <c r="H872">
        <f t="shared" si="249"/>
        <v>0</v>
      </c>
      <c r="I872" s="1">
        <f t="shared" si="260"/>
        <v>0</v>
      </c>
      <c r="J872">
        <f t="shared" si="250"/>
        <v>0</v>
      </c>
      <c r="K872">
        <f t="shared" si="251"/>
        <v>0</v>
      </c>
      <c r="L872" cm="1">
        <f t="array" ref="L872">IF(E872*J872=0,0,$C$21*INDEX([3]Sheet1!$C$4:$Q$23,MATCH(K872,[3]Sheet1!$B$4:$B$23,1),MATCH(D872,[3]Sheet1!$C$3:$Q$3,1))
+(K872-INDEX([3]Sheet1!$B$4:$B$23,MATCH(K872,[3]Sheet1!$B$4:$B$23,1),1))/(INDEX([3]Sheet1!$B$4:$B$23,MATCH(K872,[3]Sheet1!$B$4:$B$23,1)+1,1)-INDEX([3]Sheet1!$B$4:$B$23,
MATCH(K872,[3]Sheet1!$B$4:$B$23,1),1))*(INDEX([3]Sheet1!$C$4:$Q$23,MATCH(K872,[3]Sheet1!$B$4:$B$23,1)+1,MATCH(D872,[3]Sheet1!$C$3:$Q$3,1))-INDEX([3]Sheet1!$C$4:$Q$23,
MATCH(K872,[3]Sheet1!$B$4:$B$23,1),MATCH(D872,[3]Sheet1!$C$3:$Q$3,1)))
+(D872-INDEX([3]Sheet1!$C$3:$Q$3,1,MATCH(D872,[3]Sheet1!$C$3:$Q$3)))/(INDEX([3]Sheet1!$C$3:$Q$3,1,MATCH(D872,[3]Sheet1!$C$3:$Q$3)+1)-INDEX([3]Sheet1!$C$3:$Q$3,1,MATCH(
D872,[3]Sheet1!$C$3:$Q$3)))*(INDEX([3]Sheet1!$C$4:$Q$23,MATCH(K872,[3]Sheet1!$B$4:$B$23,1),MATCH(D872,[3]Sheet1!$C$3:$Q$3,1)+1)-INDEX([3]Sheet1!$C$4:$Q$23,MATCH(K872,[3]Sheet1!$B$4:$B$23,1),MATCH(D872,[3]Sheet1!$C$3:$Q$3,1))))</f>
        <v>0</v>
      </c>
      <c r="M872" cm="1">
        <f t="array" ref="M872" xml:space="preserve"> IF(E872*J872=0,0,(INDEX([2]Sheet1!$C$4:$Q$23,MATCH(K872,[2]Sheet1!$B$4:$B$23,1),MATCH(D872,[2]Sheet1!$C$3:$Q$3,1))
+ (K872 - INDEX([2]Sheet1!$B$4:$B$23,MATCH(K872,[2]Sheet1!$B$4:$B$23,1),1))/(INDEX([2]Sheet1!$B$4:$B$23,MATCH(K872,[2]Sheet1!$B$4:$B$23,1)+1,1) - INDEX([2]Sheet1!$B$4:$B$23,MATCH(K872,[2]Sheet1!$B$4:$B$23,1),1))*(INDEX([2]Sheet1!$C$4:$Q$23,MATCH(K872,[2]Sheet1!$B$4:$B$23,1)+1,MATCH(D872,[2]Sheet1!$C$3:$Q$3,1)) - INDEX([2]Sheet1!$C$4:$Q$23,MATCH(K872,[2]Sheet1!$B$4:$B$23,1),MATCH(D872,[2]Sheet1!$C$3:$Q$3,1)))
+ (D872 - INDEX([2]Sheet1!$C$3:$Q$3,1,MATCH(D872,[2]Sheet1!$C$3:$Q$3)))/(INDEX([2]Sheet1!$C$3:$Q$3,1,MATCH(D872,[2]Sheet1!$C$3:$Q$3)+1) - INDEX([2]Sheet1!$C$3:$Q$3,1,MATCH(D872,[2]Sheet1!$C$3:$Q$3)))*(
INDEX([2]Sheet1!$C$4:$Q$23,MATCH(K872,[2]Sheet1!$B$4:$B$23,1),MATCH(D872,[2]Sheet1!$C$3:$Q$3,1)+1) - INDEX([2]Sheet1!$C$4:$Q$23,MATCH(K872,[2]Sheet1!$B$4:$B$23,1),MATCH(D872,[2]Sheet1!$C$3:$Q$3,1)))))</f>
        <v>0</v>
      </c>
      <c r="N872">
        <f t="shared" si="252"/>
        <v>12</v>
      </c>
      <c r="O872">
        <v>238.02450568394099</v>
      </c>
      <c r="P872" t="e">
        <f t="shared" si="253"/>
        <v>#DIV/0!</v>
      </c>
      <c r="Q872">
        <f t="shared" si="254"/>
        <v>0</v>
      </c>
      <c r="R872">
        <f t="shared" si="255"/>
        <v>741.9099431943954</v>
      </c>
      <c r="T872" t="e">
        <f t="shared" si="256"/>
        <v>#DIV/0!</v>
      </c>
      <c r="U872" t="e">
        <f t="shared" si="257"/>
        <v>#DIV/0!</v>
      </c>
      <c r="V872">
        <f t="shared" si="258"/>
        <v>0</v>
      </c>
      <c r="W872" t="e">
        <f t="shared" si="259"/>
        <v>#DIV/0!</v>
      </c>
    </row>
    <row r="873" spans="1:23" x14ac:dyDescent="0.55000000000000004">
      <c r="A873">
        <f t="shared" si="261"/>
        <v>83.899999999999508</v>
      </c>
      <c r="B873">
        <f t="shared" si="262"/>
        <v>0.316</v>
      </c>
      <c r="C873">
        <f t="shared" si="245"/>
        <v>-49.717391304347508</v>
      </c>
      <c r="D873">
        <v>239.43984551913201</v>
      </c>
      <c r="E873">
        <f t="shared" si="246"/>
        <v>0</v>
      </c>
      <c r="F873">
        <f t="shared" si="247"/>
        <v>4.8605058816845369E-2</v>
      </c>
      <c r="G873">
        <f t="shared" si="248"/>
        <v>39.513748498891111</v>
      </c>
      <c r="H873">
        <f t="shared" si="249"/>
        <v>0</v>
      </c>
      <c r="I873" s="1">
        <f t="shared" si="260"/>
        <v>0</v>
      </c>
      <c r="J873">
        <f t="shared" si="250"/>
        <v>0</v>
      </c>
      <c r="K873">
        <f t="shared" si="251"/>
        <v>0</v>
      </c>
      <c r="L873" cm="1">
        <f t="array" ref="L873">IF(E873*J873=0,0,$C$21*INDEX([3]Sheet1!$C$4:$Q$23,MATCH(K873,[3]Sheet1!$B$4:$B$23,1),MATCH(D873,[3]Sheet1!$C$3:$Q$3,1))
+(K873-INDEX([3]Sheet1!$B$4:$B$23,MATCH(K873,[3]Sheet1!$B$4:$B$23,1),1))/(INDEX([3]Sheet1!$B$4:$B$23,MATCH(K873,[3]Sheet1!$B$4:$B$23,1)+1,1)-INDEX([3]Sheet1!$B$4:$B$23,
MATCH(K873,[3]Sheet1!$B$4:$B$23,1),1))*(INDEX([3]Sheet1!$C$4:$Q$23,MATCH(K873,[3]Sheet1!$B$4:$B$23,1)+1,MATCH(D873,[3]Sheet1!$C$3:$Q$3,1))-INDEX([3]Sheet1!$C$4:$Q$23,
MATCH(K873,[3]Sheet1!$B$4:$B$23,1),MATCH(D873,[3]Sheet1!$C$3:$Q$3,1)))
+(D873-INDEX([3]Sheet1!$C$3:$Q$3,1,MATCH(D873,[3]Sheet1!$C$3:$Q$3)))/(INDEX([3]Sheet1!$C$3:$Q$3,1,MATCH(D873,[3]Sheet1!$C$3:$Q$3)+1)-INDEX([3]Sheet1!$C$3:$Q$3,1,MATCH(
D873,[3]Sheet1!$C$3:$Q$3)))*(INDEX([3]Sheet1!$C$4:$Q$23,MATCH(K873,[3]Sheet1!$B$4:$B$23,1),MATCH(D873,[3]Sheet1!$C$3:$Q$3,1)+1)-INDEX([3]Sheet1!$C$4:$Q$23,MATCH(K873,[3]Sheet1!$B$4:$B$23,1),MATCH(D873,[3]Sheet1!$C$3:$Q$3,1))))</f>
        <v>0</v>
      </c>
      <c r="M873" cm="1">
        <f t="array" ref="M873" xml:space="preserve"> IF(E873*J873=0,0,(INDEX([2]Sheet1!$C$4:$Q$23,MATCH(K873,[2]Sheet1!$B$4:$B$23,1),MATCH(D873,[2]Sheet1!$C$3:$Q$3,1))
+ (K873 - INDEX([2]Sheet1!$B$4:$B$23,MATCH(K873,[2]Sheet1!$B$4:$B$23,1),1))/(INDEX([2]Sheet1!$B$4:$B$23,MATCH(K873,[2]Sheet1!$B$4:$B$23,1)+1,1) - INDEX([2]Sheet1!$B$4:$B$23,MATCH(K873,[2]Sheet1!$B$4:$B$23,1),1))*(INDEX([2]Sheet1!$C$4:$Q$23,MATCH(K873,[2]Sheet1!$B$4:$B$23,1)+1,MATCH(D873,[2]Sheet1!$C$3:$Q$3,1)) - INDEX([2]Sheet1!$C$4:$Q$23,MATCH(K873,[2]Sheet1!$B$4:$B$23,1),MATCH(D873,[2]Sheet1!$C$3:$Q$3,1)))
+ (D873 - INDEX([2]Sheet1!$C$3:$Q$3,1,MATCH(D873,[2]Sheet1!$C$3:$Q$3)))/(INDEX([2]Sheet1!$C$3:$Q$3,1,MATCH(D873,[2]Sheet1!$C$3:$Q$3)+1) - INDEX([2]Sheet1!$C$3:$Q$3,1,MATCH(D873,[2]Sheet1!$C$3:$Q$3)))*(
INDEX([2]Sheet1!$C$4:$Q$23,MATCH(K873,[2]Sheet1!$B$4:$B$23,1),MATCH(D873,[2]Sheet1!$C$3:$Q$3,1)+1) - INDEX([2]Sheet1!$C$4:$Q$23,MATCH(K873,[2]Sheet1!$B$4:$B$23,1),MATCH(D873,[2]Sheet1!$C$3:$Q$3,1)))))</f>
        <v>0</v>
      </c>
      <c r="N873">
        <f t="shared" si="252"/>
        <v>12</v>
      </c>
      <c r="O873">
        <v>239.02450568394099</v>
      </c>
      <c r="P873" t="e">
        <f t="shared" si="253"/>
        <v>#DIV/0!</v>
      </c>
      <c r="Q873">
        <f t="shared" si="254"/>
        <v>0</v>
      </c>
      <c r="R873">
        <f t="shared" si="255"/>
        <v>741.9099431943954</v>
      </c>
      <c r="T873" t="e">
        <f t="shared" si="256"/>
        <v>#DIV/0!</v>
      </c>
      <c r="U873" t="e">
        <f t="shared" si="257"/>
        <v>#DIV/0!</v>
      </c>
      <c r="V873">
        <f t="shared" si="258"/>
        <v>0</v>
      </c>
      <c r="W873" t="e">
        <f t="shared" si="259"/>
        <v>#DIV/0!</v>
      </c>
    </row>
    <row r="874" spans="1:23" x14ac:dyDescent="0.55000000000000004">
      <c r="A874">
        <f t="shared" si="261"/>
        <v>83.999999999999503</v>
      </c>
      <c r="B874">
        <f t="shared" si="262"/>
        <v>0.316</v>
      </c>
      <c r="C874">
        <f t="shared" si="245"/>
        <v>-49.782608695651859</v>
      </c>
      <c r="D874">
        <v>240.43984551913201</v>
      </c>
      <c r="E874">
        <f t="shared" si="246"/>
        <v>0</v>
      </c>
      <c r="F874">
        <f t="shared" si="247"/>
        <v>4.8605058816845369E-2</v>
      </c>
      <c r="G874">
        <f t="shared" si="248"/>
        <v>39.513748498891111</v>
      </c>
      <c r="H874">
        <f t="shared" si="249"/>
        <v>0</v>
      </c>
      <c r="I874" s="1">
        <f t="shared" si="260"/>
        <v>0</v>
      </c>
      <c r="J874">
        <f t="shared" si="250"/>
        <v>0</v>
      </c>
      <c r="K874">
        <f t="shared" si="251"/>
        <v>0</v>
      </c>
      <c r="L874" cm="1">
        <f t="array" ref="L874">IF(E874*J874=0,0,$C$21*INDEX([3]Sheet1!$C$4:$Q$23,MATCH(K874,[3]Sheet1!$B$4:$B$23,1),MATCH(D874,[3]Sheet1!$C$3:$Q$3,1))
+(K874-INDEX([3]Sheet1!$B$4:$B$23,MATCH(K874,[3]Sheet1!$B$4:$B$23,1),1))/(INDEX([3]Sheet1!$B$4:$B$23,MATCH(K874,[3]Sheet1!$B$4:$B$23,1)+1,1)-INDEX([3]Sheet1!$B$4:$B$23,
MATCH(K874,[3]Sheet1!$B$4:$B$23,1),1))*(INDEX([3]Sheet1!$C$4:$Q$23,MATCH(K874,[3]Sheet1!$B$4:$B$23,1)+1,MATCH(D874,[3]Sheet1!$C$3:$Q$3,1))-INDEX([3]Sheet1!$C$4:$Q$23,
MATCH(K874,[3]Sheet1!$B$4:$B$23,1),MATCH(D874,[3]Sheet1!$C$3:$Q$3,1)))
+(D874-INDEX([3]Sheet1!$C$3:$Q$3,1,MATCH(D874,[3]Sheet1!$C$3:$Q$3)))/(INDEX([3]Sheet1!$C$3:$Q$3,1,MATCH(D874,[3]Sheet1!$C$3:$Q$3)+1)-INDEX([3]Sheet1!$C$3:$Q$3,1,MATCH(
D874,[3]Sheet1!$C$3:$Q$3)))*(INDEX([3]Sheet1!$C$4:$Q$23,MATCH(K874,[3]Sheet1!$B$4:$B$23,1),MATCH(D874,[3]Sheet1!$C$3:$Q$3,1)+1)-INDEX([3]Sheet1!$C$4:$Q$23,MATCH(K874,[3]Sheet1!$B$4:$B$23,1),MATCH(D874,[3]Sheet1!$C$3:$Q$3,1))))</f>
        <v>0</v>
      </c>
      <c r="M874" cm="1">
        <f t="array" ref="M874" xml:space="preserve"> IF(E874*J874=0,0,(INDEX([2]Sheet1!$C$4:$Q$23,MATCH(K874,[2]Sheet1!$B$4:$B$23,1),MATCH(D874,[2]Sheet1!$C$3:$Q$3,1))
+ (K874 - INDEX([2]Sheet1!$B$4:$B$23,MATCH(K874,[2]Sheet1!$B$4:$B$23,1),1))/(INDEX([2]Sheet1!$B$4:$B$23,MATCH(K874,[2]Sheet1!$B$4:$B$23,1)+1,1) - INDEX([2]Sheet1!$B$4:$B$23,MATCH(K874,[2]Sheet1!$B$4:$B$23,1),1))*(INDEX([2]Sheet1!$C$4:$Q$23,MATCH(K874,[2]Sheet1!$B$4:$B$23,1)+1,MATCH(D874,[2]Sheet1!$C$3:$Q$3,1)) - INDEX([2]Sheet1!$C$4:$Q$23,MATCH(K874,[2]Sheet1!$B$4:$B$23,1),MATCH(D874,[2]Sheet1!$C$3:$Q$3,1)))
+ (D874 - INDEX([2]Sheet1!$C$3:$Q$3,1,MATCH(D874,[2]Sheet1!$C$3:$Q$3)))/(INDEX([2]Sheet1!$C$3:$Q$3,1,MATCH(D874,[2]Sheet1!$C$3:$Q$3)+1) - INDEX([2]Sheet1!$C$3:$Q$3,1,MATCH(D874,[2]Sheet1!$C$3:$Q$3)))*(
INDEX([2]Sheet1!$C$4:$Q$23,MATCH(K874,[2]Sheet1!$B$4:$B$23,1),MATCH(D874,[2]Sheet1!$C$3:$Q$3,1)+1) - INDEX([2]Sheet1!$C$4:$Q$23,MATCH(K874,[2]Sheet1!$B$4:$B$23,1),MATCH(D874,[2]Sheet1!$C$3:$Q$3,1)))))</f>
        <v>0</v>
      </c>
      <c r="N874">
        <f t="shared" si="252"/>
        <v>12</v>
      </c>
      <c r="O874">
        <v>240.02450568394099</v>
      </c>
      <c r="P874" t="e">
        <f t="shared" si="253"/>
        <v>#DIV/0!</v>
      </c>
      <c r="Q874">
        <f t="shared" si="254"/>
        <v>0</v>
      </c>
      <c r="R874">
        <f t="shared" si="255"/>
        <v>741.9099431943954</v>
      </c>
      <c r="T874" t="e">
        <f t="shared" si="256"/>
        <v>#DIV/0!</v>
      </c>
      <c r="U874" t="e">
        <f t="shared" si="257"/>
        <v>#DIV/0!</v>
      </c>
      <c r="V874">
        <f t="shared" si="258"/>
        <v>0</v>
      </c>
      <c r="W874" t="e">
        <f t="shared" si="259"/>
        <v>#DIV/0!</v>
      </c>
    </row>
    <row r="875" spans="1:23" x14ac:dyDescent="0.55000000000000004">
      <c r="A875">
        <f t="shared" si="261"/>
        <v>84.099999999999497</v>
      </c>
      <c r="B875">
        <f t="shared" si="262"/>
        <v>0.316</v>
      </c>
      <c r="C875">
        <f t="shared" si="245"/>
        <v>-49.847826086956196</v>
      </c>
      <c r="D875">
        <v>241.43984551913201</v>
      </c>
      <c r="E875">
        <f t="shared" si="246"/>
        <v>0</v>
      </c>
      <c r="F875">
        <f t="shared" si="247"/>
        <v>4.8605058816845369E-2</v>
      </c>
      <c r="G875">
        <f t="shared" si="248"/>
        <v>39.513748498891111</v>
      </c>
      <c r="H875">
        <f t="shared" si="249"/>
        <v>0</v>
      </c>
      <c r="I875" s="1">
        <f t="shared" si="260"/>
        <v>0</v>
      </c>
      <c r="J875">
        <f t="shared" si="250"/>
        <v>0</v>
      </c>
      <c r="K875">
        <f t="shared" si="251"/>
        <v>0</v>
      </c>
      <c r="L875" cm="1">
        <f t="array" ref="L875">IF(E875*J875=0,0,$C$21*INDEX([3]Sheet1!$C$4:$Q$23,MATCH(K875,[3]Sheet1!$B$4:$B$23,1),MATCH(D875,[3]Sheet1!$C$3:$Q$3,1))
+(K875-INDEX([3]Sheet1!$B$4:$B$23,MATCH(K875,[3]Sheet1!$B$4:$B$23,1),1))/(INDEX([3]Sheet1!$B$4:$B$23,MATCH(K875,[3]Sheet1!$B$4:$B$23,1)+1,1)-INDEX([3]Sheet1!$B$4:$B$23,
MATCH(K875,[3]Sheet1!$B$4:$B$23,1),1))*(INDEX([3]Sheet1!$C$4:$Q$23,MATCH(K875,[3]Sheet1!$B$4:$B$23,1)+1,MATCH(D875,[3]Sheet1!$C$3:$Q$3,1))-INDEX([3]Sheet1!$C$4:$Q$23,
MATCH(K875,[3]Sheet1!$B$4:$B$23,1),MATCH(D875,[3]Sheet1!$C$3:$Q$3,1)))
+(D875-INDEX([3]Sheet1!$C$3:$Q$3,1,MATCH(D875,[3]Sheet1!$C$3:$Q$3)))/(INDEX([3]Sheet1!$C$3:$Q$3,1,MATCH(D875,[3]Sheet1!$C$3:$Q$3)+1)-INDEX([3]Sheet1!$C$3:$Q$3,1,MATCH(
D875,[3]Sheet1!$C$3:$Q$3)))*(INDEX([3]Sheet1!$C$4:$Q$23,MATCH(K875,[3]Sheet1!$B$4:$B$23,1),MATCH(D875,[3]Sheet1!$C$3:$Q$3,1)+1)-INDEX([3]Sheet1!$C$4:$Q$23,MATCH(K875,[3]Sheet1!$B$4:$B$23,1),MATCH(D875,[3]Sheet1!$C$3:$Q$3,1))))</f>
        <v>0</v>
      </c>
      <c r="M875" cm="1">
        <f t="array" ref="M875" xml:space="preserve"> IF(E875*J875=0,0,(INDEX([2]Sheet1!$C$4:$Q$23,MATCH(K875,[2]Sheet1!$B$4:$B$23,1),MATCH(D875,[2]Sheet1!$C$3:$Q$3,1))
+ (K875 - INDEX([2]Sheet1!$B$4:$B$23,MATCH(K875,[2]Sheet1!$B$4:$B$23,1),1))/(INDEX([2]Sheet1!$B$4:$B$23,MATCH(K875,[2]Sheet1!$B$4:$B$23,1)+1,1) - INDEX([2]Sheet1!$B$4:$B$23,MATCH(K875,[2]Sheet1!$B$4:$B$23,1),1))*(INDEX([2]Sheet1!$C$4:$Q$23,MATCH(K875,[2]Sheet1!$B$4:$B$23,1)+1,MATCH(D875,[2]Sheet1!$C$3:$Q$3,1)) - INDEX([2]Sheet1!$C$4:$Q$23,MATCH(K875,[2]Sheet1!$B$4:$B$23,1),MATCH(D875,[2]Sheet1!$C$3:$Q$3,1)))
+ (D875 - INDEX([2]Sheet1!$C$3:$Q$3,1,MATCH(D875,[2]Sheet1!$C$3:$Q$3)))/(INDEX([2]Sheet1!$C$3:$Q$3,1,MATCH(D875,[2]Sheet1!$C$3:$Q$3)+1) - INDEX([2]Sheet1!$C$3:$Q$3,1,MATCH(D875,[2]Sheet1!$C$3:$Q$3)))*(
INDEX([2]Sheet1!$C$4:$Q$23,MATCH(K875,[2]Sheet1!$B$4:$B$23,1),MATCH(D875,[2]Sheet1!$C$3:$Q$3,1)+1) - INDEX([2]Sheet1!$C$4:$Q$23,MATCH(K875,[2]Sheet1!$B$4:$B$23,1),MATCH(D875,[2]Sheet1!$C$3:$Q$3,1)))))</f>
        <v>0</v>
      </c>
      <c r="N875">
        <f t="shared" si="252"/>
        <v>12</v>
      </c>
      <c r="O875">
        <v>241.02450568394099</v>
      </c>
      <c r="P875" t="e">
        <f t="shared" si="253"/>
        <v>#DIV/0!</v>
      </c>
      <c r="Q875">
        <f t="shared" si="254"/>
        <v>0</v>
      </c>
      <c r="R875">
        <f t="shared" si="255"/>
        <v>741.9099431943954</v>
      </c>
      <c r="T875" t="e">
        <f t="shared" si="256"/>
        <v>#DIV/0!</v>
      </c>
      <c r="U875" t="e">
        <f t="shared" si="257"/>
        <v>#DIV/0!</v>
      </c>
      <c r="V875">
        <f t="shared" si="258"/>
        <v>0</v>
      </c>
      <c r="W875" t="e">
        <f t="shared" si="259"/>
        <v>#DIV/0!</v>
      </c>
    </row>
    <row r="876" spans="1:23" x14ac:dyDescent="0.55000000000000004">
      <c r="A876">
        <f t="shared" si="261"/>
        <v>84.199999999999491</v>
      </c>
      <c r="B876">
        <f t="shared" si="262"/>
        <v>0.316</v>
      </c>
      <c r="C876">
        <f t="shared" si="245"/>
        <v>-49.913043478260548</v>
      </c>
      <c r="D876">
        <v>242.43984551913201</v>
      </c>
      <c r="E876">
        <f t="shared" si="246"/>
        <v>0</v>
      </c>
      <c r="F876">
        <f t="shared" si="247"/>
        <v>4.8605058816845369E-2</v>
      </c>
      <c r="G876">
        <f t="shared" si="248"/>
        <v>39.513748498891111</v>
      </c>
      <c r="H876">
        <f t="shared" si="249"/>
        <v>0</v>
      </c>
      <c r="I876" s="1">
        <f t="shared" si="260"/>
        <v>0</v>
      </c>
      <c r="J876">
        <f t="shared" si="250"/>
        <v>0</v>
      </c>
      <c r="K876">
        <f t="shared" si="251"/>
        <v>0</v>
      </c>
      <c r="L876" cm="1">
        <f t="array" ref="L876">IF(E876*J876=0,0,$C$21*INDEX([3]Sheet1!$C$4:$Q$23,MATCH(K876,[3]Sheet1!$B$4:$B$23,1),MATCH(D876,[3]Sheet1!$C$3:$Q$3,1))
+(K876-INDEX([3]Sheet1!$B$4:$B$23,MATCH(K876,[3]Sheet1!$B$4:$B$23,1),1))/(INDEX([3]Sheet1!$B$4:$B$23,MATCH(K876,[3]Sheet1!$B$4:$B$23,1)+1,1)-INDEX([3]Sheet1!$B$4:$B$23,
MATCH(K876,[3]Sheet1!$B$4:$B$23,1),1))*(INDEX([3]Sheet1!$C$4:$Q$23,MATCH(K876,[3]Sheet1!$B$4:$B$23,1)+1,MATCH(D876,[3]Sheet1!$C$3:$Q$3,1))-INDEX([3]Sheet1!$C$4:$Q$23,
MATCH(K876,[3]Sheet1!$B$4:$B$23,1),MATCH(D876,[3]Sheet1!$C$3:$Q$3,1)))
+(D876-INDEX([3]Sheet1!$C$3:$Q$3,1,MATCH(D876,[3]Sheet1!$C$3:$Q$3)))/(INDEX([3]Sheet1!$C$3:$Q$3,1,MATCH(D876,[3]Sheet1!$C$3:$Q$3)+1)-INDEX([3]Sheet1!$C$3:$Q$3,1,MATCH(
D876,[3]Sheet1!$C$3:$Q$3)))*(INDEX([3]Sheet1!$C$4:$Q$23,MATCH(K876,[3]Sheet1!$B$4:$B$23,1),MATCH(D876,[3]Sheet1!$C$3:$Q$3,1)+1)-INDEX([3]Sheet1!$C$4:$Q$23,MATCH(K876,[3]Sheet1!$B$4:$B$23,1),MATCH(D876,[3]Sheet1!$C$3:$Q$3,1))))</f>
        <v>0</v>
      </c>
      <c r="M876" cm="1">
        <f t="array" ref="M876" xml:space="preserve"> IF(E876*J876=0,0,(INDEX([2]Sheet1!$C$4:$Q$23,MATCH(K876,[2]Sheet1!$B$4:$B$23,1),MATCH(D876,[2]Sheet1!$C$3:$Q$3,1))
+ (K876 - INDEX([2]Sheet1!$B$4:$B$23,MATCH(K876,[2]Sheet1!$B$4:$B$23,1),1))/(INDEX([2]Sheet1!$B$4:$B$23,MATCH(K876,[2]Sheet1!$B$4:$B$23,1)+1,1) - INDEX([2]Sheet1!$B$4:$B$23,MATCH(K876,[2]Sheet1!$B$4:$B$23,1),1))*(INDEX([2]Sheet1!$C$4:$Q$23,MATCH(K876,[2]Sheet1!$B$4:$B$23,1)+1,MATCH(D876,[2]Sheet1!$C$3:$Q$3,1)) - INDEX([2]Sheet1!$C$4:$Q$23,MATCH(K876,[2]Sheet1!$B$4:$B$23,1),MATCH(D876,[2]Sheet1!$C$3:$Q$3,1)))
+ (D876 - INDEX([2]Sheet1!$C$3:$Q$3,1,MATCH(D876,[2]Sheet1!$C$3:$Q$3)))/(INDEX([2]Sheet1!$C$3:$Q$3,1,MATCH(D876,[2]Sheet1!$C$3:$Q$3)+1) - INDEX([2]Sheet1!$C$3:$Q$3,1,MATCH(D876,[2]Sheet1!$C$3:$Q$3)))*(
INDEX([2]Sheet1!$C$4:$Q$23,MATCH(K876,[2]Sheet1!$B$4:$B$23,1),MATCH(D876,[2]Sheet1!$C$3:$Q$3,1)+1) - INDEX([2]Sheet1!$C$4:$Q$23,MATCH(K876,[2]Sheet1!$B$4:$B$23,1),MATCH(D876,[2]Sheet1!$C$3:$Q$3,1)))))</f>
        <v>0</v>
      </c>
      <c r="N876">
        <f t="shared" si="252"/>
        <v>12</v>
      </c>
      <c r="O876">
        <v>242.02450568394099</v>
      </c>
      <c r="P876" t="e">
        <f t="shared" si="253"/>
        <v>#DIV/0!</v>
      </c>
      <c r="Q876">
        <f t="shared" si="254"/>
        <v>0</v>
      </c>
      <c r="R876">
        <f t="shared" si="255"/>
        <v>741.9099431943954</v>
      </c>
      <c r="T876" t="e">
        <f t="shared" si="256"/>
        <v>#DIV/0!</v>
      </c>
      <c r="U876" t="e">
        <f t="shared" si="257"/>
        <v>#DIV/0!</v>
      </c>
      <c r="V876">
        <f t="shared" si="258"/>
        <v>0</v>
      </c>
      <c r="W876" t="e">
        <f t="shared" si="259"/>
        <v>#DIV/0!</v>
      </c>
    </row>
    <row r="877" spans="1:23" x14ac:dyDescent="0.55000000000000004">
      <c r="A877">
        <f t="shared" si="261"/>
        <v>84.299999999999486</v>
      </c>
      <c r="B877">
        <f t="shared" si="262"/>
        <v>0.316</v>
      </c>
      <c r="C877">
        <f t="shared" si="245"/>
        <v>-49.978260869564885</v>
      </c>
      <c r="D877">
        <v>243.43984551913201</v>
      </c>
      <c r="E877">
        <f t="shared" si="246"/>
        <v>0</v>
      </c>
      <c r="F877">
        <f t="shared" si="247"/>
        <v>4.8605058816845369E-2</v>
      </c>
      <c r="G877">
        <f t="shared" si="248"/>
        <v>39.513748498891111</v>
      </c>
      <c r="H877">
        <f t="shared" si="249"/>
        <v>0</v>
      </c>
      <c r="I877" s="1">
        <f t="shared" si="260"/>
        <v>0</v>
      </c>
      <c r="J877">
        <f t="shared" si="250"/>
        <v>0</v>
      </c>
      <c r="K877">
        <f t="shared" si="251"/>
        <v>0</v>
      </c>
      <c r="L877" cm="1">
        <f t="array" ref="L877">IF(E877*J877=0,0,$C$21*INDEX([3]Sheet1!$C$4:$Q$23,MATCH(K877,[3]Sheet1!$B$4:$B$23,1),MATCH(D877,[3]Sheet1!$C$3:$Q$3,1))
+(K877-INDEX([3]Sheet1!$B$4:$B$23,MATCH(K877,[3]Sheet1!$B$4:$B$23,1),1))/(INDEX([3]Sheet1!$B$4:$B$23,MATCH(K877,[3]Sheet1!$B$4:$B$23,1)+1,1)-INDEX([3]Sheet1!$B$4:$B$23,
MATCH(K877,[3]Sheet1!$B$4:$B$23,1),1))*(INDEX([3]Sheet1!$C$4:$Q$23,MATCH(K877,[3]Sheet1!$B$4:$B$23,1)+1,MATCH(D877,[3]Sheet1!$C$3:$Q$3,1))-INDEX([3]Sheet1!$C$4:$Q$23,
MATCH(K877,[3]Sheet1!$B$4:$B$23,1),MATCH(D877,[3]Sheet1!$C$3:$Q$3,1)))
+(D877-INDEX([3]Sheet1!$C$3:$Q$3,1,MATCH(D877,[3]Sheet1!$C$3:$Q$3)))/(INDEX([3]Sheet1!$C$3:$Q$3,1,MATCH(D877,[3]Sheet1!$C$3:$Q$3)+1)-INDEX([3]Sheet1!$C$3:$Q$3,1,MATCH(
D877,[3]Sheet1!$C$3:$Q$3)))*(INDEX([3]Sheet1!$C$4:$Q$23,MATCH(K877,[3]Sheet1!$B$4:$B$23,1),MATCH(D877,[3]Sheet1!$C$3:$Q$3,1)+1)-INDEX([3]Sheet1!$C$4:$Q$23,MATCH(K877,[3]Sheet1!$B$4:$B$23,1),MATCH(D877,[3]Sheet1!$C$3:$Q$3,1))))</f>
        <v>0</v>
      </c>
      <c r="M877" cm="1">
        <f t="array" ref="M877" xml:space="preserve"> IF(E877*J877=0,0,(INDEX([2]Sheet1!$C$4:$Q$23,MATCH(K877,[2]Sheet1!$B$4:$B$23,1),MATCH(D877,[2]Sheet1!$C$3:$Q$3,1))
+ (K877 - INDEX([2]Sheet1!$B$4:$B$23,MATCH(K877,[2]Sheet1!$B$4:$B$23,1),1))/(INDEX([2]Sheet1!$B$4:$B$23,MATCH(K877,[2]Sheet1!$B$4:$B$23,1)+1,1) - INDEX([2]Sheet1!$B$4:$B$23,MATCH(K877,[2]Sheet1!$B$4:$B$23,1),1))*(INDEX([2]Sheet1!$C$4:$Q$23,MATCH(K877,[2]Sheet1!$B$4:$B$23,1)+1,MATCH(D877,[2]Sheet1!$C$3:$Q$3,1)) - INDEX([2]Sheet1!$C$4:$Q$23,MATCH(K877,[2]Sheet1!$B$4:$B$23,1),MATCH(D877,[2]Sheet1!$C$3:$Q$3,1)))
+ (D877 - INDEX([2]Sheet1!$C$3:$Q$3,1,MATCH(D877,[2]Sheet1!$C$3:$Q$3)))/(INDEX([2]Sheet1!$C$3:$Q$3,1,MATCH(D877,[2]Sheet1!$C$3:$Q$3)+1) - INDEX([2]Sheet1!$C$3:$Q$3,1,MATCH(D877,[2]Sheet1!$C$3:$Q$3)))*(
INDEX([2]Sheet1!$C$4:$Q$23,MATCH(K877,[2]Sheet1!$B$4:$B$23,1),MATCH(D877,[2]Sheet1!$C$3:$Q$3,1)+1) - INDEX([2]Sheet1!$C$4:$Q$23,MATCH(K877,[2]Sheet1!$B$4:$B$23,1),MATCH(D877,[2]Sheet1!$C$3:$Q$3,1)))))</f>
        <v>0</v>
      </c>
      <c r="N877">
        <f t="shared" si="252"/>
        <v>12</v>
      </c>
      <c r="O877">
        <v>243.02450568394099</v>
      </c>
      <c r="P877" t="e">
        <f t="shared" si="253"/>
        <v>#DIV/0!</v>
      </c>
      <c r="Q877">
        <f t="shared" si="254"/>
        <v>0</v>
      </c>
      <c r="R877">
        <f t="shared" si="255"/>
        <v>741.9099431943954</v>
      </c>
      <c r="T877" t="e">
        <f t="shared" si="256"/>
        <v>#DIV/0!</v>
      </c>
      <c r="U877" t="e">
        <f t="shared" si="257"/>
        <v>#DIV/0!</v>
      </c>
      <c r="V877">
        <f t="shared" si="258"/>
        <v>0</v>
      </c>
      <c r="W877" t="e">
        <f t="shared" si="259"/>
        <v>#DIV/0!</v>
      </c>
    </row>
    <row r="878" spans="1:23" x14ac:dyDescent="0.55000000000000004">
      <c r="A878">
        <f t="shared" si="261"/>
        <v>84.39999999999948</v>
      </c>
      <c r="B878">
        <f t="shared" si="262"/>
        <v>0.316</v>
      </c>
      <c r="C878">
        <f t="shared" si="245"/>
        <v>-50.043478260869236</v>
      </c>
      <c r="D878">
        <v>244.43984551913201</v>
      </c>
      <c r="E878">
        <f t="shared" si="246"/>
        <v>0</v>
      </c>
      <c r="F878">
        <f t="shared" si="247"/>
        <v>4.8605058816845369E-2</v>
      </c>
      <c r="G878">
        <f t="shared" si="248"/>
        <v>39.513748498891111</v>
      </c>
      <c r="H878">
        <f t="shared" si="249"/>
        <v>0</v>
      </c>
      <c r="I878" s="1">
        <f t="shared" si="260"/>
        <v>0</v>
      </c>
      <c r="J878">
        <f t="shared" si="250"/>
        <v>0</v>
      </c>
      <c r="K878">
        <f t="shared" si="251"/>
        <v>0</v>
      </c>
      <c r="L878" cm="1">
        <f t="array" ref="L878">IF(E878*J878=0,0,$C$21*INDEX([3]Sheet1!$C$4:$Q$23,MATCH(K878,[3]Sheet1!$B$4:$B$23,1),MATCH(D878,[3]Sheet1!$C$3:$Q$3,1))
+(K878-INDEX([3]Sheet1!$B$4:$B$23,MATCH(K878,[3]Sheet1!$B$4:$B$23,1),1))/(INDEX([3]Sheet1!$B$4:$B$23,MATCH(K878,[3]Sheet1!$B$4:$B$23,1)+1,1)-INDEX([3]Sheet1!$B$4:$B$23,
MATCH(K878,[3]Sheet1!$B$4:$B$23,1),1))*(INDEX([3]Sheet1!$C$4:$Q$23,MATCH(K878,[3]Sheet1!$B$4:$B$23,1)+1,MATCH(D878,[3]Sheet1!$C$3:$Q$3,1))-INDEX([3]Sheet1!$C$4:$Q$23,
MATCH(K878,[3]Sheet1!$B$4:$B$23,1),MATCH(D878,[3]Sheet1!$C$3:$Q$3,1)))
+(D878-INDEX([3]Sheet1!$C$3:$Q$3,1,MATCH(D878,[3]Sheet1!$C$3:$Q$3)))/(INDEX([3]Sheet1!$C$3:$Q$3,1,MATCH(D878,[3]Sheet1!$C$3:$Q$3)+1)-INDEX([3]Sheet1!$C$3:$Q$3,1,MATCH(
D878,[3]Sheet1!$C$3:$Q$3)))*(INDEX([3]Sheet1!$C$4:$Q$23,MATCH(K878,[3]Sheet1!$B$4:$B$23,1),MATCH(D878,[3]Sheet1!$C$3:$Q$3,1)+1)-INDEX([3]Sheet1!$C$4:$Q$23,MATCH(K878,[3]Sheet1!$B$4:$B$23,1),MATCH(D878,[3]Sheet1!$C$3:$Q$3,1))))</f>
        <v>0</v>
      </c>
      <c r="M878" cm="1">
        <f t="array" ref="M878" xml:space="preserve"> IF(E878*J878=0,0,(INDEX([2]Sheet1!$C$4:$Q$23,MATCH(K878,[2]Sheet1!$B$4:$B$23,1),MATCH(D878,[2]Sheet1!$C$3:$Q$3,1))
+ (K878 - INDEX([2]Sheet1!$B$4:$B$23,MATCH(K878,[2]Sheet1!$B$4:$B$23,1),1))/(INDEX([2]Sheet1!$B$4:$B$23,MATCH(K878,[2]Sheet1!$B$4:$B$23,1)+1,1) - INDEX([2]Sheet1!$B$4:$B$23,MATCH(K878,[2]Sheet1!$B$4:$B$23,1),1))*(INDEX([2]Sheet1!$C$4:$Q$23,MATCH(K878,[2]Sheet1!$B$4:$B$23,1)+1,MATCH(D878,[2]Sheet1!$C$3:$Q$3,1)) - INDEX([2]Sheet1!$C$4:$Q$23,MATCH(K878,[2]Sheet1!$B$4:$B$23,1),MATCH(D878,[2]Sheet1!$C$3:$Q$3,1)))
+ (D878 - INDEX([2]Sheet1!$C$3:$Q$3,1,MATCH(D878,[2]Sheet1!$C$3:$Q$3)))/(INDEX([2]Sheet1!$C$3:$Q$3,1,MATCH(D878,[2]Sheet1!$C$3:$Q$3)+1) - INDEX([2]Sheet1!$C$3:$Q$3,1,MATCH(D878,[2]Sheet1!$C$3:$Q$3)))*(
INDEX([2]Sheet1!$C$4:$Q$23,MATCH(K878,[2]Sheet1!$B$4:$B$23,1),MATCH(D878,[2]Sheet1!$C$3:$Q$3,1)+1) - INDEX([2]Sheet1!$C$4:$Q$23,MATCH(K878,[2]Sheet1!$B$4:$B$23,1),MATCH(D878,[2]Sheet1!$C$3:$Q$3,1)))))</f>
        <v>0</v>
      </c>
      <c r="N878">
        <f t="shared" si="252"/>
        <v>12</v>
      </c>
      <c r="O878">
        <v>244.02450568394099</v>
      </c>
      <c r="P878" t="e">
        <f t="shared" si="253"/>
        <v>#DIV/0!</v>
      </c>
      <c r="Q878">
        <f t="shared" si="254"/>
        <v>0</v>
      </c>
      <c r="R878">
        <f t="shared" si="255"/>
        <v>741.9099431943954</v>
      </c>
      <c r="T878" t="e">
        <f t="shared" si="256"/>
        <v>#DIV/0!</v>
      </c>
      <c r="U878" t="e">
        <f t="shared" si="257"/>
        <v>#DIV/0!</v>
      </c>
      <c r="V878">
        <f t="shared" si="258"/>
        <v>0</v>
      </c>
      <c r="W878" t="e">
        <f t="shared" si="259"/>
        <v>#DIV/0!</v>
      </c>
    </row>
    <row r="879" spans="1:23" x14ac:dyDescent="0.55000000000000004">
      <c r="A879">
        <f t="shared" si="261"/>
        <v>84.499999999999474</v>
      </c>
      <c r="B879">
        <f t="shared" si="262"/>
        <v>0.316</v>
      </c>
      <c r="C879">
        <f t="shared" si="245"/>
        <v>-50.108695652173573</v>
      </c>
      <c r="D879">
        <v>245.43984551913201</v>
      </c>
      <c r="E879">
        <f t="shared" si="246"/>
        <v>0</v>
      </c>
      <c r="F879">
        <f t="shared" si="247"/>
        <v>4.8605058816845369E-2</v>
      </c>
      <c r="G879">
        <f t="shared" si="248"/>
        <v>39.513748498891111</v>
      </c>
      <c r="H879">
        <f t="shared" si="249"/>
        <v>0</v>
      </c>
      <c r="I879" s="1">
        <f t="shared" si="260"/>
        <v>0</v>
      </c>
      <c r="J879">
        <f t="shared" si="250"/>
        <v>0</v>
      </c>
      <c r="K879">
        <f t="shared" si="251"/>
        <v>0</v>
      </c>
      <c r="L879" cm="1">
        <f t="array" ref="L879">IF(E879*J879=0,0,$C$21*INDEX([3]Sheet1!$C$4:$Q$23,MATCH(K879,[3]Sheet1!$B$4:$B$23,1),MATCH(D879,[3]Sheet1!$C$3:$Q$3,1))
+(K879-INDEX([3]Sheet1!$B$4:$B$23,MATCH(K879,[3]Sheet1!$B$4:$B$23,1),1))/(INDEX([3]Sheet1!$B$4:$B$23,MATCH(K879,[3]Sheet1!$B$4:$B$23,1)+1,1)-INDEX([3]Sheet1!$B$4:$B$23,
MATCH(K879,[3]Sheet1!$B$4:$B$23,1),1))*(INDEX([3]Sheet1!$C$4:$Q$23,MATCH(K879,[3]Sheet1!$B$4:$B$23,1)+1,MATCH(D879,[3]Sheet1!$C$3:$Q$3,1))-INDEX([3]Sheet1!$C$4:$Q$23,
MATCH(K879,[3]Sheet1!$B$4:$B$23,1),MATCH(D879,[3]Sheet1!$C$3:$Q$3,1)))
+(D879-INDEX([3]Sheet1!$C$3:$Q$3,1,MATCH(D879,[3]Sheet1!$C$3:$Q$3)))/(INDEX([3]Sheet1!$C$3:$Q$3,1,MATCH(D879,[3]Sheet1!$C$3:$Q$3)+1)-INDEX([3]Sheet1!$C$3:$Q$3,1,MATCH(
D879,[3]Sheet1!$C$3:$Q$3)))*(INDEX([3]Sheet1!$C$4:$Q$23,MATCH(K879,[3]Sheet1!$B$4:$B$23,1),MATCH(D879,[3]Sheet1!$C$3:$Q$3,1)+1)-INDEX([3]Sheet1!$C$4:$Q$23,MATCH(K879,[3]Sheet1!$B$4:$B$23,1),MATCH(D879,[3]Sheet1!$C$3:$Q$3,1))))</f>
        <v>0</v>
      </c>
      <c r="M879" cm="1">
        <f t="array" ref="M879" xml:space="preserve"> IF(E879*J879=0,0,(INDEX([2]Sheet1!$C$4:$Q$23,MATCH(K879,[2]Sheet1!$B$4:$B$23,1),MATCH(D879,[2]Sheet1!$C$3:$Q$3,1))
+ (K879 - INDEX([2]Sheet1!$B$4:$B$23,MATCH(K879,[2]Sheet1!$B$4:$B$23,1),1))/(INDEX([2]Sheet1!$B$4:$B$23,MATCH(K879,[2]Sheet1!$B$4:$B$23,1)+1,1) - INDEX([2]Sheet1!$B$4:$B$23,MATCH(K879,[2]Sheet1!$B$4:$B$23,1),1))*(INDEX([2]Sheet1!$C$4:$Q$23,MATCH(K879,[2]Sheet1!$B$4:$B$23,1)+1,MATCH(D879,[2]Sheet1!$C$3:$Q$3,1)) - INDEX([2]Sheet1!$C$4:$Q$23,MATCH(K879,[2]Sheet1!$B$4:$B$23,1),MATCH(D879,[2]Sheet1!$C$3:$Q$3,1)))
+ (D879 - INDEX([2]Sheet1!$C$3:$Q$3,1,MATCH(D879,[2]Sheet1!$C$3:$Q$3)))/(INDEX([2]Sheet1!$C$3:$Q$3,1,MATCH(D879,[2]Sheet1!$C$3:$Q$3)+1) - INDEX([2]Sheet1!$C$3:$Q$3,1,MATCH(D879,[2]Sheet1!$C$3:$Q$3)))*(
INDEX([2]Sheet1!$C$4:$Q$23,MATCH(K879,[2]Sheet1!$B$4:$B$23,1),MATCH(D879,[2]Sheet1!$C$3:$Q$3,1)+1) - INDEX([2]Sheet1!$C$4:$Q$23,MATCH(K879,[2]Sheet1!$B$4:$B$23,1),MATCH(D879,[2]Sheet1!$C$3:$Q$3,1)))))</f>
        <v>0</v>
      </c>
      <c r="N879">
        <f t="shared" si="252"/>
        <v>12</v>
      </c>
      <c r="O879">
        <v>245.02450568394099</v>
      </c>
      <c r="P879" t="e">
        <f t="shared" si="253"/>
        <v>#DIV/0!</v>
      </c>
      <c r="Q879">
        <f t="shared" si="254"/>
        <v>0</v>
      </c>
      <c r="R879">
        <f t="shared" si="255"/>
        <v>741.9099431943954</v>
      </c>
      <c r="T879" t="e">
        <f t="shared" si="256"/>
        <v>#DIV/0!</v>
      </c>
      <c r="U879" t="e">
        <f t="shared" si="257"/>
        <v>#DIV/0!</v>
      </c>
      <c r="V879">
        <f t="shared" si="258"/>
        <v>0</v>
      </c>
      <c r="W879" t="e">
        <f t="shared" si="259"/>
        <v>#DIV/0!</v>
      </c>
    </row>
    <row r="880" spans="1:23" x14ac:dyDescent="0.55000000000000004">
      <c r="A880">
        <f t="shared" si="261"/>
        <v>84.599999999999469</v>
      </c>
      <c r="B880">
        <f t="shared" si="262"/>
        <v>0.316</v>
      </c>
      <c r="C880">
        <f t="shared" si="245"/>
        <v>-50.173913043477924</v>
      </c>
      <c r="D880">
        <v>246.43984551913201</v>
      </c>
      <c r="E880">
        <f t="shared" si="246"/>
        <v>0</v>
      </c>
      <c r="F880">
        <f t="shared" si="247"/>
        <v>4.8605058816845369E-2</v>
      </c>
      <c r="G880">
        <f t="shared" si="248"/>
        <v>39.513748498891111</v>
      </c>
      <c r="H880">
        <f t="shared" si="249"/>
        <v>0</v>
      </c>
      <c r="I880" s="1">
        <f t="shared" si="260"/>
        <v>0</v>
      </c>
      <c r="J880">
        <f t="shared" si="250"/>
        <v>0</v>
      </c>
      <c r="K880">
        <f t="shared" si="251"/>
        <v>0</v>
      </c>
      <c r="L880" cm="1">
        <f t="array" ref="L880">IF(E880*J880=0,0,$C$21*INDEX([3]Sheet1!$C$4:$Q$23,MATCH(K880,[3]Sheet1!$B$4:$B$23,1),MATCH(D880,[3]Sheet1!$C$3:$Q$3,1))
+(K880-INDEX([3]Sheet1!$B$4:$B$23,MATCH(K880,[3]Sheet1!$B$4:$B$23,1),1))/(INDEX([3]Sheet1!$B$4:$B$23,MATCH(K880,[3]Sheet1!$B$4:$B$23,1)+1,1)-INDEX([3]Sheet1!$B$4:$B$23,
MATCH(K880,[3]Sheet1!$B$4:$B$23,1),1))*(INDEX([3]Sheet1!$C$4:$Q$23,MATCH(K880,[3]Sheet1!$B$4:$B$23,1)+1,MATCH(D880,[3]Sheet1!$C$3:$Q$3,1))-INDEX([3]Sheet1!$C$4:$Q$23,
MATCH(K880,[3]Sheet1!$B$4:$B$23,1),MATCH(D880,[3]Sheet1!$C$3:$Q$3,1)))
+(D880-INDEX([3]Sheet1!$C$3:$Q$3,1,MATCH(D880,[3]Sheet1!$C$3:$Q$3)))/(INDEX([3]Sheet1!$C$3:$Q$3,1,MATCH(D880,[3]Sheet1!$C$3:$Q$3)+1)-INDEX([3]Sheet1!$C$3:$Q$3,1,MATCH(
D880,[3]Sheet1!$C$3:$Q$3)))*(INDEX([3]Sheet1!$C$4:$Q$23,MATCH(K880,[3]Sheet1!$B$4:$B$23,1),MATCH(D880,[3]Sheet1!$C$3:$Q$3,1)+1)-INDEX([3]Sheet1!$C$4:$Q$23,MATCH(K880,[3]Sheet1!$B$4:$B$23,1),MATCH(D880,[3]Sheet1!$C$3:$Q$3,1))))</f>
        <v>0</v>
      </c>
      <c r="M880" cm="1">
        <f t="array" ref="M880" xml:space="preserve"> IF(E880*J880=0,0,(INDEX([2]Sheet1!$C$4:$Q$23,MATCH(K880,[2]Sheet1!$B$4:$B$23,1),MATCH(D880,[2]Sheet1!$C$3:$Q$3,1))
+ (K880 - INDEX([2]Sheet1!$B$4:$B$23,MATCH(K880,[2]Sheet1!$B$4:$B$23,1),1))/(INDEX([2]Sheet1!$B$4:$B$23,MATCH(K880,[2]Sheet1!$B$4:$B$23,1)+1,1) - INDEX([2]Sheet1!$B$4:$B$23,MATCH(K880,[2]Sheet1!$B$4:$B$23,1),1))*(INDEX([2]Sheet1!$C$4:$Q$23,MATCH(K880,[2]Sheet1!$B$4:$B$23,1)+1,MATCH(D880,[2]Sheet1!$C$3:$Q$3,1)) - INDEX([2]Sheet1!$C$4:$Q$23,MATCH(K880,[2]Sheet1!$B$4:$B$23,1),MATCH(D880,[2]Sheet1!$C$3:$Q$3,1)))
+ (D880 - INDEX([2]Sheet1!$C$3:$Q$3,1,MATCH(D880,[2]Sheet1!$C$3:$Q$3)))/(INDEX([2]Sheet1!$C$3:$Q$3,1,MATCH(D880,[2]Sheet1!$C$3:$Q$3)+1) - INDEX([2]Sheet1!$C$3:$Q$3,1,MATCH(D880,[2]Sheet1!$C$3:$Q$3)))*(
INDEX([2]Sheet1!$C$4:$Q$23,MATCH(K880,[2]Sheet1!$B$4:$B$23,1),MATCH(D880,[2]Sheet1!$C$3:$Q$3,1)+1) - INDEX([2]Sheet1!$C$4:$Q$23,MATCH(K880,[2]Sheet1!$B$4:$B$23,1),MATCH(D880,[2]Sheet1!$C$3:$Q$3,1)))))</f>
        <v>0</v>
      </c>
      <c r="N880">
        <f t="shared" si="252"/>
        <v>12</v>
      </c>
      <c r="O880">
        <v>246.02450568394099</v>
      </c>
      <c r="P880" t="e">
        <f t="shared" si="253"/>
        <v>#DIV/0!</v>
      </c>
      <c r="Q880">
        <f t="shared" si="254"/>
        <v>0</v>
      </c>
      <c r="R880">
        <f t="shared" si="255"/>
        <v>741.9099431943954</v>
      </c>
      <c r="T880" t="e">
        <f t="shared" si="256"/>
        <v>#DIV/0!</v>
      </c>
      <c r="U880" t="e">
        <f t="shared" si="257"/>
        <v>#DIV/0!</v>
      </c>
      <c r="V880">
        <f t="shared" si="258"/>
        <v>0</v>
      </c>
      <c r="W880" t="e">
        <f t="shared" si="259"/>
        <v>#DIV/0!</v>
      </c>
    </row>
    <row r="881" spans="1:23" x14ac:dyDescent="0.55000000000000004">
      <c r="A881">
        <f t="shared" si="261"/>
        <v>84.699999999999463</v>
      </c>
      <c r="B881">
        <f t="shared" si="262"/>
        <v>0.316</v>
      </c>
      <c r="C881">
        <f t="shared" si="245"/>
        <v>-50.239130434782261</v>
      </c>
      <c r="D881">
        <v>247.43984551913201</v>
      </c>
      <c r="E881">
        <f t="shared" si="246"/>
        <v>0</v>
      </c>
      <c r="F881">
        <f t="shared" si="247"/>
        <v>4.8605058816845369E-2</v>
      </c>
      <c r="G881">
        <f t="shared" si="248"/>
        <v>39.513748498891111</v>
      </c>
      <c r="H881">
        <f t="shared" si="249"/>
        <v>0</v>
      </c>
      <c r="I881" s="1">
        <f t="shared" si="260"/>
        <v>0</v>
      </c>
      <c r="J881">
        <f t="shared" si="250"/>
        <v>0</v>
      </c>
      <c r="K881">
        <f t="shared" si="251"/>
        <v>0</v>
      </c>
      <c r="L881" cm="1">
        <f t="array" ref="L881">IF(E881*J881=0,0,$C$21*INDEX([3]Sheet1!$C$4:$Q$23,MATCH(K881,[3]Sheet1!$B$4:$B$23,1),MATCH(D881,[3]Sheet1!$C$3:$Q$3,1))
+(K881-INDEX([3]Sheet1!$B$4:$B$23,MATCH(K881,[3]Sheet1!$B$4:$B$23,1),1))/(INDEX([3]Sheet1!$B$4:$B$23,MATCH(K881,[3]Sheet1!$B$4:$B$23,1)+1,1)-INDEX([3]Sheet1!$B$4:$B$23,
MATCH(K881,[3]Sheet1!$B$4:$B$23,1),1))*(INDEX([3]Sheet1!$C$4:$Q$23,MATCH(K881,[3]Sheet1!$B$4:$B$23,1)+1,MATCH(D881,[3]Sheet1!$C$3:$Q$3,1))-INDEX([3]Sheet1!$C$4:$Q$23,
MATCH(K881,[3]Sheet1!$B$4:$B$23,1),MATCH(D881,[3]Sheet1!$C$3:$Q$3,1)))
+(D881-INDEX([3]Sheet1!$C$3:$Q$3,1,MATCH(D881,[3]Sheet1!$C$3:$Q$3)))/(INDEX([3]Sheet1!$C$3:$Q$3,1,MATCH(D881,[3]Sheet1!$C$3:$Q$3)+1)-INDEX([3]Sheet1!$C$3:$Q$3,1,MATCH(
D881,[3]Sheet1!$C$3:$Q$3)))*(INDEX([3]Sheet1!$C$4:$Q$23,MATCH(K881,[3]Sheet1!$B$4:$B$23,1),MATCH(D881,[3]Sheet1!$C$3:$Q$3,1)+1)-INDEX([3]Sheet1!$C$4:$Q$23,MATCH(K881,[3]Sheet1!$B$4:$B$23,1),MATCH(D881,[3]Sheet1!$C$3:$Q$3,1))))</f>
        <v>0</v>
      </c>
      <c r="M881" cm="1">
        <f t="array" ref="M881" xml:space="preserve"> IF(E881*J881=0,0,(INDEX([2]Sheet1!$C$4:$Q$23,MATCH(K881,[2]Sheet1!$B$4:$B$23,1),MATCH(D881,[2]Sheet1!$C$3:$Q$3,1))
+ (K881 - INDEX([2]Sheet1!$B$4:$B$23,MATCH(K881,[2]Sheet1!$B$4:$B$23,1),1))/(INDEX([2]Sheet1!$B$4:$B$23,MATCH(K881,[2]Sheet1!$B$4:$B$23,1)+1,1) - INDEX([2]Sheet1!$B$4:$B$23,MATCH(K881,[2]Sheet1!$B$4:$B$23,1),1))*(INDEX([2]Sheet1!$C$4:$Q$23,MATCH(K881,[2]Sheet1!$B$4:$B$23,1)+1,MATCH(D881,[2]Sheet1!$C$3:$Q$3,1)) - INDEX([2]Sheet1!$C$4:$Q$23,MATCH(K881,[2]Sheet1!$B$4:$B$23,1),MATCH(D881,[2]Sheet1!$C$3:$Q$3,1)))
+ (D881 - INDEX([2]Sheet1!$C$3:$Q$3,1,MATCH(D881,[2]Sheet1!$C$3:$Q$3)))/(INDEX([2]Sheet1!$C$3:$Q$3,1,MATCH(D881,[2]Sheet1!$C$3:$Q$3)+1) - INDEX([2]Sheet1!$C$3:$Q$3,1,MATCH(D881,[2]Sheet1!$C$3:$Q$3)))*(
INDEX([2]Sheet1!$C$4:$Q$23,MATCH(K881,[2]Sheet1!$B$4:$B$23,1),MATCH(D881,[2]Sheet1!$C$3:$Q$3,1)+1) - INDEX([2]Sheet1!$C$4:$Q$23,MATCH(K881,[2]Sheet1!$B$4:$B$23,1),MATCH(D881,[2]Sheet1!$C$3:$Q$3,1)))))</f>
        <v>0</v>
      </c>
      <c r="N881">
        <f t="shared" si="252"/>
        <v>12</v>
      </c>
      <c r="O881">
        <v>247.02450568394099</v>
      </c>
      <c r="P881" t="e">
        <f t="shared" si="253"/>
        <v>#DIV/0!</v>
      </c>
      <c r="Q881">
        <f t="shared" si="254"/>
        <v>0</v>
      </c>
      <c r="R881">
        <f t="shared" si="255"/>
        <v>741.9099431943954</v>
      </c>
      <c r="T881" t="e">
        <f t="shared" si="256"/>
        <v>#DIV/0!</v>
      </c>
      <c r="U881" t="e">
        <f t="shared" si="257"/>
        <v>#DIV/0!</v>
      </c>
      <c r="V881">
        <f t="shared" si="258"/>
        <v>0</v>
      </c>
      <c r="W881" t="e">
        <f t="shared" si="259"/>
        <v>#DIV/0!</v>
      </c>
    </row>
    <row r="882" spans="1:23" x14ac:dyDescent="0.55000000000000004">
      <c r="A882">
        <f t="shared" si="261"/>
        <v>84.799999999999457</v>
      </c>
      <c r="B882">
        <f t="shared" si="262"/>
        <v>0.316</v>
      </c>
      <c r="C882">
        <f t="shared" si="245"/>
        <v>-50.304347826086612</v>
      </c>
      <c r="D882">
        <v>248.43984551913201</v>
      </c>
      <c r="E882">
        <f t="shared" si="246"/>
        <v>0</v>
      </c>
      <c r="F882">
        <f t="shared" si="247"/>
        <v>4.8605058816845369E-2</v>
      </c>
      <c r="G882">
        <f t="shared" si="248"/>
        <v>39.513748498891111</v>
      </c>
      <c r="H882">
        <f t="shared" si="249"/>
        <v>0</v>
      </c>
      <c r="I882" s="1">
        <f t="shared" si="260"/>
        <v>0</v>
      </c>
      <c r="J882">
        <f t="shared" si="250"/>
        <v>0</v>
      </c>
      <c r="K882">
        <f t="shared" si="251"/>
        <v>0</v>
      </c>
      <c r="L882" cm="1">
        <f t="array" ref="L882">IF(E882*J882=0,0,$C$21*INDEX([3]Sheet1!$C$4:$Q$23,MATCH(K882,[3]Sheet1!$B$4:$B$23,1),MATCH(D882,[3]Sheet1!$C$3:$Q$3,1))
+(K882-INDEX([3]Sheet1!$B$4:$B$23,MATCH(K882,[3]Sheet1!$B$4:$B$23,1),1))/(INDEX([3]Sheet1!$B$4:$B$23,MATCH(K882,[3]Sheet1!$B$4:$B$23,1)+1,1)-INDEX([3]Sheet1!$B$4:$B$23,
MATCH(K882,[3]Sheet1!$B$4:$B$23,1),1))*(INDEX([3]Sheet1!$C$4:$Q$23,MATCH(K882,[3]Sheet1!$B$4:$B$23,1)+1,MATCH(D882,[3]Sheet1!$C$3:$Q$3,1))-INDEX([3]Sheet1!$C$4:$Q$23,
MATCH(K882,[3]Sheet1!$B$4:$B$23,1),MATCH(D882,[3]Sheet1!$C$3:$Q$3,1)))
+(D882-INDEX([3]Sheet1!$C$3:$Q$3,1,MATCH(D882,[3]Sheet1!$C$3:$Q$3)))/(INDEX([3]Sheet1!$C$3:$Q$3,1,MATCH(D882,[3]Sheet1!$C$3:$Q$3)+1)-INDEX([3]Sheet1!$C$3:$Q$3,1,MATCH(
D882,[3]Sheet1!$C$3:$Q$3)))*(INDEX([3]Sheet1!$C$4:$Q$23,MATCH(K882,[3]Sheet1!$B$4:$B$23,1),MATCH(D882,[3]Sheet1!$C$3:$Q$3,1)+1)-INDEX([3]Sheet1!$C$4:$Q$23,MATCH(K882,[3]Sheet1!$B$4:$B$23,1),MATCH(D882,[3]Sheet1!$C$3:$Q$3,1))))</f>
        <v>0</v>
      </c>
      <c r="M882" cm="1">
        <f t="array" ref="M882" xml:space="preserve"> IF(E882*J882=0,0,(INDEX([2]Sheet1!$C$4:$Q$23,MATCH(K882,[2]Sheet1!$B$4:$B$23,1),MATCH(D882,[2]Sheet1!$C$3:$Q$3,1))
+ (K882 - INDEX([2]Sheet1!$B$4:$B$23,MATCH(K882,[2]Sheet1!$B$4:$B$23,1),1))/(INDEX([2]Sheet1!$B$4:$B$23,MATCH(K882,[2]Sheet1!$B$4:$B$23,1)+1,1) - INDEX([2]Sheet1!$B$4:$B$23,MATCH(K882,[2]Sheet1!$B$4:$B$23,1),1))*(INDEX([2]Sheet1!$C$4:$Q$23,MATCH(K882,[2]Sheet1!$B$4:$B$23,1)+1,MATCH(D882,[2]Sheet1!$C$3:$Q$3,1)) - INDEX([2]Sheet1!$C$4:$Q$23,MATCH(K882,[2]Sheet1!$B$4:$B$23,1),MATCH(D882,[2]Sheet1!$C$3:$Q$3,1)))
+ (D882 - INDEX([2]Sheet1!$C$3:$Q$3,1,MATCH(D882,[2]Sheet1!$C$3:$Q$3)))/(INDEX([2]Sheet1!$C$3:$Q$3,1,MATCH(D882,[2]Sheet1!$C$3:$Q$3)+1) - INDEX([2]Sheet1!$C$3:$Q$3,1,MATCH(D882,[2]Sheet1!$C$3:$Q$3)))*(
INDEX([2]Sheet1!$C$4:$Q$23,MATCH(K882,[2]Sheet1!$B$4:$B$23,1),MATCH(D882,[2]Sheet1!$C$3:$Q$3,1)+1) - INDEX([2]Sheet1!$C$4:$Q$23,MATCH(K882,[2]Sheet1!$B$4:$B$23,1),MATCH(D882,[2]Sheet1!$C$3:$Q$3,1)))))</f>
        <v>0</v>
      </c>
      <c r="N882">
        <f t="shared" si="252"/>
        <v>12</v>
      </c>
      <c r="O882">
        <v>248.02450568394099</v>
      </c>
      <c r="P882" t="e">
        <f t="shared" si="253"/>
        <v>#DIV/0!</v>
      </c>
      <c r="Q882">
        <f t="shared" si="254"/>
        <v>0</v>
      </c>
      <c r="R882">
        <f t="shared" si="255"/>
        <v>741.9099431943954</v>
      </c>
      <c r="T882" t="e">
        <f t="shared" si="256"/>
        <v>#DIV/0!</v>
      </c>
      <c r="U882" t="e">
        <f t="shared" si="257"/>
        <v>#DIV/0!</v>
      </c>
      <c r="V882">
        <f t="shared" si="258"/>
        <v>0</v>
      </c>
      <c r="W882" t="e">
        <f t="shared" si="259"/>
        <v>#DIV/0!</v>
      </c>
    </row>
    <row r="883" spans="1:23" x14ac:dyDescent="0.55000000000000004">
      <c r="A883">
        <f t="shared" si="261"/>
        <v>84.899999999999451</v>
      </c>
      <c r="B883">
        <f t="shared" si="262"/>
        <v>0.316</v>
      </c>
      <c r="C883">
        <f t="shared" si="245"/>
        <v>-50.369565217390949</v>
      </c>
      <c r="D883">
        <v>249.43984551913201</v>
      </c>
      <c r="E883">
        <f t="shared" si="246"/>
        <v>0</v>
      </c>
      <c r="F883">
        <f t="shared" si="247"/>
        <v>4.8605058816845369E-2</v>
      </c>
      <c r="G883">
        <f t="shared" si="248"/>
        <v>39.513748498891111</v>
      </c>
      <c r="H883">
        <f t="shared" si="249"/>
        <v>0</v>
      </c>
      <c r="I883" s="1">
        <f t="shared" si="260"/>
        <v>0</v>
      </c>
      <c r="J883">
        <f t="shared" si="250"/>
        <v>0</v>
      </c>
      <c r="K883">
        <f t="shared" si="251"/>
        <v>0</v>
      </c>
      <c r="L883" cm="1">
        <f t="array" ref="L883">IF(E883*J883=0,0,$C$21*INDEX([3]Sheet1!$C$4:$Q$23,MATCH(K883,[3]Sheet1!$B$4:$B$23,1),MATCH(D883,[3]Sheet1!$C$3:$Q$3,1))
+(K883-INDEX([3]Sheet1!$B$4:$B$23,MATCH(K883,[3]Sheet1!$B$4:$B$23,1),1))/(INDEX([3]Sheet1!$B$4:$B$23,MATCH(K883,[3]Sheet1!$B$4:$B$23,1)+1,1)-INDEX([3]Sheet1!$B$4:$B$23,
MATCH(K883,[3]Sheet1!$B$4:$B$23,1),1))*(INDEX([3]Sheet1!$C$4:$Q$23,MATCH(K883,[3]Sheet1!$B$4:$B$23,1)+1,MATCH(D883,[3]Sheet1!$C$3:$Q$3,1))-INDEX([3]Sheet1!$C$4:$Q$23,
MATCH(K883,[3]Sheet1!$B$4:$B$23,1),MATCH(D883,[3]Sheet1!$C$3:$Q$3,1)))
+(D883-INDEX([3]Sheet1!$C$3:$Q$3,1,MATCH(D883,[3]Sheet1!$C$3:$Q$3)))/(INDEX([3]Sheet1!$C$3:$Q$3,1,MATCH(D883,[3]Sheet1!$C$3:$Q$3)+1)-INDEX([3]Sheet1!$C$3:$Q$3,1,MATCH(
D883,[3]Sheet1!$C$3:$Q$3)))*(INDEX([3]Sheet1!$C$4:$Q$23,MATCH(K883,[3]Sheet1!$B$4:$B$23,1),MATCH(D883,[3]Sheet1!$C$3:$Q$3,1)+1)-INDEX([3]Sheet1!$C$4:$Q$23,MATCH(K883,[3]Sheet1!$B$4:$B$23,1),MATCH(D883,[3]Sheet1!$C$3:$Q$3,1))))</f>
        <v>0</v>
      </c>
      <c r="M883" cm="1">
        <f t="array" ref="M883" xml:space="preserve"> IF(E883*J883=0,0,(INDEX([2]Sheet1!$C$4:$Q$23,MATCH(K883,[2]Sheet1!$B$4:$B$23,1),MATCH(D883,[2]Sheet1!$C$3:$Q$3,1))
+ (K883 - INDEX([2]Sheet1!$B$4:$B$23,MATCH(K883,[2]Sheet1!$B$4:$B$23,1),1))/(INDEX([2]Sheet1!$B$4:$B$23,MATCH(K883,[2]Sheet1!$B$4:$B$23,1)+1,1) - INDEX([2]Sheet1!$B$4:$B$23,MATCH(K883,[2]Sheet1!$B$4:$B$23,1),1))*(INDEX([2]Sheet1!$C$4:$Q$23,MATCH(K883,[2]Sheet1!$B$4:$B$23,1)+1,MATCH(D883,[2]Sheet1!$C$3:$Q$3,1)) - INDEX([2]Sheet1!$C$4:$Q$23,MATCH(K883,[2]Sheet1!$B$4:$B$23,1),MATCH(D883,[2]Sheet1!$C$3:$Q$3,1)))
+ (D883 - INDEX([2]Sheet1!$C$3:$Q$3,1,MATCH(D883,[2]Sheet1!$C$3:$Q$3)))/(INDEX([2]Sheet1!$C$3:$Q$3,1,MATCH(D883,[2]Sheet1!$C$3:$Q$3)+1) - INDEX([2]Sheet1!$C$3:$Q$3,1,MATCH(D883,[2]Sheet1!$C$3:$Q$3)))*(
INDEX([2]Sheet1!$C$4:$Q$23,MATCH(K883,[2]Sheet1!$B$4:$B$23,1),MATCH(D883,[2]Sheet1!$C$3:$Q$3,1)+1) - INDEX([2]Sheet1!$C$4:$Q$23,MATCH(K883,[2]Sheet1!$B$4:$B$23,1),MATCH(D883,[2]Sheet1!$C$3:$Q$3,1)))))</f>
        <v>0</v>
      </c>
      <c r="N883">
        <f t="shared" si="252"/>
        <v>12</v>
      </c>
      <c r="O883">
        <v>249.02450568394099</v>
      </c>
      <c r="P883" t="e">
        <f t="shared" si="253"/>
        <v>#DIV/0!</v>
      </c>
      <c r="Q883">
        <f t="shared" si="254"/>
        <v>0</v>
      </c>
      <c r="R883">
        <f t="shared" si="255"/>
        <v>741.9099431943954</v>
      </c>
      <c r="T883" t="e">
        <f t="shared" si="256"/>
        <v>#DIV/0!</v>
      </c>
      <c r="U883" t="e">
        <f t="shared" si="257"/>
        <v>#DIV/0!</v>
      </c>
      <c r="V883">
        <f t="shared" si="258"/>
        <v>0</v>
      </c>
      <c r="W883" t="e">
        <f t="shared" si="259"/>
        <v>#DIV/0!</v>
      </c>
    </row>
    <row r="884" spans="1:23" x14ac:dyDescent="0.55000000000000004">
      <c r="A884">
        <f t="shared" si="261"/>
        <v>84.999999999999446</v>
      </c>
      <c r="B884">
        <f t="shared" si="262"/>
        <v>0.316</v>
      </c>
      <c r="C884">
        <f t="shared" si="245"/>
        <v>-50.434782608695301</v>
      </c>
      <c r="D884">
        <v>250.43984551913201</v>
      </c>
      <c r="E884">
        <f t="shared" si="246"/>
        <v>0</v>
      </c>
      <c r="F884">
        <f t="shared" si="247"/>
        <v>4.8605058816845369E-2</v>
      </c>
      <c r="G884">
        <f t="shared" si="248"/>
        <v>39.513748498891111</v>
      </c>
      <c r="H884">
        <f t="shared" si="249"/>
        <v>0</v>
      </c>
      <c r="I884" s="1">
        <f t="shared" si="260"/>
        <v>0</v>
      </c>
      <c r="J884">
        <f t="shared" si="250"/>
        <v>0</v>
      </c>
      <c r="K884">
        <f t="shared" si="251"/>
        <v>0</v>
      </c>
      <c r="L884" cm="1">
        <f t="array" ref="L884">IF(E884*J884=0,0,$C$21*INDEX([3]Sheet1!$C$4:$Q$23,MATCH(K884,[3]Sheet1!$B$4:$B$23,1),MATCH(D884,[3]Sheet1!$C$3:$Q$3,1))
+(K884-INDEX([3]Sheet1!$B$4:$B$23,MATCH(K884,[3]Sheet1!$B$4:$B$23,1),1))/(INDEX([3]Sheet1!$B$4:$B$23,MATCH(K884,[3]Sheet1!$B$4:$B$23,1)+1,1)-INDEX([3]Sheet1!$B$4:$B$23,
MATCH(K884,[3]Sheet1!$B$4:$B$23,1),1))*(INDEX([3]Sheet1!$C$4:$Q$23,MATCH(K884,[3]Sheet1!$B$4:$B$23,1)+1,MATCH(D884,[3]Sheet1!$C$3:$Q$3,1))-INDEX([3]Sheet1!$C$4:$Q$23,
MATCH(K884,[3]Sheet1!$B$4:$B$23,1),MATCH(D884,[3]Sheet1!$C$3:$Q$3,1)))
+(D884-INDEX([3]Sheet1!$C$3:$Q$3,1,MATCH(D884,[3]Sheet1!$C$3:$Q$3)))/(INDEX([3]Sheet1!$C$3:$Q$3,1,MATCH(D884,[3]Sheet1!$C$3:$Q$3)+1)-INDEX([3]Sheet1!$C$3:$Q$3,1,MATCH(
D884,[3]Sheet1!$C$3:$Q$3)))*(INDEX([3]Sheet1!$C$4:$Q$23,MATCH(K884,[3]Sheet1!$B$4:$B$23,1),MATCH(D884,[3]Sheet1!$C$3:$Q$3,1)+1)-INDEX([3]Sheet1!$C$4:$Q$23,MATCH(K884,[3]Sheet1!$B$4:$B$23,1),MATCH(D884,[3]Sheet1!$C$3:$Q$3,1))))</f>
        <v>0</v>
      </c>
      <c r="M884" cm="1">
        <f t="array" ref="M884" xml:space="preserve"> IF(E884*J884=0,0,(INDEX([2]Sheet1!$C$4:$Q$23,MATCH(K884,[2]Sheet1!$B$4:$B$23,1),MATCH(D884,[2]Sheet1!$C$3:$Q$3,1))
+ (K884 - INDEX([2]Sheet1!$B$4:$B$23,MATCH(K884,[2]Sheet1!$B$4:$B$23,1),1))/(INDEX([2]Sheet1!$B$4:$B$23,MATCH(K884,[2]Sheet1!$B$4:$B$23,1)+1,1) - INDEX([2]Sheet1!$B$4:$B$23,MATCH(K884,[2]Sheet1!$B$4:$B$23,1),1))*(INDEX([2]Sheet1!$C$4:$Q$23,MATCH(K884,[2]Sheet1!$B$4:$B$23,1)+1,MATCH(D884,[2]Sheet1!$C$3:$Q$3,1)) - INDEX([2]Sheet1!$C$4:$Q$23,MATCH(K884,[2]Sheet1!$B$4:$B$23,1),MATCH(D884,[2]Sheet1!$C$3:$Q$3,1)))
+ (D884 - INDEX([2]Sheet1!$C$3:$Q$3,1,MATCH(D884,[2]Sheet1!$C$3:$Q$3)))/(INDEX([2]Sheet1!$C$3:$Q$3,1,MATCH(D884,[2]Sheet1!$C$3:$Q$3)+1) - INDEX([2]Sheet1!$C$3:$Q$3,1,MATCH(D884,[2]Sheet1!$C$3:$Q$3)))*(
INDEX([2]Sheet1!$C$4:$Q$23,MATCH(K884,[2]Sheet1!$B$4:$B$23,1),MATCH(D884,[2]Sheet1!$C$3:$Q$3,1)+1) - INDEX([2]Sheet1!$C$4:$Q$23,MATCH(K884,[2]Sheet1!$B$4:$B$23,1),MATCH(D884,[2]Sheet1!$C$3:$Q$3,1)))))</f>
        <v>0</v>
      </c>
      <c r="N884">
        <f t="shared" si="252"/>
        <v>12</v>
      </c>
      <c r="O884">
        <v>250.02450568394099</v>
      </c>
      <c r="P884" t="e">
        <f t="shared" si="253"/>
        <v>#DIV/0!</v>
      </c>
      <c r="Q884">
        <f t="shared" si="254"/>
        <v>0</v>
      </c>
      <c r="R884">
        <f t="shared" si="255"/>
        <v>741.9099431943954</v>
      </c>
      <c r="T884" t="e">
        <f t="shared" si="256"/>
        <v>#DIV/0!</v>
      </c>
      <c r="U884" t="e">
        <f t="shared" si="257"/>
        <v>#DIV/0!</v>
      </c>
      <c r="V884">
        <f t="shared" si="258"/>
        <v>0</v>
      </c>
      <c r="W884" t="e">
        <f t="shared" si="259"/>
        <v>#DIV/0!</v>
      </c>
    </row>
    <row r="885" spans="1:23" x14ac:dyDescent="0.55000000000000004">
      <c r="A885">
        <f t="shared" si="261"/>
        <v>85.09999999999944</v>
      </c>
      <c r="B885">
        <f t="shared" si="262"/>
        <v>0.316</v>
      </c>
      <c r="C885">
        <f t="shared" si="245"/>
        <v>-50.499999999999638</v>
      </c>
      <c r="D885">
        <v>251.43984551913201</v>
      </c>
      <c r="E885">
        <f t="shared" si="246"/>
        <v>0</v>
      </c>
      <c r="F885">
        <f t="shared" si="247"/>
        <v>4.8605058816845369E-2</v>
      </c>
      <c r="G885">
        <f t="shared" si="248"/>
        <v>39.513748498891111</v>
      </c>
      <c r="H885">
        <f t="shared" si="249"/>
        <v>0</v>
      </c>
      <c r="I885" s="1">
        <f t="shared" si="260"/>
        <v>0</v>
      </c>
      <c r="J885">
        <f t="shared" si="250"/>
        <v>0</v>
      </c>
      <c r="K885">
        <f t="shared" si="251"/>
        <v>0</v>
      </c>
      <c r="L885" cm="1">
        <f t="array" ref="L885">IF(E885*J885=0,0,$C$21*INDEX([3]Sheet1!$C$4:$Q$23,MATCH(K885,[3]Sheet1!$B$4:$B$23,1),MATCH(D885,[3]Sheet1!$C$3:$Q$3,1))
+(K885-INDEX([3]Sheet1!$B$4:$B$23,MATCH(K885,[3]Sheet1!$B$4:$B$23,1),1))/(INDEX([3]Sheet1!$B$4:$B$23,MATCH(K885,[3]Sheet1!$B$4:$B$23,1)+1,1)-INDEX([3]Sheet1!$B$4:$B$23,
MATCH(K885,[3]Sheet1!$B$4:$B$23,1),1))*(INDEX([3]Sheet1!$C$4:$Q$23,MATCH(K885,[3]Sheet1!$B$4:$B$23,1)+1,MATCH(D885,[3]Sheet1!$C$3:$Q$3,1))-INDEX([3]Sheet1!$C$4:$Q$23,
MATCH(K885,[3]Sheet1!$B$4:$B$23,1),MATCH(D885,[3]Sheet1!$C$3:$Q$3,1)))
+(D885-INDEX([3]Sheet1!$C$3:$Q$3,1,MATCH(D885,[3]Sheet1!$C$3:$Q$3)))/(INDEX([3]Sheet1!$C$3:$Q$3,1,MATCH(D885,[3]Sheet1!$C$3:$Q$3)+1)-INDEX([3]Sheet1!$C$3:$Q$3,1,MATCH(
D885,[3]Sheet1!$C$3:$Q$3)))*(INDEX([3]Sheet1!$C$4:$Q$23,MATCH(K885,[3]Sheet1!$B$4:$B$23,1),MATCH(D885,[3]Sheet1!$C$3:$Q$3,1)+1)-INDEX([3]Sheet1!$C$4:$Q$23,MATCH(K885,[3]Sheet1!$B$4:$B$23,1),MATCH(D885,[3]Sheet1!$C$3:$Q$3,1))))</f>
        <v>0</v>
      </c>
      <c r="M885" cm="1">
        <f t="array" ref="M885" xml:space="preserve"> IF(E885*J885=0,0,(INDEX([2]Sheet1!$C$4:$Q$23,MATCH(K885,[2]Sheet1!$B$4:$B$23,1),MATCH(D885,[2]Sheet1!$C$3:$Q$3,1))
+ (K885 - INDEX([2]Sheet1!$B$4:$B$23,MATCH(K885,[2]Sheet1!$B$4:$B$23,1),1))/(INDEX([2]Sheet1!$B$4:$B$23,MATCH(K885,[2]Sheet1!$B$4:$B$23,1)+1,1) - INDEX([2]Sheet1!$B$4:$B$23,MATCH(K885,[2]Sheet1!$B$4:$B$23,1),1))*(INDEX([2]Sheet1!$C$4:$Q$23,MATCH(K885,[2]Sheet1!$B$4:$B$23,1)+1,MATCH(D885,[2]Sheet1!$C$3:$Q$3,1)) - INDEX([2]Sheet1!$C$4:$Q$23,MATCH(K885,[2]Sheet1!$B$4:$B$23,1),MATCH(D885,[2]Sheet1!$C$3:$Q$3,1)))
+ (D885 - INDEX([2]Sheet1!$C$3:$Q$3,1,MATCH(D885,[2]Sheet1!$C$3:$Q$3)))/(INDEX([2]Sheet1!$C$3:$Q$3,1,MATCH(D885,[2]Sheet1!$C$3:$Q$3)+1) - INDEX([2]Sheet1!$C$3:$Q$3,1,MATCH(D885,[2]Sheet1!$C$3:$Q$3)))*(
INDEX([2]Sheet1!$C$4:$Q$23,MATCH(K885,[2]Sheet1!$B$4:$B$23,1),MATCH(D885,[2]Sheet1!$C$3:$Q$3,1)+1) - INDEX([2]Sheet1!$C$4:$Q$23,MATCH(K885,[2]Sheet1!$B$4:$B$23,1),MATCH(D885,[2]Sheet1!$C$3:$Q$3,1)))))</f>
        <v>0</v>
      </c>
      <c r="N885">
        <f t="shared" si="252"/>
        <v>12</v>
      </c>
      <c r="O885">
        <v>251.02450568394099</v>
      </c>
      <c r="P885" t="e">
        <f t="shared" si="253"/>
        <v>#DIV/0!</v>
      </c>
      <c r="Q885">
        <f t="shared" si="254"/>
        <v>0</v>
      </c>
      <c r="R885">
        <f t="shared" si="255"/>
        <v>741.9099431943954</v>
      </c>
      <c r="T885" t="e">
        <f t="shared" si="256"/>
        <v>#DIV/0!</v>
      </c>
      <c r="U885" t="e">
        <f t="shared" si="257"/>
        <v>#DIV/0!</v>
      </c>
      <c r="V885">
        <f t="shared" si="258"/>
        <v>0</v>
      </c>
      <c r="W885" t="e">
        <f t="shared" si="259"/>
        <v>#DIV/0!</v>
      </c>
    </row>
    <row r="886" spans="1:23" x14ac:dyDescent="0.55000000000000004">
      <c r="A886">
        <f t="shared" si="261"/>
        <v>85.199999999999434</v>
      </c>
      <c r="B886">
        <f t="shared" si="262"/>
        <v>0.316</v>
      </c>
      <c r="C886">
        <f t="shared" si="245"/>
        <v>-50.565217391303989</v>
      </c>
      <c r="D886">
        <v>252.43984551913201</v>
      </c>
      <c r="E886">
        <f t="shared" si="246"/>
        <v>0</v>
      </c>
      <c r="F886">
        <f t="shared" si="247"/>
        <v>4.8605058816845369E-2</v>
      </c>
      <c r="G886">
        <f t="shared" si="248"/>
        <v>39.513748498891111</v>
      </c>
      <c r="H886">
        <f t="shared" si="249"/>
        <v>0</v>
      </c>
      <c r="I886" s="1">
        <f t="shared" si="260"/>
        <v>0</v>
      </c>
      <c r="J886">
        <f t="shared" si="250"/>
        <v>0</v>
      </c>
      <c r="K886">
        <f t="shared" si="251"/>
        <v>0</v>
      </c>
      <c r="L886" cm="1">
        <f t="array" ref="L886">IF(E886*J886=0,0,$C$21*INDEX([3]Sheet1!$C$4:$Q$23,MATCH(K886,[3]Sheet1!$B$4:$B$23,1),MATCH(D886,[3]Sheet1!$C$3:$Q$3,1))
+(K886-INDEX([3]Sheet1!$B$4:$B$23,MATCH(K886,[3]Sheet1!$B$4:$B$23,1),1))/(INDEX([3]Sheet1!$B$4:$B$23,MATCH(K886,[3]Sheet1!$B$4:$B$23,1)+1,1)-INDEX([3]Sheet1!$B$4:$B$23,
MATCH(K886,[3]Sheet1!$B$4:$B$23,1),1))*(INDEX([3]Sheet1!$C$4:$Q$23,MATCH(K886,[3]Sheet1!$B$4:$B$23,1)+1,MATCH(D886,[3]Sheet1!$C$3:$Q$3,1))-INDEX([3]Sheet1!$C$4:$Q$23,
MATCH(K886,[3]Sheet1!$B$4:$B$23,1),MATCH(D886,[3]Sheet1!$C$3:$Q$3,1)))
+(D886-INDEX([3]Sheet1!$C$3:$Q$3,1,MATCH(D886,[3]Sheet1!$C$3:$Q$3)))/(INDEX([3]Sheet1!$C$3:$Q$3,1,MATCH(D886,[3]Sheet1!$C$3:$Q$3)+1)-INDEX([3]Sheet1!$C$3:$Q$3,1,MATCH(
D886,[3]Sheet1!$C$3:$Q$3)))*(INDEX([3]Sheet1!$C$4:$Q$23,MATCH(K886,[3]Sheet1!$B$4:$B$23,1),MATCH(D886,[3]Sheet1!$C$3:$Q$3,1)+1)-INDEX([3]Sheet1!$C$4:$Q$23,MATCH(K886,[3]Sheet1!$B$4:$B$23,1),MATCH(D886,[3]Sheet1!$C$3:$Q$3,1))))</f>
        <v>0</v>
      </c>
      <c r="M886" cm="1">
        <f t="array" ref="M886" xml:space="preserve"> IF(E886*J886=0,0,(INDEX([2]Sheet1!$C$4:$Q$23,MATCH(K886,[2]Sheet1!$B$4:$B$23,1),MATCH(D886,[2]Sheet1!$C$3:$Q$3,1))
+ (K886 - INDEX([2]Sheet1!$B$4:$B$23,MATCH(K886,[2]Sheet1!$B$4:$B$23,1),1))/(INDEX([2]Sheet1!$B$4:$B$23,MATCH(K886,[2]Sheet1!$B$4:$B$23,1)+1,1) - INDEX([2]Sheet1!$B$4:$B$23,MATCH(K886,[2]Sheet1!$B$4:$B$23,1),1))*(INDEX([2]Sheet1!$C$4:$Q$23,MATCH(K886,[2]Sheet1!$B$4:$B$23,1)+1,MATCH(D886,[2]Sheet1!$C$3:$Q$3,1)) - INDEX([2]Sheet1!$C$4:$Q$23,MATCH(K886,[2]Sheet1!$B$4:$B$23,1),MATCH(D886,[2]Sheet1!$C$3:$Q$3,1)))
+ (D886 - INDEX([2]Sheet1!$C$3:$Q$3,1,MATCH(D886,[2]Sheet1!$C$3:$Q$3)))/(INDEX([2]Sheet1!$C$3:$Q$3,1,MATCH(D886,[2]Sheet1!$C$3:$Q$3)+1) - INDEX([2]Sheet1!$C$3:$Q$3,1,MATCH(D886,[2]Sheet1!$C$3:$Q$3)))*(
INDEX([2]Sheet1!$C$4:$Q$23,MATCH(K886,[2]Sheet1!$B$4:$B$23,1),MATCH(D886,[2]Sheet1!$C$3:$Q$3,1)+1) - INDEX([2]Sheet1!$C$4:$Q$23,MATCH(K886,[2]Sheet1!$B$4:$B$23,1),MATCH(D886,[2]Sheet1!$C$3:$Q$3,1)))))</f>
        <v>0</v>
      </c>
      <c r="N886">
        <f t="shared" si="252"/>
        <v>12</v>
      </c>
      <c r="O886">
        <v>252.02450568394099</v>
      </c>
      <c r="P886" t="e">
        <f t="shared" si="253"/>
        <v>#DIV/0!</v>
      </c>
      <c r="Q886">
        <f t="shared" si="254"/>
        <v>0</v>
      </c>
      <c r="R886">
        <f t="shared" si="255"/>
        <v>741.9099431943954</v>
      </c>
      <c r="T886" t="e">
        <f t="shared" si="256"/>
        <v>#DIV/0!</v>
      </c>
      <c r="U886" t="e">
        <f t="shared" si="257"/>
        <v>#DIV/0!</v>
      </c>
      <c r="V886">
        <f t="shared" si="258"/>
        <v>0</v>
      </c>
      <c r="W886" t="e">
        <f t="shared" si="259"/>
        <v>#DIV/0!</v>
      </c>
    </row>
    <row r="887" spans="1:23" x14ac:dyDescent="0.55000000000000004">
      <c r="A887">
        <f t="shared" si="261"/>
        <v>85.299999999999429</v>
      </c>
      <c r="B887">
        <f t="shared" si="262"/>
        <v>0.316</v>
      </c>
      <c r="C887">
        <f t="shared" si="245"/>
        <v>-50.630434782608326</v>
      </c>
      <c r="D887">
        <v>253.43984551913201</v>
      </c>
      <c r="E887">
        <f t="shared" si="246"/>
        <v>0</v>
      </c>
      <c r="F887">
        <f t="shared" si="247"/>
        <v>4.8605058816845369E-2</v>
      </c>
      <c r="G887">
        <f t="shared" si="248"/>
        <v>39.513748498891111</v>
      </c>
      <c r="H887">
        <f t="shared" si="249"/>
        <v>0</v>
      </c>
      <c r="I887" s="1">
        <f t="shared" si="260"/>
        <v>0</v>
      </c>
      <c r="J887">
        <f t="shared" si="250"/>
        <v>0</v>
      </c>
      <c r="K887">
        <f t="shared" si="251"/>
        <v>0</v>
      </c>
      <c r="L887" cm="1">
        <f t="array" ref="L887">IF(E887*J887=0,0,$C$21*INDEX([3]Sheet1!$C$4:$Q$23,MATCH(K887,[3]Sheet1!$B$4:$B$23,1),MATCH(D887,[3]Sheet1!$C$3:$Q$3,1))
+(K887-INDEX([3]Sheet1!$B$4:$B$23,MATCH(K887,[3]Sheet1!$B$4:$B$23,1),1))/(INDEX([3]Sheet1!$B$4:$B$23,MATCH(K887,[3]Sheet1!$B$4:$B$23,1)+1,1)-INDEX([3]Sheet1!$B$4:$B$23,
MATCH(K887,[3]Sheet1!$B$4:$B$23,1),1))*(INDEX([3]Sheet1!$C$4:$Q$23,MATCH(K887,[3]Sheet1!$B$4:$B$23,1)+1,MATCH(D887,[3]Sheet1!$C$3:$Q$3,1))-INDEX([3]Sheet1!$C$4:$Q$23,
MATCH(K887,[3]Sheet1!$B$4:$B$23,1),MATCH(D887,[3]Sheet1!$C$3:$Q$3,1)))
+(D887-INDEX([3]Sheet1!$C$3:$Q$3,1,MATCH(D887,[3]Sheet1!$C$3:$Q$3)))/(INDEX([3]Sheet1!$C$3:$Q$3,1,MATCH(D887,[3]Sheet1!$C$3:$Q$3)+1)-INDEX([3]Sheet1!$C$3:$Q$3,1,MATCH(
D887,[3]Sheet1!$C$3:$Q$3)))*(INDEX([3]Sheet1!$C$4:$Q$23,MATCH(K887,[3]Sheet1!$B$4:$B$23,1),MATCH(D887,[3]Sheet1!$C$3:$Q$3,1)+1)-INDEX([3]Sheet1!$C$4:$Q$23,MATCH(K887,[3]Sheet1!$B$4:$B$23,1),MATCH(D887,[3]Sheet1!$C$3:$Q$3,1))))</f>
        <v>0</v>
      </c>
      <c r="M887" cm="1">
        <f t="array" ref="M887" xml:space="preserve"> IF(E887*J887=0,0,(INDEX([2]Sheet1!$C$4:$Q$23,MATCH(K887,[2]Sheet1!$B$4:$B$23,1),MATCH(D887,[2]Sheet1!$C$3:$Q$3,1))
+ (K887 - INDEX([2]Sheet1!$B$4:$B$23,MATCH(K887,[2]Sheet1!$B$4:$B$23,1),1))/(INDEX([2]Sheet1!$B$4:$B$23,MATCH(K887,[2]Sheet1!$B$4:$B$23,1)+1,1) - INDEX([2]Sheet1!$B$4:$B$23,MATCH(K887,[2]Sheet1!$B$4:$B$23,1),1))*(INDEX([2]Sheet1!$C$4:$Q$23,MATCH(K887,[2]Sheet1!$B$4:$B$23,1)+1,MATCH(D887,[2]Sheet1!$C$3:$Q$3,1)) - INDEX([2]Sheet1!$C$4:$Q$23,MATCH(K887,[2]Sheet1!$B$4:$B$23,1),MATCH(D887,[2]Sheet1!$C$3:$Q$3,1)))
+ (D887 - INDEX([2]Sheet1!$C$3:$Q$3,1,MATCH(D887,[2]Sheet1!$C$3:$Q$3)))/(INDEX([2]Sheet1!$C$3:$Q$3,1,MATCH(D887,[2]Sheet1!$C$3:$Q$3)+1) - INDEX([2]Sheet1!$C$3:$Q$3,1,MATCH(D887,[2]Sheet1!$C$3:$Q$3)))*(
INDEX([2]Sheet1!$C$4:$Q$23,MATCH(K887,[2]Sheet1!$B$4:$B$23,1),MATCH(D887,[2]Sheet1!$C$3:$Q$3,1)+1) - INDEX([2]Sheet1!$C$4:$Q$23,MATCH(K887,[2]Sheet1!$B$4:$B$23,1),MATCH(D887,[2]Sheet1!$C$3:$Q$3,1)))))</f>
        <v>0</v>
      </c>
      <c r="N887">
        <f t="shared" si="252"/>
        <v>12</v>
      </c>
      <c r="O887">
        <v>253.02450568394099</v>
      </c>
      <c r="P887" t="e">
        <f t="shared" si="253"/>
        <v>#DIV/0!</v>
      </c>
      <c r="Q887">
        <f t="shared" si="254"/>
        <v>0</v>
      </c>
      <c r="R887">
        <f t="shared" si="255"/>
        <v>741.9099431943954</v>
      </c>
      <c r="T887" t="e">
        <f t="shared" si="256"/>
        <v>#DIV/0!</v>
      </c>
      <c r="U887" t="e">
        <f t="shared" si="257"/>
        <v>#DIV/0!</v>
      </c>
      <c r="V887">
        <f t="shared" si="258"/>
        <v>0</v>
      </c>
      <c r="W887" t="e">
        <f t="shared" si="259"/>
        <v>#DIV/0!</v>
      </c>
    </row>
    <row r="888" spans="1:23" x14ac:dyDescent="0.55000000000000004">
      <c r="A888">
        <f t="shared" si="261"/>
        <v>85.399999999999423</v>
      </c>
      <c r="B888">
        <f t="shared" si="262"/>
        <v>0.316</v>
      </c>
      <c r="C888">
        <f t="shared" si="245"/>
        <v>-50.695652173912677</v>
      </c>
      <c r="D888">
        <v>254.43984551913201</v>
      </c>
      <c r="E888">
        <f t="shared" si="246"/>
        <v>0</v>
      </c>
      <c r="F888">
        <f t="shared" si="247"/>
        <v>4.8605058816845369E-2</v>
      </c>
      <c r="G888">
        <f t="shared" si="248"/>
        <v>39.513748498891111</v>
      </c>
      <c r="H888">
        <f t="shared" si="249"/>
        <v>0</v>
      </c>
      <c r="I888" s="1">
        <f t="shared" si="260"/>
        <v>0</v>
      </c>
      <c r="J888">
        <f t="shared" si="250"/>
        <v>0</v>
      </c>
      <c r="K888">
        <f t="shared" si="251"/>
        <v>0</v>
      </c>
      <c r="L888" cm="1">
        <f t="array" ref="L888">IF(E888*J888=0,0,$C$21*INDEX([3]Sheet1!$C$4:$Q$23,MATCH(K888,[3]Sheet1!$B$4:$B$23,1),MATCH(D888,[3]Sheet1!$C$3:$Q$3,1))
+(K888-INDEX([3]Sheet1!$B$4:$B$23,MATCH(K888,[3]Sheet1!$B$4:$B$23,1),1))/(INDEX([3]Sheet1!$B$4:$B$23,MATCH(K888,[3]Sheet1!$B$4:$B$23,1)+1,1)-INDEX([3]Sheet1!$B$4:$B$23,
MATCH(K888,[3]Sheet1!$B$4:$B$23,1),1))*(INDEX([3]Sheet1!$C$4:$Q$23,MATCH(K888,[3]Sheet1!$B$4:$B$23,1)+1,MATCH(D888,[3]Sheet1!$C$3:$Q$3,1))-INDEX([3]Sheet1!$C$4:$Q$23,
MATCH(K888,[3]Sheet1!$B$4:$B$23,1),MATCH(D888,[3]Sheet1!$C$3:$Q$3,1)))
+(D888-INDEX([3]Sheet1!$C$3:$Q$3,1,MATCH(D888,[3]Sheet1!$C$3:$Q$3)))/(INDEX([3]Sheet1!$C$3:$Q$3,1,MATCH(D888,[3]Sheet1!$C$3:$Q$3)+1)-INDEX([3]Sheet1!$C$3:$Q$3,1,MATCH(
D888,[3]Sheet1!$C$3:$Q$3)))*(INDEX([3]Sheet1!$C$4:$Q$23,MATCH(K888,[3]Sheet1!$B$4:$B$23,1),MATCH(D888,[3]Sheet1!$C$3:$Q$3,1)+1)-INDEX([3]Sheet1!$C$4:$Q$23,MATCH(K888,[3]Sheet1!$B$4:$B$23,1),MATCH(D888,[3]Sheet1!$C$3:$Q$3,1))))</f>
        <v>0</v>
      </c>
      <c r="M888" cm="1">
        <f t="array" ref="M888" xml:space="preserve"> IF(E888*J888=0,0,(INDEX([2]Sheet1!$C$4:$Q$23,MATCH(K888,[2]Sheet1!$B$4:$B$23,1),MATCH(D888,[2]Sheet1!$C$3:$Q$3,1))
+ (K888 - INDEX([2]Sheet1!$B$4:$B$23,MATCH(K888,[2]Sheet1!$B$4:$B$23,1),1))/(INDEX([2]Sheet1!$B$4:$B$23,MATCH(K888,[2]Sheet1!$B$4:$B$23,1)+1,1) - INDEX([2]Sheet1!$B$4:$B$23,MATCH(K888,[2]Sheet1!$B$4:$B$23,1),1))*(INDEX([2]Sheet1!$C$4:$Q$23,MATCH(K888,[2]Sheet1!$B$4:$B$23,1)+1,MATCH(D888,[2]Sheet1!$C$3:$Q$3,1)) - INDEX([2]Sheet1!$C$4:$Q$23,MATCH(K888,[2]Sheet1!$B$4:$B$23,1),MATCH(D888,[2]Sheet1!$C$3:$Q$3,1)))
+ (D888 - INDEX([2]Sheet1!$C$3:$Q$3,1,MATCH(D888,[2]Sheet1!$C$3:$Q$3)))/(INDEX([2]Sheet1!$C$3:$Q$3,1,MATCH(D888,[2]Sheet1!$C$3:$Q$3)+1) - INDEX([2]Sheet1!$C$3:$Q$3,1,MATCH(D888,[2]Sheet1!$C$3:$Q$3)))*(
INDEX([2]Sheet1!$C$4:$Q$23,MATCH(K888,[2]Sheet1!$B$4:$B$23,1),MATCH(D888,[2]Sheet1!$C$3:$Q$3,1)+1) - INDEX([2]Sheet1!$C$4:$Q$23,MATCH(K888,[2]Sheet1!$B$4:$B$23,1),MATCH(D888,[2]Sheet1!$C$3:$Q$3,1)))))</f>
        <v>0</v>
      </c>
      <c r="N888">
        <f t="shared" si="252"/>
        <v>12</v>
      </c>
      <c r="O888">
        <v>254.02450568394099</v>
      </c>
      <c r="P888" t="e">
        <f t="shared" si="253"/>
        <v>#DIV/0!</v>
      </c>
      <c r="Q888">
        <f t="shared" si="254"/>
        <v>0</v>
      </c>
      <c r="R888">
        <f t="shared" si="255"/>
        <v>741.9099431943954</v>
      </c>
      <c r="T888" t="e">
        <f t="shared" si="256"/>
        <v>#DIV/0!</v>
      </c>
      <c r="U888" t="e">
        <f t="shared" si="257"/>
        <v>#DIV/0!</v>
      </c>
      <c r="V888">
        <f t="shared" si="258"/>
        <v>0</v>
      </c>
      <c r="W888" t="e">
        <f t="shared" si="259"/>
        <v>#DIV/0!</v>
      </c>
    </row>
    <row r="889" spans="1:23" x14ac:dyDescent="0.55000000000000004">
      <c r="A889">
        <f t="shared" si="261"/>
        <v>85.499999999999417</v>
      </c>
      <c r="B889">
        <f t="shared" si="262"/>
        <v>0.316</v>
      </c>
      <c r="C889">
        <f t="shared" si="245"/>
        <v>-50.760869565217014</v>
      </c>
      <c r="D889">
        <v>255.43984551913201</v>
      </c>
      <c r="E889">
        <f t="shared" si="246"/>
        <v>0</v>
      </c>
      <c r="F889">
        <f t="shared" si="247"/>
        <v>4.8605058816845369E-2</v>
      </c>
      <c r="G889">
        <f t="shared" si="248"/>
        <v>39.513748498891111</v>
      </c>
      <c r="H889">
        <f t="shared" si="249"/>
        <v>0</v>
      </c>
      <c r="I889" s="1">
        <f t="shared" si="260"/>
        <v>0</v>
      </c>
      <c r="J889">
        <f t="shared" si="250"/>
        <v>0</v>
      </c>
      <c r="K889">
        <f t="shared" si="251"/>
        <v>0</v>
      </c>
      <c r="L889" cm="1">
        <f t="array" ref="L889">IF(E889*J889=0,0,$C$21*INDEX([3]Sheet1!$C$4:$Q$23,MATCH(K889,[3]Sheet1!$B$4:$B$23,1),MATCH(D889,[3]Sheet1!$C$3:$Q$3,1))
+(K889-INDEX([3]Sheet1!$B$4:$B$23,MATCH(K889,[3]Sheet1!$B$4:$B$23,1),1))/(INDEX([3]Sheet1!$B$4:$B$23,MATCH(K889,[3]Sheet1!$B$4:$B$23,1)+1,1)-INDEX([3]Sheet1!$B$4:$B$23,
MATCH(K889,[3]Sheet1!$B$4:$B$23,1),1))*(INDEX([3]Sheet1!$C$4:$Q$23,MATCH(K889,[3]Sheet1!$B$4:$B$23,1)+1,MATCH(D889,[3]Sheet1!$C$3:$Q$3,1))-INDEX([3]Sheet1!$C$4:$Q$23,
MATCH(K889,[3]Sheet1!$B$4:$B$23,1),MATCH(D889,[3]Sheet1!$C$3:$Q$3,1)))
+(D889-INDEX([3]Sheet1!$C$3:$Q$3,1,MATCH(D889,[3]Sheet1!$C$3:$Q$3)))/(INDEX([3]Sheet1!$C$3:$Q$3,1,MATCH(D889,[3]Sheet1!$C$3:$Q$3)+1)-INDEX([3]Sheet1!$C$3:$Q$3,1,MATCH(
D889,[3]Sheet1!$C$3:$Q$3)))*(INDEX([3]Sheet1!$C$4:$Q$23,MATCH(K889,[3]Sheet1!$B$4:$B$23,1),MATCH(D889,[3]Sheet1!$C$3:$Q$3,1)+1)-INDEX([3]Sheet1!$C$4:$Q$23,MATCH(K889,[3]Sheet1!$B$4:$B$23,1),MATCH(D889,[3]Sheet1!$C$3:$Q$3,1))))</f>
        <v>0</v>
      </c>
      <c r="M889" cm="1">
        <f t="array" ref="M889" xml:space="preserve"> IF(E889*J889=0,0,(INDEX([2]Sheet1!$C$4:$Q$23,MATCH(K889,[2]Sheet1!$B$4:$B$23,1),MATCH(D889,[2]Sheet1!$C$3:$Q$3,1))
+ (K889 - INDEX([2]Sheet1!$B$4:$B$23,MATCH(K889,[2]Sheet1!$B$4:$B$23,1),1))/(INDEX([2]Sheet1!$B$4:$B$23,MATCH(K889,[2]Sheet1!$B$4:$B$23,1)+1,1) - INDEX([2]Sheet1!$B$4:$B$23,MATCH(K889,[2]Sheet1!$B$4:$B$23,1),1))*(INDEX([2]Sheet1!$C$4:$Q$23,MATCH(K889,[2]Sheet1!$B$4:$B$23,1)+1,MATCH(D889,[2]Sheet1!$C$3:$Q$3,1)) - INDEX([2]Sheet1!$C$4:$Q$23,MATCH(K889,[2]Sheet1!$B$4:$B$23,1),MATCH(D889,[2]Sheet1!$C$3:$Q$3,1)))
+ (D889 - INDEX([2]Sheet1!$C$3:$Q$3,1,MATCH(D889,[2]Sheet1!$C$3:$Q$3)))/(INDEX([2]Sheet1!$C$3:$Q$3,1,MATCH(D889,[2]Sheet1!$C$3:$Q$3)+1) - INDEX([2]Sheet1!$C$3:$Q$3,1,MATCH(D889,[2]Sheet1!$C$3:$Q$3)))*(
INDEX([2]Sheet1!$C$4:$Q$23,MATCH(K889,[2]Sheet1!$B$4:$B$23,1),MATCH(D889,[2]Sheet1!$C$3:$Q$3,1)+1) - INDEX([2]Sheet1!$C$4:$Q$23,MATCH(K889,[2]Sheet1!$B$4:$B$23,1),MATCH(D889,[2]Sheet1!$C$3:$Q$3,1)))))</f>
        <v>0</v>
      </c>
      <c r="N889">
        <f t="shared" si="252"/>
        <v>12</v>
      </c>
      <c r="O889">
        <v>255.02450568394099</v>
      </c>
      <c r="P889" t="e">
        <f t="shared" si="253"/>
        <v>#DIV/0!</v>
      </c>
      <c r="Q889">
        <f t="shared" si="254"/>
        <v>0</v>
      </c>
      <c r="R889">
        <f t="shared" si="255"/>
        <v>741.9099431943954</v>
      </c>
      <c r="T889" t="e">
        <f t="shared" si="256"/>
        <v>#DIV/0!</v>
      </c>
      <c r="U889" t="e">
        <f t="shared" si="257"/>
        <v>#DIV/0!</v>
      </c>
      <c r="V889">
        <f t="shared" si="258"/>
        <v>0</v>
      </c>
      <c r="W889" t="e">
        <f t="shared" si="259"/>
        <v>#DIV/0!</v>
      </c>
    </row>
    <row r="890" spans="1:23" x14ac:dyDescent="0.55000000000000004">
      <c r="A890">
        <f t="shared" si="261"/>
        <v>85.599999999999412</v>
      </c>
      <c r="B890">
        <f t="shared" si="262"/>
        <v>0.316</v>
      </c>
      <c r="C890">
        <f t="shared" si="245"/>
        <v>-50.826086956521365</v>
      </c>
      <c r="D890">
        <v>256.43984551913201</v>
      </c>
      <c r="E890">
        <f t="shared" si="246"/>
        <v>0</v>
      </c>
      <c r="F890">
        <f t="shared" si="247"/>
        <v>4.8605058816845369E-2</v>
      </c>
      <c r="G890">
        <f t="shared" si="248"/>
        <v>39.513748498891111</v>
      </c>
      <c r="H890">
        <f t="shared" si="249"/>
        <v>0</v>
      </c>
      <c r="I890" s="1">
        <f t="shared" si="260"/>
        <v>0</v>
      </c>
      <c r="J890">
        <f t="shared" si="250"/>
        <v>0</v>
      </c>
      <c r="K890">
        <f t="shared" si="251"/>
        <v>0</v>
      </c>
      <c r="L890" cm="1">
        <f t="array" ref="L890">IF(E890*J890=0,0,$C$21*INDEX([3]Sheet1!$C$4:$Q$23,MATCH(K890,[3]Sheet1!$B$4:$B$23,1),MATCH(D890,[3]Sheet1!$C$3:$Q$3,1))
+(K890-INDEX([3]Sheet1!$B$4:$B$23,MATCH(K890,[3]Sheet1!$B$4:$B$23,1),1))/(INDEX([3]Sheet1!$B$4:$B$23,MATCH(K890,[3]Sheet1!$B$4:$B$23,1)+1,1)-INDEX([3]Sheet1!$B$4:$B$23,
MATCH(K890,[3]Sheet1!$B$4:$B$23,1),1))*(INDEX([3]Sheet1!$C$4:$Q$23,MATCH(K890,[3]Sheet1!$B$4:$B$23,1)+1,MATCH(D890,[3]Sheet1!$C$3:$Q$3,1))-INDEX([3]Sheet1!$C$4:$Q$23,
MATCH(K890,[3]Sheet1!$B$4:$B$23,1),MATCH(D890,[3]Sheet1!$C$3:$Q$3,1)))
+(D890-INDEX([3]Sheet1!$C$3:$Q$3,1,MATCH(D890,[3]Sheet1!$C$3:$Q$3)))/(INDEX([3]Sheet1!$C$3:$Q$3,1,MATCH(D890,[3]Sheet1!$C$3:$Q$3)+1)-INDEX([3]Sheet1!$C$3:$Q$3,1,MATCH(
D890,[3]Sheet1!$C$3:$Q$3)))*(INDEX([3]Sheet1!$C$4:$Q$23,MATCH(K890,[3]Sheet1!$B$4:$B$23,1),MATCH(D890,[3]Sheet1!$C$3:$Q$3,1)+1)-INDEX([3]Sheet1!$C$4:$Q$23,MATCH(K890,[3]Sheet1!$B$4:$B$23,1),MATCH(D890,[3]Sheet1!$C$3:$Q$3,1))))</f>
        <v>0</v>
      </c>
      <c r="M890" cm="1">
        <f t="array" ref="M890" xml:space="preserve"> IF(E890*J890=0,0,(INDEX([2]Sheet1!$C$4:$Q$23,MATCH(K890,[2]Sheet1!$B$4:$B$23,1),MATCH(D890,[2]Sheet1!$C$3:$Q$3,1))
+ (K890 - INDEX([2]Sheet1!$B$4:$B$23,MATCH(K890,[2]Sheet1!$B$4:$B$23,1),1))/(INDEX([2]Sheet1!$B$4:$B$23,MATCH(K890,[2]Sheet1!$B$4:$B$23,1)+1,1) - INDEX([2]Sheet1!$B$4:$B$23,MATCH(K890,[2]Sheet1!$B$4:$B$23,1),1))*(INDEX([2]Sheet1!$C$4:$Q$23,MATCH(K890,[2]Sheet1!$B$4:$B$23,1)+1,MATCH(D890,[2]Sheet1!$C$3:$Q$3,1)) - INDEX([2]Sheet1!$C$4:$Q$23,MATCH(K890,[2]Sheet1!$B$4:$B$23,1),MATCH(D890,[2]Sheet1!$C$3:$Q$3,1)))
+ (D890 - INDEX([2]Sheet1!$C$3:$Q$3,1,MATCH(D890,[2]Sheet1!$C$3:$Q$3)))/(INDEX([2]Sheet1!$C$3:$Q$3,1,MATCH(D890,[2]Sheet1!$C$3:$Q$3)+1) - INDEX([2]Sheet1!$C$3:$Q$3,1,MATCH(D890,[2]Sheet1!$C$3:$Q$3)))*(
INDEX([2]Sheet1!$C$4:$Q$23,MATCH(K890,[2]Sheet1!$B$4:$B$23,1),MATCH(D890,[2]Sheet1!$C$3:$Q$3,1)+1) - INDEX([2]Sheet1!$C$4:$Q$23,MATCH(K890,[2]Sheet1!$B$4:$B$23,1),MATCH(D890,[2]Sheet1!$C$3:$Q$3,1)))))</f>
        <v>0</v>
      </c>
      <c r="N890">
        <f t="shared" si="252"/>
        <v>12</v>
      </c>
      <c r="O890">
        <v>256.02450568394102</v>
      </c>
      <c r="P890" t="e">
        <f t="shared" si="253"/>
        <v>#DIV/0!</v>
      </c>
      <c r="Q890">
        <f t="shared" si="254"/>
        <v>0</v>
      </c>
      <c r="R890">
        <f t="shared" si="255"/>
        <v>741.9099431943954</v>
      </c>
      <c r="T890" t="e">
        <f t="shared" si="256"/>
        <v>#DIV/0!</v>
      </c>
      <c r="U890" t="e">
        <f t="shared" si="257"/>
        <v>#DIV/0!</v>
      </c>
      <c r="V890">
        <f t="shared" si="258"/>
        <v>0</v>
      </c>
      <c r="W890" t="e">
        <f t="shared" si="259"/>
        <v>#DIV/0!</v>
      </c>
    </row>
    <row r="891" spans="1:23" x14ac:dyDescent="0.55000000000000004">
      <c r="A891">
        <f t="shared" si="261"/>
        <v>85.699999999999406</v>
      </c>
      <c r="B891">
        <f t="shared" si="262"/>
        <v>0.316</v>
      </c>
      <c r="C891">
        <f t="shared" ref="C891:C954" si="263">($C$3-$C$2)*A891/$C$4+$C$2</f>
        <v>-50.891304347825702</v>
      </c>
      <c r="D891">
        <v>257.43984551913201</v>
      </c>
      <c r="E891">
        <f t="shared" ref="E891:E954" si="264">IF(B891&lt;($C$5*$C$6*10^-6),$C$9*(PI()/4*($C$8*0.001)^2)*SQRT(2*$C$6*IF(C891&gt;D891,(C891-D891),0)*10^6),0)</f>
        <v>0</v>
      </c>
      <c r="F891">
        <f t="shared" ref="F891:F954" si="265">F890+(J890+J889)*(A891-A890)/2</f>
        <v>4.8605058816845369E-2</v>
      </c>
      <c r="G891">
        <f t="shared" ref="G891:G954" si="266">IF(SQRT(4*F891/($C$15*PI()*$C$11*$C$12*0.001)+($C$13*0.001)^2)*1000&lt;$C$14,SQRT(4*F891/($C$15*PI()*$C$11*$C$12*0.001)+($C$13*0.001)^2)*1000,$C$14)</f>
        <v>39.513748498891111</v>
      </c>
      <c r="H891">
        <f t="shared" ref="H891:H954" si="267">4*E891/($C$15*PI()*(G891*0.001)^2)</f>
        <v>0</v>
      </c>
      <c r="I891" s="1">
        <f t="shared" si="260"/>
        <v>0</v>
      </c>
      <c r="J891">
        <f t="shared" ref="J891:J954" si="268">($C$12*10^-3)*PI()*(G891*10^-3)*$C$11*(I891*10^-3)*$C$15</f>
        <v>0</v>
      </c>
      <c r="K891">
        <f t="shared" ref="K891:K954" si="269">IF(E891*J891=0,0,E891/J891)</f>
        <v>0</v>
      </c>
      <c r="L891" cm="1">
        <f t="array" ref="L891">IF(E891*J891=0,0,$C$21*INDEX([3]Sheet1!$C$4:$Q$23,MATCH(K891,[3]Sheet1!$B$4:$B$23,1),MATCH(D891,[3]Sheet1!$C$3:$Q$3,1))
+(K891-INDEX([3]Sheet1!$B$4:$B$23,MATCH(K891,[3]Sheet1!$B$4:$B$23,1),1))/(INDEX([3]Sheet1!$B$4:$B$23,MATCH(K891,[3]Sheet1!$B$4:$B$23,1)+1,1)-INDEX([3]Sheet1!$B$4:$B$23,
MATCH(K891,[3]Sheet1!$B$4:$B$23,1),1))*(INDEX([3]Sheet1!$C$4:$Q$23,MATCH(K891,[3]Sheet1!$B$4:$B$23,1)+1,MATCH(D891,[3]Sheet1!$C$3:$Q$3,1))-INDEX([3]Sheet1!$C$4:$Q$23,
MATCH(K891,[3]Sheet1!$B$4:$B$23,1),MATCH(D891,[3]Sheet1!$C$3:$Q$3,1)))
+(D891-INDEX([3]Sheet1!$C$3:$Q$3,1,MATCH(D891,[3]Sheet1!$C$3:$Q$3)))/(INDEX([3]Sheet1!$C$3:$Q$3,1,MATCH(D891,[3]Sheet1!$C$3:$Q$3)+1)-INDEX([3]Sheet1!$C$3:$Q$3,1,MATCH(
D891,[3]Sheet1!$C$3:$Q$3)))*(INDEX([3]Sheet1!$C$4:$Q$23,MATCH(K891,[3]Sheet1!$B$4:$B$23,1),MATCH(D891,[3]Sheet1!$C$3:$Q$3,1)+1)-INDEX([3]Sheet1!$C$4:$Q$23,MATCH(K891,[3]Sheet1!$B$4:$B$23,1),MATCH(D891,[3]Sheet1!$C$3:$Q$3,1))))</f>
        <v>0</v>
      </c>
      <c r="M891" cm="1">
        <f t="array" ref="M891" xml:space="preserve"> IF(E891*J891=0,0,(INDEX([2]Sheet1!$C$4:$Q$23,MATCH(K891,[2]Sheet1!$B$4:$B$23,1),MATCH(D891,[2]Sheet1!$C$3:$Q$3,1))
+ (K891 - INDEX([2]Sheet1!$B$4:$B$23,MATCH(K891,[2]Sheet1!$B$4:$B$23,1),1))/(INDEX([2]Sheet1!$B$4:$B$23,MATCH(K891,[2]Sheet1!$B$4:$B$23,1)+1,1) - INDEX([2]Sheet1!$B$4:$B$23,MATCH(K891,[2]Sheet1!$B$4:$B$23,1),1))*(INDEX([2]Sheet1!$C$4:$Q$23,MATCH(K891,[2]Sheet1!$B$4:$B$23,1)+1,MATCH(D891,[2]Sheet1!$C$3:$Q$3,1)) - INDEX([2]Sheet1!$C$4:$Q$23,MATCH(K891,[2]Sheet1!$B$4:$B$23,1),MATCH(D891,[2]Sheet1!$C$3:$Q$3,1)))
+ (D891 - INDEX([2]Sheet1!$C$3:$Q$3,1,MATCH(D891,[2]Sheet1!$C$3:$Q$3)))/(INDEX([2]Sheet1!$C$3:$Q$3,1,MATCH(D891,[2]Sheet1!$C$3:$Q$3)+1) - INDEX([2]Sheet1!$C$3:$Q$3,1,MATCH(D891,[2]Sheet1!$C$3:$Q$3)))*(
INDEX([2]Sheet1!$C$4:$Q$23,MATCH(K891,[2]Sheet1!$B$4:$B$23,1),MATCH(D891,[2]Sheet1!$C$3:$Q$3,1)+1) - INDEX([2]Sheet1!$C$4:$Q$23,MATCH(K891,[2]Sheet1!$B$4:$B$23,1),MATCH(D891,[2]Sheet1!$C$3:$Q$3,1)))))</f>
        <v>0</v>
      </c>
      <c r="N891">
        <f t="shared" ref="N891:N954" si="270">C$23+$C$26*(A892-A891)</f>
        <v>12</v>
      </c>
      <c r="O891">
        <v>257.02450568394102</v>
      </c>
      <c r="P891" t="e">
        <f t="shared" ref="P891:P954" si="271">SQRT(2*(M891^2)/(M891-1)*((2/(M891+1))^((M891+1)/(M891-1)))*(1-(O891/D891)^((M891-1)/M891)))+((O891-$C$22)/D891)*(($C$24^2)/($C$23^2))</f>
        <v>#DIV/0!</v>
      </c>
      <c r="Q891">
        <f t="shared" ref="Q891:Q954" si="272">IF(E891*J891=0,0,((1+COS(RADIANS($C$25)))/2)*P891*D891*(PI()*($C$23^2)/4))</f>
        <v>0</v>
      </c>
      <c r="R891">
        <f t="shared" ref="R891:R954" si="273">R890+(Q891+Q890)*(A891-A890)/2</f>
        <v>741.9099431943954</v>
      </c>
      <c r="T891" t="e">
        <f t="shared" ref="T891:T954" si="274">((2/(M891+1))^(1/(M891-1)))*((D891/O891)^(1/M891))/SQRT(((M891+1)/(M891-1))*(1-(O891/D891)^((M891-1)/M891)))</f>
        <v>#DIV/0!</v>
      </c>
      <c r="U891" t="e">
        <f t="shared" ref="U891:U954" si="275">(T891-(($C$24^2)/(N891^2)))/(($C$24^2)/(N891^2))*100</f>
        <v>#DIV/0!</v>
      </c>
      <c r="V891">
        <f t="shared" ref="V891:V954" si="276">4*L891*(E891+J891)/(PI()*N891^2)</f>
        <v>0</v>
      </c>
      <c r="W891" t="e">
        <f t="shared" ref="W891:W954" si="277">(D891-V891)/V891*100</f>
        <v>#DIV/0!</v>
      </c>
    </row>
    <row r="892" spans="1:23" x14ac:dyDescent="0.55000000000000004">
      <c r="A892">
        <f t="shared" si="261"/>
        <v>85.7999999999994</v>
      </c>
      <c r="B892">
        <f t="shared" si="262"/>
        <v>0.316</v>
      </c>
      <c r="C892">
        <f t="shared" si="263"/>
        <v>-50.956521739130054</v>
      </c>
      <c r="D892">
        <v>258.43984551913201</v>
      </c>
      <c r="E892">
        <f t="shared" si="264"/>
        <v>0</v>
      </c>
      <c r="F892">
        <f t="shared" si="265"/>
        <v>4.8605058816845369E-2</v>
      </c>
      <c r="G892">
        <f t="shared" si="266"/>
        <v>39.513748498891111</v>
      </c>
      <c r="H892">
        <f t="shared" si="267"/>
        <v>0</v>
      </c>
      <c r="I892" s="1">
        <f t="shared" si="260"/>
        <v>0</v>
      </c>
      <c r="J892">
        <f t="shared" si="268"/>
        <v>0</v>
      </c>
      <c r="K892">
        <f t="shared" si="269"/>
        <v>0</v>
      </c>
      <c r="L892" cm="1">
        <f t="array" ref="L892">IF(E892*J892=0,0,$C$21*INDEX([3]Sheet1!$C$4:$Q$23,MATCH(K892,[3]Sheet1!$B$4:$B$23,1),MATCH(D892,[3]Sheet1!$C$3:$Q$3,1))
+(K892-INDEX([3]Sheet1!$B$4:$B$23,MATCH(K892,[3]Sheet1!$B$4:$B$23,1),1))/(INDEX([3]Sheet1!$B$4:$B$23,MATCH(K892,[3]Sheet1!$B$4:$B$23,1)+1,1)-INDEX([3]Sheet1!$B$4:$B$23,
MATCH(K892,[3]Sheet1!$B$4:$B$23,1),1))*(INDEX([3]Sheet1!$C$4:$Q$23,MATCH(K892,[3]Sheet1!$B$4:$B$23,1)+1,MATCH(D892,[3]Sheet1!$C$3:$Q$3,1))-INDEX([3]Sheet1!$C$4:$Q$23,
MATCH(K892,[3]Sheet1!$B$4:$B$23,1),MATCH(D892,[3]Sheet1!$C$3:$Q$3,1)))
+(D892-INDEX([3]Sheet1!$C$3:$Q$3,1,MATCH(D892,[3]Sheet1!$C$3:$Q$3)))/(INDEX([3]Sheet1!$C$3:$Q$3,1,MATCH(D892,[3]Sheet1!$C$3:$Q$3)+1)-INDEX([3]Sheet1!$C$3:$Q$3,1,MATCH(
D892,[3]Sheet1!$C$3:$Q$3)))*(INDEX([3]Sheet1!$C$4:$Q$23,MATCH(K892,[3]Sheet1!$B$4:$B$23,1),MATCH(D892,[3]Sheet1!$C$3:$Q$3,1)+1)-INDEX([3]Sheet1!$C$4:$Q$23,MATCH(K892,[3]Sheet1!$B$4:$B$23,1),MATCH(D892,[3]Sheet1!$C$3:$Q$3,1))))</f>
        <v>0</v>
      </c>
      <c r="M892" cm="1">
        <f t="array" ref="M892" xml:space="preserve"> IF(E892*J892=0,0,(INDEX([2]Sheet1!$C$4:$Q$23,MATCH(K892,[2]Sheet1!$B$4:$B$23,1),MATCH(D892,[2]Sheet1!$C$3:$Q$3,1))
+ (K892 - INDEX([2]Sheet1!$B$4:$B$23,MATCH(K892,[2]Sheet1!$B$4:$B$23,1),1))/(INDEX([2]Sheet1!$B$4:$B$23,MATCH(K892,[2]Sheet1!$B$4:$B$23,1)+1,1) - INDEX([2]Sheet1!$B$4:$B$23,MATCH(K892,[2]Sheet1!$B$4:$B$23,1),1))*(INDEX([2]Sheet1!$C$4:$Q$23,MATCH(K892,[2]Sheet1!$B$4:$B$23,1)+1,MATCH(D892,[2]Sheet1!$C$3:$Q$3,1)) - INDEX([2]Sheet1!$C$4:$Q$23,MATCH(K892,[2]Sheet1!$B$4:$B$23,1),MATCH(D892,[2]Sheet1!$C$3:$Q$3,1)))
+ (D892 - INDEX([2]Sheet1!$C$3:$Q$3,1,MATCH(D892,[2]Sheet1!$C$3:$Q$3)))/(INDEX([2]Sheet1!$C$3:$Q$3,1,MATCH(D892,[2]Sheet1!$C$3:$Q$3)+1) - INDEX([2]Sheet1!$C$3:$Q$3,1,MATCH(D892,[2]Sheet1!$C$3:$Q$3)))*(
INDEX([2]Sheet1!$C$4:$Q$23,MATCH(K892,[2]Sheet1!$B$4:$B$23,1),MATCH(D892,[2]Sheet1!$C$3:$Q$3,1)+1) - INDEX([2]Sheet1!$C$4:$Q$23,MATCH(K892,[2]Sheet1!$B$4:$B$23,1),MATCH(D892,[2]Sheet1!$C$3:$Q$3,1)))))</f>
        <v>0</v>
      </c>
      <c r="N892">
        <f t="shared" si="270"/>
        <v>12</v>
      </c>
      <c r="O892">
        <v>258.02450568394102</v>
      </c>
      <c r="P892" t="e">
        <f t="shared" si="271"/>
        <v>#DIV/0!</v>
      </c>
      <c r="Q892">
        <f t="shared" si="272"/>
        <v>0</v>
      </c>
      <c r="R892">
        <f t="shared" si="273"/>
        <v>741.9099431943954</v>
      </c>
      <c r="T892" t="e">
        <f t="shared" si="274"/>
        <v>#DIV/0!</v>
      </c>
      <c r="U892" t="e">
        <f t="shared" si="275"/>
        <v>#DIV/0!</v>
      </c>
      <c r="V892">
        <f t="shared" si="276"/>
        <v>0</v>
      </c>
      <c r="W892" t="e">
        <f t="shared" si="277"/>
        <v>#DIV/0!</v>
      </c>
    </row>
    <row r="893" spans="1:23" x14ac:dyDescent="0.55000000000000004">
      <c r="A893">
        <f t="shared" si="261"/>
        <v>85.899999999999395</v>
      </c>
      <c r="B893">
        <f t="shared" si="262"/>
        <v>0.316</v>
      </c>
      <c r="C893">
        <f t="shared" si="263"/>
        <v>-51.021739130434391</v>
      </c>
      <c r="D893">
        <v>259.43984551913201</v>
      </c>
      <c r="E893">
        <f t="shared" si="264"/>
        <v>0</v>
      </c>
      <c r="F893">
        <f t="shared" si="265"/>
        <v>4.8605058816845369E-2</v>
      </c>
      <c r="G893">
        <f t="shared" si="266"/>
        <v>39.513748498891111</v>
      </c>
      <c r="H893">
        <f t="shared" si="267"/>
        <v>0</v>
      </c>
      <c r="I893" s="1">
        <f t="shared" si="260"/>
        <v>0</v>
      </c>
      <c r="J893">
        <f t="shared" si="268"/>
        <v>0</v>
      </c>
      <c r="K893">
        <f t="shared" si="269"/>
        <v>0</v>
      </c>
      <c r="L893" cm="1">
        <f t="array" ref="L893">IF(E893*J893=0,0,$C$21*INDEX([3]Sheet1!$C$4:$Q$23,MATCH(K893,[3]Sheet1!$B$4:$B$23,1),MATCH(D893,[3]Sheet1!$C$3:$Q$3,1))
+(K893-INDEX([3]Sheet1!$B$4:$B$23,MATCH(K893,[3]Sheet1!$B$4:$B$23,1),1))/(INDEX([3]Sheet1!$B$4:$B$23,MATCH(K893,[3]Sheet1!$B$4:$B$23,1)+1,1)-INDEX([3]Sheet1!$B$4:$B$23,
MATCH(K893,[3]Sheet1!$B$4:$B$23,1),1))*(INDEX([3]Sheet1!$C$4:$Q$23,MATCH(K893,[3]Sheet1!$B$4:$B$23,1)+1,MATCH(D893,[3]Sheet1!$C$3:$Q$3,1))-INDEX([3]Sheet1!$C$4:$Q$23,
MATCH(K893,[3]Sheet1!$B$4:$B$23,1),MATCH(D893,[3]Sheet1!$C$3:$Q$3,1)))
+(D893-INDEX([3]Sheet1!$C$3:$Q$3,1,MATCH(D893,[3]Sheet1!$C$3:$Q$3)))/(INDEX([3]Sheet1!$C$3:$Q$3,1,MATCH(D893,[3]Sheet1!$C$3:$Q$3)+1)-INDEX([3]Sheet1!$C$3:$Q$3,1,MATCH(
D893,[3]Sheet1!$C$3:$Q$3)))*(INDEX([3]Sheet1!$C$4:$Q$23,MATCH(K893,[3]Sheet1!$B$4:$B$23,1),MATCH(D893,[3]Sheet1!$C$3:$Q$3,1)+1)-INDEX([3]Sheet1!$C$4:$Q$23,MATCH(K893,[3]Sheet1!$B$4:$B$23,1),MATCH(D893,[3]Sheet1!$C$3:$Q$3,1))))</f>
        <v>0</v>
      </c>
      <c r="M893" cm="1">
        <f t="array" ref="M893" xml:space="preserve"> IF(E893*J893=0,0,(INDEX([2]Sheet1!$C$4:$Q$23,MATCH(K893,[2]Sheet1!$B$4:$B$23,1),MATCH(D893,[2]Sheet1!$C$3:$Q$3,1))
+ (K893 - INDEX([2]Sheet1!$B$4:$B$23,MATCH(K893,[2]Sheet1!$B$4:$B$23,1),1))/(INDEX([2]Sheet1!$B$4:$B$23,MATCH(K893,[2]Sheet1!$B$4:$B$23,1)+1,1) - INDEX([2]Sheet1!$B$4:$B$23,MATCH(K893,[2]Sheet1!$B$4:$B$23,1),1))*(INDEX([2]Sheet1!$C$4:$Q$23,MATCH(K893,[2]Sheet1!$B$4:$B$23,1)+1,MATCH(D893,[2]Sheet1!$C$3:$Q$3,1)) - INDEX([2]Sheet1!$C$4:$Q$23,MATCH(K893,[2]Sheet1!$B$4:$B$23,1),MATCH(D893,[2]Sheet1!$C$3:$Q$3,1)))
+ (D893 - INDEX([2]Sheet1!$C$3:$Q$3,1,MATCH(D893,[2]Sheet1!$C$3:$Q$3)))/(INDEX([2]Sheet1!$C$3:$Q$3,1,MATCH(D893,[2]Sheet1!$C$3:$Q$3)+1) - INDEX([2]Sheet1!$C$3:$Q$3,1,MATCH(D893,[2]Sheet1!$C$3:$Q$3)))*(
INDEX([2]Sheet1!$C$4:$Q$23,MATCH(K893,[2]Sheet1!$B$4:$B$23,1),MATCH(D893,[2]Sheet1!$C$3:$Q$3,1)+1) - INDEX([2]Sheet1!$C$4:$Q$23,MATCH(K893,[2]Sheet1!$B$4:$B$23,1),MATCH(D893,[2]Sheet1!$C$3:$Q$3,1)))))</f>
        <v>0</v>
      </c>
      <c r="N893">
        <f t="shared" si="270"/>
        <v>12</v>
      </c>
      <c r="O893">
        <v>259.02450568394102</v>
      </c>
      <c r="P893" t="e">
        <f t="shared" si="271"/>
        <v>#DIV/0!</v>
      </c>
      <c r="Q893">
        <f t="shared" si="272"/>
        <v>0</v>
      </c>
      <c r="R893">
        <f t="shared" si="273"/>
        <v>741.9099431943954</v>
      </c>
      <c r="T893" t="e">
        <f t="shared" si="274"/>
        <v>#DIV/0!</v>
      </c>
      <c r="U893" t="e">
        <f t="shared" si="275"/>
        <v>#DIV/0!</v>
      </c>
      <c r="V893">
        <f t="shared" si="276"/>
        <v>0</v>
      </c>
      <c r="W893" t="e">
        <f t="shared" si="277"/>
        <v>#DIV/0!</v>
      </c>
    </row>
    <row r="894" spans="1:23" x14ac:dyDescent="0.55000000000000004">
      <c r="A894">
        <f t="shared" si="261"/>
        <v>85.999999999999389</v>
      </c>
      <c r="B894">
        <f t="shared" si="262"/>
        <v>0.316</v>
      </c>
      <c r="C894">
        <f t="shared" si="263"/>
        <v>-51.086956521738742</v>
      </c>
      <c r="D894">
        <v>260.43984551913201</v>
      </c>
      <c r="E894">
        <f t="shared" si="264"/>
        <v>0</v>
      </c>
      <c r="F894">
        <f t="shared" si="265"/>
        <v>4.8605058816845369E-2</v>
      </c>
      <c r="G894">
        <f t="shared" si="266"/>
        <v>39.513748498891111</v>
      </c>
      <c r="H894">
        <f t="shared" si="267"/>
        <v>0</v>
      </c>
      <c r="I894" s="1">
        <f t="shared" si="260"/>
        <v>0</v>
      </c>
      <c r="J894">
        <f t="shared" si="268"/>
        <v>0</v>
      </c>
      <c r="K894">
        <f t="shared" si="269"/>
        <v>0</v>
      </c>
      <c r="L894" cm="1">
        <f t="array" ref="L894">IF(E894*J894=0,0,$C$21*INDEX([3]Sheet1!$C$4:$Q$23,MATCH(K894,[3]Sheet1!$B$4:$B$23,1),MATCH(D894,[3]Sheet1!$C$3:$Q$3,1))
+(K894-INDEX([3]Sheet1!$B$4:$B$23,MATCH(K894,[3]Sheet1!$B$4:$B$23,1),1))/(INDEX([3]Sheet1!$B$4:$B$23,MATCH(K894,[3]Sheet1!$B$4:$B$23,1)+1,1)-INDEX([3]Sheet1!$B$4:$B$23,
MATCH(K894,[3]Sheet1!$B$4:$B$23,1),1))*(INDEX([3]Sheet1!$C$4:$Q$23,MATCH(K894,[3]Sheet1!$B$4:$B$23,1)+1,MATCH(D894,[3]Sheet1!$C$3:$Q$3,1))-INDEX([3]Sheet1!$C$4:$Q$23,
MATCH(K894,[3]Sheet1!$B$4:$B$23,1),MATCH(D894,[3]Sheet1!$C$3:$Q$3,1)))
+(D894-INDEX([3]Sheet1!$C$3:$Q$3,1,MATCH(D894,[3]Sheet1!$C$3:$Q$3)))/(INDEX([3]Sheet1!$C$3:$Q$3,1,MATCH(D894,[3]Sheet1!$C$3:$Q$3)+1)-INDEX([3]Sheet1!$C$3:$Q$3,1,MATCH(
D894,[3]Sheet1!$C$3:$Q$3)))*(INDEX([3]Sheet1!$C$4:$Q$23,MATCH(K894,[3]Sheet1!$B$4:$B$23,1),MATCH(D894,[3]Sheet1!$C$3:$Q$3,1)+1)-INDEX([3]Sheet1!$C$4:$Q$23,MATCH(K894,[3]Sheet1!$B$4:$B$23,1),MATCH(D894,[3]Sheet1!$C$3:$Q$3,1))))</f>
        <v>0</v>
      </c>
      <c r="M894" cm="1">
        <f t="array" ref="M894" xml:space="preserve"> IF(E894*J894=0,0,(INDEX([2]Sheet1!$C$4:$Q$23,MATCH(K894,[2]Sheet1!$B$4:$B$23,1),MATCH(D894,[2]Sheet1!$C$3:$Q$3,1))
+ (K894 - INDEX([2]Sheet1!$B$4:$B$23,MATCH(K894,[2]Sheet1!$B$4:$B$23,1),1))/(INDEX([2]Sheet1!$B$4:$B$23,MATCH(K894,[2]Sheet1!$B$4:$B$23,1)+1,1) - INDEX([2]Sheet1!$B$4:$B$23,MATCH(K894,[2]Sheet1!$B$4:$B$23,1),1))*(INDEX([2]Sheet1!$C$4:$Q$23,MATCH(K894,[2]Sheet1!$B$4:$B$23,1)+1,MATCH(D894,[2]Sheet1!$C$3:$Q$3,1)) - INDEX([2]Sheet1!$C$4:$Q$23,MATCH(K894,[2]Sheet1!$B$4:$B$23,1),MATCH(D894,[2]Sheet1!$C$3:$Q$3,1)))
+ (D894 - INDEX([2]Sheet1!$C$3:$Q$3,1,MATCH(D894,[2]Sheet1!$C$3:$Q$3)))/(INDEX([2]Sheet1!$C$3:$Q$3,1,MATCH(D894,[2]Sheet1!$C$3:$Q$3)+1) - INDEX([2]Sheet1!$C$3:$Q$3,1,MATCH(D894,[2]Sheet1!$C$3:$Q$3)))*(
INDEX([2]Sheet1!$C$4:$Q$23,MATCH(K894,[2]Sheet1!$B$4:$B$23,1),MATCH(D894,[2]Sheet1!$C$3:$Q$3,1)+1) - INDEX([2]Sheet1!$C$4:$Q$23,MATCH(K894,[2]Sheet1!$B$4:$B$23,1),MATCH(D894,[2]Sheet1!$C$3:$Q$3,1)))))</f>
        <v>0</v>
      </c>
      <c r="N894">
        <f t="shared" si="270"/>
        <v>12</v>
      </c>
      <c r="O894">
        <v>260.02450568394102</v>
      </c>
      <c r="P894" t="e">
        <f t="shared" si="271"/>
        <v>#DIV/0!</v>
      </c>
      <c r="Q894">
        <f t="shared" si="272"/>
        <v>0</v>
      </c>
      <c r="R894">
        <f t="shared" si="273"/>
        <v>741.9099431943954</v>
      </c>
      <c r="T894" t="e">
        <f t="shared" si="274"/>
        <v>#DIV/0!</v>
      </c>
      <c r="U894" t="e">
        <f t="shared" si="275"/>
        <v>#DIV/0!</v>
      </c>
      <c r="V894">
        <f t="shared" si="276"/>
        <v>0</v>
      </c>
      <c r="W894" t="e">
        <f t="shared" si="277"/>
        <v>#DIV/0!</v>
      </c>
    </row>
    <row r="895" spans="1:23" x14ac:dyDescent="0.55000000000000004">
      <c r="A895">
        <f t="shared" si="261"/>
        <v>86.099999999999383</v>
      </c>
      <c r="B895">
        <f t="shared" si="262"/>
        <v>0.316</v>
      </c>
      <c r="C895">
        <f t="shared" si="263"/>
        <v>-51.152173913043079</v>
      </c>
      <c r="D895">
        <v>261.43984551913201</v>
      </c>
      <c r="E895">
        <f t="shared" si="264"/>
        <v>0</v>
      </c>
      <c r="F895">
        <f t="shared" si="265"/>
        <v>4.8605058816845369E-2</v>
      </c>
      <c r="G895">
        <f t="shared" si="266"/>
        <v>39.513748498891111</v>
      </c>
      <c r="H895">
        <f t="shared" si="267"/>
        <v>0</v>
      </c>
      <c r="I895" s="1">
        <f t="shared" si="260"/>
        <v>0</v>
      </c>
      <c r="J895">
        <f t="shared" si="268"/>
        <v>0</v>
      </c>
      <c r="K895">
        <f t="shared" si="269"/>
        <v>0</v>
      </c>
      <c r="L895" cm="1">
        <f t="array" ref="L895">IF(E895*J895=0,0,$C$21*INDEX([3]Sheet1!$C$4:$Q$23,MATCH(K895,[3]Sheet1!$B$4:$B$23,1),MATCH(D895,[3]Sheet1!$C$3:$Q$3,1))
+(K895-INDEX([3]Sheet1!$B$4:$B$23,MATCH(K895,[3]Sheet1!$B$4:$B$23,1),1))/(INDEX([3]Sheet1!$B$4:$B$23,MATCH(K895,[3]Sheet1!$B$4:$B$23,1)+1,1)-INDEX([3]Sheet1!$B$4:$B$23,
MATCH(K895,[3]Sheet1!$B$4:$B$23,1),1))*(INDEX([3]Sheet1!$C$4:$Q$23,MATCH(K895,[3]Sheet1!$B$4:$B$23,1)+1,MATCH(D895,[3]Sheet1!$C$3:$Q$3,1))-INDEX([3]Sheet1!$C$4:$Q$23,
MATCH(K895,[3]Sheet1!$B$4:$B$23,1),MATCH(D895,[3]Sheet1!$C$3:$Q$3,1)))
+(D895-INDEX([3]Sheet1!$C$3:$Q$3,1,MATCH(D895,[3]Sheet1!$C$3:$Q$3)))/(INDEX([3]Sheet1!$C$3:$Q$3,1,MATCH(D895,[3]Sheet1!$C$3:$Q$3)+1)-INDEX([3]Sheet1!$C$3:$Q$3,1,MATCH(
D895,[3]Sheet1!$C$3:$Q$3)))*(INDEX([3]Sheet1!$C$4:$Q$23,MATCH(K895,[3]Sheet1!$B$4:$B$23,1),MATCH(D895,[3]Sheet1!$C$3:$Q$3,1)+1)-INDEX([3]Sheet1!$C$4:$Q$23,MATCH(K895,[3]Sheet1!$B$4:$B$23,1),MATCH(D895,[3]Sheet1!$C$3:$Q$3,1))))</f>
        <v>0</v>
      </c>
      <c r="M895" cm="1">
        <f t="array" ref="M895" xml:space="preserve"> IF(E895*J895=0,0,(INDEX([2]Sheet1!$C$4:$Q$23,MATCH(K895,[2]Sheet1!$B$4:$B$23,1),MATCH(D895,[2]Sheet1!$C$3:$Q$3,1))
+ (K895 - INDEX([2]Sheet1!$B$4:$B$23,MATCH(K895,[2]Sheet1!$B$4:$B$23,1),1))/(INDEX([2]Sheet1!$B$4:$B$23,MATCH(K895,[2]Sheet1!$B$4:$B$23,1)+1,1) - INDEX([2]Sheet1!$B$4:$B$23,MATCH(K895,[2]Sheet1!$B$4:$B$23,1),1))*(INDEX([2]Sheet1!$C$4:$Q$23,MATCH(K895,[2]Sheet1!$B$4:$B$23,1)+1,MATCH(D895,[2]Sheet1!$C$3:$Q$3,1)) - INDEX([2]Sheet1!$C$4:$Q$23,MATCH(K895,[2]Sheet1!$B$4:$B$23,1),MATCH(D895,[2]Sheet1!$C$3:$Q$3,1)))
+ (D895 - INDEX([2]Sheet1!$C$3:$Q$3,1,MATCH(D895,[2]Sheet1!$C$3:$Q$3)))/(INDEX([2]Sheet1!$C$3:$Q$3,1,MATCH(D895,[2]Sheet1!$C$3:$Q$3)+1) - INDEX([2]Sheet1!$C$3:$Q$3,1,MATCH(D895,[2]Sheet1!$C$3:$Q$3)))*(
INDEX([2]Sheet1!$C$4:$Q$23,MATCH(K895,[2]Sheet1!$B$4:$B$23,1),MATCH(D895,[2]Sheet1!$C$3:$Q$3,1)+1) - INDEX([2]Sheet1!$C$4:$Q$23,MATCH(K895,[2]Sheet1!$B$4:$B$23,1),MATCH(D895,[2]Sheet1!$C$3:$Q$3,1)))))</f>
        <v>0</v>
      </c>
      <c r="N895">
        <f t="shared" si="270"/>
        <v>12</v>
      </c>
      <c r="O895">
        <v>261.02450568394102</v>
      </c>
      <c r="P895" t="e">
        <f t="shared" si="271"/>
        <v>#DIV/0!</v>
      </c>
      <c r="Q895">
        <f t="shared" si="272"/>
        <v>0</v>
      </c>
      <c r="R895">
        <f t="shared" si="273"/>
        <v>741.9099431943954</v>
      </c>
      <c r="T895" t="e">
        <f t="shared" si="274"/>
        <v>#DIV/0!</v>
      </c>
      <c r="U895" t="e">
        <f t="shared" si="275"/>
        <v>#DIV/0!</v>
      </c>
      <c r="V895">
        <f t="shared" si="276"/>
        <v>0</v>
      </c>
      <c r="W895" t="e">
        <f t="shared" si="277"/>
        <v>#DIV/0!</v>
      </c>
    </row>
    <row r="896" spans="1:23" x14ac:dyDescent="0.55000000000000004">
      <c r="A896">
        <f t="shared" si="261"/>
        <v>86.199999999999378</v>
      </c>
      <c r="B896">
        <f t="shared" si="262"/>
        <v>0.316</v>
      </c>
      <c r="C896">
        <f t="shared" si="263"/>
        <v>-51.21739130434743</v>
      </c>
      <c r="D896">
        <v>262.43984551913201</v>
      </c>
      <c r="E896">
        <f t="shared" si="264"/>
        <v>0</v>
      </c>
      <c r="F896">
        <f t="shared" si="265"/>
        <v>4.8605058816845369E-2</v>
      </c>
      <c r="G896">
        <f t="shared" si="266"/>
        <v>39.513748498891111</v>
      </c>
      <c r="H896">
        <f t="shared" si="267"/>
        <v>0</v>
      </c>
      <c r="I896" s="1">
        <f t="shared" si="260"/>
        <v>0</v>
      </c>
      <c r="J896">
        <f t="shared" si="268"/>
        <v>0</v>
      </c>
      <c r="K896">
        <f t="shared" si="269"/>
        <v>0</v>
      </c>
      <c r="L896" cm="1">
        <f t="array" ref="L896">IF(E896*J896=0,0,$C$21*INDEX([3]Sheet1!$C$4:$Q$23,MATCH(K896,[3]Sheet1!$B$4:$B$23,1),MATCH(D896,[3]Sheet1!$C$3:$Q$3,1))
+(K896-INDEX([3]Sheet1!$B$4:$B$23,MATCH(K896,[3]Sheet1!$B$4:$B$23,1),1))/(INDEX([3]Sheet1!$B$4:$B$23,MATCH(K896,[3]Sheet1!$B$4:$B$23,1)+1,1)-INDEX([3]Sheet1!$B$4:$B$23,
MATCH(K896,[3]Sheet1!$B$4:$B$23,1),1))*(INDEX([3]Sheet1!$C$4:$Q$23,MATCH(K896,[3]Sheet1!$B$4:$B$23,1)+1,MATCH(D896,[3]Sheet1!$C$3:$Q$3,1))-INDEX([3]Sheet1!$C$4:$Q$23,
MATCH(K896,[3]Sheet1!$B$4:$B$23,1),MATCH(D896,[3]Sheet1!$C$3:$Q$3,1)))
+(D896-INDEX([3]Sheet1!$C$3:$Q$3,1,MATCH(D896,[3]Sheet1!$C$3:$Q$3)))/(INDEX([3]Sheet1!$C$3:$Q$3,1,MATCH(D896,[3]Sheet1!$C$3:$Q$3)+1)-INDEX([3]Sheet1!$C$3:$Q$3,1,MATCH(
D896,[3]Sheet1!$C$3:$Q$3)))*(INDEX([3]Sheet1!$C$4:$Q$23,MATCH(K896,[3]Sheet1!$B$4:$B$23,1),MATCH(D896,[3]Sheet1!$C$3:$Q$3,1)+1)-INDEX([3]Sheet1!$C$4:$Q$23,MATCH(K896,[3]Sheet1!$B$4:$B$23,1),MATCH(D896,[3]Sheet1!$C$3:$Q$3,1))))</f>
        <v>0</v>
      </c>
      <c r="M896" cm="1">
        <f t="array" ref="M896" xml:space="preserve"> IF(E896*J896=0,0,(INDEX([2]Sheet1!$C$4:$Q$23,MATCH(K896,[2]Sheet1!$B$4:$B$23,1),MATCH(D896,[2]Sheet1!$C$3:$Q$3,1))
+ (K896 - INDEX([2]Sheet1!$B$4:$B$23,MATCH(K896,[2]Sheet1!$B$4:$B$23,1),1))/(INDEX([2]Sheet1!$B$4:$B$23,MATCH(K896,[2]Sheet1!$B$4:$B$23,1)+1,1) - INDEX([2]Sheet1!$B$4:$B$23,MATCH(K896,[2]Sheet1!$B$4:$B$23,1),1))*(INDEX([2]Sheet1!$C$4:$Q$23,MATCH(K896,[2]Sheet1!$B$4:$B$23,1)+1,MATCH(D896,[2]Sheet1!$C$3:$Q$3,1)) - INDEX([2]Sheet1!$C$4:$Q$23,MATCH(K896,[2]Sheet1!$B$4:$B$23,1),MATCH(D896,[2]Sheet1!$C$3:$Q$3,1)))
+ (D896 - INDEX([2]Sheet1!$C$3:$Q$3,1,MATCH(D896,[2]Sheet1!$C$3:$Q$3)))/(INDEX([2]Sheet1!$C$3:$Q$3,1,MATCH(D896,[2]Sheet1!$C$3:$Q$3)+1) - INDEX([2]Sheet1!$C$3:$Q$3,1,MATCH(D896,[2]Sheet1!$C$3:$Q$3)))*(
INDEX([2]Sheet1!$C$4:$Q$23,MATCH(K896,[2]Sheet1!$B$4:$B$23,1),MATCH(D896,[2]Sheet1!$C$3:$Q$3,1)+1) - INDEX([2]Sheet1!$C$4:$Q$23,MATCH(K896,[2]Sheet1!$B$4:$B$23,1),MATCH(D896,[2]Sheet1!$C$3:$Q$3,1)))))</f>
        <v>0</v>
      </c>
      <c r="N896">
        <f t="shared" si="270"/>
        <v>12</v>
      </c>
      <c r="O896">
        <v>262.02450568394102</v>
      </c>
      <c r="P896" t="e">
        <f t="shared" si="271"/>
        <v>#DIV/0!</v>
      </c>
      <c r="Q896">
        <f t="shared" si="272"/>
        <v>0</v>
      </c>
      <c r="R896">
        <f t="shared" si="273"/>
        <v>741.9099431943954</v>
      </c>
      <c r="T896" t="e">
        <f t="shared" si="274"/>
        <v>#DIV/0!</v>
      </c>
      <c r="U896" t="e">
        <f t="shared" si="275"/>
        <v>#DIV/0!</v>
      </c>
      <c r="V896">
        <f t="shared" si="276"/>
        <v>0</v>
      </c>
      <c r="W896" t="e">
        <f t="shared" si="277"/>
        <v>#DIV/0!</v>
      </c>
    </row>
    <row r="897" spans="1:23" x14ac:dyDescent="0.55000000000000004">
      <c r="A897">
        <f t="shared" si="261"/>
        <v>86.299999999999372</v>
      </c>
      <c r="B897">
        <f t="shared" si="262"/>
        <v>0.316</v>
      </c>
      <c r="C897">
        <f t="shared" si="263"/>
        <v>-51.282608695651767</v>
      </c>
      <c r="D897">
        <v>263.43984551913201</v>
      </c>
      <c r="E897">
        <f t="shared" si="264"/>
        <v>0</v>
      </c>
      <c r="F897">
        <f t="shared" si="265"/>
        <v>4.8605058816845369E-2</v>
      </c>
      <c r="G897">
        <f t="shared" si="266"/>
        <v>39.513748498891111</v>
      </c>
      <c r="H897">
        <f t="shared" si="267"/>
        <v>0</v>
      </c>
      <c r="I897" s="1">
        <f t="shared" si="260"/>
        <v>0</v>
      </c>
      <c r="J897">
        <f t="shared" si="268"/>
        <v>0</v>
      </c>
      <c r="K897">
        <f t="shared" si="269"/>
        <v>0</v>
      </c>
      <c r="L897" cm="1">
        <f t="array" ref="L897">IF(E897*J897=0,0,$C$21*INDEX([3]Sheet1!$C$4:$Q$23,MATCH(K897,[3]Sheet1!$B$4:$B$23,1),MATCH(D897,[3]Sheet1!$C$3:$Q$3,1))
+(K897-INDEX([3]Sheet1!$B$4:$B$23,MATCH(K897,[3]Sheet1!$B$4:$B$23,1),1))/(INDEX([3]Sheet1!$B$4:$B$23,MATCH(K897,[3]Sheet1!$B$4:$B$23,1)+1,1)-INDEX([3]Sheet1!$B$4:$B$23,
MATCH(K897,[3]Sheet1!$B$4:$B$23,1),1))*(INDEX([3]Sheet1!$C$4:$Q$23,MATCH(K897,[3]Sheet1!$B$4:$B$23,1)+1,MATCH(D897,[3]Sheet1!$C$3:$Q$3,1))-INDEX([3]Sheet1!$C$4:$Q$23,
MATCH(K897,[3]Sheet1!$B$4:$B$23,1),MATCH(D897,[3]Sheet1!$C$3:$Q$3,1)))
+(D897-INDEX([3]Sheet1!$C$3:$Q$3,1,MATCH(D897,[3]Sheet1!$C$3:$Q$3)))/(INDEX([3]Sheet1!$C$3:$Q$3,1,MATCH(D897,[3]Sheet1!$C$3:$Q$3)+1)-INDEX([3]Sheet1!$C$3:$Q$3,1,MATCH(
D897,[3]Sheet1!$C$3:$Q$3)))*(INDEX([3]Sheet1!$C$4:$Q$23,MATCH(K897,[3]Sheet1!$B$4:$B$23,1),MATCH(D897,[3]Sheet1!$C$3:$Q$3,1)+1)-INDEX([3]Sheet1!$C$4:$Q$23,MATCH(K897,[3]Sheet1!$B$4:$B$23,1),MATCH(D897,[3]Sheet1!$C$3:$Q$3,1))))</f>
        <v>0</v>
      </c>
      <c r="M897" cm="1">
        <f t="array" ref="M897" xml:space="preserve"> IF(E897*J897=0,0,(INDEX([2]Sheet1!$C$4:$Q$23,MATCH(K897,[2]Sheet1!$B$4:$B$23,1),MATCH(D897,[2]Sheet1!$C$3:$Q$3,1))
+ (K897 - INDEX([2]Sheet1!$B$4:$B$23,MATCH(K897,[2]Sheet1!$B$4:$B$23,1),1))/(INDEX([2]Sheet1!$B$4:$B$23,MATCH(K897,[2]Sheet1!$B$4:$B$23,1)+1,1) - INDEX([2]Sheet1!$B$4:$B$23,MATCH(K897,[2]Sheet1!$B$4:$B$23,1),1))*(INDEX([2]Sheet1!$C$4:$Q$23,MATCH(K897,[2]Sheet1!$B$4:$B$23,1)+1,MATCH(D897,[2]Sheet1!$C$3:$Q$3,1)) - INDEX([2]Sheet1!$C$4:$Q$23,MATCH(K897,[2]Sheet1!$B$4:$B$23,1),MATCH(D897,[2]Sheet1!$C$3:$Q$3,1)))
+ (D897 - INDEX([2]Sheet1!$C$3:$Q$3,1,MATCH(D897,[2]Sheet1!$C$3:$Q$3)))/(INDEX([2]Sheet1!$C$3:$Q$3,1,MATCH(D897,[2]Sheet1!$C$3:$Q$3)+1) - INDEX([2]Sheet1!$C$3:$Q$3,1,MATCH(D897,[2]Sheet1!$C$3:$Q$3)))*(
INDEX([2]Sheet1!$C$4:$Q$23,MATCH(K897,[2]Sheet1!$B$4:$B$23,1),MATCH(D897,[2]Sheet1!$C$3:$Q$3,1)+1) - INDEX([2]Sheet1!$C$4:$Q$23,MATCH(K897,[2]Sheet1!$B$4:$B$23,1),MATCH(D897,[2]Sheet1!$C$3:$Q$3,1)))))</f>
        <v>0</v>
      </c>
      <c r="N897">
        <f t="shared" si="270"/>
        <v>12</v>
      </c>
      <c r="O897">
        <v>263.02450568394102</v>
      </c>
      <c r="P897" t="e">
        <f t="shared" si="271"/>
        <v>#DIV/0!</v>
      </c>
      <c r="Q897">
        <f t="shared" si="272"/>
        <v>0</v>
      </c>
      <c r="R897">
        <f t="shared" si="273"/>
        <v>741.9099431943954</v>
      </c>
      <c r="T897" t="e">
        <f t="shared" si="274"/>
        <v>#DIV/0!</v>
      </c>
      <c r="U897" t="e">
        <f t="shared" si="275"/>
        <v>#DIV/0!</v>
      </c>
      <c r="V897">
        <f t="shared" si="276"/>
        <v>0</v>
      </c>
      <c r="W897" t="e">
        <f t="shared" si="277"/>
        <v>#DIV/0!</v>
      </c>
    </row>
    <row r="898" spans="1:23" x14ac:dyDescent="0.55000000000000004">
      <c r="A898">
        <f t="shared" si="261"/>
        <v>86.399999999999366</v>
      </c>
      <c r="B898">
        <f t="shared" si="262"/>
        <v>0.316</v>
      </c>
      <c r="C898">
        <f t="shared" si="263"/>
        <v>-51.347826086956118</v>
      </c>
      <c r="D898">
        <v>264.43984551913201</v>
      </c>
      <c r="E898">
        <f t="shared" si="264"/>
        <v>0</v>
      </c>
      <c r="F898">
        <f t="shared" si="265"/>
        <v>4.8605058816845369E-2</v>
      </c>
      <c r="G898">
        <f t="shared" si="266"/>
        <v>39.513748498891111</v>
      </c>
      <c r="H898">
        <f t="shared" si="267"/>
        <v>0</v>
      </c>
      <c r="I898" s="1">
        <f t="shared" si="260"/>
        <v>0</v>
      </c>
      <c r="J898">
        <f t="shared" si="268"/>
        <v>0</v>
      </c>
      <c r="K898">
        <f t="shared" si="269"/>
        <v>0</v>
      </c>
      <c r="L898" cm="1">
        <f t="array" ref="L898">IF(E898*J898=0,0,$C$21*INDEX([3]Sheet1!$C$4:$Q$23,MATCH(K898,[3]Sheet1!$B$4:$B$23,1),MATCH(D898,[3]Sheet1!$C$3:$Q$3,1))
+(K898-INDEX([3]Sheet1!$B$4:$B$23,MATCH(K898,[3]Sheet1!$B$4:$B$23,1),1))/(INDEX([3]Sheet1!$B$4:$B$23,MATCH(K898,[3]Sheet1!$B$4:$B$23,1)+1,1)-INDEX([3]Sheet1!$B$4:$B$23,
MATCH(K898,[3]Sheet1!$B$4:$B$23,1),1))*(INDEX([3]Sheet1!$C$4:$Q$23,MATCH(K898,[3]Sheet1!$B$4:$B$23,1)+1,MATCH(D898,[3]Sheet1!$C$3:$Q$3,1))-INDEX([3]Sheet1!$C$4:$Q$23,
MATCH(K898,[3]Sheet1!$B$4:$B$23,1),MATCH(D898,[3]Sheet1!$C$3:$Q$3,1)))
+(D898-INDEX([3]Sheet1!$C$3:$Q$3,1,MATCH(D898,[3]Sheet1!$C$3:$Q$3)))/(INDEX([3]Sheet1!$C$3:$Q$3,1,MATCH(D898,[3]Sheet1!$C$3:$Q$3)+1)-INDEX([3]Sheet1!$C$3:$Q$3,1,MATCH(
D898,[3]Sheet1!$C$3:$Q$3)))*(INDEX([3]Sheet1!$C$4:$Q$23,MATCH(K898,[3]Sheet1!$B$4:$B$23,1),MATCH(D898,[3]Sheet1!$C$3:$Q$3,1)+1)-INDEX([3]Sheet1!$C$4:$Q$23,MATCH(K898,[3]Sheet1!$B$4:$B$23,1),MATCH(D898,[3]Sheet1!$C$3:$Q$3,1))))</f>
        <v>0</v>
      </c>
      <c r="M898" cm="1">
        <f t="array" ref="M898" xml:space="preserve"> IF(E898*J898=0,0,(INDEX([2]Sheet1!$C$4:$Q$23,MATCH(K898,[2]Sheet1!$B$4:$B$23,1),MATCH(D898,[2]Sheet1!$C$3:$Q$3,1))
+ (K898 - INDEX([2]Sheet1!$B$4:$B$23,MATCH(K898,[2]Sheet1!$B$4:$B$23,1),1))/(INDEX([2]Sheet1!$B$4:$B$23,MATCH(K898,[2]Sheet1!$B$4:$B$23,1)+1,1) - INDEX([2]Sheet1!$B$4:$B$23,MATCH(K898,[2]Sheet1!$B$4:$B$23,1),1))*(INDEX([2]Sheet1!$C$4:$Q$23,MATCH(K898,[2]Sheet1!$B$4:$B$23,1)+1,MATCH(D898,[2]Sheet1!$C$3:$Q$3,1)) - INDEX([2]Sheet1!$C$4:$Q$23,MATCH(K898,[2]Sheet1!$B$4:$B$23,1),MATCH(D898,[2]Sheet1!$C$3:$Q$3,1)))
+ (D898 - INDEX([2]Sheet1!$C$3:$Q$3,1,MATCH(D898,[2]Sheet1!$C$3:$Q$3)))/(INDEX([2]Sheet1!$C$3:$Q$3,1,MATCH(D898,[2]Sheet1!$C$3:$Q$3)+1) - INDEX([2]Sheet1!$C$3:$Q$3,1,MATCH(D898,[2]Sheet1!$C$3:$Q$3)))*(
INDEX([2]Sheet1!$C$4:$Q$23,MATCH(K898,[2]Sheet1!$B$4:$B$23,1),MATCH(D898,[2]Sheet1!$C$3:$Q$3,1)+1) - INDEX([2]Sheet1!$C$4:$Q$23,MATCH(K898,[2]Sheet1!$B$4:$B$23,1),MATCH(D898,[2]Sheet1!$C$3:$Q$3,1)))))</f>
        <v>0</v>
      </c>
      <c r="N898">
        <f t="shared" si="270"/>
        <v>12</v>
      </c>
      <c r="O898">
        <v>264.02450568394102</v>
      </c>
      <c r="P898" t="e">
        <f t="shared" si="271"/>
        <v>#DIV/0!</v>
      </c>
      <c r="Q898">
        <f t="shared" si="272"/>
        <v>0</v>
      </c>
      <c r="R898">
        <f t="shared" si="273"/>
        <v>741.9099431943954</v>
      </c>
      <c r="T898" t="e">
        <f t="shared" si="274"/>
        <v>#DIV/0!</v>
      </c>
      <c r="U898" t="e">
        <f t="shared" si="275"/>
        <v>#DIV/0!</v>
      </c>
      <c r="V898">
        <f t="shared" si="276"/>
        <v>0</v>
      </c>
      <c r="W898" t="e">
        <f t="shared" si="277"/>
        <v>#DIV/0!</v>
      </c>
    </row>
    <row r="899" spans="1:23" x14ac:dyDescent="0.55000000000000004">
      <c r="A899">
        <f t="shared" si="261"/>
        <v>86.499999999999361</v>
      </c>
      <c r="B899">
        <f t="shared" si="262"/>
        <v>0.316</v>
      </c>
      <c r="C899">
        <f t="shared" si="263"/>
        <v>-51.413043478260455</v>
      </c>
      <c r="D899">
        <v>265.43984551913201</v>
      </c>
      <c r="E899">
        <f t="shared" si="264"/>
        <v>0</v>
      </c>
      <c r="F899">
        <f t="shared" si="265"/>
        <v>4.8605058816845369E-2</v>
      </c>
      <c r="G899">
        <f t="shared" si="266"/>
        <v>39.513748498891111</v>
      </c>
      <c r="H899">
        <f t="shared" si="267"/>
        <v>0</v>
      </c>
      <c r="I899" s="1">
        <f t="shared" si="260"/>
        <v>0</v>
      </c>
      <c r="J899">
        <f t="shared" si="268"/>
        <v>0</v>
      </c>
      <c r="K899">
        <f t="shared" si="269"/>
        <v>0</v>
      </c>
      <c r="L899" cm="1">
        <f t="array" ref="L899">IF(E899*J899=0,0,$C$21*INDEX([3]Sheet1!$C$4:$Q$23,MATCH(K899,[3]Sheet1!$B$4:$B$23,1),MATCH(D899,[3]Sheet1!$C$3:$Q$3,1))
+(K899-INDEX([3]Sheet1!$B$4:$B$23,MATCH(K899,[3]Sheet1!$B$4:$B$23,1),1))/(INDEX([3]Sheet1!$B$4:$B$23,MATCH(K899,[3]Sheet1!$B$4:$B$23,1)+1,1)-INDEX([3]Sheet1!$B$4:$B$23,
MATCH(K899,[3]Sheet1!$B$4:$B$23,1),1))*(INDEX([3]Sheet1!$C$4:$Q$23,MATCH(K899,[3]Sheet1!$B$4:$B$23,1)+1,MATCH(D899,[3]Sheet1!$C$3:$Q$3,1))-INDEX([3]Sheet1!$C$4:$Q$23,
MATCH(K899,[3]Sheet1!$B$4:$B$23,1),MATCH(D899,[3]Sheet1!$C$3:$Q$3,1)))
+(D899-INDEX([3]Sheet1!$C$3:$Q$3,1,MATCH(D899,[3]Sheet1!$C$3:$Q$3)))/(INDEX([3]Sheet1!$C$3:$Q$3,1,MATCH(D899,[3]Sheet1!$C$3:$Q$3)+1)-INDEX([3]Sheet1!$C$3:$Q$3,1,MATCH(
D899,[3]Sheet1!$C$3:$Q$3)))*(INDEX([3]Sheet1!$C$4:$Q$23,MATCH(K899,[3]Sheet1!$B$4:$B$23,1),MATCH(D899,[3]Sheet1!$C$3:$Q$3,1)+1)-INDEX([3]Sheet1!$C$4:$Q$23,MATCH(K899,[3]Sheet1!$B$4:$B$23,1),MATCH(D899,[3]Sheet1!$C$3:$Q$3,1))))</f>
        <v>0</v>
      </c>
      <c r="M899" cm="1">
        <f t="array" ref="M899" xml:space="preserve"> IF(E899*J899=0,0,(INDEX([2]Sheet1!$C$4:$Q$23,MATCH(K899,[2]Sheet1!$B$4:$B$23,1),MATCH(D899,[2]Sheet1!$C$3:$Q$3,1))
+ (K899 - INDEX([2]Sheet1!$B$4:$B$23,MATCH(K899,[2]Sheet1!$B$4:$B$23,1),1))/(INDEX([2]Sheet1!$B$4:$B$23,MATCH(K899,[2]Sheet1!$B$4:$B$23,1)+1,1) - INDEX([2]Sheet1!$B$4:$B$23,MATCH(K899,[2]Sheet1!$B$4:$B$23,1),1))*(INDEX([2]Sheet1!$C$4:$Q$23,MATCH(K899,[2]Sheet1!$B$4:$B$23,1)+1,MATCH(D899,[2]Sheet1!$C$3:$Q$3,1)) - INDEX([2]Sheet1!$C$4:$Q$23,MATCH(K899,[2]Sheet1!$B$4:$B$23,1),MATCH(D899,[2]Sheet1!$C$3:$Q$3,1)))
+ (D899 - INDEX([2]Sheet1!$C$3:$Q$3,1,MATCH(D899,[2]Sheet1!$C$3:$Q$3)))/(INDEX([2]Sheet1!$C$3:$Q$3,1,MATCH(D899,[2]Sheet1!$C$3:$Q$3)+1) - INDEX([2]Sheet1!$C$3:$Q$3,1,MATCH(D899,[2]Sheet1!$C$3:$Q$3)))*(
INDEX([2]Sheet1!$C$4:$Q$23,MATCH(K899,[2]Sheet1!$B$4:$B$23,1),MATCH(D899,[2]Sheet1!$C$3:$Q$3,1)+1) - INDEX([2]Sheet1!$C$4:$Q$23,MATCH(K899,[2]Sheet1!$B$4:$B$23,1),MATCH(D899,[2]Sheet1!$C$3:$Q$3,1)))))</f>
        <v>0</v>
      </c>
      <c r="N899">
        <f t="shared" si="270"/>
        <v>12</v>
      </c>
      <c r="O899">
        <v>265.02450568394102</v>
      </c>
      <c r="P899" t="e">
        <f t="shared" si="271"/>
        <v>#DIV/0!</v>
      </c>
      <c r="Q899">
        <f t="shared" si="272"/>
        <v>0</v>
      </c>
      <c r="R899">
        <f t="shared" si="273"/>
        <v>741.9099431943954</v>
      </c>
      <c r="T899" t="e">
        <f t="shared" si="274"/>
        <v>#DIV/0!</v>
      </c>
      <c r="U899" t="e">
        <f t="shared" si="275"/>
        <v>#DIV/0!</v>
      </c>
      <c r="V899">
        <f t="shared" si="276"/>
        <v>0</v>
      </c>
      <c r="W899" t="e">
        <f t="shared" si="277"/>
        <v>#DIV/0!</v>
      </c>
    </row>
    <row r="900" spans="1:23" x14ac:dyDescent="0.55000000000000004">
      <c r="A900">
        <f t="shared" si="261"/>
        <v>86.599999999999355</v>
      </c>
      <c r="B900">
        <f t="shared" si="262"/>
        <v>0.316</v>
      </c>
      <c r="C900">
        <f t="shared" si="263"/>
        <v>-51.478260869564807</v>
      </c>
      <c r="D900">
        <v>266.43984551913201</v>
      </c>
      <c r="E900">
        <f t="shared" si="264"/>
        <v>0</v>
      </c>
      <c r="F900">
        <f t="shared" si="265"/>
        <v>4.8605058816845369E-2</v>
      </c>
      <c r="G900">
        <f t="shared" si="266"/>
        <v>39.513748498891111</v>
      </c>
      <c r="H900">
        <f t="shared" si="267"/>
        <v>0</v>
      </c>
      <c r="I900" s="1">
        <f t="shared" si="260"/>
        <v>0</v>
      </c>
      <c r="J900">
        <f t="shared" si="268"/>
        <v>0</v>
      </c>
      <c r="K900">
        <f t="shared" si="269"/>
        <v>0</v>
      </c>
      <c r="L900" cm="1">
        <f t="array" ref="L900">IF(E900*J900=0,0,$C$21*INDEX([3]Sheet1!$C$4:$Q$23,MATCH(K900,[3]Sheet1!$B$4:$B$23,1),MATCH(D900,[3]Sheet1!$C$3:$Q$3,1))
+(K900-INDEX([3]Sheet1!$B$4:$B$23,MATCH(K900,[3]Sheet1!$B$4:$B$23,1),1))/(INDEX([3]Sheet1!$B$4:$B$23,MATCH(K900,[3]Sheet1!$B$4:$B$23,1)+1,1)-INDEX([3]Sheet1!$B$4:$B$23,
MATCH(K900,[3]Sheet1!$B$4:$B$23,1),1))*(INDEX([3]Sheet1!$C$4:$Q$23,MATCH(K900,[3]Sheet1!$B$4:$B$23,1)+1,MATCH(D900,[3]Sheet1!$C$3:$Q$3,1))-INDEX([3]Sheet1!$C$4:$Q$23,
MATCH(K900,[3]Sheet1!$B$4:$B$23,1),MATCH(D900,[3]Sheet1!$C$3:$Q$3,1)))
+(D900-INDEX([3]Sheet1!$C$3:$Q$3,1,MATCH(D900,[3]Sheet1!$C$3:$Q$3)))/(INDEX([3]Sheet1!$C$3:$Q$3,1,MATCH(D900,[3]Sheet1!$C$3:$Q$3)+1)-INDEX([3]Sheet1!$C$3:$Q$3,1,MATCH(
D900,[3]Sheet1!$C$3:$Q$3)))*(INDEX([3]Sheet1!$C$4:$Q$23,MATCH(K900,[3]Sheet1!$B$4:$B$23,1),MATCH(D900,[3]Sheet1!$C$3:$Q$3,1)+1)-INDEX([3]Sheet1!$C$4:$Q$23,MATCH(K900,[3]Sheet1!$B$4:$B$23,1),MATCH(D900,[3]Sheet1!$C$3:$Q$3,1))))</f>
        <v>0</v>
      </c>
      <c r="M900" cm="1">
        <f t="array" ref="M900" xml:space="preserve"> IF(E900*J900=0,0,(INDEX([2]Sheet1!$C$4:$Q$23,MATCH(K900,[2]Sheet1!$B$4:$B$23,1),MATCH(D900,[2]Sheet1!$C$3:$Q$3,1))
+ (K900 - INDEX([2]Sheet1!$B$4:$B$23,MATCH(K900,[2]Sheet1!$B$4:$B$23,1),1))/(INDEX([2]Sheet1!$B$4:$B$23,MATCH(K900,[2]Sheet1!$B$4:$B$23,1)+1,1) - INDEX([2]Sheet1!$B$4:$B$23,MATCH(K900,[2]Sheet1!$B$4:$B$23,1),1))*(INDEX([2]Sheet1!$C$4:$Q$23,MATCH(K900,[2]Sheet1!$B$4:$B$23,1)+1,MATCH(D900,[2]Sheet1!$C$3:$Q$3,1)) - INDEX([2]Sheet1!$C$4:$Q$23,MATCH(K900,[2]Sheet1!$B$4:$B$23,1),MATCH(D900,[2]Sheet1!$C$3:$Q$3,1)))
+ (D900 - INDEX([2]Sheet1!$C$3:$Q$3,1,MATCH(D900,[2]Sheet1!$C$3:$Q$3)))/(INDEX([2]Sheet1!$C$3:$Q$3,1,MATCH(D900,[2]Sheet1!$C$3:$Q$3)+1) - INDEX([2]Sheet1!$C$3:$Q$3,1,MATCH(D900,[2]Sheet1!$C$3:$Q$3)))*(
INDEX([2]Sheet1!$C$4:$Q$23,MATCH(K900,[2]Sheet1!$B$4:$B$23,1),MATCH(D900,[2]Sheet1!$C$3:$Q$3,1)+1) - INDEX([2]Sheet1!$C$4:$Q$23,MATCH(K900,[2]Sheet1!$B$4:$B$23,1),MATCH(D900,[2]Sheet1!$C$3:$Q$3,1)))))</f>
        <v>0</v>
      </c>
      <c r="N900">
        <f t="shared" si="270"/>
        <v>12</v>
      </c>
      <c r="O900">
        <v>266.02450568394102</v>
      </c>
      <c r="P900" t="e">
        <f t="shared" si="271"/>
        <v>#DIV/0!</v>
      </c>
      <c r="Q900">
        <f t="shared" si="272"/>
        <v>0</v>
      </c>
      <c r="R900">
        <f t="shared" si="273"/>
        <v>741.9099431943954</v>
      </c>
      <c r="T900" t="e">
        <f t="shared" si="274"/>
        <v>#DIV/0!</v>
      </c>
      <c r="U900" t="e">
        <f t="shared" si="275"/>
        <v>#DIV/0!</v>
      </c>
      <c r="V900">
        <f t="shared" si="276"/>
        <v>0</v>
      </c>
      <c r="W900" t="e">
        <f t="shared" si="277"/>
        <v>#DIV/0!</v>
      </c>
    </row>
    <row r="901" spans="1:23" x14ac:dyDescent="0.55000000000000004">
      <c r="A901">
        <f t="shared" si="261"/>
        <v>86.699999999999349</v>
      </c>
      <c r="B901">
        <f t="shared" si="262"/>
        <v>0.316</v>
      </c>
      <c r="C901">
        <f t="shared" si="263"/>
        <v>-51.543478260869144</v>
      </c>
      <c r="D901">
        <v>267.43984551913201</v>
      </c>
      <c r="E901">
        <f t="shared" si="264"/>
        <v>0</v>
      </c>
      <c r="F901">
        <f t="shared" si="265"/>
        <v>4.8605058816845369E-2</v>
      </c>
      <c r="G901">
        <f t="shared" si="266"/>
        <v>39.513748498891111</v>
      </c>
      <c r="H901">
        <f t="shared" si="267"/>
        <v>0</v>
      </c>
      <c r="I901" s="1">
        <f t="shared" si="260"/>
        <v>0</v>
      </c>
      <c r="J901">
        <f t="shared" si="268"/>
        <v>0</v>
      </c>
      <c r="K901">
        <f t="shared" si="269"/>
        <v>0</v>
      </c>
      <c r="L901" cm="1">
        <f t="array" ref="L901">IF(E901*J901=0,0,$C$21*INDEX([3]Sheet1!$C$4:$Q$23,MATCH(K901,[3]Sheet1!$B$4:$B$23,1),MATCH(D901,[3]Sheet1!$C$3:$Q$3,1))
+(K901-INDEX([3]Sheet1!$B$4:$B$23,MATCH(K901,[3]Sheet1!$B$4:$B$23,1),1))/(INDEX([3]Sheet1!$B$4:$B$23,MATCH(K901,[3]Sheet1!$B$4:$B$23,1)+1,1)-INDEX([3]Sheet1!$B$4:$B$23,
MATCH(K901,[3]Sheet1!$B$4:$B$23,1),1))*(INDEX([3]Sheet1!$C$4:$Q$23,MATCH(K901,[3]Sheet1!$B$4:$B$23,1)+1,MATCH(D901,[3]Sheet1!$C$3:$Q$3,1))-INDEX([3]Sheet1!$C$4:$Q$23,
MATCH(K901,[3]Sheet1!$B$4:$B$23,1),MATCH(D901,[3]Sheet1!$C$3:$Q$3,1)))
+(D901-INDEX([3]Sheet1!$C$3:$Q$3,1,MATCH(D901,[3]Sheet1!$C$3:$Q$3)))/(INDEX([3]Sheet1!$C$3:$Q$3,1,MATCH(D901,[3]Sheet1!$C$3:$Q$3)+1)-INDEX([3]Sheet1!$C$3:$Q$3,1,MATCH(
D901,[3]Sheet1!$C$3:$Q$3)))*(INDEX([3]Sheet1!$C$4:$Q$23,MATCH(K901,[3]Sheet1!$B$4:$B$23,1),MATCH(D901,[3]Sheet1!$C$3:$Q$3,1)+1)-INDEX([3]Sheet1!$C$4:$Q$23,MATCH(K901,[3]Sheet1!$B$4:$B$23,1),MATCH(D901,[3]Sheet1!$C$3:$Q$3,1))))</f>
        <v>0</v>
      </c>
      <c r="M901" cm="1">
        <f t="array" ref="M901" xml:space="preserve"> IF(E901*J901=0,0,(INDEX([2]Sheet1!$C$4:$Q$23,MATCH(K901,[2]Sheet1!$B$4:$B$23,1),MATCH(D901,[2]Sheet1!$C$3:$Q$3,1))
+ (K901 - INDEX([2]Sheet1!$B$4:$B$23,MATCH(K901,[2]Sheet1!$B$4:$B$23,1),1))/(INDEX([2]Sheet1!$B$4:$B$23,MATCH(K901,[2]Sheet1!$B$4:$B$23,1)+1,1) - INDEX([2]Sheet1!$B$4:$B$23,MATCH(K901,[2]Sheet1!$B$4:$B$23,1),1))*(INDEX([2]Sheet1!$C$4:$Q$23,MATCH(K901,[2]Sheet1!$B$4:$B$23,1)+1,MATCH(D901,[2]Sheet1!$C$3:$Q$3,1)) - INDEX([2]Sheet1!$C$4:$Q$23,MATCH(K901,[2]Sheet1!$B$4:$B$23,1),MATCH(D901,[2]Sheet1!$C$3:$Q$3,1)))
+ (D901 - INDEX([2]Sheet1!$C$3:$Q$3,1,MATCH(D901,[2]Sheet1!$C$3:$Q$3)))/(INDEX([2]Sheet1!$C$3:$Q$3,1,MATCH(D901,[2]Sheet1!$C$3:$Q$3)+1) - INDEX([2]Sheet1!$C$3:$Q$3,1,MATCH(D901,[2]Sheet1!$C$3:$Q$3)))*(
INDEX([2]Sheet1!$C$4:$Q$23,MATCH(K901,[2]Sheet1!$B$4:$B$23,1),MATCH(D901,[2]Sheet1!$C$3:$Q$3,1)+1) - INDEX([2]Sheet1!$C$4:$Q$23,MATCH(K901,[2]Sheet1!$B$4:$B$23,1),MATCH(D901,[2]Sheet1!$C$3:$Q$3,1)))))</f>
        <v>0</v>
      </c>
      <c r="N901">
        <f t="shared" si="270"/>
        <v>12</v>
      </c>
      <c r="O901">
        <v>267.02450568394102</v>
      </c>
      <c r="P901" t="e">
        <f t="shared" si="271"/>
        <v>#DIV/0!</v>
      </c>
      <c r="Q901">
        <f t="shared" si="272"/>
        <v>0</v>
      </c>
      <c r="R901">
        <f t="shared" si="273"/>
        <v>741.9099431943954</v>
      </c>
      <c r="T901" t="e">
        <f t="shared" si="274"/>
        <v>#DIV/0!</v>
      </c>
      <c r="U901" t="e">
        <f t="shared" si="275"/>
        <v>#DIV/0!</v>
      </c>
      <c r="V901">
        <f t="shared" si="276"/>
        <v>0</v>
      </c>
      <c r="W901" t="e">
        <f t="shared" si="277"/>
        <v>#DIV/0!</v>
      </c>
    </row>
    <row r="902" spans="1:23" x14ac:dyDescent="0.55000000000000004">
      <c r="A902">
        <f t="shared" si="261"/>
        <v>86.799999999999343</v>
      </c>
      <c r="B902">
        <f t="shared" si="262"/>
        <v>0.316</v>
      </c>
      <c r="C902">
        <f t="shared" si="263"/>
        <v>-51.608695652173495</v>
      </c>
      <c r="D902">
        <v>268.43984551913201</v>
      </c>
      <c r="E902">
        <f t="shared" si="264"/>
        <v>0</v>
      </c>
      <c r="F902">
        <f t="shared" si="265"/>
        <v>4.8605058816845369E-2</v>
      </c>
      <c r="G902">
        <f t="shared" si="266"/>
        <v>39.513748498891111</v>
      </c>
      <c r="H902">
        <f t="shared" si="267"/>
        <v>0</v>
      </c>
      <c r="I902" s="1">
        <f t="shared" si="260"/>
        <v>0</v>
      </c>
      <c r="J902">
        <f t="shared" si="268"/>
        <v>0</v>
      </c>
      <c r="K902">
        <f t="shared" si="269"/>
        <v>0</v>
      </c>
      <c r="L902" cm="1">
        <f t="array" ref="L902">IF(E902*J902=0,0,$C$21*INDEX([3]Sheet1!$C$4:$Q$23,MATCH(K902,[3]Sheet1!$B$4:$B$23,1),MATCH(D902,[3]Sheet1!$C$3:$Q$3,1))
+(K902-INDEX([3]Sheet1!$B$4:$B$23,MATCH(K902,[3]Sheet1!$B$4:$B$23,1),1))/(INDEX([3]Sheet1!$B$4:$B$23,MATCH(K902,[3]Sheet1!$B$4:$B$23,1)+1,1)-INDEX([3]Sheet1!$B$4:$B$23,
MATCH(K902,[3]Sheet1!$B$4:$B$23,1),1))*(INDEX([3]Sheet1!$C$4:$Q$23,MATCH(K902,[3]Sheet1!$B$4:$B$23,1)+1,MATCH(D902,[3]Sheet1!$C$3:$Q$3,1))-INDEX([3]Sheet1!$C$4:$Q$23,
MATCH(K902,[3]Sheet1!$B$4:$B$23,1),MATCH(D902,[3]Sheet1!$C$3:$Q$3,1)))
+(D902-INDEX([3]Sheet1!$C$3:$Q$3,1,MATCH(D902,[3]Sheet1!$C$3:$Q$3)))/(INDEX([3]Sheet1!$C$3:$Q$3,1,MATCH(D902,[3]Sheet1!$C$3:$Q$3)+1)-INDEX([3]Sheet1!$C$3:$Q$3,1,MATCH(
D902,[3]Sheet1!$C$3:$Q$3)))*(INDEX([3]Sheet1!$C$4:$Q$23,MATCH(K902,[3]Sheet1!$B$4:$B$23,1),MATCH(D902,[3]Sheet1!$C$3:$Q$3,1)+1)-INDEX([3]Sheet1!$C$4:$Q$23,MATCH(K902,[3]Sheet1!$B$4:$B$23,1),MATCH(D902,[3]Sheet1!$C$3:$Q$3,1))))</f>
        <v>0</v>
      </c>
      <c r="M902" cm="1">
        <f t="array" ref="M902" xml:space="preserve"> IF(E902*J902=0,0,(INDEX([2]Sheet1!$C$4:$Q$23,MATCH(K902,[2]Sheet1!$B$4:$B$23,1),MATCH(D902,[2]Sheet1!$C$3:$Q$3,1))
+ (K902 - INDEX([2]Sheet1!$B$4:$B$23,MATCH(K902,[2]Sheet1!$B$4:$B$23,1),1))/(INDEX([2]Sheet1!$B$4:$B$23,MATCH(K902,[2]Sheet1!$B$4:$B$23,1)+1,1) - INDEX([2]Sheet1!$B$4:$B$23,MATCH(K902,[2]Sheet1!$B$4:$B$23,1),1))*(INDEX([2]Sheet1!$C$4:$Q$23,MATCH(K902,[2]Sheet1!$B$4:$B$23,1)+1,MATCH(D902,[2]Sheet1!$C$3:$Q$3,1)) - INDEX([2]Sheet1!$C$4:$Q$23,MATCH(K902,[2]Sheet1!$B$4:$B$23,1),MATCH(D902,[2]Sheet1!$C$3:$Q$3,1)))
+ (D902 - INDEX([2]Sheet1!$C$3:$Q$3,1,MATCH(D902,[2]Sheet1!$C$3:$Q$3)))/(INDEX([2]Sheet1!$C$3:$Q$3,1,MATCH(D902,[2]Sheet1!$C$3:$Q$3)+1) - INDEX([2]Sheet1!$C$3:$Q$3,1,MATCH(D902,[2]Sheet1!$C$3:$Q$3)))*(
INDEX([2]Sheet1!$C$4:$Q$23,MATCH(K902,[2]Sheet1!$B$4:$B$23,1),MATCH(D902,[2]Sheet1!$C$3:$Q$3,1)+1) - INDEX([2]Sheet1!$C$4:$Q$23,MATCH(K902,[2]Sheet1!$B$4:$B$23,1),MATCH(D902,[2]Sheet1!$C$3:$Q$3,1)))))</f>
        <v>0</v>
      </c>
      <c r="N902">
        <f t="shared" si="270"/>
        <v>12</v>
      </c>
      <c r="O902">
        <v>268.02450568394102</v>
      </c>
      <c r="P902" t="e">
        <f t="shared" si="271"/>
        <v>#DIV/0!</v>
      </c>
      <c r="Q902">
        <f t="shared" si="272"/>
        <v>0</v>
      </c>
      <c r="R902">
        <f t="shared" si="273"/>
        <v>741.9099431943954</v>
      </c>
      <c r="T902" t="e">
        <f t="shared" si="274"/>
        <v>#DIV/0!</v>
      </c>
      <c r="U902" t="e">
        <f t="shared" si="275"/>
        <v>#DIV/0!</v>
      </c>
      <c r="V902">
        <f t="shared" si="276"/>
        <v>0</v>
      </c>
      <c r="W902" t="e">
        <f t="shared" si="277"/>
        <v>#DIV/0!</v>
      </c>
    </row>
    <row r="903" spans="1:23" x14ac:dyDescent="0.55000000000000004">
      <c r="A903">
        <f t="shared" si="261"/>
        <v>86.899999999999338</v>
      </c>
      <c r="B903">
        <f t="shared" si="262"/>
        <v>0.316</v>
      </c>
      <c r="C903">
        <f t="shared" si="263"/>
        <v>-51.673913043477832</v>
      </c>
      <c r="D903">
        <v>269.43984551913201</v>
      </c>
      <c r="E903">
        <f t="shared" si="264"/>
        <v>0</v>
      </c>
      <c r="F903">
        <f t="shared" si="265"/>
        <v>4.8605058816845369E-2</v>
      </c>
      <c r="G903">
        <f t="shared" si="266"/>
        <v>39.513748498891111</v>
      </c>
      <c r="H903">
        <f t="shared" si="267"/>
        <v>0</v>
      </c>
      <c r="I903" s="1">
        <f t="shared" si="260"/>
        <v>0</v>
      </c>
      <c r="J903">
        <f t="shared" si="268"/>
        <v>0</v>
      </c>
      <c r="K903">
        <f t="shared" si="269"/>
        <v>0</v>
      </c>
      <c r="L903" cm="1">
        <f t="array" ref="L903">IF(E903*J903=0,0,$C$21*INDEX([3]Sheet1!$C$4:$Q$23,MATCH(K903,[3]Sheet1!$B$4:$B$23,1),MATCH(D903,[3]Sheet1!$C$3:$Q$3,1))
+(K903-INDEX([3]Sheet1!$B$4:$B$23,MATCH(K903,[3]Sheet1!$B$4:$B$23,1),1))/(INDEX([3]Sheet1!$B$4:$B$23,MATCH(K903,[3]Sheet1!$B$4:$B$23,1)+1,1)-INDEX([3]Sheet1!$B$4:$B$23,
MATCH(K903,[3]Sheet1!$B$4:$B$23,1),1))*(INDEX([3]Sheet1!$C$4:$Q$23,MATCH(K903,[3]Sheet1!$B$4:$B$23,1)+1,MATCH(D903,[3]Sheet1!$C$3:$Q$3,1))-INDEX([3]Sheet1!$C$4:$Q$23,
MATCH(K903,[3]Sheet1!$B$4:$B$23,1),MATCH(D903,[3]Sheet1!$C$3:$Q$3,1)))
+(D903-INDEX([3]Sheet1!$C$3:$Q$3,1,MATCH(D903,[3]Sheet1!$C$3:$Q$3)))/(INDEX([3]Sheet1!$C$3:$Q$3,1,MATCH(D903,[3]Sheet1!$C$3:$Q$3)+1)-INDEX([3]Sheet1!$C$3:$Q$3,1,MATCH(
D903,[3]Sheet1!$C$3:$Q$3)))*(INDEX([3]Sheet1!$C$4:$Q$23,MATCH(K903,[3]Sheet1!$B$4:$B$23,1),MATCH(D903,[3]Sheet1!$C$3:$Q$3,1)+1)-INDEX([3]Sheet1!$C$4:$Q$23,MATCH(K903,[3]Sheet1!$B$4:$B$23,1),MATCH(D903,[3]Sheet1!$C$3:$Q$3,1))))</f>
        <v>0</v>
      </c>
      <c r="M903" cm="1">
        <f t="array" ref="M903" xml:space="preserve"> IF(E903*J903=0,0,(INDEX([2]Sheet1!$C$4:$Q$23,MATCH(K903,[2]Sheet1!$B$4:$B$23,1),MATCH(D903,[2]Sheet1!$C$3:$Q$3,1))
+ (K903 - INDEX([2]Sheet1!$B$4:$B$23,MATCH(K903,[2]Sheet1!$B$4:$B$23,1),1))/(INDEX([2]Sheet1!$B$4:$B$23,MATCH(K903,[2]Sheet1!$B$4:$B$23,1)+1,1) - INDEX([2]Sheet1!$B$4:$B$23,MATCH(K903,[2]Sheet1!$B$4:$B$23,1),1))*(INDEX([2]Sheet1!$C$4:$Q$23,MATCH(K903,[2]Sheet1!$B$4:$B$23,1)+1,MATCH(D903,[2]Sheet1!$C$3:$Q$3,1)) - INDEX([2]Sheet1!$C$4:$Q$23,MATCH(K903,[2]Sheet1!$B$4:$B$23,1),MATCH(D903,[2]Sheet1!$C$3:$Q$3,1)))
+ (D903 - INDEX([2]Sheet1!$C$3:$Q$3,1,MATCH(D903,[2]Sheet1!$C$3:$Q$3)))/(INDEX([2]Sheet1!$C$3:$Q$3,1,MATCH(D903,[2]Sheet1!$C$3:$Q$3)+1) - INDEX([2]Sheet1!$C$3:$Q$3,1,MATCH(D903,[2]Sheet1!$C$3:$Q$3)))*(
INDEX([2]Sheet1!$C$4:$Q$23,MATCH(K903,[2]Sheet1!$B$4:$B$23,1),MATCH(D903,[2]Sheet1!$C$3:$Q$3,1)+1) - INDEX([2]Sheet1!$C$4:$Q$23,MATCH(K903,[2]Sheet1!$B$4:$B$23,1),MATCH(D903,[2]Sheet1!$C$3:$Q$3,1)))))</f>
        <v>0</v>
      </c>
      <c r="N903">
        <f t="shared" si="270"/>
        <v>12</v>
      </c>
      <c r="O903">
        <v>269.02450568394102</v>
      </c>
      <c r="P903" t="e">
        <f t="shared" si="271"/>
        <v>#DIV/0!</v>
      </c>
      <c r="Q903">
        <f t="shared" si="272"/>
        <v>0</v>
      </c>
      <c r="R903">
        <f t="shared" si="273"/>
        <v>741.9099431943954</v>
      </c>
      <c r="T903" t="e">
        <f t="shared" si="274"/>
        <v>#DIV/0!</v>
      </c>
      <c r="U903" t="e">
        <f t="shared" si="275"/>
        <v>#DIV/0!</v>
      </c>
      <c r="V903">
        <f t="shared" si="276"/>
        <v>0</v>
      </c>
      <c r="W903" t="e">
        <f t="shared" si="277"/>
        <v>#DIV/0!</v>
      </c>
    </row>
    <row r="904" spans="1:23" x14ac:dyDescent="0.55000000000000004">
      <c r="A904">
        <f t="shared" si="261"/>
        <v>86.999999999999332</v>
      </c>
      <c r="B904">
        <f t="shared" si="262"/>
        <v>0.316</v>
      </c>
      <c r="C904">
        <f t="shared" si="263"/>
        <v>-51.739130434782183</v>
      </c>
      <c r="D904">
        <v>270.43984551913201</v>
      </c>
      <c r="E904">
        <f t="shared" si="264"/>
        <v>0</v>
      </c>
      <c r="F904">
        <f t="shared" si="265"/>
        <v>4.8605058816845369E-2</v>
      </c>
      <c r="G904">
        <f t="shared" si="266"/>
        <v>39.513748498891111</v>
      </c>
      <c r="H904">
        <f t="shared" si="267"/>
        <v>0</v>
      </c>
      <c r="I904" s="1">
        <f t="shared" si="260"/>
        <v>0</v>
      </c>
      <c r="J904">
        <f t="shared" si="268"/>
        <v>0</v>
      </c>
      <c r="K904">
        <f t="shared" si="269"/>
        <v>0</v>
      </c>
      <c r="L904" cm="1">
        <f t="array" ref="L904">IF(E904*J904=0,0,$C$21*INDEX([3]Sheet1!$C$4:$Q$23,MATCH(K904,[3]Sheet1!$B$4:$B$23,1),MATCH(D904,[3]Sheet1!$C$3:$Q$3,1))
+(K904-INDEX([3]Sheet1!$B$4:$B$23,MATCH(K904,[3]Sheet1!$B$4:$B$23,1),1))/(INDEX([3]Sheet1!$B$4:$B$23,MATCH(K904,[3]Sheet1!$B$4:$B$23,1)+1,1)-INDEX([3]Sheet1!$B$4:$B$23,
MATCH(K904,[3]Sheet1!$B$4:$B$23,1),1))*(INDEX([3]Sheet1!$C$4:$Q$23,MATCH(K904,[3]Sheet1!$B$4:$B$23,1)+1,MATCH(D904,[3]Sheet1!$C$3:$Q$3,1))-INDEX([3]Sheet1!$C$4:$Q$23,
MATCH(K904,[3]Sheet1!$B$4:$B$23,1),MATCH(D904,[3]Sheet1!$C$3:$Q$3,1)))
+(D904-INDEX([3]Sheet1!$C$3:$Q$3,1,MATCH(D904,[3]Sheet1!$C$3:$Q$3)))/(INDEX([3]Sheet1!$C$3:$Q$3,1,MATCH(D904,[3]Sheet1!$C$3:$Q$3)+1)-INDEX([3]Sheet1!$C$3:$Q$3,1,MATCH(
D904,[3]Sheet1!$C$3:$Q$3)))*(INDEX([3]Sheet1!$C$4:$Q$23,MATCH(K904,[3]Sheet1!$B$4:$B$23,1),MATCH(D904,[3]Sheet1!$C$3:$Q$3,1)+1)-INDEX([3]Sheet1!$C$4:$Q$23,MATCH(K904,[3]Sheet1!$B$4:$B$23,1),MATCH(D904,[3]Sheet1!$C$3:$Q$3,1))))</f>
        <v>0</v>
      </c>
      <c r="M904" cm="1">
        <f t="array" ref="M904" xml:space="preserve"> IF(E904*J904=0,0,(INDEX([2]Sheet1!$C$4:$Q$23,MATCH(K904,[2]Sheet1!$B$4:$B$23,1),MATCH(D904,[2]Sheet1!$C$3:$Q$3,1))
+ (K904 - INDEX([2]Sheet1!$B$4:$B$23,MATCH(K904,[2]Sheet1!$B$4:$B$23,1),1))/(INDEX([2]Sheet1!$B$4:$B$23,MATCH(K904,[2]Sheet1!$B$4:$B$23,1)+1,1) - INDEX([2]Sheet1!$B$4:$B$23,MATCH(K904,[2]Sheet1!$B$4:$B$23,1),1))*(INDEX([2]Sheet1!$C$4:$Q$23,MATCH(K904,[2]Sheet1!$B$4:$B$23,1)+1,MATCH(D904,[2]Sheet1!$C$3:$Q$3,1)) - INDEX([2]Sheet1!$C$4:$Q$23,MATCH(K904,[2]Sheet1!$B$4:$B$23,1),MATCH(D904,[2]Sheet1!$C$3:$Q$3,1)))
+ (D904 - INDEX([2]Sheet1!$C$3:$Q$3,1,MATCH(D904,[2]Sheet1!$C$3:$Q$3)))/(INDEX([2]Sheet1!$C$3:$Q$3,1,MATCH(D904,[2]Sheet1!$C$3:$Q$3)+1) - INDEX([2]Sheet1!$C$3:$Q$3,1,MATCH(D904,[2]Sheet1!$C$3:$Q$3)))*(
INDEX([2]Sheet1!$C$4:$Q$23,MATCH(K904,[2]Sheet1!$B$4:$B$23,1),MATCH(D904,[2]Sheet1!$C$3:$Q$3,1)+1) - INDEX([2]Sheet1!$C$4:$Q$23,MATCH(K904,[2]Sheet1!$B$4:$B$23,1),MATCH(D904,[2]Sheet1!$C$3:$Q$3,1)))))</f>
        <v>0</v>
      </c>
      <c r="N904">
        <f t="shared" si="270"/>
        <v>12</v>
      </c>
      <c r="O904">
        <v>270.02450568394102</v>
      </c>
      <c r="P904" t="e">
        <f t="shared" si="271"/>
        <v>#DIV/0!</v>
      </c>
      <c r="Q904">
        <f t="shared" si="272"/>
        <v>0</v>
      </c>
      <c r="R904">
        <f t="shared" si="273"/>
        <v>741.9099431943954</v>
      </c>
      <c r="T904" t="e">
        <f t="shared" si="274"/>
        <v>#DIV/0!</v>
      </c>
      <c r="U904" t="e">
        <f t="shared" si="275"/>
        <v>#DIV/0!</v>
      </c>
      <c r="V904">
        <f t="shared" si="276"/>
        <v>0</v>
      </c>
      <c r="W904" t="e">
        <f t="shared" si="277"/>
        <v>#DIV/0!</v>
      </c>
    </row>
    <row r="905" spans="1:23" x14ac:dyDescent="0.55000000000000004">
      <c r="A905">
        <f t="shared" si="261"/>
        <v>87.099999999999326</v>
      </c>
      <c r="B905">
        <f t="shared" si="262"/>
        <v>0.316</v>
      </c>
      <c r="C905">
        <f t="shared" si="263"/>
        <v>-51.80434782608652</v>
      </c>
      <c r="D905">
        <v>271.43984551913201</v>
      </c>
      <c r="E905">
        <f t="shared" si="264"/>
        <v>0</v>
      </c>
      <c r="F905">
        <f t="shared" si="265"/>
        <v>4.8605058816845369E-2</v>
      </c>
      <c r="G905">
        <f t="shared" si="266"/>
        <v>39.513748498891111</v>
      </c>
      <c r="H905">
        <f t="shared" si="267"/>
        <v>0</v>
      </c>
      <c r="I905" s="1">
        <f t="shared" si="260"/>
        <v>0</v>
      </c>
      <c r="J905">
        <f t="shared" si="268"/>
        <v>0</v>
      </c>
      <c r="K905">
        <f t="shared" si="269"/>
        <v>0</v>
      </c>
      <c r="L905" cm="1">
        <f t="array" ref="L905">IF(E905*J905=0,0,$C$21*INDEX([3]Sheet1!$C$4:$Q$23,MATCH(K905,[3]Sheet1!$B$4:$B$23,1),MATCH(D905,[3]Sheet1!$C$3:$Q$3,1))
+(K905-INDEX([3]Sheet1!$B$4:$B$23,MATCH(K905,[3]Sheet1!$B$4:$B$23,1),1))/(INDEX([3]Sheet1!$B$4:$B$23,MATCH(K905,[3]Sheet1!$B$4:$B$23,1)+1,1)-INDEX([3]Sheet1!$B$4:$B$23,
MATCH(K905,[3]Sheet1!$B$4:$B$23,1),1))*(INDEX([3]Sheet1!$C$4:$Q$23,MATCH(K905,[3]Sheet1!$B$4:$B$23,1)+1,MATCH(D905,[3]Sheet1!$C$3:$Q$3,1))-INDEX([3]Sheet1!$C$4:$Q$23,
MATCH(K905,[3]Sheet1!$B$4:$B$23,1),MATCH(D905,[3]Sheet1!$C$3:$Q$3,1)))
+(D905-INDEX([3]Sheet1!$C$3:$Q$3,1,MATCH(D905,[3]Sheet1!$C$3:$Q$3)))/(INDEX([3]Sheet1!$C$3:$Q$3,1,MATCH(D905,[3]Sheet1!$C$3:$Q$3)+1)-INDEX([3]Sheet1!$C$3:$Q$3,1,MATCH(
D905,[3]Sheet1!$C$3:$Q$3)))*(INDEX([3]Sheet1!$C$4:$Q$23,MATCH(K905,[3]Sheet1!$B$4:$B$23,1),MATCH(D905,[3]Sheet1!$C$3:$Q$3,1)+1)-INDEX([3]Sheet1!$C$4:$Q$23,MATCH(K905,[3]Sheet1!$B$4:$B$23,1),MATCH(D905,[3]Sheet1!$C$3:$Q$3,1))))</f>
        <v>0</v>
      </c>
      <c r="M905" cm="1">
        <f t="array" ref="M905" xml:space="preserve"> IF(E905*J905=0,0,(INDEX([2]Sheet1!$C$4:$Q$23,MATCH(K905,[2]Sheet1!$B$4:$B$23,1),MATCH(D905,[2]Sheet1!$C$3:$Q$3,1))
+ (K905 - INDEX([2]Sheet1!$B$4:$B$23,MATCH(K905,[2]Sheet1!$B$4:$B$23,1),1))/(INDEX([2]Sheet1!$B$4:$B$23,MATCH(K905,[2]Sheet1!$B$4:$B$23,1)+1,1) - INDEX([2]Sheet1!$B$4:$B$23,MATCH(K905,[2]Sheet1!$B$4:$B$23,1),1))*(INDEX([2]Sheet1!$C$4:$Q$23,MATCH(K905,[2]Sheet1!$B$4:$B$23,1)+1,MATCH(D905,[2]Sheet1!$C$3:$Q$3,1)) - INDEX([2]Sheet1!$C$4:$Q$23,MATCH(K905,[2]Sheet1!$B$4:$B$23,1),MATCH(D905,[2]Sheet1!$C$3:$Q$3,1)))
+ (D905 - INDEX([2]Sheet1!$C$3:$Q$3,1,MATCH(D905,[2]Sheet1!$C$3:$Q$3)))/(INDEX([2]Sheet1!$C$3:$Q$3,1,MATCH(D905,[2]Sheet1!$C$3:$Q$3)+1) - INDEX([2]Sheet1!$C$3:$Q$3,1,MATCH(D905,[2]Sheet1!$C$3:$Q$3)))*(
INDEX([2]Sheet1!$C$4:$Q$23,MATCH(K905,[2]Sheet1!$B$4:$B$23,1),MATCH(D905,[2]Sheet1!$C$3:$Q$3,1)+1) - INDEX([2]Sheet1!$C$4:$Q$23,MATCH(K905,[2]Sheet1!$B$4:$B$23,1),MATCH(D905,[2]Sheet1!$C$3:$Q$3,1)))))</f>
        <v>0</v>
      </c>
      <c r="N905">
        <f t="shared" si="270"/>
        <v>12</v>
      </c>
      <c r="O905">
        <v>271.02450568394102</v>
      </c>
      <c r="P905" t="e">
        <f t="shared" si="271"/>
        <v>#DIV/0!</v>
      </c>
      <c r="Q905">
        <f t="shared" si="272"/>
        <v>0</v>
      </c>
      <c r="R905">
        <f t="shared" si="273"/>
        <v>741.9099431943954</v>
      </c>
      <c r="T905" t="e">
        <f t="shared" si="274"/>
        <v>#DIV/0!</v>
      </c>
      <c r="U905" t="e">
        <f t="shared" si="275"/>
        <v>#DIV/0!</v>
      </c>
      <c r="V905">
        <f t="shared" si="276"/>
        <v>0</v>
      </c>
      <c r="W905" t="e">
        <f t="shared" si="277"/>
        <v>#DIV/0!</v>
      </c>
    </row>
    <row r="906" spans="1:23" x14ac:dyDescent="0.55000000000000004">
      <c r="A906">
        <f t="shared" si="261"/>
        <v>87.199999999999321</v>
      </c>
      <c r="B906">
        <f t="shared" si="262"/>
        <v>0.316</v>
      </c>
      <c r="C906">
        <f t="shared" si="263"/>
        <v>-51.869565217390871</v>
      </c>
      <c r="D906">
        <v>272.43984551913201</v>
      </c>
      <c r="E906">
        <f t="shared" si="264"/>
        <v>0</v>
      </c>
      <c r="F906">
        <f t="shared" si="265"/>
        <v>4.8605058816845369E-2</v>
      </c>
      <c r="G906">
        <f t="shared" si="266"/>
        <v>39.513748498891111</v>
      </c>
      <c r="H906">
        <f t="shared" si="267"/>
        <v>0</v>
      </c>
      <c r="I906" s="1">
        <f t="shared" si="260"/>
        <v>0</v>
      </c>
      <c r="J906">
        <f t="shared" si="268"/>
        <v>0</v>
      </c>
      <c r="K906">
        <f t="shared" si="269"/>
        <v>0</v>
      </c>
      <c r="L906" cm="1">
        <f t="array" ref="L906">IF(E906*J906=0,0,$C$21*INDEX([3]Sheet1!$C$4:$Q$23,MATCH(K906,[3]Sheet1!$B$4:$B$23,1),MATCH(D906,[3]Sheet1!$C$3:$Q$3,1))
+(K906-INDEX([3]Sheet1!$B$4:$B$23,MATCH(K906,[3]Sheet1!$B$4:$B$23,1),1))/(INDEX([3]Sheet1!$B$4:$B$23,MATCH(K906,[3]Sheet1!$B$4:$B$23,1)+1,1)-INDEX([3]Sheet1!$B$4:$B$23,
MATCH(K906,[3]Sheet1!$B$4:$B$23,1),1))*(INDEX([3]Sheet1!$C$4:$Q$23,MATCH(K906,[3]Sheet1!$B$4:$B$23,1)+1,MATCH(D906,[3]Sheet1!$C$3:$Q$3,1))-INDEX([3]Sheet1!$C$4:$Q$23,
MATCH(K906,[3]Sheet1!$B$4:$B$23,1),MATCH(D906,[3]Sheet1!$C$3:$Q$3,1)))
+(D906-INDEX([3]Sheet1!$C$3:$Q$3,1,MATCH(D906,[3]Sheet1!$C$3:$Q$3)))/(INDEX([3]Sheet1!$C$3:$Q$3,1,MATCH(D906,[3]Sheet1!$C$3:$Q$3)+1)-INDEX([3]Sheet1!$C$3:$Q$3,1,MATCH(
D906,[3]Sheet1!$C$3:$Q$3)))*(INDEX([3]Sheet1!$C$4:$Q$23,MATCH(K906,[3]Sheet1!$B$4:$B$23,1),MATCH(D906,[3]Sheet1!$C$3:$Q$3,1)+1)-INDEX([3]Sheet1!$C$4:$Q$23,MATCH(K906,[3]Sheet1!$B$4:$B$23,1),MATCH(D906,[3]Sheet1!$C$3:$Q$3,1))))</f>
        <v>0</v>
      </c>
      <c r="M906" cm="1">
        <f t="array" ref="M906" xml:space="preserve"> IF(E906*J906=0,0,(INDEX([2]Sheet1!$C$4:$Q$23,MATCH(K906,[2]Sheet1!$B$4:$B$23,1),MATCH(D906,[2]Sheet1!$C$3:$Q$3,1))
+ (K906 - INDEX([2]Sheet1!$B$4:$B$23,MATCH(K906,[2]Sheet1!$B$4:$B$23,1),1))/(INDEX([2]Sheet1!$B$4:$B$23,MATCH(K906,[2]Sheet1!$B$4:$B$23,1)+1,1) - INDEX([2]Sheet1!$B$4:$B$23,MATCH(K906,[2]Sheet1!$B$4:$B$23,1),1))*(INDEX([2]Sheet1!$C$4:$Q$23,MATCH(K906,[2]Sheet1!$B$4:$B$23,1)+1,MATCH(D906,[2]Sheet1!$C$3:$Q$3,1)) - INDEX([2]Sheet1!$C$4:$Q$23,MATCH(K906,[2]Sheet1!$B$4:$B$23,1),MATCH(D906,[2]Sheet1!$C$3:$Q$3,1)))
+ (D906 - INDEX([2]Sheet1!$C$3:$Q$3,1,MATCH(D906,[2]Sheet1!$C$3:$Q$3)))/(INDEX([2]Sheet1!$C$3:$Q$3,1,MATCH(D906,[2]Sheet1!$C$3:$Q$3)+1) - INDEX([2]Sheet1!$C$3:$Q$3,1,MATCH(D906,[2]Sheet1!$C$3:$Q$3)))*(
INDEX([2]Sheet1!$C$4:$Q$23,MATCH(K906,[2]Sheet1!$B$4:$B$23,1),MATCH(D906,[2]Sheet1!$C$3:$Q$3,1)+1) - INDEX([2]Sheet1!$C$4:$Q$23,MATCH(K906,[2]Sheet1!$B$4:$B$23,1),MATCH(D906,[2]Sheet1!$C$3:$Q$3,1)))))</f>
        <v>0</v>
      </c>
      <c r="N906">
        <f t="shared" si="270"/>
        <v>12</v>
      </c>
      <c r="O906">
        <v>272.02450568394102</v>
      </c>
      <c r="P906" t="e">
        <f t="shared" si="271"/>
        <v>#DIV/0!</v>
      </c>
      <c r="Q906">
        <f t="shared" si="272"/>
        <v>0</v>
      </c>
      <c r="R906">
        <f t="shared" si="273"/>
        <v>741.9099431943954</v>
      </c>
      <c r="T906" t="e">
        <f t="shared" si="274"/>
        <v>#DIV/0!</v>
      </c>
      <c r="U906" t="e">
        <f t="shared" si="275"/>
        <v>#DIV/0!</v>
      </c>
      <c r="V906">
        <f t="shared" si="276"/>
        <v>0</v>
      </c>
      <c r="W906" t="e">
        <f t="shared" si="277"/>
        <v>#DIV/0!</v>
      </c>
    </row>
    <row r="907" spans="1:23" x14ac:dyDescent="0.55000000000000004">
      <c r="A907">
        <f t="shared" si="261"/>
        <v>87.299999999999315</v>
      </c>
      <c r="B907">
        <f t="shared" si="262"/>
        <v>0.316</v>
      </c>
      <c r="C907">
        <f t="shared" si="263"/>
        <v>-51.934782608695208</v>
      </c>
      <c r="D907">
        <v>273.43984551913201</v>
      </c>
      <c r="E907">
        <f t="shared" si="264"/>
        <v>0</v>
      </c>
      <c r="F907">
        <f t="shared" si="265"/>
        <v>4.8605058816845369E-2</v>
      </c>
      <c r="G907">
        <f t="shared" si="266"/>
        <v>39.513748498891111</v>
      </c>
      <c r="H907">
        <f t="shared" si="267"/>
        <v>0</v>
      </c>
      <c r="I907" s="1">
        <f t="shared" si="260"/>
        <v>0</v>
      </c>
      <c r="J907">
        <f t="shared" si="268"/>
        <v>0</v>
      </c>
      <c r="K907">
        <f t="shared" si="269"/>
        <v>0</v>
      </c>
      <c r="L907" cm="1">
        <f t="array" ref="L907">IF(E907*J907=0,0,$C$21*INDEX([3]Sheet1!$C$4:$Q$23,MATCH(K907,[3]Sheet1!$B$4:$B$23,1),MATCH(D907,[3]Sheet1!$C$3:$Q$3,1))
+(K907-INDEX([3]Sheet1!$B$4:$B$23,MATCH(K907,[3]Sheet1!$B$4:$B$23,1),1))/(INDEX([3]Sheet1!$B$4:$B$23,MATCH(K907,[3]Sheet1!$B$4:$B$23,1)+1,1)-INDEX([3]Sheet1!$B$4:$B$23,
MATCH(K907,[3]Sheet1!$B$4:$B$23,1),1))*(INDEX([3]Sheet1!$C$4:$Q$23,MATCH(K907,[3]Sheet1!$B$4:$B$23,1)+1,MATCH(D907,[3]Sheet1!$C$3:$Q$3,1))-INDEX([3]Sheet1!$C$4:$Q$23,
MATCH(K907,[3]Sheet1!$B$4:$B$23,1),MATCH(D907,[3]Sheet1!$C$3:$Q$3,1)))
+(D907-INDEX([3]Sheet1!$C$3:$Q$3,1,MATCH(D907,[3]Sheet1!$C$3:$Q$3)))/(INDEX([3]Sheet1!$C$3:$Q$3,1,MATCH(D907,[3]Sheet1!$C$3:$Q$3)+1)-INDEX([3]Sheet1!$C$3:$Q$3,1,MATCH(
D907,[3]Sheet1!$C$3:$Q$3)))*(INDEX([3]Sheet1!$C$4:$Q$23,MATCH(K907,[3]Sheet1!$B$4:$B$23,1),MATCH(D907,[3]Sheet1!$C$3:$Q$3,1)+1)-INDEX([3]Sheet1!$C$4:$Q$23,MATCH(K907,[3]Sheet1!$B$4:$B$23,1),MATCH(D907,[3]Sheet1!$C$3:$Q$3,1))))</f>
        <v>0</v>
      </c>
      <c r="M907" cm="1">
        <f t="array" ref="M907" xml:space="preserve"> IF(E907*J907=0,0,(INDEX([2]Sheet1!$C$4:$Q$23,MATCH(K907,[2]Sheet1!$B$4:$B$23,1),MATCH(D907,[2]Sheet1!$C$3:$Q$3,1))
+ (K907 - INDEX([2]Sheet1!$B$4:$B$23,MATCH(K907,[2]Sheet1!$B$4:$B$23,1),1))/(INDEX([2]Sheet1!$B$4:$B$23,MATCH(K907,[2]Sheet1!$B$4:$B$23,1)+1,1) - INDEX([2]Sheet1!$B$4:$B$23,MATCH(K907,[2]Sheet1!$B$4:$B$23,1),1))*(INDEX([2]Sheet1!$C$4:$Q$23,MATCH(K907,[2]Sheet1!$B$4:$B$23,1)+1,MATCH(D907,[2]Sheet1!$C$3:$Q$3,1)) - INDEX([2]Sheet1!$C$4:$Q$23,MATCH(K907,[2]Sheet1!$B$4:$B$23,1),MATCH(D907,[2]Sheet1!$C$3:$Q$3,1)))
+ (D907 - INDEX([2]Sheet1!$C$3:$Q$3,1,MATCH(D907,[2]Sheet1!$C$3:$Q$3)))/(INDEX([2]Sheet1!$C$3:$Q$3,1,MATCH(D907,[2]Sheet1!$C$3:$Q$3)+1) - INDEX([2]Sheet1!$C$3:$Q$3,1,MATCH(D907,[2]Sheet1!$C$3:$Q$3)))*(
INDEX([2]Sheet1!$C$4:$Q$23,MATCH(K907,[2]Sheet1!$B$4:$B$23,1),MATCH(D907,[2]Sheet1!$C$3:$Q$3,1)+1) - INDEX([2]Sheet1!$C$4:$Q$23,MATCH(K907,[2]Sheet1!$B$4:$B$23,1),MATCH(D907,[2]Sheet1!$C$3:$Q$3,1)))))</f>
        <v>0</v>
      </c>
      <c r="N907">
        <f t="shared" si="270"/>
        <v>12</v>
      </c>
      <c r="O907">
        <v>273.02450568394102</v>
      </c>
      <c r="P907" t="e">
        <f t="shared" si="271"/>
        <v>#DIV/0!</v>
      </c>
      <c r="Q907">
        <f t="shared" si="272"/>
        <v>0</v>
      </c>
      <c r="R907">
        <f t="shared" si="273"/>
        <v>741.9099431943954</v>
      </c>
      <c r="T907" t="e">
        <f t="shared" si="274"/>
        <v>#DIV/0!</v>
      </c>
      <c r="U907" t="e">
        <f t="shared" si="275"/>
        <v>#DIV/0!</v>
      </c>
      <c r="V907">
        <f t="shared" si="276"/>
        <v>0</v>
      </c>
      <c r="W907" t="e">
        <f t="shared" si="277"/>
        <v>#DIV/0!</v>
      </c>
    </row>
    <row r="908" spans="1:23" x14ac:dyDescent="0.55000000000000004">
      <c r="A908">
        <f t="shared" si="261"/>
        <v>87.399999999999309</v>
      </c>
      <c r="B908">
        <f t="shared" si="262"/>
        <v>0.316</v>
      </c>
      <c r="C908">
        <f t="shared" si="263"/>
        <v>-51.999999999999559</v>
      </c>
      <c r="D908">
        <v>274.43984551913201</v>
      </c>
      <c r="E908">
        <f t="shared" si="264"/>
        <v>0</v>
      </c>
      <c r="F908">
        <f t="shared" si="265"/>
        <v>4.8605058816845369E-2</v>
      </c>
      <c r="G908">
        <f t="shared" si="266"/>
        <v>39.513748498891111</v>
      </c>
      <c r="H908">
        <f t="shared" si="267"/>
        <v>0</v>
      </c>
      <c r="I908" s="1">
        <f t="shared" si="260"/>
        <v>0</v>
      </c>
      <c r="J908">
        <f t="shared" si="268"/>
        <v>0</v>
      </c>
      <c r="K908">
        <f t="shared" si="269"/>
        <v>0</v>
      </c>
      <c r="L908" cm="1">
        <f t="array" ref="L908">IF(E908*J908=0,0,$C$21*INDEX([3]Sheet1!$C$4:$Q$23,MATCH(K908,[3]Sheet1!$B$4:$B$23,1),MATCH(D908,[3]Sheet1!$C$3:$Q$3,1))
+(K908-INDEX([3]Sheet1!$B$4:$B$23,MATCH(K908,[3]Sheet1!$B$4:$B$23,1),1))/(INDEX([3]Sheet1!$B$4:$B$23,MATCH(K908,[3]Sheet1!$B$4:$B$23,1)+1,1)-INDEX([3]Sheet1!$B$4:$B$23,
MATCH(K908,[3]Sheet1!$B$4:$B$23,1),1))*(INDEX([3]Sheet1!$C$4:$Q$23,MATCH(K908,[3]Sheet1!$B$4:$B$23,1)+1,MATCH(D908,[3]Sheet1!$C$3:$Q$3,1))-INDEX([3]Sheet1!$C$4:$Q$23,
MATCH(K908,[3]Sheet1!$B$4:$B$23,1),MATCH(D908,[3]Sheet1!$C$3:$Q$3,1)))
+(D908-INDEX([3]Sheet1!$C$3:$Q$3,1,MATCH(D908,[3]Sheet1!$C$3:$Q$3)))/(INDEX([3]Sheet1!$C$3:$Q$3,1,MATCH(D908,[3]Sheet1!$C$3:$Q$3)+1)-INDEX([3]Sheet1!$C$3:$Q$3,1,MATCH(
D908,[3]Sheet1!$C$3:$Q$3)))*(INDEX([3]Sheet1!$C$4:$Q$23,MATCH(K908,[3]Sheet1!$B$4:$B$23,1),MATCH(D908,[3]Sheet1!$C$3:$Q$3,1)+1)-INDEX([3]Sheet1!$C$4:$Q$23,MATCH(K908,[3]Sheet1!$B$4:$B$23,1),MATCH(D908,[3]Sheet1!$C$3:$Q$3,1))))</f>
        <v>0</v>
      </c>
      <c r="M908" cm="1">
        <f t="array" ref="M908" xml:space="preserve"> IF(E908*J908=0,0,(INDEX([2]Sheet1!$C$4:$Q$23,MATCH(K908,[2]Sheet1!$B$4:$B$23,1),MATCH(D908,[2]Sheet1!$C$3:$Q$3,1))
+ (K908 - INDEX([2]Sheet1!$B$4:$B$23,MATCH(K908,[2]Sheet1!$B$4:$B$23,1),1))/(INDEX([2]Sheet1!$B$4:$B$23,MATCH(K908,[2]Sheet1!$B$4:$B$23,1)+1,1) - INDEX([2]Sheet1!$B$4:$B$23,MATCH(K908,[2]Sheet1!$B$4:$B$23,1),1))*(INDEX([2]Sheet1!$C$4:$Q$23,MATCH(K908,[2]Sheet1!$B$4:$B$23,1)+1,MATCH(D908,[2]Sheet1!$C$3:$Q$3,1)) - INDEX([2]Sheet1!$C$4:$Q$23,MATCH(K908,[2]Sheet1!$B$4:$B$23,1),MATCH(D908,[2]Sheet1!$C$3:$Q$3,1)))
+ (D908 - INDEX([2]Sheet1!$C$3:$Q$3,1,MATCH(D908,[2]Sheet1!$C$3:$Q$3)))/(INDEX([2]Sheet1!$C$3:$Q$3,1,MATCH(D908,[2]Sheet1!$C$3:$Q$3)+1) - INDEX([2]Sheet1!$C$3:$Q$3,1,MATCH(D908,[2]Sheet1!$C$3:$Q$3)))*(
INDEX([2]Sheet1!$C$4:$Q$23,MATCH(K908,[2]Sheet1!$B$4:$B$23,1),MATCH(D908,[2]Sheet1!$C$3:$Q$3,1)+1) - INDEX([2]Sheet1!$C$4:$Q$23,MATCH(K908,[2]Sheet1!$B$4:$B$23,1),MATCH(D908,[2]Sheet1!$C$3:$Q$3,1)))))</f>
        <v>0</v>
      </c>
      <c r="N908">
        <f t="shared" si="270"/>
        <v>12</v>
      </c>
      <c r="O908">
        <v>274.02450568394102</v>
      </c>
      <c r="P908" t="e">
        <f t="shared" si="271"/>
        <v>#DIV/0!</v>
      </c>
      <c r="Q908">
        <f t="shared" si="272"/>
        <v>0</v>
      </c>
      <c r="R908">
        <f t="shared" si="273"/>
        <v>741.9099431943954</v>
      </c>
      <c r="T908" t="e">
        <f t="shared" si="274"/>
        <v>#DIV/0!</v>
      </c>
      <c r="U908" t="e">
        <f t="shared" si="275"/>
        <v>#DIV/0!</v>
      </c>
      <c r="V908">
        <f t="shared" si="276"/>
        <v>0</v>
      </c>
      <c r="W908" t="e">
        <f t="shared" si="277"/>
        <v>#DIV/0!</v>
      </c>
    </row>
    <row r="909" spans="1:23" x14ac:dyDescent="0.55000000000000004">
      <c r="A909">
        <f t="shared" si="261"/>
        <v>87.499999999999304</v>
      </c>
      <c r="B909">
        <f t="shared" si="262"/>
        <v>0.316</v>
      </c>
      <c r="C909">
        <f t="shared" si="263"/>
        <v>-52.065217391303896</v>
      </c>
      <c r="D909">
        <v>275.43984551913201</v>
      </c>
      <c r="E909">
        <f t="shared" si="264"/>
        <v>0</v>
      </c>
      <c r="F909">
        <f t="shared" si="265"/>
        <v>4.8605058816845369E-2</v>
      </c>
      <c r="G909">
        <f t="shared" si="266"/>
        <v>39.513748498891111</v>
      </c>
      <c r="H909">
        <f t="shared" si="267"/>
        <v>0</v>
      </c>
      <c r="I909" s="1">
        <f t="shared" si="260"/>
        <v>0</v>
      </c>
      <c r="J909">
        <f t="shared" si="268"/>
        <v>0</v>
      </c>
      <c r="K909">
        <f t="shared" si="269"/>
        <v>0</v>
      </c>
      <c r="L909" cm="1">
        <f t="array" ref="L909">IF(E909*J909=0,0,$C$21*INDEX([3]Sheet1!$C$4:$Q$23,MATCH(K909,[3]Sheet1!$B$4:$B$23,1),MATCH(D909,[3]Sheet1!$C$3:$Q$3,1))
+(K909-INDEX([3]Sheet1!$B$4:$B$23,MATCH(K909,[3]Sheet1!$B$4:$B$23,1),1))/(INDEX([3]Sheet1!$B$4:$B$23,MATCH(K909,[3]Sheet1!$B$4:$B$23,1)+1,1)-INDEX([3]Sheet1!$B$4:$B$23,
MATCH(K909,[3]Sheet1!$B$4:$B$23,1),1))*(INDEX([3]Sheet1!$C$4:$Q$23,MATCH(K909,[3]Sheet1!$B$4:$B$23,1)+1,MATCH(D909,[3]Sheet1!$C$3:$Q$3,1))-INDEX([3]Sheet1!$C$4:$Q$23,
MATCH(K909,[3]Sheet1!$B$4:$B$23,1),MATCH(D909,[3]Sheet1!$C$3:$Q$3,1)))
+(D909-INDEX([3]Sheet1!$C$3:$Q$3,1,MATCH(D909,[3]Sheet1!$C$3:$Q$3)))/(INDEX([3]Sheet1!$C$3:$Q$3,1,MATCH(D909,[3]Sheet1!$C$3:$Q$3)+1)-INDEX([3]Sheet1!$C$3:$Q$3,1,MATCH(
D909,[3]Sheet1!$C$3:$Q$3)))*(INDEX([3]Sheet1!$C$4:$Q$23,MATCH(K909,[3]Sheet1!$B$4:$B$23,1),MATCH(D909,[3]Sheet1!$C$3:$Q$3,1)+1)-INDEX([3]Sheet1!$C$4:$Q$23,MATCH(K909,[3]Sheet1!$B$4:$B$23,1),MATCH(D909,[3]Sheet1!$C$3:$Q$3,1))))</f>
        <v>0</v>
      </c>
      <c r="M909" cm="1">
        <f t="array" ref="M909" xml:space="preserve"> IF(E909*J909=0,0,(INDEX([2]Sheet1!$C$4:$Q$23,MATCH(K909,[2]Sheet1!$B$4:$B$23,1),MATCH(D909,[2]Sheet1!$C$3:$Q$3,1))
+ (K909 - INDEX([2]Sheet1!$B$4:$B$23,MATCH(K909,[2]Sheet1!$B$4:$B$23,1),1))/(INDEX([2]Sheet1!$B$4:$B$23,MATCH(K909,[2]Sheet1!$B$4:$B$23,1)+1,1) - INDEX([2]Sheet1!$B$4:$B$23,MATCH(K909,[2]Sheet1!$B$4:$B$23,1),1))*(INDEX([2]Sheet1!$C$4:$Q$23,MATCH(K909,[2]Sheet1!$B$4:$B$23,1)+1,MATCH(D909,[2]Sheet1!$C$3:$Q$3,1)) - INDEX([2]Sheet1!$C$4:$Q$23,MATCH(K909,[2]Sheet1!$B$4:$B$23,1),MATCH(D909,[2]Sheet1!$C$3:$Q$3,1)))
+ (D909 - INDEX([2]Sheet1!$C$3:$Q$3,1,MATCH(D909,[2]Sheet1!$C$3:$Q$3)))/(INDEX([2]Sheet1!$C$3:$Q$3,1,MATCH(D909,[2]Sheet1!$C$3:$Q$3)+1) - INDEX([2]Sheet1!$C$3:$Q$3,1,MATCH(D909,[2]Sheet1!$C$3:$Q$3)))*(
INDEX([2]Sheet1!$C$4:$Q$23,MATCH(K909,[2]Sheet1!$B$4:$B$23,1),MATCH(D909,[2]Sheet1!$C$3:$Q$3,1)+1) - INDEX([2]Sheet1!$C$4:$Q$23,MATCH(K909,[2]Sheet1!$B$4:$B$23,1),MATCH(D909,[2]Sheet1!$C$3:$Q$3,1)))))</f>
        <v>0</v>
      </c>
      <c r="N909">
        <f t="shared" si="270"/>
        <v>12</v>
      </c>
      <c r="O909">
        <v>275.02450568394102</v>
      </c>
      <c r="P909" t="e">
        <f t="shared" si="271"/>
        <v>#DIV/0!</v>
      </c>
      <c r="Q909">
        <f t="shared" si="272"/>
        <v>0</v>
      </c>
      <c r="R909">
        <f t="shared" si="273"/>
        <v>741.9099431943954</v>
      </c>
      <c r="T909" t="e">
        <f t="shared" si="274"/>
        <v>#DIV/0!</v>
      </c>
      <c r="U909" t="e">
        <f t="shared" si="275"/>
        <v>#DIV/0!</v>
      </c>
      <c r="V909">
        <f t="shared" si="276"/>
        <v>0</v>
      </c>
      <c r="W909" t="e">
        <f t="shared" si="277"/>
        <v>#DIV/0!</v>
      </c>
    </row>
    <row r="910" spans="1:23" x14ac:dyDescent="0.55000000000000004">
      <c r="A910">
        <f t="shared" si="261"/>
        <v>87.599999999999298</v>
      </c>
      <c r="B910">
        <f t="shared" si="262"/>
        <v>0.316</v>
      </c>
      <c r="C910">
        <f t="shared" si="263"/>
        <v>-52.130434782608248</v>
      </c>
      <c r="D910">
        <v>276.43984551913201</v>
      </c>
      <c r="E910">
        <f t="shared" si="264"/>
        <v>0</v>
      </c>
      <c r="F910">
        <f t="shared" si="265"/>
        <v>4.8605058816845369E-2</v>
      </c>
      <c r="G910">
        <f t="shared" si="266"/>
        <v>39.513748498891111</v>
      </c>
      <c r="H910">
        <f t="shared" si="267"/>
        <v>0</v>
      </c>
      <c r="I910" s="1">
        <f t="shared" si="260"/>
        <v>0</v>
      </c>
      <c r="J910">
        <f t="shared" si="268"/>
        <v>0</v>
      </c>
      <c r="K910">
        <f t="shared" si="269"/>
        <v>0</v>
      </c>
      <c r="L910" cm="1">
        <f t="array" ref="L910">IF(E910*J910=0,0,$C$21*INDEX([3]Sheet1!$C$4:$Q$23,MATCH(K910,[3]Sheet1!$B$4:$B$23,1),MATCH(D910,[3]Sheet1!$C$3:$Q$3,1))
+(K910-INDEX([3]Sheet1!$B$4:$B$23,MATCH(K910,[3]Sheet1!$B$4:$B$23,1),1))/(INDEX([3]Sheet1!$B$4:$B$23,MATCH(K910,[3]Sheet1!$B$4:$B$23,1)+1,1)-INDEX([3]Sheet1!$B$4:$B$23,
MATCH(K910,[3]Sheet1!$B$4:$B$23,1),1))*(INDEX([3]Sheet1!$C$4:$Q$23,MATCH(K910,[3]Sheet1!$B$4:$B$23,1)+1,MATCH(D910,[3]Sheet1!$C$3:$Q$3,1))-INDEX([3]Sheet1!$C$4:$Q$23,
MATCH(K910,[3]Sheet1!$B$4:$B$23,1),MATCH(D910,[3]Sheet1!$C$3:$Q$3,1)))
+(D910-INDEX([3]Sheet1!$C$3:$Q$3,1,MATCH(D910,[3]Sheet1!$C$3:$Q$3)))/(INDEX([3]Sheet1!$C$3:$Q$3,1,MATCH(D910,[3]Sheet1!$C$3:$Q$3)+1)-INDEX([3]Sheet1!$C$3:$Q$3,1,MATCH(
D910,[3]Sheet1!$C$3:$Q$3)))*(INDEX([3]Sheet1!$C$4:$Q$23,MATCH(K910,[3]Sheet1!$B$4:$B$23,1),MATCH(D910,[3]Sheet1!$C$3:$Q$3,1)+1)-INDEX([3]Sheet1!$C$4:$Q$23,MATCH(K910,[3]Sheet1!$B$4:$B$23,1),MATCH(D910,[3]Sheet1!$C$3:$Q$3,1))))</f>
        <v>0</v>
      </c>
      <c r="M910" cm="1">
        <f t="array" ref="M910" xml:space="preserve"> IF(E910*J910=0,0,(INDEX([2]Sheet1!$C$4:$Q$23,MATCH(K910,[2]Sheet1!$B$4:$B$23,1),MATCH(D910,[2]Sheet1!$C$3:$Q$3,1))
+ (K910 - INDEX([2]Sheet1!$B$4:$B$23,MATCH(K910,[2]Sheet1!$B$4:$B$23,1),1))/(INDEX([2]Sheet1!$B$4:$B$23,MATCH(K910,[2]Sheet1!$B$4:$B$23,1)+1,1) - INDEX([2]Sheet1!$B$4:$B$23,MATCH(K910,[2]Sheet1!$B$4:$B$23,1),1))*(INDEX([2]Sheet1!$C$4:$Q$23,MATCH(K910,[2]Sheet1!$B$4:$B$23,1)+1,MATCH(D910,[2]Sheet1!$C$3:$Q$3,1)) - INDEX([2]Sheet1!$C$4:$Q$23,MATCH(K910,[2]Sheet1!$B$4:$B$23,1),MATCH(D910,[2]Sheet1!$C$3:$Q$3,1)))
+ (D910 - INDEX([2]Sheet1!$C$3:$Q$3,1,MATCH(D910,[2]Sheet1!$C$3:$Q$3)))/(INDEX([2]Sheet1!$C$3:$Q$3,1,MATCH(D910,[2]Sheet1!$C$3:$Q$3)+1) - INDEX([2]Sheet1!$C$3:$Q$3,1,MATCH(D910,[2]Sheet1!$C$3:$Q$3)))*(
INDEX([2]Sheet1!$C$4:$Q$23,MATCH(K910,[2]Sheet1!$B$4:$B$23,1),MATCH(D910,[2]Sheet1!$C$3:$Q$3,1)+1) - INDEX([2]Sheet1!$C$4:$Q$23,MATCH(K910,[2]Sheet1!$B$4:$B$23,1),MATCH(D910,[2]Sheet1!$C$3:$Q$3,1)))))</f>
        <v>0</v>
      </c>
      <c r="N910">
        <f t="shared" si="270"/>
        <v>12</v>
      </c>
      <c r="O910">
        <v>276.02450568394102</v>
      </c>
      <c r="P910" t="e">
        <f t="shared" si="271"/>
        <v>#DIV/0!</v>
      </c>
      <c r="Q910">
        <f t="shared" si="272"/>
        <v>0</v>
      </c>
      <c r="R910">
        <f t="shared" si="273"/>
        <v>741.9099431943954</v>
      </c>
      <c r="T910" t="e">
        <f t="shared" si="274"/>
        <v>#DIV/0!</v>
      </c>
      <c r="U910" t="e">
        <f t="shared" si="275"/>
        <v>#DIV/0!</v>
      </c>
      <c r="V910">
        <f t="shared" si="276"/>
        <v>0</v>
      </c>
      <c r="W910" t="e">
        <f t="shared" si="277"/>
        <v>#DIV/0!</v>
      </c>
    </row>
    <row r="911" spans="1:23" x14ac:dyDescent="0.55000000000000004">
      <c r="A911">
        <f t="shared" si="261"/>
        <v>87.699999999999292</v>
      </c>
      <c r="B911">
        <f t="shared" si="262"/>
        <v>0.316</v>
      </c>
      <c r="C911">
        <f t="shared" si="263"/>
        <v>-52.195652173912585</v>
      </c>
      <c r="D911">
        <v>277.43984551913201</v>
      </c>
      <c r="E911">
        <f t="shared" si="264"/>
        <v>0</v>
      </c>
      <c r="F911">
        <f t="shared" si="265"/>
        <v>4.8605058816845369E-2</v>
      </c>
      <c r="G911">
        <f t="shared" si="266"/>
        <v>39.513748498891111</v>
      </c>
      <c r="H911">
        <f t="shared" si="267"/>
        <v>0</v>
      </c>
      <c r="I911" s="1">
        <f t="shared" si="260"/>
        <v>0</v>
      </c>
      <c r="J911">
        <f t="shared" si="268"/>
        <v>0</v>
      </c>
      <c r="K911">
        <f t="shared" si="269"/>
        <v>0</v>
      </c>
      <c r="L911" cm="1">
        <f t="array" ref="L911">IF(E911*J911=0,0,$C$21*INDEX([3]Sheet1!$C$4:$Q$23,MATCH(K911,[3]Sheet1!$B$4:$B$23,1),MATCH(D911,[3]Sheet1!$C$3:$Q$3,1))
+(K911-INDEX([3]Sheet1!$B$4:$B$23,MATCH(K911,[3]Sheet1!$B$4:$B$23,1),1))/(INDEX([3]Sheet1!$B$4:$B$23,MATCH(K911,[3]Sheet1!$B$4:$B$23,1)+1,1)-INDEX([3]Sheet1!$B$4:$B$23,
MATCH(K911,[3]Sheet1!$B$4:$B$23,1),1))*(INDEX([3]Sheet1!$C$4:$Q$23,MATCH(K911,[3]Sheet1!$B$4:$B$23,1)+1,MATCH(D911,[3]Sheet1!$C$3:$Q$3,1))-INDEX([3]Sheet1!$C$4:$Q$23,
MATCH(K911,[3]Sheet1!$B$4:$B$23,1),MATCH(D911,[3]Sheet1!$C$3:$Q$3,1)))
+(D911-INDEX([3]Sheet1!$C$3:$Q$3,1,MATCH(D911,[3]Sheet1!$C$3:$Q$3)))/(INDEX([3]Sheet1!$C$3:$Q$3,1,MATCH(D911,[3]Sheet1!$C$3:$Q$3)+1)-INDEX([3]Sheet1!$C$3:$Q$3,1,MATCH(
D911,[3]Sheet1!$C$3:$Q$3)))*(INDEX([3]Sheet1!$C$4:$Q$23,MATCH(K911,[3]Sheet1!$B$4:$B$23,1),MATCH(D911,[3]Sheet1!$C$3:$Q$3,1)+1)-INDEX([3]Sheet1!$C$4:$Q$23,MATCH(K911,[3]Sheet1!$B$4:$B$23,1),MATCH(D911,[3]Sheet1!$C$3:$Q$3,1))))</f>
        <v>0</v>
      </c>
      <c r="M911" cm="1">
        <f t="array" ref="M911" xml:space="preserve"> IF(E911*J911=0,0,(INDEX([2]Sheet1!$C$4:$Q$23,MATCH(K911,[2]Sheet1!$B$4:$B$23,1),MATCH(D911,[2]Sheet1!$C$3:$Q$3,1))
+ (K911 - INDEX([2]Sheet1!$B$4:$B$23,MATCH(K911,[2]Sheet1!$B$4:$B$23,1),1))/(INDEX([2]Sheet1!$B$4:$B$23,MATCH(K911,[2]Sheet1!$B$4:$B$23,1)+1,1) - INDEX([2]Sheet1!$B$4:$B$23,MATCH(K911,[2]Sheet1!$B$4:$B$23,1),1))*(INDEX([2]Sheet1!$C$4:$Q$23,MATCH(K911,[2]Sheet1!$B$4:$B$23,1)+1,MATCH(D911,[2]Sheet1!$C$3:$Q$3,1)) - INDEX([2]Sheet1!$C$4:$Q$23,MATCH(K911,[2]Sheet1!$B$4:$B$23,1),MATCH(D911,[2]Sheet1!$C$3:$Q$3,1)))
+ (D911 - INDEX([2]Sheet1!$C$3:$Q$3,1,MATCH(D911,[2]Sheet1!$C$3:$Q$3)))/(INDEX([2]Sheet1!$C$3:$Q$3,1,MATCH(D911,[2]Sheet1!$C$3:$Q$3)+1) - INDEX([2]Sheet1!$C$3:$Q$3,1,MATCH(D911,[2]Sheet1!$C$3:$Q$3)))*(
INDEX([2]Sheet1!$C$4:$Q$23,MATCH(K911,[2]Sheet1!$B$4:$B$23,1),MATCH(D911,[2]Sheet1!$C$3:$Q$3,1)+1) - INDEX([2]Sheet1!$C$4:$Q$23,MATCH(K911,[2]Sheet1!$B$4:$B$23,1),MATCH(D911,[2]Sheet1!$C$3:$Q$3,1)))))</f>
        <v>0</v>
      </c>
      <c r="N911">
        <f t="shared" si="270"/>
        <v>12</v>
      </c>
      <c r="O911">
        <v>277.02450568394102</v>
      </c>
      <c r="P911" t="e">
        <f t="shared" si="271"/>
        <v>#DIV/0!</v>
      </c>
      <c r="Q911">
        <f t="shared" si="272"/>
        <v>0</v>
      </c>
      <c r="R911">
        <f t="shared" si="273"/>
        <v>741.9099431943954</v>
      </c>
      <c r="T911" t="e">
        <f t="shared" si="274"/>
        <v>#DIV/0!</v>
      </c>
      <c r="U911" t="e">
        <f t="shared" si="275"/>
        <v>#DIV/0!</v>
      </c>
      <c r="V911">
        <f t="shared" si="276"/>
        <v>0</v>
      </c>
      <c r="W911" t="e">
        <f t="shared" si="277"/>
        <v>#DIV/0!</v>
      </c>
    </row>
    <row r="912" spans="1:23" x14ac:dyDescent="0.55000000000000004">
      <c r="A912">
        <f t="shared" si="261"/>
        <v>87.799999999999287</v>
      </c>
      <c r="B912">
        <f t="shared" si="262"/>
        <v>0.316</v>
      </c>
      <c r="C912">
        <f t="shared" si="263"/>
        <v>-52.260869565216936</v>
      </c>
      <c r="D912">
        <v>278.43984551913201</v>
      </c>
      <c r="E912">
        <f t="shared" si="264"/>
        <v>0</v>
      </c>
      <c r="F912">
        <f t="shared" si="265"/>
        <v>4.8605058816845369E-2</v>
      </c>
      <c r="G912">
        <f t="shared" si="266"/>
        <v>39.513748498891111</v>
      </c>
      <c r="H912">
        <f t="shared" si="267"/>
        <v>0</v>
      </c>
      <c r="I912" s="1">
        <f t="shared" si="260"/>
        <v>0</v>
      </c>
      <c r="J912">
        <f t="shared" si="268"/>
        <v>0</v>
      </c>
      <c r="K912">
        <f t="shared" si="269"/>
        <v>0</v>
      </c>
      <c r="L912" cm="1">
        <f t="array" ref="L912">IF(E912*J912=0,0,$C$21*INDEX([3]Sheet1!$C$4:$Q$23,MATCH(K912,[3]Sheet1!$B$4:$B$23,1),MATCH(D912,[3]Sheet1!$C$3:$Q$3,1))
+(K912-INDEX([3]Sheet1!$B$4:$B$23,MATCH(K912,[3]Sheet1!$B$4:$B$23,1),1))/(INDEX([3]Sheet1!$B$4:$B$23,MATCH(K912,[3]Sheet1!$B$4:$B$23,1)+1,1)-INDEX([3]Sheet1!$B$4:$B$23,
MATCH(K912,[3]Sheet1!$B$4:$B$23,1),1))*(INDEX([3]Sheet1!$C$4:$Q$23,MATCH(K912,[3]Sheet1!$B$4:$B$23,1)+1,MATCH(D912,[3]Sheet1!$C$3:$Q$3,1))-INDEX([3]Sheet1!$C$4:$Q$23,
MATCH(K912,[3]Sheet1!$B$4:$B$23,1),MATCH(D912,[3]Sheet1!$C$3:$Q$3,1)))
+(D912-INDEX([3]Sheet1!$C$3:$Q$3,1,MATCH(D912,[3]Sheet1!$C$3:$Q$3)))/(INDEX([3]Sheet1!$C$3:$Q$3,1,MATCH(D912,[3]Sheet1!$C$3:$Q$3)+1)-INDEX([3]Sheet1!$C$3:$Q$3,1,MATCH(
D912,[3]Sheet1!$C$3:$Q$3)))*(INDEX([3]Sheet1!$C$4:$Q$23,MATCH(K912,[3]Sheet1!$B$4:$B$23,1),MATCH(D912,[3]Sheet1!$C$3:$Q$3,1)+1)-INDEX([3]Sheet1!$C$4:$Q$23,MATCH(K912,[3]Sheet1!$B$4:$B$23,1),MATCH(D912,[3]Sheet1!$C$3:$Q$3,1))))</f>
        <v>0</v>
      </c>
      <c r="M912" cm="1">
        <f t="array" ref="M912" xml:space="preserve"> IF(E912*J912=0,0,(INDEX([2]Sheet1!$C$4:$Q$23,MATCH(K912,[2]Sheet1!$B$4:$B$23,1),MATCH(D912,[2]Sheet1!$C$3:$Q$3,1))
+ (K912 - INDEX([2]Sheet1!$B$4:$B$23,MATCH(K912,[2]Sheet1!$B$4:$B$23,1),1))/(INDEX([2]Sheet1!$B$4:$B$23,MATCH(K912,[2]Sheet1!$B$4:$B$23,1)+1,1) - INDEX([2]Sheet1!$B$4:$B$23,MATCH(K912,[2]Sheet1!$B$4:$B$23,1),1))*(INDEX([2]Sheet1!$C$4:$Q$23,MATCH(K912,[2]Sheet1!$B$4:$B$23,1)+1,MATCH(D912,[2]Sheet1!$C$3:$Q$3,1)) - INDEX([2]Sheet1!$C$4:$Q$23,MATCH(K912,[2]Sheet1!$B$4:$B$23,1),MATCH(D912,[2]Sheet1!$C$3:$Q$3,1)))
+ (D912 - INDEX([2]Sheet1!$C$3:$Q$3,1,MATCH(D912,[2]Sheet1!$C$3:$Q$3)))/(INDEX([2]Sheet1!$C$3:$Q$3,1,MATCH(D912,[2]Sheet1!$C$3:$Q$3)+1) - INDEX([2]Sheet1!$C$3:$Q$3,1,MATCH(D912,[2]Sheet1!$C$3:$Q$3)))*(
INDEX([2]Sheet1!$C$4:$Q$23,MATCH(K912,[2]Sheet1!$B$4:$B$23,1),MATCH(D912,[2]Sheet1!$C$3:$Q$3,1)+1) - INDEX([2]Sheet1!$C$4:$Q$23,MATCH(K912,[2]Sheet1!$B$4:$B$23,1),MATCH(D912,[2]Sheet1!$C$3:$Q$3,1)))))</f>
        <v>0</v>
      </c>
      <c r="N912">
        <f t="shared" si="270"/>
        <v>12</v>
      </c>
      <c r="O912">
        <v>278.02450568394102</v>
      </c>
      <c r="P912" t="e">
        <f t="shared" si="271"/>
        <v>#DIV/0!</v>
      </c>
      <c r="Q912">
        <f t="shared" si="272"/>
        <v>0</v>
      </c>
      <c r="R912">
        <f t="shared" si="273"/>
        <v>741.9099431943954</v>
      </c>
      <c r="T912" t="e">
        <f t="shared" si="274"/>
        <v>#DIV/0!</v>
      </c>
      <c r="U912" t="e">
        <f t="shared" si="275"/>
        <v>#DIV/0!</v>
      </c>
      <c r="V912">
        <f t="shared" si="276"/>
        <v>0</v>
      </c>
      <c r="W912" t="e">
        <f t="shared" si="277"/>
        <v>#DIV/0!</v>
      </c>
    </row>
    <row r="913" spans="1:23" x14ac:dyDescent="0.55000000000000004">
      <c r="A913">
        <f t="shared" si="261"/>
        <v>87.899999999999281</v>
      </c>
      <c r="B913">
        <f t="shared" si="262"/>
        <v>0.316</v>
      </c>
      <c r="C913">
        <f t="shared" si="263"/>
        <v>-52.326086956521273</v>
      </c>
      <c r="D913">
        <v>279.43984551913201</v>
      </c>
      <c r="E913">
        <f t="shared" si="264"/>
        <v>0</v>
      </c>
      <c r="F913">
        <f t="shared" si="265"/>
        <v>4.8605058816845369E-2</v>
      </c>
      <c r="G913">
        <f t="shared" si="266"/>
        <v>39.513748498891111</v>
      </c>
      <c r="H913">
        <f t="shared" si="267"/>
        <v>0</v>
      </c>
      <c r="I913" s="1">
        <f t="shared" si="260"/>
        <v>0</v>
      </c>
      <c r="J913">
        <f t="shared" si="268"/>
        <v>0</v>
      </c>
      <c r="K913">
        <f t="shared" si="269"/>
        <v>0</v>
      </c>
      <c r="L913" cm="1">
        <f t="array" ref="L913">IF(E913*J913=0,0,$C$21*INDEX([3]Sheet1!$C$4:$Q$23,MATCH(K913,[3]Sheet1!$B$4:$B$23,1),MATCH(D913,[3]Sheet1!$C$3:$Q$3,1))
+(K913-INDEX([3]Sheet1!$B$4:$B$23,MATCH(K913,[3]Sheet1!$B$4:$B$23,1),1))/(INDEX([3]Sheet1!$B$4:$B$23,MATCH(K913,[3]Sheet1!$B$4:$B$23,1)+1,1)-INDEX([3]Sheet1!$B$4:$B$23,
MATCH(K913,[3]Sheet1!$B$4:$B$23,1),1))*(INDEX([3]Sheet1!$C$4:$Q$23,MATCH(K913,[3]Sheet1!$B$4:$B$23,1)+1,MATCH(D913,[3]Sheet1!$C$3:$Q$3,1))-INDEX([3]Sheet1!$C$4:$Q$23,
MATCH(K913,[3]Sheet1!$B$4:$B$23,1),MATCH(D913,[3]Sheet1!$C$3:$Q$3,1)))
+(D913-INDEX([3]Sheet1!$C$3:$Q$3,1,MATCH(D913,[3]Sheet1!$C$3:$Q$3)))/(INDEX([3]Sheet1!$C$3:$Q$3,1,MATCH(D913,[3]Sheet1!$C$3:$Q$3)+1)-INDEX([3]Sheet1!$C$3:$Q$3,1,MATCH(
D913,[3]Sheet1!$C$3:$Q$3)))*(INDEX([3]Sheet1!$C$4:$Q$23,MATCH(K913,[3]Sheet1!$B$4:$B$23,1),MATCH(D913,[3]Sheet1!$C$3:$Q$3,1)+1)-INDEX([3]Sheet1!$C$4:$Q$23,MATCH(K913,[3]Sheet1!$B$4:$B$23,1),MATCH(D913,[3]Sheet1!$C$3:$Q$3,1))))</f>
        <v>0</v>
      </c>
      <c r="M913" cm="1">
        <f t="array" ref="M913" xml:space="preserve"> IF(E913*J913=0,0,(INDEX([2]Sheet1!$C$4:$Q$23,MATCH(K913,[2]Sheet1!$B$4:$B$23,1),MATCH(D913,[2]Sheet1!$C$3:$Q$3,1))
+ (K913 - INDEX([2]Sheet1!$B$4:$B$23,MATCH(K913,[2]Sheet1!$B$4:$B$23,1),1))/(INDEX([2]Sheet1!$B$4:$B$23,MATCH(K913,[2]Sheet1!$B$4:$B$23,1)+1,1) - INDEX([2]Sheet1!$B$4:$B$23,MATCH(K913,[2]Sheet1!$B$4:$B$23,1),1))*(INDEX([2]Sheet1!$C$4:$Q$23,MATCH(K913,[2]Sheet1!$B$4:$B$23,1)+1,MATCH(D913,[2]Sheet1!$C$3:$Q$3,1)) - INDEX([2]Sheet1!$C$4:$Q$23,MATCH(K913,[2]Sheet1!$B$4:$B$23,1),MATCH(D913,[2]Sheet1!$C$3:$Q$3,1)))
+ (D913 - INDEX([2]Sheet1!$C$3:$Q$3,1,MATCH(D913,[2]Sheet1!$C$3:$Q$3)))/(INDEX([2]Sheet1!$C$3:$Q$3,1,MATCH(D913,[2]Sheet1!$C$3:$Q$3)+1) - INDEX([2]Sheet1!$C$3:$Q$3,1,MATCH(D913,[2]Sheet1!$C$3:$Q$3)))*(
INDEX([2]Sheet1!$C$4:$Q$23,MATCH(K913,[2]Sheet1!$B$4:$B$23,1),MATCH(D913,[2]Sheet1!$C$3:$Q$3,1)+1) - INDEX([2]Sheet1!$C$4:$Q$23,MATCH(K913,[2]Sheet1!$B$4:$B$23,1),MATCH(D913,[2]Sheet1!$C$3:$Q$3,1)))))</f>
        <v>0</v>
      </c>
      <c r="N913">
        <f t="shared" si="270"/>
        <v>12</v>
      </c>
      <c r="O913">
        <v>279.02450568394102</v>
      </c>
      <c r="P913" t="e">
        <f t="shared" si="271"/>
        <v>#DIV/0!</v>
      </c>
      <c r="Q913">
        <f t="shared" si="272"/>
        <v>0</v>
      </c>
      <c r="R913">
        <f t="shared" si="273"/>
        <v>741.9099431943954</v>
      </c>
      <c r="T913" t="e">
        <f t="shared" si="274"/>
        <v>#DIV/0!</v>
      </c>
      <c r="U913" t="e">
        <f t="shared" si="275"/>
        <v>#DIV/0!</v>
      </c>
      <c r="V913">
        <f t="shared" si="276"/>
        <v>0</v>
      </c>
      <c r="W913" t="e">
        <f t="shared" si="277"/>
        <v>#DIV/0!</v>
      </c>
    </row>
    <row r="914" spans="1:23" x14ac:dyDescent="0.55000000000000004">
      <c r="A914">
        <f t="shared" si="261"/>
        <v>87.999999999999275</v>
      </c>
      <c r="B914">
        <f t="shared" si="262"/>
        <v>0.316</v>
      </c>
      <c r="C914">
        <f t="shared" si="263"/>
        <v>-52.391304347825624</v>
      </c>
      <c r="D914">
        <v>280.43984551913201</v>
      </c>
      <c r="E914">
        <f t="shared" si="264"/>
        <v>0</v>
      </c>
      <c r="F914">
        <f t="shared" si="265"/>
        <v>4.8605058816845369E-2</v>
      </c>
      <c r="G914">
        <f t="shared" si="266"/>
        <v>39.513748498891111</v>
      </c>
      <c r="H914">
        <f t="shared" si="267"/>
        <v>0</v>
      </c>
      <c r="I914" s="1">
        <f t="shared" si="260"/>
        <v>0</v>
      </c>
      <c r="J914">
        <f t="shared" si="268"/>
        <v>0</v>
      </c>
      <c r="K914">
        <f t="shared" si="269"/>
        <v>0</v>
      </c>
      <c r="L914" cm="1">
        <f t="array" ref="L914">IF(E914*J914=0,0,$C$21*INDEX([3]Sheet1!$C$4:$Q$23,MATCH(K914,[3]Sheet1!$B$4:$B$23,1),MATCH(D914,[3]Sheet1!$C$3:$Q$3,1))
+(K914-INDEX([3]Sheet1!$B$4:$B$23,MATCH(K914,[3]Sheet1!$B$4:$B$23,1),1))/(INDEX([3]Sheet1!$B$4:$B$23,MATCH(K914,[3]Sheet1!$B$4:$B$23,1)+1,1)-INDEX([3]Sheet1!$B$4:$B$23,
MATCH(K914,[3]Sheet1!$B$4:$B$23,1),1))*(INDEX([3]Sheet1!$C$4:$Q$23,MATCH(K914,[3]Sheet1!$B$4:$B$23,1)+1,MATCH(D914,[3]Sheet1!$C$3:$Q$3,1))-INDEX([3]Sheet1!$C$4:$Q$23,
MATCH(K914,[3]Sheet1!$B$4:$B$23,1),MATCH(D914,[3]Sheet1!$C$3:$Q$3,1)))
+(D914-INDEX([3]Sheet1!$C$3:$Q$3,1,MATCH(D914,[3]Sheet1!$C$3:$Q$3)))/(INDEX([3]Sheet1!$C$3:$Q$3,1,MATCH(D914,[3]Sheet1!$C$3:$Q$3)+1)-INDEX([3]Sheet1!$C$3:$Q$3,1,MATCH(
D914,[3]Sheet1!$C$3:$Q$3)))*(INDEX([3]Sheet1!$C$4:$Q$23,MATCH(K914,[3]Sheet1!$B$4:$B$23,1),MATCH(D914,[3]Sheet1!$C$3:$Q$3,1)+1)-INDEX([3]Sheet1!$C$4:$Q$23,MATCH(K914,[3]Sheet1!$B$4:$B$23,1),MATCH(D914,[3]Sheet1!$C$3:$Q$3,1))))</f>
        <v>0</v>
      </c>
      <c r="M914" cm="1">
        <f t="array" ref="M914" xml:space="preserve"> IF(E914*J914=0,0,(INDEX([2]Sheet1!$C$4:$Q$23,MATCH(K914,[2]Sheet1!$B$4:$B$23,1),MATCH(D914,[2]Sheet1!$C$3:$Q$3,1))
+ (K914 - INDEX([2]Sheet1!$B$4:$B$23,MATCH(K914,[2]Sheet1!$B$4:$B$23,1),1))/(INDEX([2]Sheet1!$B$4:$B$23,MATCH(K914,[2]Sheet1!$B$4:$B$23,1)+1,1) - INDEX([2]Sheet1!$B$4:$B$23,MATCH(K914,[2]Sheet1!$B$4:$B$23,1),1))*(INDEX([2]Sheet1!$C$4:$Q$23,MATCH(K914,[2]Sheet1!$B$4:$B$23,1)+1,MATCH(D914,[2]Sheet1!$C$3:$Q$3,1)) - INDEX([2]Sheet1!$C$4:$Q$23,MATCH(K914,[2]Sheet1!$B$4:$B$23,1),MATCH(D914,[2]Sheet1!$C$3:$Q$3,1)))
+ (D914 - INDEX([2]Sheet1!$C$3:$Q$3,1,MATCH(D914,[2]Sheet1!$C$3:$Q$3)))/(INDEX([2]Sheet1!$C$3:$Q$3,1,MATCH(D914,[2]Sheet1!$C$3:$Q$3)+1) - INDEX([2]Sheet1!$C$3:$Q$3,1,MATCH(D914,[2]Sheet1!$C$3:$Q$3)))*(
INDEX([2]Sheet1!$C$4:$Q$23,MATCH(K914,[2]Sheet1!$B$4:$B$23,1),MATCH(D914,[2]Sheet1!$C$3:$Q$3,1)+1) - INDEX([2]Sheet1!$C$4:$Q$23,MATCH(K914,[2]Sheet1!$B$4:$B$23,1),MATCH(D914,[2]Sheet1!$C$3:$Q$3,1)))))</f>
        <v>0</v>
      </c>
      <c r="N914">
        <f t="shared" si="270"/>
        <v>12</v>
      </c>
      <c r="O914">
        <v>280.02450568394102</v>
      </c>
      <c r="P914" t="e">
        <f t="shared" si="271"/>
        <v>#DIV/0!</v>
      </c>
      <c r="Q914">
        <f t="shared" si="272"/>
        <v>0</v>
      </c>
      <c r="R914">
        <f t="shared" si="273"/>
        <v>741.9099431943954</v>
      </c>
      <c r="T914" t="e">
        <f t="shared" si="274"/>
        <v>#DIV/0!</v>
      </c>
      <c r="U914" t="e">
        <f t="shared" si="275"/>
        <v>#DIV/0!</v>
      </c>
      <c r="V914">
        <f t="shared" si="276"/>
        <v>0</v>
      </c>
      <c r="W914" t="e">
        <f t="shared" si="277"/>
        <v>#DIV/0!</v>
      </c>
    </row>
    <row r="915" spans="1:23" x14ac:dyDescent="0.55000000000000004">
      <c r="A915">
        <f t="shared" si="261"/>
        <v>88.09999999999927</v>
      </c>
      <c r="B915">
        <f t="shared" si="262"/>
        <v>0.316</v>
      </c>
      <c r="C915">
        <f t="shared" si="263"/>
        <v>-52.456521739129961</v>
      </c>
      <c r="D915">
        <v>281.43984551913201</v>
      </c>
      <c r="E915">
        <f t="shared" si="264"/>
        <v>0</v>
      </c>
      <c r="F915">
        <f t="shared" si="265"/>
        <v>4.8605058816845369E-2</v>
      </c>
      <c r="G915">
        <f t="shared" si="266"/>
        <v>39.513748498891111</v>
      </c>
      <c r="H915">
        <f t="shared" si="267"/>
        <v>0</v>
      </c>
      <c r="I915" s="1">
        <f t="shared" si="260"/>
        <v>0</v>
      </c>
      <c r="J915">
        <f t="shared" si="268"/>
        <v>0</v>
      </c>
      <c r="K915">
        <f t="shared" si="269"/>
        <v>0</v>
      </c>
      <c r="L915" cm="1">
        <f t="array" ref="L915">IF(E915*J915=0,0,$C$21*INDEX([3]Sheet1!$C$4:$Q$23,MATCH(K915,[3]Sheet1!$B$4:$B$23,1),MATCH(D915,[3]Sheet1!$C$3:$Q$3,1))
+(K915-INDEX([3]Sheet1!$B$4:$B$23,MATCH(K915,[3]Sheet1!$B$4:$B$23,1),1))/(INDEX([3]Sheet1!$B$4:$B$23,MATCH(K915,[3]Sheet1!$B$4:$B$23,1)+1,1)-INDEX([3]Sheet1!$B$4:$B$23,
MATCH(K915,[3]Sheet1!$B$4:$B$23,1),1))*(INDEX([3]Sheet1!$C$4:$Q$23,MATCH(K915,[3]Sheet1!$B$4:$B$23,1)+1,MATCH(D915,[3]Sheet1!$C$3:$Q$3,1))-INDEX([3]Sheet1!$C$4:$Q$23,
MATCH(K915,[3]Sheet1!$B$4:$B$23,1),MATCH(D915,[3]Sheet1!$C$3:$Q$3,1)))
+(D915-INDEX([3]Sheet1!$C$3:$Q$3,1,MATCH(D915,[3]Sheet1!$C$3:$Q$3)))/(INDEX([3]Sheet1!$C$3:$Q$3,1,MATCH(D915,[3]Sheet1!$C$3:$Q$3)+1)-INDEX([3]Sheet1!$C$3:$Q$3,1,MATCH(
D915,[3]Sheet1!$C$3:$Q$3)))*(INDEX([3]Sheet1!$C$4:$Q$23,MATCH(K915,[3]Sheet1!$B$4:$B$23,1),MATCH(D915,[3]Sheet1!$C$3:$Q$3,1)+1)-INDEX([3]Sheet1!$C$4:$Q$23,MATCH(K915,[3]Sheet1!$B$4:$B$23,1),MATCH(D915,[3]Sheet1!$C$3:$Q$3,1))))</f>
        <v>0</v>
      </c>
      <c r="M915" cm="1">
        <f t="array" ref="M915" xml:space="preserve"> IF(E915*J915=0,0,(INDEX([2]Sheet1!$C$4:$Q$23,MATCH(K915,[2]Sheet1!$B$4:$B$23,1),MATCH(D915,[2]Sheet1!$C$3:$Q$3,1))
+ (K915 - INDEX([2]Sheet1!$B$4:$B$23,MATCH(K915,[2]Sheet1!$B$4:$B$23,1),1))/(INDEX([2]Sheet1!$B$4:$B$23,MATCH(K915,[2]Sheet1!$B$4:$B$23,1)+1,1) - INDEX([2]Sheet1!$B$4:$B$23,MATCH(K915,[2]Sheet1!$B$4:$B$23,1),1))*(INDEX([2]Sheet1!$C$4:$Q$23,MATCH(K915,[2]Sheet1!$B$4:$B$23,1)+1,MATCH(D915,[2]Sheet1!$C$3:$Q$3,1)) - INDEX([2]Sheet1!$C$4:$Q$23,MATCH(K915,[2]Sheet1!$B$4:$B$23,1),MATCH(D915,[2]Sheet1!$C$3:$Q$3,1)))
+ (D915 - INDEX([2]Sheet1!$C$3:$Q$3,1,MATCH(D915,[2]Sheet1!$C$3:$Q$3)))/(INDEX([2]Sheet1!$C$3:$Q$3,1,MATCH(D915,[2]Sheet1!$C$3:$Q$3)+1) - INDEX([2]Sheet1!$C$3:$Q$3,1,MATCH(D915,[2]Sheet1!$C$3:$Q$3)))*(
INDEX([2]Sheet1!$C$4:$Q$23,MATCH(K915,[2]Sheet1!$B$4:$B$23,1),MATCH(D915,[2]Sheet1!$C$3:$Q$3,1)+1) - INDEX([2]Sheet1!$C$4:$Q$23,MATCH(K915,[2]Sheet1!$B$4:$B$23,1),MATCH(D915,[2]Sheet1!$C$3:$Q$3,1)))))</f>
        <v>0</v>
      </c>
      <c r="N915">
        <f t="shared" si="270"/>
        <v>12</v>
      </c>
      <c r="O915">
        <v>281.02450568394102</v>
      </c>
      <c r="P915" t="e">
        <f t="shared" si="271"/>
        <v>#DIV/0!</v>
      </c>
      <c r="Q915">
        <f t="shared" si="272"/>
        <v>0</v>
      </c>
      <c r="R915">
        <f t="shared" si="273"/>
        <v>741.9099431943954</v>
      </c>
      <c r="T915" t="e">
        <f t="shared" si="274"/>
        <v>#DIV/0!</v>
      </c>
      <c r="U915" t="e">
        <f t="shared" si="275"/>
        <v>#DIV/0!</v>
      </c>
      <c r="V915">
        <f t="shared" si="276"/>
        <v>0</v>
      </c>
      <c r="W915" t="e">
        <f t="shared" si="277"/>
        <v>#DIV/0!</v>
      </c>
    </row>
    <row r="916" spans="1:23" x14ac:dyDescent="0.55000000000000004">
      <c r="A916">
        <f t="shared" si="261"/>
        <v>88.199999999999264</v>
      </c>
      <c r="B916">
        <f t="shared" si="262"/>
        <v>0.316</v>
      </c>
      <c r="C916">
        <f t="shared" si="263"/>
        <v>-52.521739130434312</v>
      </c>
      <c r="D916">
        <v>282.43984551913201</v>
      </c>
      <c r="E916">
        <f t="shared" si="264"/>
        <v>0</v>
      </c>
      <c r="F916">
        <f t="shared" si="265"/>
        <v>4.8605058816845369E-2</v>
      </c>
      <c r="G916">
        <f t="shared" si="266"/>
        <v>39.513748498891111</v>
      </c>
      <c r="H916">
        <f t="shared" si="267"/>
        <v>0</v>
      </c>
      <c r="I916" s="1">
        <f t="shared" si="260"/>
        <v>0</v>
      </c>
      <c r="J916">
        <f t="shared" si="268"/>
        <v>0</v>
      </c>
      <c r="K916">
        <f t="shared" si="269"/>
        <v>0</v>
      </c>
      <c r="L916" cm="1">
        <f t="array" ref="L916">IF(E916*J916=0,0,$C$21*INDEX([3]Sheet1!$C$4:$Q$23,MATCH(K916,[3]Sheet1!$B$4:$B$23,1),MATCH(D916,[3]Sheet1!$C$3:$Q$3,1))
+(K916-INDEX([3]Sheet1!$B$4:$B$23,MATCH(K916,[3]Sheet1!$B$4:$B$23,1),1))/(INDEX([3]Sheet1!$B$4:$B$23,MATCH(K916,[3]Sheet1!$B$4:$B$23,1)+1,1)-INDEX([3]Sheet1!$B$4:$B$23,
MATCH(K916,[3]Sheet1!$B$4:$B$23,1),1))*(INDEX([3]Sheet1!$C$4:$Q$23,MATCH(K916,[3]Sheet1!$B$4:$B$23,1)+1,MATCH(D916,[3]Sheet1!$C$3:$Q$3,1))-INDEX([3]Sheet1!$C$4:$Q$23,
MATCH(K916,[3]Sheet1!$B$4:$B$23,1),MATCH(D916,[3]Sheet1!$C$3:$Q$3,1)))
+(D916-INDEX([3]Sheet1!$C$3:$Q$3,1,MATCH(D916,[3]Sheet1!$C$3:$Q$3)))/(INDEX([3]Sheet1!$C$3:$Q$3,1,MATCH(D916,[3]Sheet1!$C$3:$Q$3)+1)-INDEX([3]Sheet1!$C$3:$Q$3,1,MATCH(
D916,[3]Sheet1!$C$3:$Q$3)))*(INDEX([3]Sheet1!$C$4:$Q$23,MATCH(K916,[3]Sheet1!$B$4:$B$23,1),MATCH(D916,[3]Sheet1!$C$3:$Q$3,1)+1)-INDEX([3]Sheet1!$C$4:$Q$23,MATCH(K916,[3]Sheet1!$B$4:$B$23,1),MATCH(D916,[3]Sheet1!$C$3:$Q$3,1))))</f>
        <v>0</v>
      </c>
      <c r="M916" cm="1">
        <f t="array" ref="M916" xml:space="preserve"> IF(E916*J916=0,0,(INDEX([2]Sheet1!$C$4:$Q$23,MATCH(K916,[2]Sheet1!$B$4:$B$23,1),MATCH(D916,[2]Sheet1!$C$3:$Q$3,1))
+ (K916 - INDEX([2]Sheet1!$B$4:$B$23,MATCH(K916,[2]Sheet1!$B$4:$B$23,1),1))/(INDEX([2]Sheet1!$B$4:$B$23,MATCH(K916,[2]Sheet1!$B$4:$B$23,1)+1,1) - INDEX([2]Sheet1!$B$4:$B$23,MATCH(K916,[2]Sheet1!$B$4:$B$23,1),1))*(INDEX([2]Sheet1!$C$4:$Q$23,MATCH(K916,[2]Sheet1!$B$4:$B$23,1)+1,MATCH(D916,[2]Sheet1!$C$3:$Q$3,1)) - INDEX([2]Sheet1!$C$4:$Q$23,MATCH(K916,[2]Sheet1!$B$4:$B$23,1),MATCH(D916,[2]Sheet1!$C$3:$Q$3,1)))
+ (D916 - INDEX([2]Sheet1!$C$3:$Q$3,1,MATCH(D916,[2]Sheet1!$C$3:$Q$3)))/(INDEX([2]Sheet1!$C$3:$Q$3,1,MATCH(D916,[2]Sheet1!$C$3:$Q$3)+1) - INDEX([2]Sheet1!$C$3:$Q$3,1,MATCH(D916,[2]Sheet1!$C$3:$Q$3)))*(
INDEX([2]Sheet1!$C$4:$Q$23,MATCH(K916,[2]Sheet1!$B$4:$B$23,1),MATCH(D916,[2]Sheet1!$C$3:$Q$3,1)+1) - INDEX([2]Sheet1!$C$4:$Q$23,MATCH(K916,[2]Sheet1!$B$4:$B$23,1),MATCH(D916,[2]Sheet1!$C$3:$Q$3,1)))))</f>
        <v>0</v>
      </c>
      <c r="N916">
        <f t="shared" si="270"/>
        <v>12</v>
      </c>
      <c r="O916">
        <v>282.02450568394102</v>
      </c>
      <c r="P916" t="e">
        <f t="shared" si="271"/>
        <v>#DIV/0!</v>
      </c>
      <c r="Q916">
        <f t="shared" si="272"/>
        <v>0</v>
      </c>
      <c r="R916">
        <f t="shared" si="273"/>
        <v>741.9099431943954</v>
      </c>
      <c r="T916" t="e">
        <f t="shared" si="274"/>
        <v>#DIV/0!</v>
      </c>
      <c r="U916" t="e">
        <f t="shared" si="275"/>
        <v>#DIV/0!</v>
      </c>
      <c r="V916">
        <f t="shared" si="276"/>
        <v>0</v>
      </c>
      <c r="W916" t="e">
        <f t="shared" si="277"/>
        <v>#DIV/0!</v>
      </c>
    </row>
    <row r="917" spans="1:23" x14ac:dyDescent="0.55000000000000004">
      <c r="A917">
        <f t="shared" si="261"/>
        <v>88.299999999999258</v>
      </c>
      <c r="B917">
        <f t="shared" si="262"/>
        <v>0.316</v>
      </c>
      <c r="C917">
        <f t="shared" si="263"/>
        <v>-52.586956521738649</v>
      </c>
      <c r="D917">
        <v>283.43984551913201</v>
      </c>
      <c r="E917">
        <f t="shared" si="264"/>
        <v>0</v>
      </c>
      <c r="F917">
        <f t="shared" si="265"/>
        <v>4.8605058816845369E-2</v>
      </c>
      <c r="G917">
        <f t="shared" si="266"/>
        <v>39.513748498891111</v>
      </c>
      <c r="H917">
        <f t="shared" si="267"/>
        <v>0</v>
      </c>
      <c r="I917" s="1">
        <f t="shared" si="260"/>
        <v>0</v>
      </c>
      <c r="J917">
        <f t="shared" si="268"/>
        <v>0</v>
      </c>
      <c r="K917">
        <f t="shared" si="269"/>
        <v>0</v>
      </c>
      <c r="L917" cm="1">
        <f t="array" ref="L917">IF(E917*J917=0,0,$C$21*INDEX([3]Sheet1!$C$4:$Q$23,MATCH(K917,[3]Sheet1!$B$4:$B$23,1),MATCH(D917,[3]Sheet1!$C$3:$Q$3,1))
+(K917-INDEX([3]Sheet1!$B$4:$B$23,MATCH(K917,[3]Sheet1!$B$4:$B$23,1),1))/(INDEX([3]Sheet1!$B$4:$B$23,MATCH(K917,[3]Sheet1!$B$4:$B$23,1)+1,1)-INDEX([3]Sheet1!$B$4:$B$23,
MATCH(K917,[3]Sheet1!$B$4:$B$23,1),1))*(INDEX([3]Sheet1!$C$4:$Q$23,MATCH(K917,[3]Sheet1!$B$4:$B$23,1)+1,MATCH(D917,[3]Sheet1!$C$3:$Q$3,1))-INDEX([3]Sheet1!$C$4:$Q$23,
MATCH(K917,[3]Sheet1!$B$4:$B$23,1),MATCH(D917,[3]Sheet1!$C$3:$Q$3,1)))
+(D917-INDEX([3]Sheet1!$C$3:$Q$3,1,MATCH(D917,[3]Sheet1!$C$3:$Q$3)))/(INDEX([3]Sheet1!$C$3:$Q$3,1,MATCH(D917,[3]Sheet1!$C$3:$Q$3)+1)-INDEX([3]Sheet1!$C$3:$Q$3,1,MATCH(
D917,[3]Sheet1!$C$3:$Q$3)))*(INDEX([3]Sheet1!$C$4:$Q$23,MATCH(K917,[3]Sheet1!$B$4:$B$23,1),MATCH(D917,[3]Sheet1!$C$3:$Q$3,1)+1)-INDEX([3]Sheet1!$C$4:$Q$23,MATCH(K917,[3]Sheet1!$B$4:$B$23,1),MATCH(D917,[3]Sheet1!$C$3:$Q$3,1))))</f>
        <v>0</v>
      </c>
      <c r="M917" cm="1">
        <f t="array" ref="M917" xml:space="preserve"> IF(E917*J917=0,0,(INDEX([2]Sheet1!$C$4:$Q$23,MATCH(K917,[2]Sheet1!$B$4:$B$23,1),MATCH(D917,[2]Sheet1!$C$3:$Q$3,1))
+ (K917 - INDEX([2]Sheet1!$B$4:$B$23,MATCH(K917,[2]Sheet1!$B$4:$B$23,1),1))/(INDEX([2]Sheet1!$B$4:$B$23,MATCH(K917,[2]Sheet1!$B$4:$B$23,1)+1,1) - INDEX([2]Sheet1!$B$4:$B$23,MATCH(K917,[2]Sheet1!$B$4:$B$23,1),1))*(INDEX([2]Sheet1!$C$4:$Q$23,MATCH(K917,[2]Sheet1!$B$4:$B$23,1)+1,MATCH(D917,[2]Sheet1!$C$3:$Q$3,1)) - INDEX([2]Sheet1!$C$4:$Q$23,MATCH(K917,[2]Sheet1!$B$4:$B$23,1),MATCH(D917,[2]Sheet1!$C$3:$Q$3,1)))
+ (D917 - INDEX([2]Sheet1!$C$3:$Q$3,1,MATCH(D917,[2]Sheet1!$C$3:$Q$3)))/(INDEX([2]Sheet1!$C$3:$Q$3,1,MATCH(D917,[2]Sheet1!$C$3:$Q$3)+1) - INDEX([2]Sheet1!$C$3:$Q$3,1,MATCH(D917,[2]Sheet1!$C$3:$Q$3)))*(
INDEX([2]Sheet1!$C$4:$Q$23,MATCH(K917,[2]Sheet1!$B$4:$B$23,1),MATCH(D917,[2]Sheet1!$C$3:$Q$3,1)+1) - INDEX([2]Sheet1!$C$4:$Q$23,MATCH(K917,[2]Sheet1!$B$4:$B$23,1),MATCH(D917,[2]Sheet1!$C$3:$Q$3,1)))))</f>
        <v>0</v>
      </c>
      <c r="N917">
        <f t="shared" si="270"/>
        <v>12</v>
      </c>
      <c r="O917">
        <v>283.02450568394102</v>
      </c>
      <c r="P917" t="e">
        <f t="shared" si="271"/>
        <v>#DIV/0!</v>
      </c>
      <c r="Q917">
        <f t="shared" si="272"/>
        <v>0</v>
      </c>
      <c r="R917">
        <f t="shared" si="273"/>
        <v>741.9099431943954</v>
      </c>
      <c r="T917" t="e">
        <f t="shared" si="274"/>
        <v>#DIV/0!</v>
      </c>
      <c r="U917" t="e">
        <f t="shared" si="275"/>
        <v>#DIV/0!</v>
      </c>
      <c r="V917">
        <f t="shared" si="276"/>
        <v>0</v>
      </c>
      <c r="W917" t="e">
        <f t="shared" si="277"/>
        <v>#DIV/0!</v>
      </c>
    </row>
    <row r="918" spans="1:23" x14ac:dyDescent="0.55000000000000004">
      <c r="A918">
        <f t="shared" si="261"/>
        <v>88.399999999999253</v>
      </c>
      <c r="B918">
        <f t="shared" si="262"/>
        <v>0.316</v>
      </c>
      <c r="C918">
        <f t="shared" si="263"/>
        <v>-52.652173913043001</v>
      </c>
      <c r="D918">
        <v>284.43984551913201</v>
      </c>
      <c r="E918">
        <f t="shared" si="264"/>
        <v>0</v>
      </c>
      <c r="F918">
        <f t="shared" si="265"/>
        <v>4.8605058816845369E-2</v>
      </c>
      <c r="G918">
        <f t="shared" si="266"/>
        <v>39.513748498891111</v>
      </c>
      <c r="H918">
        <f t="shared" si="267"/>
        <v>0</v>
      </c>
      <c r="I918" s="1">
        <f t="shared" si="260"/>
        <v>0</v>
      </c>
      <c r="J918">
        <f t="shared" si="268"/>
        <v>0</v>
      </c>
      <c r="K918">
        <f t="shared" si="269"/>
        <v>0</v>
      </c>
      <c r="L918" cm="1">
        <f t="array" ref="L918">IF(E918*J918=0,0,$C$21*INDEX([3]Sheet1!$C$4:$Q$23,MATCH(K918,[3]Sheet1!$B$4:$B$23,1),MATCH(D918,[3]Sheet1!$C$3:$Q$3,1))
+(K918-INDEX([3]Sheet1!$B$4:$B$23,MATCH(K918,[3]Sheet1!$B$4:$B$23,1),1))/(INDEX([3]Sheet1!$B$4:$B$23,MATCH(K918,[3]Sheet1!$B$4:$B$23,1)+1,1)-INDEX([3]Sheet1!$B$4:$B$23,
MATCH(K918,[3]Sheet1!$B$4:$B$23,1),1))*(INDEX([3]Sheet1!$C$4:$Q$23,MATCH(K918,[3]Sheet1!$B$4:$B$23,1)+1,MATCH(D918,[3]Sheet1!$C$3:$Q$3,1))-INDEX([3]Sheet1!$C$4:$Q$23,
MATCH(K918,[3]Sheet1!$B$4:$B$23,1),MATCH(D918,[3]Sheet1!$C$3:$Q$3,1)))
+(D918-INDEX([3]Sheet1!$C$3:$Q$3,1,MATCH(D918,[3]Sheet1!$C$3:$Q$3)))/(INDEX([3]Sheet1!$C$3:$Q$3,1,MATCH(D918,[3]Sheet1!$C$3:$Q$3)+1)-INDEX([3]Sheet1!$C$3:$Q$3,1,MATCH(
D918,[3]Sheet1!$C$3:$Q$3)))*(INDEX([3]Sheet1!$C$4:$Q$23,MATCH(K918,[3]Sheet1!$B$4:$B$23,1),MATCH(D918,[3]Sheet1!$C$3:$Q$3,1)+1)-INDEX([3]Sheet1!$C$4:$Q$23,MATCH(K918,[3]Sheet1!$B$4:$B$23,1),MATCH(D918,[3]Sheet1!$C$3:$Q$3,1))))</f>
        <v>0</v>
      </c>
      <c r="M918" cm="1">
        <f t="array" ref="M918" xml:space="preserve"> IF(E918*J918=0,0,(INDEX([2]Sheet1!$C$4:$Q$23,MATCH(K918,[2]Sheet1!$B$4:$B$23,1),MATCH(D918,[2]Sheet1!$C$3:$Q$3,1))
+ (K918 - INDEX([2]Sheet1!$B$4:$B$23,MATCH(K918,[2]Sheet1!$B$4:$B$23,1),1))/(INDEX([2]Sheet1!$B$4:$B$23,MATCH(K918,[2]Sheet1!$B$4:$B$23,1)+1,1) - INDEX([2]Sheet1!$B$4:$B$23,MATCH(K918,[2]Sheet1!$B$4:$B$23,1),1))*(INDEX([2]Sheet1!$C$4:$Q$23,MATCH(K918,[2]Sheet1!$B$4:$B$23,1)+1,MATCH(D918,[2]Sheet1!$C$3:$Q$3,1)) - INDEX([2]Sheet1!$C$4:$Q$23,MATCH(K918,[2]Sheet1!$B$4:$B$23,1),MATCH(D918,[2]Sheet1!$C$3:$Q$3,1)))
+ (D918 - INDEX([2]Sheet1!$C$3:$Q$3,1,MATCH(D918,[2]Sheet1!$C$3:$Q$3)))/(INDEX([2]Sheet1!$C$3:$Q$3,1,MATCH(D918,[2]Sheet1!$C$3:$Q$3)+1) - INDEX([2]Sheet1!$C$3:$Q$3,1,MATCH(D918,[2]Sheet1!$C$3:$Q$3)))*(
INDEX([2]Sheet1!$C$4:$Q$23,MATCH(K918,[2]Sheet1!$B$4:$B$23,1),MATCH(D918,[2]Sheet1!$C$3:$Q$3,1)+1) - INDEX([2]Sheet1!$C$4:$Q$23,MATCH(K918,[2]Sheet1!$B$4:$B$23,1),MATCH(D918,[2]Sheet1!$C$3:$Q$3,1)))))</f>
        <v>0</v>
      </c>
      <c r="N918">
        <f t="shared" si="270"/>
        <v>12</v>
      </c>
      <c r="O918">
        <v>284.02450568394102</v>
      </c>
      <c r="P918" t="e">
        <f t="shared" si="271"/>
        <v>#DIV/0!</v>
      </c>
      <c r="Q918">
        <f t="shared" si="272"/>
        <v>0</v>
      </c>
      <c r="R918">
        <f t="shared" si="273"/>
        <v>741.9099431943954</v>
      </c>
      <c r="T918" t="e">
        <f t="shared" si="274"/>
        <v>#DIV/0!</v>
      </c>
      <c r="U918" t="e">
        <f t="shared" si="275"/>
        <v>#DIV/0!</v>
      </c>
      <c r="V918">
        <f t="shared" si="276"/>
        <v>0</v>
      </c>
      <c r="W918" t="e">
        <f t="shared" si="277"/>
        <v>#DIV/0!</v>
      </c>
    </row>
    <row r="919" spans="1:23" x14ac:dyDescent="0.55000000000000004">
      <c r="A919">
        <f t="shared" si="261"/>
        <v>88.499999999999247</v>
      </c>
      <c r="B919">
        <f t="shared" si="262"/>
        <v>0.316</v>
      </c>
      <c r="C919">
        <f t="shared" si="263"/>
        <v>-52.717391304347338</v>
      </c>
      <c r="D919">
        <v>285.43984551913201</v>
      </c>
      <c r="E919">
        <f t="shared" si="264"/>
        <v>0</v>
      </c>
      <c r="F919">
        <f t="shared" si="265"/>
        <v>4.8605058816845369E-2</v>
      </c>
      <c r="G919">
        <f t="shared" si="266"/>
        <v>39.513748498891111</v>
      </c>
      <c r="H919">
        <f t="shared" si="267"/>
        <v>0</v>
      </c>
      <c r="I919" s="1">
        <f t="shared" si="260"/>
        <v>0</v>
      </c>
      <c r="J919">
        <f t="shared" si="268"/>
        <v>0</v>
      </c>
      <c r="K919">
        <f t="shared" si="269"/>
        <v>0</v>
      </c>
      <c r="L919" cm="1">
        <f t="array" ref="L919">IF(E919*J919=0,0,$C$21*INDEX([3]Sheet1!$C$4:$Q$23,MATCH(K919,[3]Sheet1!$B$4:$B$23,1),MATCH(D919,[3]Sheet1!$C$3:$Q$3,1))
+(K919-INDEX([3]Sheet1!$B$4:$B$23,MATCH(K919,[3]Sheet1!$B$4:$B$23,1),1))/(INDEX([3]Sheet1!$B$4:$B$23,MATCH(K919,[3]Sheet1!$B$4:$B$23,1)+1,1)-INDEX([3]Sheet1!$B$4:$B$23,
MATCH(K919,[3]Sheet1!$B$4:$B$23,1),1))*(INDEX([3]Sheet1!$C$4:$Q$23,MATCH(K919,[3]Sheet1!$B$4:$B$23,1)+1,MATCH(D919,[3]Sheet1!$C$3:$Q$3,1))-INDEX([3]Sheet1!$C$4:$Q$23,
MATCH(K919,[3]Sheet1!$B$4:$B$23,1),MATCH(D919,[3]Sheet1!$C$3:$Q$3,1)))
+(D919-INDEX([3]Sheet1!$C$3:$Q$3,1,MATCH(D919,[3]Sheet1!$C$3:$Q$3)))/(INDEX([3]Sheet1!$C$3:$Q$3,1,MATCH(D919,[3]Sheet1!$C$3:$Q$3)+1)-INDEX([3]Sheet1!$C$3:$Q$3,1,MATCH(
D919,[3]Sheet1!$C$3:$Q$3)))*(INDEX([3]Sheet1!$C$4:$Q$23,MATCH(K919,[3]Sheet1!$B$4:$B$23,1),MATCH(D919,[3]Sheet1!$C$3:$Q$3,1)+1)-INDEX([3]Sheet1!$C$4:$Q$23,MATCH(K919,[3]Sheet1!$B$4:$B$23,1),MATCH(D919,[3]Sheet1!$C$3:$Q$3,1))))</f>
        <v>0</v>
      </c>
      <c r="M919" cm="1">
        <f t="array" ref="M919" xml:space="preserve"> IF(E919*J919=0,0,(INDEX([2]Sheet1!$C$4:$Q$23,MATCH(K919,[2]Sheet1!$B$4:$B$23,1),MATCH(D919,[2]Sheet1!$C$3:$Q$3,1))
+ (K919 - INDEX([2]Sheet1!$B$4:$B$23,MATCH(K919,[2]Sheet1!$B$4:$B$23,1),1))/(INDEX([2]Sheet1!$B$4:$B$23,MATCH(K919,[2]Sheet1!$B$4:$B$23,1)+1,1) - INDEX([2]Sheet1!$B$4:$B$23,MATCH(K919,[2]Sheet1!$B$4:$B$23,1),1))*(INDEX([2]Sheet1!$C$4:$Q$23,MATCH(K919,[2]Sheet1!$B$4:$B$23,1)+1,MATCH(D919,[2]Sheet1!$C$3:$Q$3,1)) - INDEX([2]Sheet1!$C$4:$Q$23,MATCH(K919,[2]Sheet1!$B$4:$B$23,1),MATCH(D919,[2]Sheet1!$C$3:$Q$3,1)))
+ (D919 - INDEX([2]Sheet1!$C$3:$Q$3,1,MATCH(D919,[2]Sheet1!$C$3:$Q$3)))/(INDEX([2]Sheet1!$C$3:$Q$3,1,MATCH(D919,[2]Sheet1!$C$3:$Q$3)+1) - INDEX([2]Sheet1!$C$3:$Q$3,1,MATCH(D919,[2]Sheet1!$C$3:$Q$3)))*(
INDEX([2]Sheet1!$C$4:$Q$23,MATCH(K919,[2]Sheet1!$B$4:$B$23,1),MATCH(D919,[2]Sheet1!$C$3:$Q$3,1)+1) - INDEX([2]Sheet1!$C$4:$Q$23,MATCH(K919,[2]Sheet1!$B$4:$B$23,1),MATCH(D919,[2]Sheet1!$C$3:$Q$3,1)))))</f>
        <v>0</v>
      </c>
      <c r="N919">
        <f t="shared" si="270"/>
        <v>12</v>
      </c>
      <c r="O919">
        <v>285.02450568394102</v>
      </c>
      <c r="P919" t="e">
        <f t="shared" si="271"/>
        <v>#DIV/0!</v>
      </c>
      <c r="Q919">
        <f t="shared" si="272"/>
        <v>0</v>
      </c>
      <c r="R919">
        <f t="shared" si="273"/>
        <v>741.9099431943954</v>
      </c>
      <c r="T919" t="e">
        <f t="shared" si="274"/>
        <v>#DIV/0!</v>
      </c>
      <c r="U919" t="e">
        <f t="shared" si="275"/>
        <v>#DIV/0!</v>
      </c>
      <c r="V919">
        <f t="shared" si="276"/>
        <v>0</v>
      </c>
      <c r="W919" t="e">
        <f t="shared" si="277"/>
        <v>#DIV/0!</v>
      </c>
    </row>
    <row r="920" spans="1:23" x14ac:dyDescent="0.55000000000000004">
      <c r="A920">
        <f t="shared" si="261"/>
        <v>88.599999999999241</v>
      </c>
      <c r="B920">
        <f t="shared" si="262"/>
        <v>0.316</v>
      </c>
      <c r="C920">
        <f t="shared" si="263"/>
        <v>-52.782608695651689</v>
      </c>
      <c r="D920">
        <v>286.43984551913201</v>
      </c>
      <c r="E920">
        <f t="shared" si="264"/>
        <v>0</v>
      </c>
      <c r="F920">
        <f t="shared" si="265"/>
        <v>4.8605058816845369E-2</v>
      </c>
      <c r="G920">
        <f t="shared" si="266"/>
        <v>39.513748498891111</v>
      </c>
      <c r="H920">
        <f t="shared" si="267"/>
        <v>0</v>
      </c>
      <c r="I920" s="1">
        <f t="shared" si="260"/>
        <v>0</v>
      </c>
      <c r="J920">
        <f t="shared" si="268"/>
        <v>0</v>
      </c>
      <c r="K920">
        <f t="shared" si="269"/>
        <v>0</v>
      </c>
      <c r="L920" cm="1">
        <f t="array" ref="L920">IF(E920*J920=0,0,$C$21*INDEX([3]Sheet1!$C$4:$Q$23,MATCH(K920,[3]Sheet1!$B$4:$B$23,1),MATCH(D920,[3]Sheet1!$C$3:$Q$3,1))
+(K920-INDEX([3]Sheet1!$B$4:$B$23,MATCH(K920,[3]Sheet1!$B$4:$B$23,1),1))/(INDEX([3]Sheet1!$B$4:$B$23,MATCH(K920,[3]Sheet1!$B$4:$B$23,1)+1,1)-INDEX([3]Sheet1!$B$4:$B$23,
MATCH(K920,[3]Sheet1!$B$4:$B$23,1),1))*(INDEX([3]Sheet1!$C$4:$Q$23,MATCH(K920,[3]Sheet1!$B$4:$B$23,1)+1,MATCH(D920,[3]Sheet1!$C$3:$Q$3,1))-INDEX([3]Sheet1!$C$4:$Q$23,
MATCH(K920,[3]Sheet1!$B$4:$B$23,1),MATCH(D920,[3]Sheet1!$C$3:$Q$3,1)))
+(D920-INDEX([3]Sheet1!$C$3:$Q$3,1,MATCH(D920,[3]Sheet1!$C$3:$Q$3)))/(INDEX([3]Sheet1!$C$3:$Q$3,1,MATCH(D920,[3]Sheet1!$C$3:$Q$3)+1)-INDEX([3]Sheet1!$C$3:$Q$3,1,MATCH(
D920,[3]Sheet1!$C$3:$Q$3)))*(INDEX([3]Sheet1!$C$4:$Q$23,MATCH(K920,[3]Sheet1!$B$4:$B$23,1),MATCH(D920,[3]Sheet1!$C$3:$Q$3,1)+1)-INDEX([3]Sheet1!$C$4:$Q$23,MATCH(K920,[3]Sheet1!$B$4:$B$23,1),MATCH(D920,[3]Sheet1!$C$3:$Q$3,1))))</f>
        <v>0</v>
      </c>
      <c r="M920" cm="1">
        <f t="array" ref="M920" xml:space="preserve"> IF(E920*J920=0,0,(INDEX([2]Sheet1!$C$4:$Q$23,MATCH(K920,[2]Sheet1!$B$4:$B$23,1),MATCH(D920,[2]Sheet1!$C$3:$Q$3,1))
+ (K920 - INDEX([2]Sheet1!$B$4:$B$23,MATCH(K920,[2]Sheet1!$B$4:$B$23,1),1))/(INDEX([2]Sheet1!$B$4:$B$23,MATCH(K920,[2]Sheet1!$B$4:$B$23,1)+1,1) - INDEX([2]Sheet1!$B$4:$B$23,MATCH(K920,[2]Sheet1!$B$4:$B$23,1),1))*(INDEX([2]Sheet1!$C$4:$Q$23,MATCH(K920,[2]Sheet1!$B$4:$B$23,1)+1,MATCH(D920,[2]Sheet1!$C$3:$Q$3,1)) - INDEX([2]Sheet1!$C$4:$Q$23,MATCH(K920,[2]Sheet1!$B$4:$B$23,1),MATCH(D920,[2]Sheet1!$C$3:$Q$3,1)))
+ (D920 - INDEX([2]Sheet1!$C$3:$Q$3,1,MATCH(D920,[2]Sheet1!$C$3:$Q$3)))/(INDEX([2]Sheet1!$C$3:$Q$3,1,MATCH(D920,[2]Sheet1!$C$3:$Q$3)+1) - INDEX([2]Sheet1!$C$3:$Q$3,1,MATCH(D920,[2]Sheet1!$C$3:$Q$3)))*(
INDEX([2]Sheet1!$C$4:$Q$23,MATCH(K920,[2]Sheet1!$B$4:$B$23,1),MATCH(D920,[2]Sheet1!$C$3:$Q$3,1)+1) - INDEX([2]Sheet1!$C$4:$Q$23,MATCH(K920,[2]Sheet1!$B$4:$B$23,1),MATCH(D920,[2]Sheet1!$C$3:$Q$3,1)))))</f>
        <v>0</v>
      </c>
      <c r="N920">
        <f t="shared" si="270"/>
        <v>12</v>
      </c>
      <c r="O920">
        <v>286.02450568394102</v>
      </c>
      <c r="P920" t="e">
        <f t="shared" si="271"/>
        <v>#DIV/0!</v>
      </c>
      <c r="Q920">
        <f t="shared" si="272"/>
        <v>0</v>
      </c>
      <c r="R920">
        <f t="shared" si="273"/>
        <v>741.9099431943954</v>
      </c>
      <c r="T920" t="e">
        <f t="shared" si="274"/>
        <v>#DIV/0!</v>
      </c>
      <c r="U920" t="e">
        <f t="shared" si="275"/>
        <v>#DIV/0!</v>
      </c>
      <c r="V920">
        <f t="shared" si="276"/>
        <v>0</v>
      </c>
      <c r="W920" t="e">
        <f t="shared" si="277"/>
        <v>#DIV/0!</v>
      </c>
    </row>
    <row r="921" spans="1:23" x14ac:dyDescent="0.55000000000000004">
      <c r="A921">
        <f t="shared" si="261"/>
        <v>88.699999999999235</v>
      </c>
      <c r="B921">
        <f t="shared" si="262"/>
        <v>0.316</v>
      </c>
      <c r="C921">
        <f t="shared" si="263"/>
        <v>-52.847826086956026</v>
      </c>
      <c r="D921">
        <v>287.43984551913201</v>
      </c>
      <c r="E921">
        <f t="shared" si="264"/>
        <v>0</v>
      </c>
      <c r="F921">
        <f t="shared" si="265"/>
        <v>4.8605058816845369E-2</v>
      </c>
      <c r="G921">
        <f t="shared" si="266"/>
        <v>39.513748498891111</v>
      </c>
      <c r="H921">
        <f t="shared" si="267"/>
        <v>0</v>
      </c>
      <c r="I921" s="1">
        <f t="shared" si="260"/>
        <v>0</v>
      </c>
      <c r="J921">
        <f t="shared" si="268"/>
        <v>0</v>
      </c>
      <c r="K921">
        <f t="shared" si="269"/>
        <v>0</v>
      </c>
      <c r="L921" cm="1">
        <f t="array" ref="L921">IF(E921*J921=0,0,$C$21*INDEX([3]Sheet1!$C$4:$Q$23,MATCH(K921,[3]Sheet1!$B$4:$B$23,1),MATCH(D921,[3]Sheet1!$C$3:$Q$3,1))
+(K921-INDEX([3]Sheet1!$B$4:$B$23,MATCH(K921,[3]Sheet1!$B$4:$B$23,1),1))/(INDEX([3]Sheet1!$B$4:$B$23,MATCH(K921,[3]Sheet1!$B$4:$B$23,1)+1,1)-INDEX([3]Sheet1!$B$4:$B$23,
MATCH(K921,[3]Sheet1!$B$4:$B$23,1),1))*(INDEX([3]Sheet1!$C$4:$Q$23,MATCH(K921,[3]Sheet1!$B$4:$B$23,1)+1,MATCH(D921,[3]Sheet1!$C$3:$Q$3,1))-INDEX([3]Sheet1!$C$4:$Q$23,
MATCH(K921,[3]Sheet1!$B$4:$B$23,1),MATCH(D921,[3]Sheet1!$C$3:$Q$3,1)))
+(D921-INDEX([3]Sheet1!$C$3:$Q$3,1,MATCH(D921,[3]Sheet1!$C$3:$Q$3)))/(INDEX([3]Sheet1!$C$3:$Q$3,1,MATCH(D921,[3]Sheet1!$C$3:$Q$3)+1)-INDEX([3]Sheet1!$C$3:$Q$3,1,MATCH(
D921,[3]Sheet1!$C$3:$Q$3)))*(INDEX([3]Sheet1!$C$4:$Q$23,MATCH(K921,[3]Sheet1!$B$4:$B$23,1),MATCH(D921,[3]Sheet1!$C$3:$Q$3,1)+1)-INDEX([3]Sheet1!$C$4:$Q$23,MATCH(K921,[3]Sheet1!$B$4:$B$23,1),MATCH(D921,[3]Sheet1!$C$3:$Q$3,1))))</f>
        <v>0</v>
      </c>
      <c r="M921" cm="1">
        <f t="array" ref="M921" xml:space="preserve"> IF(E921*J921=0,0,(INDEX([2]Sheet1!$C$4:$Q$23,MATCH(K921,[2]Sheet1!$B$4:$B$23,1),MATCH(D921,[2]Sheet1!$C$3:$Q$3,1))
+ (K921 - INDEX([2]Sheet1!$B$4:$B$23,MATCH(K921,[2]Sheet1!$B$4:$B$23,1),1))/(INDEX([2]Sheet1!$B$4:$B$23,MATCH(K921,[2]Sheet1!$B$4:$B$23,1)+1,1) - INDEX([2]Sheet1!$B$4:$B$23,MATCH(K921,[2]Sheet1!$B$4:$B$23,1),1))*(INDEX([2]Sheet1!$C$4:$Q$23,MATCH(K921,[2]Sheet1!$B$4:$B$23,1)+1,MATCH(D921,[2]Sheet1!$C$3:$Q$3,1)) - INDEX([2]Sheet1!$C$4:$Q$23,MATCH(K921,[2]Sheet1!$B$4:$B$23,1),MATCH(D921,[2]Sheet1!$C$3:$Q$3,1)))
+ (D921 - INDEX([2]Sheet1!$C$3:$Q$3,1,MATCH(D921,[2]Sheet1!$C$3:$Q$3)))/(INDEX([2]Sheet1!$C$3:$Q$3,1,MATCH(D921,[2]Sheet1!$C$3:$Q$3)+1) - INDEX([2]Sheet1!$C$3:$Q$3,1,MATCH(D921,[2]Sheet1!$C$3:$Q$3)))*(
INDEX([2]Sheet1!$C$4:$Q$23,MATCH(K921,[2]Sheet1!$B$4:$B$23,1),MATCH(D921,[2]Sheet1!$C$3:$Q$3,1)+1) - INDEX([2]Sheet1!$C$4:$Q$23,MATCH(K921,[2]Sheet1!$B$4:$B$23,1),MATCH(D921,[2]Sheet1!$C$3:$Q$3,1)))))</f>
        <v>0</v>
      </c>
      <c r="N921">
        <f t="shared" si="270"/>
        <v>12</v>
      </c>
      <c r="O921">
        <v>287.02450568394102</v>
      </c>
      <c r="P921" t="e">
        <f t="shared" si="271"/>
        <v>#DIV/0!</v>
      </c>
      <c r="Q921">
        <f t="shared" si="272"/>
        <v>0</v>
      </c>
      <c r="R921">
        <f t="shared" si="273"/>
        <v>741.9099431943954</v>
      </c>
      <c r="T921" t="e">
        <f t="shared" si="274"/>
        <v>#DIV/0!</v>
      </c>
      <c r="U921" t="e">
        <f t="shared" si="275"/>
        <v>#DIV/0!</v>
      </c>
      <c r="V921">
        <f t="shared" si="276"/>
        <v>0</v>
      </c>
      <c r="W921" t="e">
        <f t="shared" si="277"/>
        <v>#DIV/0!</v>
      </c>
    </row>
    <row r="922" spans="1:23" x14ac:dyDescent="0.55000000000000004">
      <c r="A922">
        <f t="shared" si="261"/>
        <v>88.79999999999923</v>
      </c>
      <c r="B922">
        <f t="shared" si="262"/>
        <v>0.316</v>
      </c>
      <c r="C922">
        <f t="shared" si="263"/>
        <v>-52.913043478260377</v>
      </c>
      <c r="D922">
        <v>288.43984551913201</v>
      </c>
      <c r="E922">
        <f t="shared" si="264"/>
        <v>0</v>
      </c>
      <c r="F922">
        <f t="shared" si="265"/>
        <v>4.8605058816845369E-2</v>
      </c>
      <c r="G922">
        <f t="shared" si="266"/>
        <v>39.513748498891111</v>
      </c>
      <c r="H922">
        <f t="shared" si="267"/>
        <v>0</v>
      </c>
      <c r="I922" s="1">
        <f t="shared" si="260"/>
        <v>0</v>
      </c>
      <c r="J922">
        <f t="shared" si="268"/>
        <v>0</v>
      </c>
      <c r="K922">
        <f t="shared" si="269"/>
        <v>0</v>
      </c>
      <c r="L922" cm="1">
        <f t="array" ref="L922">IF(E922*J922=0,0,$C$21*INDEX([3]Sheet1!$C$4:$Q$23,MATCH(K922,[3]Sheet1!$B$4:$B$23,1),MATCH(D922,[3]Sheet1!$C$3:$Q$3,1))
+(K922-INDEX([3]Sheet1!$B$4:$B$23,MATCH(K922,[3]Sheet1!$B$4:$B$23,1),1))/(INDEX([3]Sheet1!$B$4:$B$23,MATCH(K922,[3]Sheet1!$B$4:$B$23,1)+1,1)-INDEX([3]Sheet1!$B$4:$B$23,
MATCH(K922,[3]Sheet1!$B$4:$B$23,1),1))*(INDEX([3]Sheet1!$C$4:$Q$23,MATCH(K922,[3]Sheet1!$B$4:$B$23,1)+1,MATCH(D922,[3]Sheet1!$C$3:$Q$3,1))-INDEX([3]Sheet1!$C$4:$Q$23,
MATCH(K922,[3]Sheet1!$B$4:$B$23,1),MATCH(D922,[3]Sheet1!$C$3:$Q$3,1)))
+(D922-INDEX([3]Sheet1!$C$3:$Q$3,1,MATCH(D922,[3]Sheet1!$C$3:$Q$3)))/(INDEX([3]Sheet1!$C$3:$Q$3,1,MATCH(D922,[3]Sheet1!$C$3:$Q$3)+1)-INDEX([3]Sheet1!$C$3:$Q$3,1,MATCH(
D922,[3]Sheet1!$C$3:$Q$3)))*(INDEX([3]Sheet1!$C$4:$Q$23,MATCH(K922,[3]Sheet1!$B$4:$B$23,1),MATCH(D922,[3]Sheet1!$C$3:$Q$3,1)+1)-INDEX([3]Sheet1!$C$4:$Q$23,MATCH(K922,[3]Sheet1!$B$4:$B$23,1),MATCH(D922,[3]Sheet1!$C$3:$Q$3,1))))</f>
        <v>0</v>
      </c>
      <c r="M922" cm="1">
        <f t="array" ref="M922" xml:space="preserve"> IF(E922*J922=0,0,(INDEX([2]Sheet1!$C$4:$Q$23,MATCH(K922,[2]Sheet1!$B$4:$B$23,1),MATCH(D922,[2]Sheet1!$C$3:$Q$3,1))
+ (K922 - INDEX([2]Sheet1!$B$4:$B$23,MATCH(K922,[2]Sheet1!$B$4:$B$23,1),1))/(INDEX([2]Sheet1!$B$4:$B$23,MATCH(K922,[2]Sheet1!$B$4:$B$23,1)+1,1) - INDEX([2]Sheet1!$B$4:$B$23,MATCH(K922,[2]Sheet1!$B$4:$B$23,1),1))*(INDEX([2]Sheet1!$C$4:$Q$23,MATCH(K922,[2]Sheet1!$B$4:$B$23,1)+1,MATCH(D922,[2]Sheet1!$C$3:$Q$3,1)) - INDEX([2]Sheet1!$C$4:$Q$23,MATCH(K922,[2]Sheet1!$B$4:$B$23,1),MATCH(D922,[2]Sheet1!$C$3:$Q$3,1)))
+ (D922 - INDEX([2]Sheet1!$C$3:$Q$3,1,MATCH(D922,[2]Sheet1!$C$3:$Q$3)))/(INDEX([2]Sheet1!$C$3:$Q$3,1,MATCH(D922,[2]Sheet1!$C$3:$Q$3)+1) - INDEX([2]Sheet1!$C$3:$Q$3,1,MATCH(D922,[2]Sheet1!$C$3:$Q$3)))*(
INDEX([2]Sheet1!$C$4:$Q$23,MATCH(K922,[2]Sheet1!$B$4:$B$23,1),MATCH(D922,[2]Sheet1!$C$3:$Q$3,1)+1) - INDEX([2]Sheet1!$C$4:$Q$23,MATCH(K922,[2]Sheet1!$B$4:$B$23,1),MATCH(D922,[2]Sheet1!$C$3:$Q$3,1)))))</f>
        <v>0</v>
      </c>
      <c r="N922">
        <f t="shared" si="270"/>
        <v>12</v>
      </c>
      <c r="O922">
        <v>288.02450568394102</v>
      </c>
      <c r="P922" t="e">
        <f t="shared" si="271"/>
        <v>#DIV/0!</v>
      </c>
      <c r="Q922">
        <f t="shared" si="272"/>
        <v>0</v>
      </c>
      <c r="R922">
        <f t="shared" si="273"/>
        <v>741.9099431943954</v>
      </c>
      <c r="T922" t="e">
        <f t="shared" si="274"/>
        <v>#DIV/0!</v>
      </c>
      <c r="U922" t="e">
        <f t="shared" si="275"/>
        <v>#DIV/0!</v>
      </c>
      <c r="V922">
        <f t="shared" si="276"/>
        <v>0</v>
      </c>
      <c r="W922" t="e">
        <f t="shared" si="277"/>
        <v>#DIV/0!</v>
      </c>
    </row>
    <row r="923" spans="1:23" x14ac:dyDescent="0.55000000000000004">
      <c r="A923">
        <f t="shared" si="261"/>
        <v>88.899999999999224</v>
      </c>
      <c r="B923">
        <f t="shared" si="262"/>
        <v>0.316</v>
      </c>
      <c r="C923">
        <f t="shared" si="263"/>
        <v>-52.978260869564714</v>
      </c>
      <c r="D923">
        <v>289.43984551913201</v>
      </c>
      <c r="E923">
        <f t="shared" si="264"/>
        <v>0</v>
      </c>
      <c r="F923">
        <f t="shared" si="265"/>
        <v>4.8605058816845369E-2</v>
      </c>
      <c r="G923">
        <f t="shared" si="266"/>
        <v>39.513748498891111</v>
      </c>
      <c r="H923">
        <f t="shared" si="267"/>
        <v>0</v>
      </c>
      <c r="I923" s="1">
        <f t="shared" si="260"/>
        <v>0</v>
      </c>
      <c r="J923">
        <f t="shared" si="268"/>
        <v>0</v>
      </c>
      <c r="K923">
        <f t="shared" si="269"/>
        <v>0</v>
      </c>
      <c r="L923" cm="1">
        <f t="array" ref="L923">IF(E923*J923=0,0,$C$21*INDEX([3]Sheet1!$C$4:$Q$23,MATCH(K923,[3]Sheet1!$B$4:$B$23,1),MATCH(D923,[3]Sheet1!$C$3:$Q$3,1))
+(K923-INDEX([3]Sheet1!$B$4:$B$23,MATCH(K923,[3]Sheet1!$B$4:$B$23,1),1))/(INDEX([3]Sheet1!$B$4:$B$23,MATCH(K923,[3]Sheet1!$B$4:$B$23,1)+1,1)-INDEX([3]Sheet1!$B$4:$B$23,
MATCH(K923,[3]Sheet1!$B$4:$B$23,1),1))*(INDEX([3]Sheet1!$C$4:$Q$23,MATCH(K923,[3]Sheet1!$B$4:$B$23,1)+1,MATCH(D923,[3]Sheet1!$C$3:$Q$3,1))-INDEX([3]Sheet1!$C$4:$Q$23,
MATCH(K923,[3]Sheet1!$B$4:$B$23,1),MATCH(D923,[3]Sheet1!$C$3:$Q$3,1)))
+(D923-INDEX([3]Sheet1!$C$3:$Q$3,1,MATCH(D923,[3]Sheet1!$C$3:$Q$3)))/(INDEX([3]Sheet1!$C$3:$Q$3,1,MATCH(D923,[3]Sheet1!$C$3:$Q$3)+1)-INDEX([3]Sheet1!$C$3:$Q$3,1,MATCH(
D923,[3]Sheet1!$C$3:$Q$3)))*(INDEX([3]Sheet1!$C$4:$Q$23,MATCH(K923,[3]Sheet1!$B$4:$B$23,1),MATCH(D923,[3]Sheet1!$C$3:$Q$3,1)+1)-INDEX([3]Sheet1!$C$4:$Q$23,MATCH(K923,[3]Sheet1!$B$4:$B$23,1),MATCH(D923,[3]Sheet1!$C$3:$Q$3,1))))</f>
        <v>0</v>
      </c>
      <c r="M923" cm="1">
        <f t="array" ref="M923" xml:space="preserve"> IF(E923*J923=0,0,(INDEX([2]Sheet1!$C$4:$Q$23,MATCH(K923,[2]Sheet1!$B$4:$B$23,1),MATCH(D923,[2]Sheet1!$C$3:$Q$3,1))
+ (K923 - INDEX([2]Sheet1!$B$4:$B$23,MATCH(K923,[2]Sheet1!$B$4:$B$23,1),1))/(INDEX([2]Sheet1!$B$4:$B$23,MATCH(K923,[2]Sheet1!$B$4:$B$23,1)+1,1) - INDEX([2]Sheet1!$B$4:$B$23,MATCH(K923,[2]Sheet1!$B$4:$B$23,1),1))*(INDEX([2]Sheet1!$C$4:$Q$23,MATCH(K923,[2]Sheet1!$B$4:$B$23,1)+1,MATCH(D923,[2]Sheet1!$C$3:$Q$3,1)) - INDEX([2]Sheet1!$C$4:$Q$23,MATCH(K923,[2]Sheet1!$B$4:$B$23,1),MATCH(D923,[2]Sheet1!$C$3:$Q$3,1)))
+ (D923 - INDEX([2]Sheet1!$C$3:$Q$3,1,MATCH(D923,[2]Sheet1!$C$3:$Q$3)))/(INDEX([2]Sheet1!$C$3:$Q$3,1,MATCH(D923,[2]Sheet1!$C$3:$Q$3)+1) - INDEX([2]Sheet1!$C$3:$Q$3,1,MATCH(D923,[2]Sheet1!$C$3:$Q$3)))*(
INDEX([2]Sheet1!$C$4:$Q$23,MATCH(K923,[2]Sheet1!$B$4:$B$23,1),MATCH(D923,[2]Sheet1!$C$3:$Q$3,1)+1) - INDEX([2]Sheet1!$C$4:$Q$23,MATCH(K923,[2]Sheet1!$B$4:$B$23,1),MATCH(D923,[2]Sheet1!$C$3:$Q$3,1)))))</f>
        <v>0</v>
      </c>
      <c r="N923">
        <f t="shared" si="270"/>
        <v>12</v>
      </c>
      <c r="O923">
        <v>289.02450568394102</v>
      </c>
      <c r="P923" t="e">
        <f t="shared" si="271"/>
        <v>#DIV/0!</v>
      </c>
      <c r="Q923">
        <f t="shared" si="272"/>
        <v>0</v>
      </c>
      <c r="R923">
        <f t="shared" si="273"/>
        <v>741.9099431943954</v>
      </c>
      <c r="T923" t="e">
        <f t="shared" si="274"/>
        <v>#DIV/0!</v>
      </c>
      <c r="U923" t="e">
        <f t="shared" si="275"/>
        <v>#DIV/0!</v>
      </c>
      <c r="V923">
        <f t="shared" si="276"/>
        <v>0</v>
      </c>
      <c r="W923" t="e">
        <f t="shared" si="277"/>
        <v>#DIV/0!</v>
      </c>
    </row>
    <row r="924" spans="1:23" x14ac:dyDescent="0.55000000000000004">
      <c r="A924">
        <f t="shared" si="261"/>
        <v>88.999999999999218</v>
      </c>
      <c r="B924">
        <f t="shared" si="262"/>
        <v>0.316</v>
      </c>
      <c r="C924">
        <f t="shared" si="263"/>
        <v>-53.043478260869065</v>
      </c>
      <c r="D924">
        <v>290.43984551913201</v>
      </c>
      <c r="E924">
        <f t="shared" si="264"/>
        <v>0</v>
      </c>
      <c r="F924">
        <f t="shared" si="265"/>
        <v>4.8605058816845369E-2</v>
      </c>
      <c r="G924">
        <f t="shared" si="266"/>
        <v>39.513748498891111</v>
      </c>
      <c r="H924">
        <f t="shared" si="267"/>
        <v>0</v>
      </c>
      <c r="I924" s="1">
        <f t="shared" si="260"/>
        <v>0</v>
      </c>
      <c r="J924">
        <f t="shared" si="268"/>
        <v>0</v>
      </c>
      <c r="K924">
        <f t="shared" si="269"/>
        <v>0</v>
      </c>
      <c r="L924" cm="1">
        <f t="array" ref="L924">IF(E924*J924=0,0,$C$21*INDEX([3]Sheet1!$C$4:$Q$23,MATCH(K924,[3]Sheet1!$B$4:$B$23,1),MATCH(D924,[3]Sheet1!$C$3:$Q$3,1))
+(K924-INDEX([3]Sheet1!$B$4:$B$23,MATCH(K924,[3]Sheet1!$B$4:$B$23,1),1))/(INDEX([3]Sheet1!$B$4:$B$23,MATCH(K924,[3]Sheet1!$B$4:$B$23,1)+1,1)-INDEX([3]Sheet1!$B$4:$B$23,
MATCH(K924,[3]Sheet1!$B$4:$B$23,1),1))*(INDEX([3]Sheet1!$C$4:$Q$23,MATCH(K924,[3]Sheet1!$B$4:$B$23,1)+1,MATCH(D924,[3]Sheet1!$C$3:$Q$3,1))-INDEX([3]Sheet1!$C$4:$Q$23,
MATCH(K924,[3]Sheet1!$B$4:$B$23,1),MATCH(D924,[3]Sheet1!$C$3:$Q$3,1)))
+(D924-INDEX([3]Sheet1!$C$3:$Q$3,1,MATCH(D924,[3]Sheet1!$C$3:$Q$3)))/(INDEX([3]Sheet1!$C$3:$Q$3,1,MATCH(D924,[3]Sheet1!$C$3:$Q$3)+1)-INDEX([3]Sheet1!$C$3:$Q$3,1,MATCH(
D924,[3]Sheet1!$C$3:$Q$3)))*(INDEX([3]Sheet1!$C$4:$Q$23,MATCH(K924,[3]Sheet1!$B$4:$B$23,1),MATCH(D924,[3]Sheet1!$C$3:$Q$3,1)+1)-INDEX([3]Sheet1!$C$4:$Q$23,MATCH(K924,[3]Sheet1!$B$4:$B$23,1),MATCH(D924,[3]Sheet1!$C$3:$Q$3,1))))</f>
        <v>0</v>
      </c>
      <c r="M924" cm="1">
        <f t="array" ref="M924" xml:space="preserve"> IF(E924*J924=0,0,(INDEX([2]Sheet1!$C$4:$Q$23,MATCH(K924,[2]Sheet1!$B$4:$B$23,1),MATCH(D924,[2]Sheet1!$C$3:$Q$3,1))
+ (K924 - INDEX([2]Sheet1!$B$4:$B$23,MATCH(K924,[2]Sheet1!$B$4:$B$23,1),1))/(INDEX([2]Sheet1!$B$4:$B$23,MATCH(K924,[2]Sheet1!$B$4:$B$23,1)+1,1) - INDEX([2]Sheet1!$B$4:$B$23,MATCH(K924,[2]Sheet1!$B$4:$B$23,1),1))*(INDEX([2]Sheet1!$C$4:$Q$23,MATCH(K924,[2]Sheet1!$B$4:$B$23,1)+1,MATCH(D924,[2]Sheet1!$C$3:$Q$3,1)) - INDEX([2]Sheet1!$C$4:$Q$23,MATCH(K924,[2]Sheet1!$B$4:$B$23,1),MATCH(D924,[2]Sheet1!$C$3:$Q$3,1)))
+ (D924 - INDEX([2]Sheet1!$C$3:$Q$3,1,MATCH(D924,[2]Sheet1!$C$3:$Q$3)))/(INDEX([2]Sheet1!$C$3:$Q$3,1,MATCH(D924,[2]Sheet1!$C$3:$Q$3)+1) - INDEX([2]Sheet1!$C$3:$Q$3,1,MATCH(D924,[2]Sheet1!$C$3:$Q$3)))*(
INDEX([2]Sheet1!$C$4:$Q$23,MATCH(K924,[2]Sheet1!$B$4:$B$23,1),MATCH(D924,[2]Sheet1!$C$3:$Q$3,1)+1) - INDEX([2]Sheet1!$C$4:$Q$23,MATCH(K924,[2]Sheet1!$B$4:$B$23,1),MATCH(D924,[2]Sheet1!$C$3:$Q$3,1)))))</f>
        <v>0</v>
      </c>
      <c r="N924">
        <f t="shared" si="270"/>
        <v>12</v>
      </c>
      <c r="O924">
        <v>290.02450568394102</v>
      </c>
      <c r="P924" t="e">
        <f t="shared" si="271"/>
        <v>#DIV/0!</v>
      </c>
      <c r="Q924">
        <f t="shared" si="272"/>
        <v>0</v>
      </c>
      <c r="R924">
        <f t="shared" si="273"/>
        <v>741.9099431943954</v>
      </c>
      <c r="T924" t="e">
        <f t="shared" si="274"/>
        <v>#DIV/0!</v>
      </c>
      <c r="U924" t="e">
        <f t="shared" si="275"/>
        <v>#DIV/0!</v>
      </c>
      <c r="V924">
        <f t="shared" si="276"/>
        <v>0</v>
      </c>
      <c r="W924" t="e">
        <f t="shared" si="277"/>
        <v>#DIV/0!</v>
      </c>
    </row>
    <row r="925" spans="1:23" x14ac:dyDescent="0.55000000000000004">
      <c r="A925">
        <f t="shared" si="261"/>
        <v>89.099999999999213</v>
      </c>
      <c r="B925">
        <f t="shared" si="262"/>
        <v>0.316</v>
      </c>
      <c r="C925">
        <f t="shared" si="263"/>
        <v>-53.108695652173402</v>
      </c>
      <c r="D925">
        <v>291.43984551913201</v>
      </c>
      <c r="E925">
        <f t="shared" si="264"/>
        <v>0</v>
      </c>
      <c r="F925">
        <f t="shared" si="265"/>
        <v>4.8605058816845369E-2</v>
      </c>
      <c r="G925">
        <f t="shared" si="266"/>
        <v>39.513748498891111</v>
      </c>
      <c r="H925">
        <f t="shared" si="267"/>
        <v>0</v>
      </c>
      <c r="I925" s="1">
        <f t="shared" si="260"/>
        <v>0</v>
      </c>
      <c r="J925">
        <f t="shared" si="268"/>
        <v>0</v>
      </c>
      <c r="K925">
        <f t="shared" si="269"/>
        <v>0</v>
      </c>
      <c r="L925" cm="1">
        <f t="array" ref="L925">IF(E925*J925=0,0,$C$21*INDEX([3]Sheet1!$C$4:$Q$23,MATCH(K925,[3]Sheet1!$B$4:$B$23,1),MATCH(D925,[3]Sheet1!$C$3:$Q$3,1))
+(K925-INDEX([3]Sheet1!$B$4:$B$23,MATCH(K925,[3]Sheet1!$B$4:$B$23,1),1))/(INDEX([3]Sheet1!$B$4:$B$23,MATCH(K925,[3]Sheet1!$B$4:$B$23,1)+1,1)-INDEX([3]Sheet1!$B$4:$B$23,
MATCH(K925,[3]Sheet1!$B$4:$B$23,1),1))*(INDEX([3]Sheet1!$C$4:$Q$23,MATCH(K925,[3]Sheet1!$B$4:$B$23,1)+1,MATCH(D925,[3]Sheet1!$C$3:$Q$3,1))-INDEX([3]Sheet1!$C$4:$Q$23,
MATCH(K925,[3]Sheet1!$B$4:$B$23,1),MATCH(D925,[3]Sheet1!$C$3:$Q$3,1)))
+(D925-INDEX([3]Sheet1!$C$3:$Q$3,1,MATCH(D925,[3]Sheet1!$C$3:$Q$3)))/(INDEX([3]Sheet1!$C$3:$Q$3,1,MATCH(D925,[3]Sheet1!$C$3:$Q$3)+1)-INDEX([3]Sheet1!$C$3:$Q$3,1,MATCH(
D925,[3]Sheet1!$C$3:$Q$3)))*(INDEX([3]Sheet1!$C$4:$Q$23,MATCH(K925,[3]Sheet1!$B$4:$B$23,1),MATCH(D925,[3]Sheet1!$C$3:$Q$3,1)+1)-INDEX([3]Sheet1!$C$4:$Q$23,MATCH(K925,[3]Sheet1!$B$4:$B$23,1),MATCH(D925,[3]Sheet1!$C$3:$Q$3,1))))</f>
        <v>0</v>
      </c>
      <c r="M925" cm="1">
        <f t="array" ref="M925" xml:space="preserve"> IF(E925*J925=0,0,(INDEX([2]Sheet1!$C$4:$Q$23,MATCH(K925,[2]Sheet1!$B$4:$B$23,1),MATCH(D925,[2]Sheet1!$C$3:$Q$3,1))
+ (K925 - INDEX([2]Sheet1!$B$4:$B$23,MATCH(K925,[2]Sheet1!$B$4:$B$23,1),1))/(INDEX([2]Sheet1!$B$4:$B$23,MATCH(K925,[2]Sheet1!$B$4:$B$23,1)+1,1) - INDEX([2]Sheet1!$B$4:$B$23,MATCH(K925,[2]Sheet1!$B$4:$B$23,1),1))*(INDEX([2]Sheet1!$C$4:$Q$23,MATCH(K925,[2]Sheet1!$B$4:$B$23,1)+1,MATCH(D925,[2]Sheet1!$C$3:$Q$3,1)) - INDEX([2]Sheet1!$C$4:$Q$23,MATCH(K925,[2]Sheet1!$B$4:$B$23,1),MATCH(D925,[2]Sheet1!$C$3:$Q$3,1)))
+ (D925 - INDEX([2]Sheet1!$C$3:$Q$3,1,MATCH(D925,[2]Sheet1!$C$3:$Q$3)))/(INDEX([2]Sheet1!$C$3:$Q$3,1,MATCH(D925,[2]Sheet1!$C$3:$Q$3)+1) - INDEX([2]Sheet1!$C$3:$Q$3,1,MATCH(D925,[2]Sheet1!$C$3:$Q$3)))*(
INDEX([2]Sheet1!$C$4:$Q$23,MATCH(K925,[2]Sheet1!$B$4:$B$23,1),MATCH(D925,[2]Sheet1!$C$3:$Q$3,1)+1) - INDEX([2]Sheet1!$C$4:$Q$23,MATCH(K925,[2]Sheet1!$B$4:$B$23,1),MATCH(D925,[2]Sheet1!$C$3:$Q$3,1)))))</f>
        <v>0</v>
      </c>
      <c r="N925">
        <f t="shared" si="270"/>
        <v>12</v>
      </c>
      <c r="O925">
        <v>291.02450568394102</v>
      </c>
      <c r="P925" t="e">
        <f t="shared" si="271"/>
        <v>#DIV/0!</v>
      </c>
      <c r="Q925">
        <f t="shared" si="272"/>
        <v>0</v>
      </c>
      <c r="R925">
        <f t="shared" si="273"/>
        <v>741.9099431943954</v>
      </c>
      <c r="T925" t="e">
        <f t="shared" si="274"/>
        <v>#DIV/0!</v>
      </c>
      <c r="U925" t="e">
        <f t="shared" si="275"/>
        <v>#DIV/0!</v>
      </c>
      <c r="V925">
        <f t="shared" si="276"/>
        <v>0</v>
      </c>
      <c r="W925" t="e">
        <f t="shared" si="277"/>
        <v>#DIV/0!</v>
      </c>
    </row>
    <row r="926" spans="1:23" x14ac:dyDescent="0.55000000000000004">
      <c r="A926">
        <f t="shared" si="261"/>
        <v>89.199999999999207</v>
      </c>
      <c r="B926">
        <f t="shared" si="262"/>
        <v>0.316</v>
      </c>
      <c r="C926">
        <f t="shared" si="263"/>
        <v>-53.173913043477754</v>
      </c>
      <c r="D926">
        <v>292.43984551913201</v>
      </c>
      <c r="E926">
        <f t="shared" si="264"/>
        <v>0</v>
      </c>
      <c r="F926">
        <f t="shared" si="265"/>
        <v>4.8605058816845369E-2</v>
      </c>
      <c r="G926">
        <f t="shared" si="266"/>
        <v>39.513748498891111</v>
      </c>
      <c r="H926">
        <f t="shared" si="267"/>
        <v>0</v>
      </c>
      <c r="I926" s="1">
        <f t="shared" si="260"/>
        <v>0</v>
      </c>
      <c r="J926">
        <f t="shared" si="268"/>
        <v>0</v>
      </c>
      <c r="K926">
        <f t="shared" si="269"/>
        <v>0</v>
      </c>
      <c r="L926" cm="1">
        <f t="array" ref="L926">IF(E926*J926=0,0,$C$21*INDEX([3]Sheet1!$C$4:$Q$23,MATCH(K926,[3]Sheet1!$B$4:$B$23,1),MATCH(D926,[3]Sheet1!$C$3:$Q$3,1))
+(K926-INDEX([3]Sheet1!$B$4:$B$23,MATCH(K926,[3]Sheet1!$B$4:$B$23,1),1))/(INDEX([3]Sheet1!$B$4:$B$23,MATCH(K926,[3]Sheet1!$B$4:$B$23,1)+1,1)-INDEX([3]Sheet1!$B$4:$B$23,
MATCH(K926,[3]Sheet1!$B$4:$B$23,1),1))*(INDEX([3]Sheet1!$C$4:$Q$23,MATCH(K926,[3]Sheet1!$B$4:$B$23,1)+1,MATCH(D926,[3]Sheet1!$C$3:$Q$3,1))-INDEX([3]Sheet1!$C$4:$Q$23,
MATCH(K926,[3]Sheet1!$B$4:$B$23,1),MATCH(D926,[3]Sheet1!$C$3:$Q$3,1)))
+(D926-INDEX([3]Sheet1!$C$3:$Q$3,1,MATCH(D926,[3]Sheet1!$C$3:$Q$3)))/(INDEX([3]Sheet1!$C$3:$Q$3,1,MATCH(D926,[3]Sheet1!$C$3:$Q$3)+1)-INDEX([3]Sheet1!$C$3:$Q$3,1,MATCH(
D926,[3]Sheet1!$C$3:$Q$3)))*(INDEX([3]Sheet1!$C$4:$Q$23,MATCH(K926,[3]Sheet1!$B$4:$B$23,1),MATCH(D926,[3]Sheet1!$C$3:$Q$3,1)+1)-INDEX([3]Sheet1!$C$4:$Q$23,MATCH(K926,[3]Sheet1!$B$4:$B$23,1),MATCH(D926,[3]Sheet1!$C$3:$Q$3,1))))</f>
        <v>0</v>
      </c>
      <c r="M926" cm="1">
        <f t="array" ref="M926" xml:space="preserve"> IF(E926*J926=0,0,(INDEX([2]Sheet1!$C$4:$Q$23,MATCH(K926,[2]Sheet1!$B$4:$B$23,1),MATCH(D926,[2]Sheet1!$C$3:$Q$3,1))
+ (K926 - INDEX([2]Sheet1!$B$4:$B$23,MATCH(K926,[2]Sheet1!$B$4:$B$23,1),1))/(INDEX([2]Sheet1!$B$4:$B$23,MATCH(K926,[2]Sheet1!$B$4:$B$23,1)+1,1) - INDEX([2]Sheet1!$B$4:$B$23,MATCH(K926,[2]Sheet1!$B$4:$B$23,1),1))*(INDEX([2]Sheet1!$C$4:$Q$23,MATCH(K926,[2]Sheet1!$B$4:$B$23,1)+1,MATCH(D926,[2]Sheet1!$C$3:$Q$3,1)) - INDEX([2]Sheet1!$C$4:$Q$23,MATCH(K926,[2]Sheet1!$B$4:$B$23,1),MATCH(D926,[2]Sheet1!$C$3:$Q$3,1)))
+ (D926 - INDEX([2]Sheet1!$C$3:$Q$3,1,MATCH(D926,[2]Sheet1!$C$3:$Q$3)))/(INDEX([2]Sheet1!$C$3:$Q$3,1,MATCH(D926,[2]Sheet1!$C$3:$Q$3)+1) - INDEX([2]Sheet1!$C$3:$Q$3,1,MATCH(D926,[2]Sheet1!$C$3:$Q$3)))*(
INDEX([2]Sheet1!$C$4:$Q$23,MATCH(K926,[2]Sheet1!$B$4:$B$23,1),MATCH(D926,[2]Sheet1!$C$3:$Q$3,1)+1) - INDEX([2]Sheet1!$C$4:$Q$23,MATCH(K926,[2]Sheet1!$B$4:$B$23,1),MATCH(D926,[2]Sheet1!$C$3:$Q$3,1)))))</f>
        <v>0</v>
      </c>
      <c r="N926">
        <f t="shared" si="270"/>
        <v>12</v>
      </c>
      <c r="O926">
        <v>292.02450568394102</v>
      </c>
      <c r="P926" t="e">
        <f t="shared" si="271"/>
        <v>#DIV/0!</v>
      </c>
      <c r="Q926">
        <f t="shared" si="272"/>
        <v>0</v>
      </c>
      <c r="R926">
        <f t="shared" si="273"/>
        <v>741.9099431943954</v>
      </c>
      <c r="T926" t="e">
        <f t="shared" si="274"/>
        <v>#DIV/0!</v>
      </c>
      <c r="U926" t="e">
        <f t="shared" si="275"/>
        <v>#DIV/0!</v>
      </c>
      <c r="V926">
        <f t="shared" si="276"/>
        <v>0</v>
      </c>
      <c r="W926" t="e">
        <f t="shared" si="277"/>
        <v>#DIV/0!</v>
      </c>
    </row>
    <row r="927" spans="1:23" x14ac:dyDescent="0.55000000000000004">
      <c r="A927">
        <f t="shared" si="261"/>
        <v>89.299999999999201</v>
      </c>
      <c r="B927">
        <f t="shared" si="262"/>
        <v>0.316</v>
      </c>
      <c r="C927">
        <f t="shared" si="263"/>
        <v>-53.239130434782091</v>
      </c>
      <c r="D927">
        <v>293.43984551913201</v>
      </c>
      <c r="E927">
        <f t="shared" si="264"/>
        <v>0</v>
      </c>
      <c r="F927">
        <f t="shared" si="265"/>
        <v>4.8605058816845369E-2</v>
      </c>
      <c r="G927">
        <f t="shared" si="266"/>
        <v>39.513748498891111</v>
      </c>
      <c r="H927">
        <f t="shared" si="267"/>
        <v>0</v>
      </c>
      <c r="I927" s="1">
        <f t="shared" si="260"/>
        <v>0</v>
      </c>
      <c r="J927">
        <f t="shared" si="268"/>
        <v>0</v>
      </c>
      <c r="K927">
        <f t="shared" si="269"/>
        <v>0</v>
      </c>
      <c r="L927" cm="1">
        <f t="array" ref="L927">IF(E927*J927=0,0,$C$21*INDEX([3]Sheet1!$C$4:$Q$23,MATCH(K927,[3]Sheet1!$B$4:$B$23,1),MATCH(D927,[3]Sheet1!$C$3:$Q$3,1))
+(K927-INDEX([3]Sheet1!$B$4:$B$23,MATCH(K927,[3]Sheet1!$B$4:$B$23,1),1))/(INDEX([3]Sheet1!$B$4:$B$23,MATCH(K927,[3]Sheet1!$B$4:$B$23,1)+1,1)-INDEX([3]Sheet1!$B$4:$B$23,
MATCH(K927,[3]Sheet1!$B$4:$B$23,1),1))*(INDEX([3]Sheet1!$C$4:$Q$23,MATCH(K927,[3]Sheet1!$B$4:$B$23,1)+1,MATCH(D927,[3]Sheet1!$C$3:$Q$3,1))-INDEX([3]Sheet1!$C$4:$Q$23,
MATCH(K927,[3]Sheet1!$B$4:$B$23,1),MATCH(D927,[3]Sheet1!$C$3:$Q$3,1)))
+(D927-INDEX([3]Sheet1!$C$3:$Q$3,1,MATCH(D927,[3]Sheet1!$C$3:$Q$3)))/(INDEX([3]Sheet1!$C$3:$Q$3,1,MATCH(D927,[3]Sheet1!$C$3:$Q$3)+1)-INDEX([3]Sheet1!$C$3:$Q$3,1,MATCH(
D927,[3]Sheet1!$C$3:$Q$3)))*(INDEX([3]Sheet1!$C$4:$Q$23,MATCH(K927,[3]Sheet1!$B$4:$B$23,1),MATCH(D927,[3]Sheet1!$C$3:$Q$3,1)+1)-INDEX([3]Sheet1!$C$4:$Q$23,MATCH(K927,[3]Sheet1!$B$4:$B$23,1),MATCH(D927,[3]Sheet1!$C$3:$Q$3,1))))</f>
        <v>0</v>
      </c>
      <c r="M927" cm="1">
        <f t="array" ref="M927" xml:space="preserve"> IF(E927*J927=0,0,(INDEX([2]Sheet1!$C$4:$Q$23,MATCH(K927,[2]Sheet1!$B$4:$B$23,1),MATCH(D927,[2]Sheet1!$C$3:$Q$3,1))
+ (K927 - INDEX([2]Sheet1!$B$4:$B$23,MATCH(K927,[2]Sheet1!$B$4:$B$23,1),1))/(INDEX([2]Sheet1!$B$4:$B$23,MATCH(K927,[2]Sheet1!$B$4:$B$23,1)+1,1) - INDEX([2]Sheet1!$B$4:$B$23,MATCH(K927,[2]Sheet1!$B$4:$B$23,1),1))*(INDEX([2]Sheet1!$C$4:$Q$23,MATCH(K927,[2]Sheet1!$B$4:$B$23,1)+1,MATCH(D927,[2]Sheet1!$C$3:$Q$3,1)) - INDEX([2]Sheet1!$C$4:$Q$23,MATCH(K927,[2]Sheet1!$B$4:$B$23,1),MATCH(D927,[2]Sheet1!$C$3:$Q$3,1)))
+ (D927 - INDEX([2]Sheet1!$C$3:$Q$3,1,MATCH(D927,[2]Sheet1!$C$3:$Q$3)))/(INDEX([2]Sheet1!$C$3:$Q$3,1,MATCH(D927,[2]Sheet1!$C$3:$Q$3)+1) - INDEX([2]Sheet1!$C$3:$Q$3,1,MATCH(D927,[2]Sheet1!$C$3:$Q$3)))*(
INDEX([2]Sheet1!$C$4:$Q$23,MATCH(K927,[2]Sheet1!$B$4:$B$23,1),MATCH(D927,[2]Sheet1!$C$3:$Q$3,1)+1) - INDEX([2]Sheet1!$C$4:$Q$23,MATCH(K927,[2]Sheet1!$B$4:$B$23,1),MATCH(D927,[2]Sheet1!$C$3:$Q$3,1)))))</f>
        <v>0</v>
      </c>
      <c r="N927">
        <f t="shared" si="270"/>
        <v>12</v>
      </c>
      <c r="O927">
        <v>293.02450568394102</v>
      </c>
      <c r="P927" t="e">
        <f t="shared" si="271"/>
        <v>#DIV/0!</v>
      </c>
      <c r="Q927">
        <f t="shared" si="272"/>
        <v>0</v>
      </c>
      <c r="R927">
        <f t="shared" si="273"/>
        <v>741.9099431943954</v>
      </c>
      <c r="T927" t="e">
        <f t="shared" si="274"/>
        <v>#DIV/0!</v>
      </c>
      <c r="U927" t="e">
        <f t="shared" si="275"/>
        <v>#DIV/0!</v>
      </c>
      <c r="V927">
        <f t="shared" si="276"/>
        <v>0</v>
      </c>
      <c r="W927" t="e">
        <f t="shared" si="277"/>
        <v>#DIV/0!</v>
      </c>
    </row>
    <row r="928" spans="1:23" x14ac:dyDescent="0.55000000000000004">
      <c r="A928">
        <f t="shared" si="261"/>
        <v>89.399999999999196</v>
      </c>
      <c r="B928">
        <f t="shared" si="262"/>
        <v>0.316</v>
      </c>
      <c r="C928">
        <f t="shared" si="263"/>
        <v>-53.304347826086442</v>
      </c>
      <c r="D928">
        <v>294.43984551913201</v>
      </c>
      <c r="E928">
        <f t="shared" si="264"/>
        <v>0</v>
      </c>
      <c r="F928">
        <f t="shared" si="265"/>
        <v>4.8605058816845369E-2</v>
      </c>
      <c r="G928">
        <f t="shared" si="266"/>
        <v>39.513748498891111</v>
      </c>
      <c r="H928">
        <f t="shared" si="267"/>
        <v>0</v>
      </c>
      <c r="I928" s="1">
        <f t="shared" si="260"/>
        <v>0</v>
      </c>
      <c r="J928">
        <f t="shared" si="268"/>
        <v>0</v>
      </c>
      <c r="K928">
        <f t="shared" si="269"/>
        <v>0</v>
      </c>
      <c r="L928" cm="1">
        <f t="array" ref="L928">IF(E928*J928=0,0,$C$21*INDEX([3]Sheet1!$C$4:$Q$23,MATCH(K928,[3]Sheet1!$B$4:$B$23,1),MATCH(D928,[3]Sheet1!$C$3:$Q$3,1))
+(K928-INDEX([3]Sheet1!$B$4:$B$23,MATCH(K928,[3]Sheet1!$B$4:$B$23,1),1))/(INDEX([3]Sheet1!$B$4:$B$23,MATCH(K928,[3]Sheet1!$B$4:$B$23,1)+1,1)-INDEX([3]Sheet1!$B$4:$B$23,
MATCH(K928,[3]Sheet1!$B$4:$B$23,1),1))*(INDEX([3]Sheet1!$C$4:$Q$23,MATCH(K928,[3]Sheet1!$B$4:$B$23,1)+1,MATCH(D928,[3]Sheet1!$C$3:$Q$3,1))-INDEX([3]Sheet1!$C$4:$Q$23,
MATCH(K928,[3]Sheet1!$B$4:$B$23,1),MATCH(D928,[3]Sheet1!$C$3:$Q$3,1)))
+(D928-INDEX([3]Sheet1!$C$3:$Q$3,1,MATCH(D928,[3]Sheet1!$C$3:$Q$3)))/(INDEX([3]Sheet1!$C$3:$Q$3,1,MATCH(D928,[3]Sheet1!$C$3:$Q$3)+1)-INDEX([3]Sheet1!$C$3:$Q$3,1,MATCH(
D928,[3]Sheet1!$C$3:$Q$3)))*(INDEX([3]Sheet1!$C$4:$Q$23,MATCH(K928,[3]Sheet1!$B$4:$B$23,1),MATCH(D928,[3]Sheet1!$C$3:$Q$3,1)+1)-INDEX([3]Sheet1!$C$4:$Q$23,MATCH(K928,[3]Sheet1!$B$4:$B$23,1),MATCH(D928,[3]Sheet1!$C$3:$Q$3,1))))</f>
        <v>0</v>
      </c>
      <c r="M928" cm="1">
        <f t="array" ref="M928" xml:space="preserve"> IF(E928*J928=0,0,(INDEX([2]Sheet1!$C$4:$Q$23,MATCH(K928,[2]Sheet1!$B$4:$B$23,1),MATCH(D928,[2]Sheet1!$C$3:$Q$3,1))
+ (K928 - INDEX([2]Sheet1!$B$4:$B$23,MATCH(K928,[2]Sheet1!$B$4:$B$23,1),1))/(INDEX([2]Sheet1!$B$4:$B$23,MATCH(K928,[2]Sheet1!$B$4:$B$23,1)+1,1) - INDEX([2]Sheet1!$B$4:$B$23,MATCH(K928,[2]Sheet1!$B$4:$B$23,1),1))*(INDEX([2]Sheet1!$C$4:$Q$23,MATCH(K928,[2]Sheet1!$B$4:$B$23,1)+1,MATCH(D928,[2]Sheet1!$C$3:$Q$3,1)) - INDEX([2]Sheet1!$C$4:$Q$23,MATCH(K928,[2]Sheet1!$B$4:$B$23,1),MATCH(D928,[2]Sheet1!$C$3:$Q$3,1)))
+ (D928 - INDEX([2]Sheet1!$C$3:$Q$3,1,MATCH(D928,[2]Sheet1!$C$3:$Q$3)))/(INDEX([2]Sheet1!$C$3:$Q$3,1,MATCH(D928,[2]Sheet1!$C$3:$Q$3)+1) - INDEX([2]Sheet1!$C$3:$Q$3,1,MATCH(D928,[2]Sheet1!$C$3:$Q$3)))*(
INDEX([2]Sheet1!$C$4:$Q$23,MATCH(K928,[2]Sheet1!$B$4:$B$23,1),MATCH(D928,[2]Sheet1!$C$3:$Q$3,1)+1) - INDEX([2]Sheet1!$C$4:$Q$23,MATCH(K928,[2]Sheet1!$B$4:$B$23,1),MATCH(D928,[2]Sheet1!$C$3:$Q$3,1)))))</f>
        <v>0</v>
      </c>
      <c r="N928">
        <f t="shared" si="270"/>
        <v>12</v>
      </c>
      <c r="O928">
        <v>294.02450568394102</v>
      </c>
      <c r="P928" t="e">
        <f t="shared" si="271"/>
        <v>#DIV/0!</v>
      </c>
      <c r="Q928">
        <f t="shared" si="272"/>
        <v>0</v>
      </c>
      <c r="R928">
        <f t="shared" si="273"/>
        <v>741.9099431943954</v>
      </c>
      <c r="T928" t="e">
        <f t="shared" si="274"/>
        <v>#DIV/0!</v>
      </c>
      <c r="U928" t="e">
        <f t="shared" si="275"/>
        <v>#DIV/0!</v>
      </c>
      <c r="V928">
        <f t="shared" si="276"/>
        <v>0</v>
      </c>
      <c r="W928" t="e">
        <f t="shared" si="277"/>
        <v>#DIV/0!</v>
      </c>
    </row>
    <row r="929" spans="1:23" x14ac:dyDescent="0.55000000000000004">
      <c r="A929">
        <f t="shared" si="261"/>
        <v>89.49999999999919</v>
      </c>
      <c r="B929">
        <f t="shared" si="262"/>
        <v>0.316</v>
      </c>
      <c r="C929">
        <f t="shared" si="263"/>
        <v>-53.369565217390779</v>
      </c>
      <c r="D929">
        <v>295.43984551913201</v>
      </c>
      <c r="E929">
        <f t="shared" si="264"/>
        <v>0</v>
      </c>
      <c r="F929">
        <f t="shared" si="265"/>
        <v>4.8605058816845369E-2</v>
      </c>
      <c r="G929">
        <f t="shared" si="266"/>
        <v>39.513748498891111</v>
      </c>
      <c r="H929">
        <f t="shared" si="267"/>
        <v>0</v>
      </c>
      <c r="I929" s="1">
        <f t="shared" si="260"/>
        <v>0</v>
      </c>
      <c r="J929">
        <f t="shared" si="268"/>
        <v>0</v>
      </c>
      <c r="K929">
        <f t="shared" si="269"/>
        <v>0</v>
      </c>
      <c r="L929" cm="1">
        <f t="array" ref="L929">IF(E929*J929=0,0,$C$21*INDEX([3]Sheet1!$C$4:$Q$23,MATCH(K929,[3]Sheet1!$B$4:$B$23,1),MATCH(D929,[3]Sheet1!$C$3:$Q$3,1))
+(K929-INDEX([3]Sheet1!$B$4:$B$23,MATCH(K929,[3]Sheet1!$B$4:$B$23,1),1))/(INDEX([3]Sheet1!$B$4:$B$23,MATCH(K929,[3]Sheet1!$B$4:$B$23,1)+1,1)-INDEX([3]Sheet1!$B$4:$B$23,
MATCH(K929,[3]Sheet1!$B$4:$B$23,1),1))*(INDEX([3]Sheet1!$C$4:$Q$23,MATCH(K929,[3]Sheet1!$B$4:$B$23,1)+1,MATCH(D929,[3]Sheet1!$C$3:$Q$3,1))-INDEX([3]Sheet1!$C$4:$Q$23,
MATCH(K929,[3]Sheet1!$B$4:$B$23,1),MATCH(D929,[3]Sheet1!$C$3:$Q$3,1)))
+(D929-INDEX([3]Sheet1!$C$3:$Q$3,1,MATCH(D929,[3]Sheet1!$C$3:$Q$3)))/(INDEX([3]Sheet1!$C$3:$Q$3,1,MATCH(D929,[3]Sheet1!$C$3:$Q$3)+1)-INDEX([3]Sheet1!$C$3:$Q$3,1,MATCH(
D929,[3]Sheet1!$C$3:$Q$3)))*(INDEX([3]Sheet1!$C$4:$Q$23,MATCH(K929,[3]Sheet1!$B$4:$B$23,1),MATCH(D929,[3]Sheet1!$C$3:$Q$3,1)+1)-INDEX([3]Sheet1!$C$4:$Q$23,MATCH(K929,[3]Sheet1!$B$4:$B$23,1),MATCH(D929,[3]Sheet1!$C$3:$Q$3,1))))</f>
        <v>0</v>
      </c>
      <c r="M929" cm="1">
        <f t="array" ref="M929" xml:space="preserve"> IF(E929*J929=0,0,(INDEX([2]Sheet1!$C$4:$Q$23,MATCH(K929,[2]Sheet1!$B$4:$B$23,1),MATCH(D929,[2]Sheet1!$C$3:$Q$3,1))
+ (K929 - INDEX([2]Sheet1!$B$4:$B$23,MATCH(K929,[2]Sheet1!$B$4:$B$23,1),1))/(INDEX([2]Sheet1!$B$4:$B$23,MATCH(K929,[2]Sheet1!$B$4:$B$23,1)+1,1) - INDEX([2]Sheet1!$B$4:$B$23,MATCH(K929,[2]Sheet1!$B$4:$B$23,1),1))*(INDEX([2]Sheet1!$C$4:$Q$23,MATCH(K929,[2]Sheet1!$B$4:$B$23,1)+1,MATCH(D929,[2]Sheet1!$C$3:$Q$3,1)) - INDEX([2]Sheet1!$C$4:$Q$23,MATCH(K929,[2]Sheet1!$B$4:$B$23,1),MATCH(D929,[2]Sheet1!$C$3:$Q$3,1)))
+ (D929 - INDEX([2]Sheet1!$C$3:$Q$3,1,MATCH(D929,[2]Sheet1!$C$3:$Q$3)))/(INDEX([2]Sheet1!$C$3:$Q$3,1,MATCH(D929,[2]Sheet1!$C$3:$Q$3)+1) - INDEX([2]Sheet1!$C$3:$Q$3,1,MATCH(D929,[2]Sheet1!$C$3:$Q$3)))*(
INDEX([2]Sheet1!$C$4:$Q$23,MATCH(K929,[2]Sheet1!$B$4:$B$23,1),MATCH(D929,[2]Sheet1!$C$3:$Q$3,1)+1) - INDEX([2]Sheet1!$C$4:$Q$23,MATCH(K929,[2]Sheet1!$B$4:$B$23,1),MATCH(D929,[2]Sheet1!$C$3:$Q$3,1)))))</f>
        <v>0</v>
      </c>
      <c r="N929">
        <f t="shared" si="270"/>
        <v>12</v>
      </c>
      <c r="O929">
        <v>295.02450568394102</v>
      </c>
      <c r="P929" t="e">
        <f t="shared" si="271"/>
        <v>#DIV/0!</v>
      </c>
      <c r="Q929">
        <f t="shared" si="272"/>
        <v>0</v>
      </c>
      <c r="R929">
        <f t="shared" si="273"/>
        <v>741.9099431943954</v>
      </c>
      <c r="T929" t="e">
        <f t="shared" si="274"/>
        <v>#DIV/0!</v>
      </c>
      <c r="U929" t="e">
        <f t="shared" si="275"/>
        <v>#DIV/0!</v>
      </c>
      <c r="V929">
        <f t="shared" si="276"/>
        <v>0</v>
      </c>
      <c r="W929" t="e">
        <f t="shared" si="277"/>
        <v>#DIV/0!</v>
      </c>
    </row>
    <row r="930" spans="1:23" x14ac:dyDescent="0.55000000000000004">
      <c r="A930">
        <f t="shared" si="261"/>
        <v>89.599999999999184</v>
      </c>
      <c r="B930">
        <f t="shared" si="262"/>
        <v>0.316</v>
      </c>
      <c r="C930">
        <f t="shared" si="263"/>
        <v>-53.43478260869513</v>
      </c>
      <c r="D930">
        <v>296.43984551913201</v>
      </c>
      <c r="E930">
        <f t="shared" si="264"/>
        <v>0</v>
      </c>
      <c r="F930">
        <f t="shared" si="265"/>
        <v>4.8605058816845369E-2</v>
      </c>
      <c r="G930">
        <f t="shared" si="266"/>
        <v>39.513748498891111</v>
      </c>
      <c r="H930">
        <f t="shared" si="267"/>
        <v>0</v>
      </c>
      <c r="I930" s="1">
        <f t="shared" si="260"/>
        <v>0</v>
      </c>
      <c r="J930">
        <f t="shared" si="268"/>
        <v>0</v>
      </c>
      <c r="K930">
        <f t="shared" si="269"/>
        <v>0</v>
      </c>
      <c r="L930" cm="1">
        <f t="array" ref="L930">IF(E930*J930=0,0,$C$21*INDEX([3]Sheet1!$C$4:$Q$23,MATCH(K930,[3]Sheet1!$B$4:$B$23,1),MATCH(D930,[3]Sheet1!$C$3:$Q$3,1))
+(K930-INDEX([3]Sheet1!$B$4:$B$23,MATCH(K930,[3]Sheet1!$B$4:$B$23,1),1))/(INDEX([3]Sheet1!$B$4:$B$23,MATCH(K930,[3]Sheet1!$B$4:$B$23,1)+1,1)-INDEX([3]Sheet1!$B$4:$B$23,
MATCH(K930,[3]Sheet1!$B$4:$B$23,1),1))*(INDEX([3]Sheet1!$C$4:$Q$23,MATCH(K930,[3]Sheet1!$B$4:$B$23,1)+1,MATCH(D930,[3]Sheet1!$C$3:$Q$3,1))-INDEX([3]Sheet1!$C$4:$Q$23,
MATCH(K930,[3]Sheet1!$B$4:$B$23,1),MATCH(D930,[3]Sheet1!$C$3:$Q$3,1)))
+(D930-INDEX([3]Sheet1!$C$3:$Q$3,1,MATCH(D930,[3]Sheet1!$C$3:$Q$3)))/(INDEX([3]Sheet1!$C$3:$Q$3,1,MATCH(D930,[3]Sheet1!$C$3:$Q$3)+1)-INDEX([3]Sheet1!$C$3:$Q$3,1,MATCH(
D930,[3]Sheet1!$C$3:$Q$3)))*(INDEX([3]Sheet1!$C$4:$Q$23,MATCH(K930,[3]Sheet1!$B$4:$B$23,1),MATCH(D930,[3]Sheet1!$C$3:$Q$3,1)+1)-INDEX([3]Sheet1!$C$4:$Q$23,MATCH(K930,[3]Sheet1!$B$4:$B$23,1),MATCH(D930,[3]Sheet1!$C$3:$Q$3,1))))</f>
        <v>0</v>
      </c>
      <c r="M930" cm="1">
        <f t="array" ref="M930" xml:space="preserve"> IF(E930*J930=0,0,(INDEX([2]Sheet1!$C$4:$Q$23,MATCH(K930,[2]Sheet1!$B$4:$B$23,1),MATCH(D930,[2]Sheet1!$C$3:$Q$3,1))
+ (K930 - INDEX([2]Sheet1!$B$4:$B$23,MATCH(K930,[2]Sheet1!$B$4:$B$23,1),1))/(INDEX([2]Sheet1!$B$4:$B$23,MATCH(K930,[2]Sheet1!$B$4:$B$23,1)+1,1) - INDEX([2]Sheet1!$B$4:$B$23,MATCH(K930,[2]Sheet1!$B$4:$B$23,1),1))*(INDEX([2]Sheet1!$C$4:$Q$23,MATCH(K930,[2]Sheet1!$B$4:$B$23,1)+1,MATCH(D930,[2]Sheet1!$C$3:$Q$3,1)) - INDEX([2]Sheet1!$C$4:$Q$23,MATCH(K930,[2]Sheet1!$B$4:$B$23,1),MATCH(D930,[2]Sheet1!$C$3:$Q$3,1)))
+ (D930 - INDEX([2]Sheet1!$C$3:$Q$3,1,MATCH(D930,[2]Sheet1!$C$3:$Q$3)))/(INDEX([2]Sheet1!$C$3:$Q$3,1,MATCH(D930,[2]Sheet1!$C$3:$Q$3)+1) - INDEX([2]Sheet1!$C$3:$Q$3,1,MATCH(D930,[2]Sheet1!$C$3:$Q$3)))*(
INDEX([2]Sheet1!$C$4:$Q$23,MATCH(K930,[2]Sheet1!$B$4:$B$23,1),MATCH(D930,[2]Sheet1!$C$3:$Q$3,1)+1) - INDEX([2]Sheet1!$C$4:$Q$23,MATCH(K930,[2]Sheet1!$B$4:$B$23,1),MATCH(D930,[2]Sheet1!$C$3:$Q$3,1)))))</f>
        <v>0</v>
      </c>
      <c r="N930">
        <f t="shared" si="270"/>
        <v>12</v>
      </c>
      <c r="O930">
        <v>296.02450568394102</v>
      </c>
      <c r="P930" t="e">
        <f t="shared" si="271"/>
        <v>#DIV/0!</v>
      </c>
      <c r="Q930">
        <f t="shared" si="272"/>
        <v>0</v>
      </c>
      <c r="R930">
        <f t="shared" si="273"/>
        <v>741.9099431943954</v>
      </c>
      <c r="T930" t="e">
        <f t="shared" si="274"/>
        <v>#DIV/0!</v>
      </c>
      <c r="U930" t="e">
        <f t="shared" si="275"/>
        <v>#DIV/0!</v>
      </c>
      <c r="V930">
        <f t="shared" si="276"/>
        <v>0</v>
      </c>
      <c r="W930" t="e">
        <f t="shared" si="277"/>
        <v>#DIV/0!</v>
      </c>
    </row>
    <row r="931" spans="1:23" x14ac:dyDescent="0.55000000000000004">
      <c r="A931">
        <f t="shared" si="261"/>
        <v>89.699999999999179</v>
      </c>
      <c r="B931">
        <f t="shared" si="262"/>
        <v>0.316</v>
      </c>
      <c r="C931">
        <f t="shared" si="263"/>
        <v>-53.499999999999467</v>
      </c>
      <c r="D931">
        <v>297.43984551913201</v>
      </c>
      <c r="E931">
        <f t="shared" si="264"/>
        <v>0</v>
      </c>
      <c r="F931">
        <f t="shared" si="265"/>
        <v>4.8605058816845369E-2</v>
      </c>
      <c r="G931">
        <f t="shared" si="266"/>
        <v>39.513748498891111</v>
      </c>
      <c r="H931">
        <f t="shared" si="267"/>
        <v>0</v>
      </c>
      <c r="I931" s="1">
        <f t="shared" ref="I931:I994" si="278">IF(G931=$C$14,0,$C$16*(H931)^$C$17)</f>
        <v>0</v>
      </c>
      <c r="J931">
        <f t="shared" si="268"/>
        <v>0</v>
      </c>
      <c r="K931">
        <f t="shared" si="269"/>
        <v>0</v>
      </c>
      <c r="L931" cm="1">
        <f t="array" ref="L931">IF(E931*J931=0,0,$C$21*INDEX([3]Sheet1!$C$4:$Q$23,MATCH(K931,[3]Sheet1!$B$4:$B$23,1),MATCH(D931,[3]Sheet1!$C$3:$Q$3,1))
+(K931-INDEX([3]Sheet1!$B$4:$B$23,MATCH(K931,[3]Sheet1!$B$4:$B$23,1),1))/(INDEX([3]Sheet1!$B$4:$B$23,MATCH(K931,[3]Sheet1!$B$4:$B$23,1)+1,1)-INDEX([3]Sheet1!$B$4:$B$23,
MATCH(K931,[3]Sheet1!$B$4:$B$23,1),1))*(INDEX([3]Sheet1!$C$4:$Q$23,MATCH(K931,[3]Sheet1!$B$4:$B$23,1)+1,MATCH(D931,[3]Sheet1!$C$3:$Q$3,1))-INDEX([3]Sheet1!$C$4:$Q$23,
MATCH(K931,[3]Sheet1!$B$4:$B$23,1),MATCH(D931,[3]Sheet1!$C$3:$Q$3,1)))
+(D931-INDEX([3]Sheet1!$C$3:$Q$3,1,MATCH(D931,[3]Sheet1!$C$3:$Q$3)))/(INDEX([3]Sheet1!$C$3:$Q$3,1,MATCH(D931,[3]Sheet1!$C$3:$Q$3)+1)-INDEX([3]Sheet1!$C$3:$Q$3,1,MATCH(
D931,[3]Sheet1!$C$3:$Q$3)))*(INDEX([3]Sheet1!$C$4:$Q$23,MATCH(K931,[3]Sheet1!$B$4:$B$23,1),MATCH(D931,[3]Sheet1!$C$3:$Q$3,1)+1)-INDEX([3]Sheet1!$C$4:$Q$23,MATCH(K931,[3]Sheet1!$B$4:$B$23,1),MATCH(D931,[3]Sheet1!$C$3:$Q$3,1))))</f>
        <v>0</v>
      </c>
      <c r="M931" cm="1">
        <f t="array" ref="M931" xml:space="preserve"> IF(E931*J931=0,0,(INDEX([2]Sheet1!$C$4:$Q$23,MATCH(K931,[2]Sheet1!$B$4:$B$23,1),MATCH(D931,[2]Sheet1!$C$3:$Q$3,1))
+ (K931 - INDEX([2]Sheet1!$B$4:$B$23,MATCH(K931,[2]Sheet1!$B$4:$B$23,1),1))/(INDEX([2]Sheet1!$B$4:$B$23,MATCH(K931,[2]Sheet1!$B$4:$B$23,1)+1,1) - INDEX([2]Sheet1!$B$4:$B$23,MATCH(K931,[2]Sheet1!$B$4:$B$23,1),1))*(INDEX([2]Sheet1!$C$4:$Q$23,MATCH(K931,[2]Sheet1!$B$4:$B$23,1)+1,MATCH(D931,[2]Sheet1!$C$3:$Q$3,1)) - INDEX([2]Sheet1!$C$4:$Q$23,MATCH(K931,[2]Sheet1!$B$4:$B$23,1),MATCH(D931,[2]Sheet1!$C$3:$Q$3,1)))
+ (D931 - INDEX([2]Sheet1!$C$3:$Q$3,1,MATCH(D931,[2]Sheet1!$C$3:$Q$3)))/(INDEX([2]Sheet1!$C$3:$Q$3,1,MATCH(D931,[2]Sheet1!$C$3:$Q$3)+1) - INDEX([2]Sheet1!$C$3:$Q$3,1,MATCH(D931,[2]Sheet1!$C$3:$Q$3)))*(
INDEX([2]Sheet1!$C$4:$Q$23,MATCH(K931,[2]Sheet1!$B$4:$B$23,1),MATCH(D931,[2]Sheet1!$C$3:$Q$3,1)+1) - INDEX([2]Sheet1!$C$4:$Q$23,MATCH(K931,[2]Sheet1!$B$4:$B$23,1),MATCH(D931,[2]Sheet1!$C$3:$Q$3,1)))))</f>
        <v>0</v>
      </c>
      <c r="N931">
        <f t="shared" si="270"/>
        <v>12</v>
      </c>
      <c r="O931">
        <v>297.02450568394102</v>
      </c>
      <c r="P931" t="e">
        <f t="shared" si="271"/>
        <v>#DIV/0!</v>
      </c>
      <c r="Q931">
        <f t="shared" si="272"/>
        <v>0</v>
      </c>
      <c r="R931">
        <f t="shared" si="273"/>
        <v>741.9099431943954</v>
      </c>
      <c r="T931" t="e">
        <f t="shared" si="274"/>
        <v>#DIV/0!</v>
      </c>
      <c r="U931" t="e">
        <f t="shared" si="275"/>
        <v>#DIV/0!</v>
      </c>
      <c r="V931">
        <f t="shared" si="276"/>
        <v>0</v>
      </c>
      <c r="W931" t="e">
        <f t="shared" si="277"/>
        <v>#DIV/0!</v>
      </c>
    </row>
    <row r="932" spans="1:23" x14ac:dyDescent="0.55000000000000004">
      <c r="A932">
        <f t="shared" ref="A932:A995" si="279">A931+$C$29</f>
        <v>89.799999999999173</v>
      </c>
      <c r="B932">
        <f t="shared" si="262"/>
        <v>0.316</v>
      </c>
      <c r="C932">
        <f t="shared" si="263"/>
        <v>-53.565217391303818</v>
      </c>
      <c r="D932">
        <v>298.43984551913201</v>
      </c>
      <c r="E932">
        <f t="shared" si="264"/>
        <v>0</v>
      </c>
      <c r="F932">
        <f t="shared" si="265"/>
        <v>4.8605058816845369E-2</v>
      </c>
      <c r="G932">
        <f t="shared" si="266"/>
        <v>39.513748498891111</v>
      </c>
      <c r="H932">
        <f t="shared" si="267"/>
        <v>0</v>
      </c>
      <c r="I932" s="1">
        <f t="shared" si="278"/>
        <v>0</v>
      </c>
      <c r="J932">
        <f t="shared" si="268"/>
        <v>0</v>
      </c>
      <c r="K932">
        <f t="shared" si="269"/>
        <v>0</v>
      </c>
      <c r="L932" cm="1">
        <f t="array" ref="L932">IF(E932*J932=0,0,$C$21*INDEX([3]Sheet1!$C$4:$Q$23,MATCH(K932,[3]Sheet1!$B$4:$B$23,1),MATCH(D932,[3]Sheet1!$C$3:$Q$3,1))
+(K932-INDEX([3]Sheet1!$B$4:$B$23,MATCH(K932,[3]Sheet1!$B$4:$B$23,1),1))/(INDEX([3]Sheet1!$B$4:$B$23,MATCH(K932,[3]Sheet1!$B$4:$B$23,1)+1,1)-INDEX([3]Sheet1!$B$4:$B$23,
MATCH(K932,[3]Sheet1!$B$4:$B$23,1),1))*(INDEX([3]Sheet1!$C$4:$Q$23,MATCH(K932,[3]Sheet1!$B$4:$B$23,1)+1,MATCH(D932,[3]Sheet1!$C$3:$Q$3,1))-INDEX([3]Sheet1!$C$4:$Q$23,
MATCH(K932,[3]Sheet1!$B$4:$B$23,1),MATCH(D932,[3]Sheet1!$C$3:$Q$3,1)))
+(D932-INDEX([3]Sheet1!$C$3:$Q$3,1,MATCH(D932,[3]Sheet1!$C$3:$Q$3)))/(INDEX([3]Sheet1!$C$3:$Q$3,1,MATCH(D932,[3]Sheet1!$C$3:$Q$3)+1)-INDEX([3]Sheet1!$C$3:$Q$3,1,MATCH(
D932,[3]Sheet1!$C$3:$Q$3)))*(INDEX([3]Sheet1!$C$4:$Q$23,MATCH(K932,[3]Sheet1!$B$4:$B$23,1),MATCH(D932,[3]Sheet1!$C$3:$Q$3,1)+1)-INDEX([3]Sheet1!$C$4:$Q$23,MATCH(K932,[3]Sheet1!$B$4:$B$23,1),MATCH(D932,[3]Sheet1!$C$3:$Q$3,1))))</f>
        <v>0</v>
      </c>
      <c r="M932" cm="1">
        <f t="array" ref="M932" xml:space="preserve"> IF(E932*J932=0,0,(INDEX([2]Sheet1!$C$4:$Q$23,MATCH(K932,[2]Sheet1!$B$4:$B$23,1),MATCH(D932,[2]Sheet1!$C$3:$Q$3,1))
+ (K932 - INDEX([2]Sheet1!$B$4:$B$23,MATCH(K932,[2]Sheet1!$B$4:$B$23,1),1))/(INDEX([2]Sheet1!$B$4:$B$23,MATCH(K932,[2]Sheet1!$B$4:$B$23,1)+1,1) - INDEX([2]Sheet1!$B$4:$B$23,MATCH(K932,[2]Sheet1!$B$4:$B$23,1),1))*(INDEX([2]Sheet1!$C$4:$Q$23,MATCH(K932,[2]Sheet1!$B$4:$B$23,1)+1,MATCH(D932,[2]Sheet1!$C$3:$Q$3,1)) - INDEX([2]Sheet1!$C$4:$Q$23,MATCH(K932,[2]Sheet1!$B$4:$B$23,1),MATCH(D932,[2]Sheet1!$C$3:$Q$3,1)))
+ (D932 - INDEX([2]Sheet1!$C$3:$Q$3,1,MATCH(D932,[2]Sheet1!$C$3:$Q$3)))/(INDEX([2]Sheet1!$C$3:$Q$3,1,MATCH(D932,[2]Sheet1!$C$3:$Q$3)+1) - INDEX([2]Sheet1!$C$3:$Q$3,1,MATCH(D932,[2]Sheet1!$C$3:$Q$3)))*(
INDEX([2]Sheet1!$C$4:$Q$23,MATCH(K932,[2]Sheet1!$B$4:$B$23,1),MATCH(D932,[2]Sheet1!$C$3:$Q$3,1)+1) - INDEX([2]Sheet1!$C$4:$Q$23,MATCH(K932,[2]Sheet1!$B$4:$B$23,1),MATCH(D932,[2]Sheet1!$C$3:$Q$3,1)))))</f>
        <v>0</v>
      </c>
      <c r="N932">
        <f t="shared" si="270"/>
        <v>12</v>
      </c>
      <c r="O932">
        <v>298.02450568394102</v>
      </c>
      <c r="P932" t="e">
        <f t="shared" si="271"/>
        <v>#DIV/0!</v>
      </c>
      <c r="Q932">
        <f t="shared" si="272"/>
        <v>0</v>
      </c>
      <c r="R932">
        <f t="shared" si="273"/>
        <v>741.9099431943954</v>
      </c>
      <c r="T932" t="e">
        <f t="shared" si="274"/>
        <v>#DIV/0!</v>
      </c>
      <c r="U932" t="e">
        <f t="shared" si="275"/>
        <v>#DIV/0!</v>
      </c>
      <c r="V932">
        <f t="shared" si="276"/>
        <v>0</v>
      </c>
      <c r="W932" t="e">
        <f t="shared" si="277"/>
        <v>#DIV/0!</v>
      </c>
    </row>
    <row r="933" spans="1:23" x14ac:dyDescent="0.55000000000000004">
      <c r="A933">
        <f t="shared" si="279"/>
        <v>89.899999999999167</v>
      </c>
      <c r="B933">
        <f t="shared" si="262"/>
        <v>0.316</v>
      </c>
      <c r="C933">
        <f t="shared" si="263"/>
        <v>-53.630434782608155</v>
      </c>
      <c r="D933">
        <v>299.43984551913201</v>
      </c>
      <c r="E933">
        <f t="shared" si="264"/>
        <v>0</v>
      </c>
      <c r="F933">
        <f t="shared" si="265"/>
        <v>4.8605058816845369E-2</v>
      </c>
      <c r="G933">
        <f t="shared" si="266"/>
        <v>39.513748498891111</v>
      </c>
      <c r="H933">
        <f t="shared" si="267"/>
        <v>0</v>
      </c>
      <c r="I933" s="1">
        <f t="shared" si="278"/>
        <v>0</v>
      </c>
      <c r="J933">
        <f t="shared" si="268"/>
        <v>0</v>
      </c>
      <c r="K933">
        <f t="shared" si="269"/>
        <v>0</v>
      </c>
      <c r="L933" cm="1">
        <f t="array" ref="L933">IF(E933*J933=0,0,$C$21*INDEX([3]Sheet1!$C$4:$Q$23,MATCH(K933,[3]Sheet1!$B$4:$B$23,1),MATCH(D933,[3]Sheet1!$C$3:$Q$3,1))
+(K933-INDEX([3]Sheet1!$B$4:$B$23,MATCH(K933,[3]Sheet1!$B$4:$B$23,1),1))/(INDEX([3]Sheet1!$B$4:$B$23,MATCH(K933,[3]Sheet1!$B$4:$B$23,1)+1,1)-INDEX([3]Sheet1!$B$4:$B$23,
MATCH(K933,[3]Sheet1!$B$4:$B$23,1),1))*(INDEX([3]Sheet1!$C$4:$Q$23,MATCH(K933,[3]Sheet1!$B$4:$B$23,1)+1,MATCH(D933,[3]Sheet1!$C$3:$Q$3,1))-INDEX([3]Sheet1!$C$4:$Q$23,
MATCH(K933,[3]Sheet1!$B$4:$B$23,1),MATCH(D933,[3]Sheet1!$C$3:$Q$3,1)))
+(D933-INDEX([3]Sheet1!$C$3:$Q$3,1,MATCH(D933,[3]Sheet1!$C$3:$Q$3)))/(INDEX([3]Sheet1!$C$3:$Q$3,1,MATCH(D933,[3]Sheet1!$C$3:$Q$3)+1)-INDEX([3]Sheet1!$C$3:$Q$3,1,MATCH(
D933,[3]Sheet1!$C$3:$Q$3)))*(INDEX([3]Sheet1!$C$4:$Q$23,MATCH(K933,[3]Sheet1!$B$4:$B$23,1),MATCH(D933,[3]Sheet1!$C$3:$Q$3,1)+1)-INDEX([3]Sheet1!$C$4:$Q$23,MATCH(K933,[3]Sheet1!$B$4:$B$23,1),MATCH(D933,[3]Sheet1!$C$3:$Q$3,1))))</f>
        <v>0</v>
      </c>
      <c r="M933" cm="1">
        <f t="array" ref="M933" xml:space="preserve"> IF(E933*J933=0,0,(INDEX([2]Sheet1!$C$4:$Q$23,MATCH(K933,[2]Sheet1!$B$4:$B$23,1),MATCH(D933,[2]Sheet1!$C$3:$Q$3,1))
+ (K933 - INDEX([2]Sheet1!$B$4:$B$23,MATCH(K933,[2]Sheet1!$B$4:$B$23,1),1))/(INDEX([2]Sheet1!$B$4:$B$23,MATCH(K933,[2]Sheet1!$B$4:$B$23,1)+1,1) - INDEX([2]Sheet1!$B$4:$B$23,MATCH(K933,[2]Sheet1!$B$4:$B$23,1),1))*(INDEX([2]Sheet1!$C$4:$Q$23,MATCH(K933,[2]Sheet1!$B$4:$B$23,1)+1,MATCH(D933,[2]Sheet1!$C$3:$Q$3,1)) - INDEX([2]Sheet1!$C$4:$Q$23,MATCH(K933,[2]Sheet1!$B$4:$B$23,1),MATCH(D933,[2]Sheet1!$C$3:$Q$3,1)))
+ (D933 - INDEX([2]Sheet1!$C$3:$Q$3,1,MATCH(D933,[2]Sheet1!$C$3:$Q$3)))/(INDEX([2]Sheet1!$C$3:$Q$3,1,MATCH(D933,[2]Sheet1!$C$3:$Q$3)+1) - INDEX([2]Sheet1!$C$3:$Q$3,1,MATCH(D933,[2]Sheet1!$C$3:$Q$3)))*(
INDEX([2]Sheet1!$C$4:$Q$23,MATCH(K933,[2]Sheet1!$B$4:$B$23,1),MATCH(D933,[2]Sheet1!$C$3:$Q$3,1)+1) - INDEX([2]Sheet1!$C$4:$Q$23,MATCH(K933,[2]Sheet1!$B$4:$B$23,1),MATCH(D933,[2]Sheet1!$C$3:$Q$3,1)))))</f>
        <v>0</v>
      </c>
      <c r="N933">
        <f t="shared" si="270"/>
        <v>12</v>
      </c>
      <c r="O933">
        <v>299.02450568394102</v>
      </c>
      <c r="P933" t="e">
        <f t="shared" si="271"/>
        <v>#DIV/0!</v>
      </c>
      <c r="Q933">
        <f t="shared" si="272"/>
        <v>0</v>
      </c>
      <c r="R933">
        <f t="shared" si="273"/>
        <v>741.9099431943954</v>
      </c>
      <c r="T933" t="e">
        <f t="shared" si="274"/>
        <v>#DIV/0!</v>
      </c>
      <c r="U933" t="e">
        <f t="shared" si="275"/>
        <v>#DIV/0!</v>
      </c>
      <c r="V933">
        <f t="shared" si="276"/>
        <v>0</v>
      </c>
      <c r="W933" t="e">
        <f t="shared" si="277"/>
        <v>#DIV/0!</v>
      </c>
    </row>
    <row r="934" spans="1:23" x14ac:dyDescent="0.55000000000000004">
      <c r="A934">
        <f t="shared" si="279"/>
        <v>89.999999999999162</v>
      </c>
      <c r="B934">
        <f t="shared" ref="B934:B997" si="280">IF(B933+(E933+E932)*(A933-A932)/2&lt;$C$5*$C$6*10^-6,B933+(E933+E932)*(A933-A932)/2,$C$5*$C$6*10^-6)</f>
        <v>0.316</v>
      </c>
      <c r="C934">
        <f t="shared" si="263"/>
        <v>-53.695652173912507</v>
      </c>
      <c r="D934">
        <v>300.43984551913201</v>
      </c>
      <c r="E934">
        <f t="shared" si="264"/>
        <v>0</v>
      </c>
      <c r="F934">
        <f t="shared" si="265"/>
        <v>4.8605058816845369E-2</v>
      </c>
      <c r="G934">
        <f t="shared" si="266"/>
        <v>39.513748498891111</v>
      </c>
      <c r="H934">
        <f t="shared" si="267"/>
        <v>0</v>
      </c>
      <c r="I934" s="1">
        <f t="shared" si="278"/>
        <v>0</v>
      </c>
      <c r="J934">
        <f t="shared" si="268"/>
        <v>0</v>
      </c>
      <c r="K934">
        <f t="shared" si="269"/>
        <v>0</v>
      </c>
      <c r="L934" cm="1">
        <f t="array" ref="L934">IF(E934*J934=0,0,$C$21*INDEX([3]Sheet1!$C$4:$Q$23,MATCH(K934,[3]Sheet1!$B$4:$B$23,1),MATCH(D934,[3]Sheet1!$C$3:$Q$3,1))
+(K934-INDEX([3]Sheet1!$B$4:$B$23,MATCH(K934,[3]Sheet1!$B$4:$B$23,1),1))/(INDEX([3]Sheet1!$B$4:$B$23,MATCH(K934,[3]Sheet1!$B$4:$B$23,1)+1,1)-INDEX([3]Sheet1!$B$4:$B$23,
MATCH(K934,[3]Sheet1!$B$4:$B$23,1),1))*(INDEX([3]Sheet1!$C$4:$Q$23,MATCH(K934,[3]Sheet1!$B$4:$B$23,1)+1,MATCH(D934,[3]Sheet1!$C$3:$Q$3,1))-INDEX([3]Sheet1!$C$4:$Q$23,
MATCH(K934,[3]Sheet1!$B$4:$B$23,1),MATCH(D934,[3]Sheet1!$C$3:$Q$3,1)))
+(D934-INDEX([3]Sheet1!$C$3:$Q$3,1,MATCH(D934,[3]Sheet1!$C$3:$Q$3)))/(INDEX([3]Sheet1!$C$3:$Q$3,1,MATCH(D934,[3]Sheet1!$C$3:$Q$3)+1)-INDEX([3]Sheet1!$C$3:$Q$3,1,MATCH(
D934,[3]Sheet1!$C$3:$Q$3)))*(INDEX([3]Sheet1!$C$4:$Q$23,MATCH(K934,[3]Sheet1!$B$4:$B$23,1),MATCH(D934,[3]Sheet1!$C$3:$Q$3,1)+1)-INDEX([3]Sheet1!$C$4:$Q$23,MATCH(K934,[3]Sheet1!$B$4:$B$23,1),MATCH(D934,[3]Sheet1!$C$3:$Q$3,1))))</f>
        <v>0</v>
      </c>
      <c r="M934" cm="1">
        <f t="array" ref="M934" xml:space="preserve"> IF(E934*J934=0,0,(INDEX([2]Sheet1!$C$4:$Q$23,MATCH(K934,[2]Sheet1!$B$4:$B$23,1),MATCH(D934,[2]Sheet1!$C$3:$Q$3,1))
+ (K934 - INDEX([2]Sheet1!$B$4:$B$23,MATCH(K934,[2]Sheet1!$B$4:$B$23,1),1))/(INDEX([2]Sheet1!$B$4:$B$23,MATCH(K934,[2]Sheet1!$B$4:$B$23,1)+1,1) - INDEX([2]Sheet1!$B$4:$B$23,MATCH(K934,[2]Sheet1!$B$4:$B$23,1),1))*(INDEX([2]Sheet1!$C$4:$Q$23,MATCH(K934,[2]Sheet1!$B$4:$B$23,1)+1,MATCH(D934,[2]Sheet1!$C$3:$Q$3,1)) - INDEX([2]Sheet1!$C$4:$Q$23,MATCH(K934,[2]Sheet1!$B$4:$B$23,1),MATCH(D934,[2]Sheet1!$C$3:$Q$3,1)))
+ (D934 - INDEX([2]Sheet1!$C$3:$Q$3,1,MATCH(D934,[2]Sheet1!$C$3:$Q$3)))/(INDEX([2]Sheet1!$C$3:$Q$3,1,MATCH(D934,[2]Sheet1!$C$3:$Q$3)+1) - INDEX([2]Sheet1!$C$3:$Q$3,1,MATCH(D934,[2]Sheet1!$C$3:$Q$3)))*(
INDEX([2]Sheet1!$C$4:$Q$23,MATCH(K934,[2]Sheet1!$B$4:$B$23,1),MATCH(D934,[2]Sheet1!$C$3:$Q$3,1)+1) - INDEX([2]Sheet1!$C$4:$Q$23,MATCH(K934,[2]Sheet1!$B$4:$B$23,1),MATCH(D934,[2]Sheet1!$C$3:$Q$3,1)))))</f>
        <v>0</v>
      </c>
      <c r="N934">
        <f t="shared" si="270"/>
        <v>12</v>
      </c>
      <c r="O934">
        <v>300.02450568394102</v>
      </c>
      <c r="P934" t="e">
        <f t="shared" si="271"/>
        <v>#DIV/0!</v>
      </c>
      <c r="Q934">
        <f t="shared" si="272"/>
        <v>0</v>
      </c>
      <c r="R934">
        <f t="shared" si="273"/>
        <v>741.9099431943954</v>
      </c>
      <c r="T934" t="e">
        <f t="shared" si="274"/>
        <v>#DIV/0!</v>
      </c>
      <c r="U934" t="e">
        <f t="shared" si="275"/>
        <v>#DIV/0!</v>
      </c>
      <c r="V934">
        <f t="shared" si="276"/>
        <v>0</v>
      </c>
      <c r="W934" t="e">
        <f t="shared" si="277"/>
        <v>#DIV/0!</v>
      </c>
    </row>
    <row r="935" spans="1:23" x14ac:dyDescent="0.55000000000000004">
      <c r="A935">
        <f t="shared" si="279"/>
        <v>90.099999999999156</v>
      </c>
      <c r="B935">
        <f t="shared" si="280"/>
        <v>0.316</v>
      </c>
      <c r="C935">
        <f t="shared" si="263"/>
        <v>-53.760869565216844</v>
      </c>
      <c r="D935">
        <v>301.43984551913201</v>
      </c>
      <c r="E935">
        <f t="shared" si="264"/>
        <v>0</v>
      </c>
      <c r="F935">
        <f t="shared" si="265"/>
        <v>4.8605058816845369E-2</v>
      </c>
      <c r="G935">
        <f t="shared" si="266"/>
        <v>39.513748498891111</v>
      </c>
      <c r="H935">
        <f t="shared" si="267"/>
        <v>0</v>
      </c>
      <c r="I935" s="1">
        <f t="shared" si="278"/>
        <v>0</v>
      </c>
      <c r="J935">
        <f t="shared" si="268"/>
        <v>0</v>
      </c>
      <c r="K935">
        <f t="shared" si="269"/>
        <v>0</v>
      </c>
      <c r="L935" cm="1">
        <f t="array" ref="L935">IF(E935*J935=0,0,$C$21*INDEX([3]Sheet1!$C$4:$Q$23,MATCH(K935,[3]Sheet1!$B$4:$B$23,1),MATCH(D935,[3]Sheet1!$C$3:$Q$3,1))
+(K935-INDEX([3]Sheet1!$B$4:$B$23,MATCH(K935,[3]Sheet1!$B$4:$B$23,1),1))/(INDEX([3]Sheet1!$B$4:$B$23,MATCH(K935,[3]Sheet1!$B$4:$B$23,1)+1,1)-INDEX([3]Sheet1!$B$4:$B$23,
MATCH(K935,[3]Sheet1!$B$4:$B$23,1),1))*(INDEX([3]Sheet1!$C$4:$Q$23,MATCH(K935,[3]Sheet1!$B$4:$B$23,1)+1,MATCH(D935,[3]Sheet1!$C$3:$Q$3,1))-INDEX([3]Sheet1!$C$4:$Q$23,
MATCH(K935,[3]Sheet1!$B$4:$B$23,1),MATCH(D935,[3]Sheet1!$C$3:$Q$3,1)))
+(D935-INDEX([3]Sheet1!$C$3:$Q$3,1,MATCH(D935,[3]Sheet1!$C$3:$Q$3)))/(INDEX([3]Sheet1!$C$3:$Q$3,1,MATCH(D935,[3]Sheet1!$C$3:$Q$3)+1)-INDEX([3]Sheet1!$C$3:$Q$3,1,MATCH(
D935,[3]Sheet1!$C$3:$Q$3)))*(INDEX([3]Sheet1!$C$4:$Q$23,MATCH(K935,[3]Sheet1!$B$4:$B$23,1),MATCH(D935,[3]Sheet1!$C$3:$Q$3,1)+1)-INDEX([3]Sheet1!$C$4:$Q$23,MATCH(K935,[3]Sheet1!$B$4:$B$23,1),MATCH(D935,[3]Sheet1!$C$3:$Q$3,1))))</f>
        <v>0</v>
      </c>
      <c r="M935" cm="1">
        <f t="array" ref="M935" xml:space="preserve"> IF(E935*J935=0,0,(INDEX([2]Sheet1!$C$4:$Q$23,MATCH(K935,[2]Sheet1!$B$4:$B$23,1),MATCH(D935,[2]Sheet1!$C$3:$Q$3,1))
+ (K935 - INDEX([2]Sheet1!$B$4:$B$23,MATCH(K935,[2]Sheet1!$B$4:$B$23,1),1))/(INDEX([2]Sheet1!$B$4:$B$23,MATCH(K935,[2]Sheet1!$B$4:$B$23,1)+1,1) - INDEX([2]Sheet1!$B$4:$B$23,MATCH(K935,[2]Sheet1!$B$4:$B$23,1),1))*(INDEX([2]Sheet1!$C$4:$Q$23,MATCH(K935,[2]Sheet1!$B$4:$B$23,1)+1,MATCH(D935,[2]Sheet1!$C$3:$Q$3,1)) - INDEX([2]Sheet1!$C$4:$Q$23,MATCH(K935,[2]Sheet1!$B$4:$B$23,1),MATCH(D935,[2]Sheet1!$C$3:$Q$3,1)))
+ (D935 - INDEX([2]Sheet1!$C$3:$Q$3,1,MATCH(D935,[2]Sheet1!$C$3:$Q$3)))/(INDEX([2]Sheet1!$C$3:$Q$3,1,MATCH(D935,[2]Sheet1!$C$3:$Q$3)+1) - INDEX([2]Sheet1!$C$3:$Q$3,1,MATCH(D935,[2]Sheet1!$C$3:$Q$3)))*(
INDEX([2]Sheet1!$C$4:$Q$23,MATCH(K935,[2]Sheet1!$B$4:$B$23,1),MATCH(D935,[2]Sheet1!$C$3:$Q$3,1)+1) - INDEX([2]Sheet1!$C$4:$Q$23,MATCH(K935,[2]Sheet1!$B$4:$B$23,1),MATCH(D935,[2]Sheet1!$C$3:$Q$3,1)))))</f>
        <v>0</v>
      </c>
      <c r="N935">
        <f t="shared" si="270"/>
        <v>12</v>
      </c>
      <c r="O935">
        <v>301.02450568394102</v>
      </c>
      <c r="P935" t="e">
        <f t="shared" si="271"/>
        <v>#DIV/0!</v>
      </c>
      <c r="Q935">
        <f t="shared" si="272"/>
        <v>0</v>
      </c>
      <c r="R935">
        <f t="shared" si="273"/>
        <v>741.9099431943954</v>
      </c>
      <c r="T935" t="e">
        <f t="shared" si="274"/>
        <v>#DIV/0!</v>
      </c>
      <c r="U935" t="e">
        <f t="shared" si="275"/>
        <v>#DIV/0!</v>
      </c>
      <c r="V935">
        <f t="shared" si="276"/>
        <v>0</v>
      </c>
      <c r="W935" t="e">
        <f t="shared" si="277"/>
        <v>#DIV/0!</v>
      </c>
    </row>
    <row r="936" spans="1:23" x14ac:dyDescent="0.55000000000000004">
      <c r="A936">
        <f t="shared" si="279"/>
        <v>90.19999999999915</v>
      </c>
      <c r="B936">
        <f t="shared" si="280"/>
        <v>0.316</v>
      </c>
      <c r="C936">
        <f t="shared" si="263"/>
        <v>-53.826086956521195</v>
      </c>
      <c r="D936">
        <v>302.43984551913201</v>
      </c>
      <c r="E936">
        <f t="shared" si="264"/>
        <v>0</v>
      </c>
      <c r="F936">
        <f t="shared" si="265"/>
        <v>4.8605058816845369E-2</v>
      </c>
      <c r="G936">
        <f t="shared" si="266"/>
        <v>39.513748498891111</v>
      </c>
      <c r="H936">
        <f t="shared" si="267"/>
        <v>0</v>
      </c>
      <c r="I936" s="1">
        <f t="shared" si="278"/>
        <v>0</v>
      </c>
      <c r="J936">
        <f t="shared" si="268"/>
        <v>0</v>
      </c>
      <c r="K936">
        <f t="shared" si="269"/>
        <v>0</v>
      </c>
      <c r="L936" cm="1">
        <f t="array" ref="L936">IF(E936*J936=0,0,$C$21*INDEX([3]Sheet1!$C$4:$Q$23,MATCH(K936,[3]Sheet1!$B$4:$B$23,1),MATCH(D936,[3]Sheet1!$C$3:$Q$3,1))
+(K936-INDEX([3]Sheet1!$B$4:$B$23,MATCH(K936,[3]Sheet1!$B$4:$B$23,1),1))/(INDEX([3]Sheet1!$B$4:$B$23,MATCH(K936,[3]Sheet1!$B$4:$B$23,1)+1,1)-INDEX([3]Sheet1!$B$4:$B$23,
MATCH(K936,[3]Sheet1!$B$4:$B$23,1),1))*(INDEX([3]Sheet1!$C$4:$Q$23,MATCH(K936,[3]Sheet1!$B$4:$B$23,1)+1,MATCH(D936,[3]Sheet1!$C$3:$Q$3,1))-INDEX([3]Sheet1!$C$4:$Q$23,
MATCH(K936,[3]Sheet1!$B$4:$B$23,1),MATCH(D936,[3]Sheet1!$C$3:$Q$3,1)))
+(D936-INDEX([3]Sheet1!$C$3:$Q$3,1,MATCH(D936,[3]Sheet1!$C$3:$Q$3)))/(INDEX([3]Sheet1!$C$3:$Q$3,1,MATCH(D936,[3]Sheet1!$C$3:$Q$3)+1)-INDEX([3]Sheet1!$C$3:$Q$3,1,MATCH(
D936,[3]Sheet1!$C$3:$Q$3)))*(INDEX([3]Sheet1!$C$4:$Q$23,MATCH(K936,[3]Sheet1!$B$4:$B$23,1),MATCH(D936,[3]Sheet1!$C$3:$Q$3,1)+1)-INDEX([3]Sheet1!$C$4:$Q$23,MATCH(K936,[3]Sheet1!$B$4:$B$23,1),MATCH(D936,[3]Sheet1!$C$3:$Q$3,1))))</f>
        <v>0</v>
      </c>
      <c r="M936" cm="1">
        <f t="array" ref="M936" xml:space="preserve"> IF(E936*J936=0,0,(INDEX([2]Sheet1!$C$4:$Q$23,MATCH(K936,[2]Sheet1!$B$4:$B$23,1),MATCH(D936,[2]Sheet1!$C$3:$Q$3,1))
+ (K936 - INDEX([2]Sheet1!$B$4:$B$23,MATCH(K936,[2]Sheet1!$B$4:$B$23,1),1))/(INDEX([2]Sheet1!$B$4:$B$23,MATCH(K936,[2]Sheet1!$B$4:$B$23,1)+1,1) - INDEX([2]Sheet1!$B$4:$B$23,MATCH(K936,[2]Sheet1!$B$4:$B$23,1),1))*(INDEX([2]Sheet1!$C$4:$Q$23,MATCH(K936,[2]Sheet1!$B$4:$B$23,1)+1,MATCH(D936,[2]Sheet1!$C$3:$Q$3,1)) - INDEX([2]Sheet1!$C$4:$Q$23,MATCH(K936,[2]Sheet1!$B$4:$B$23,1),MATCH(D936,[2]Sheet1!$C$3:$Q$3,1)))
+ (D936 - INDEX([2]Sheet1!$C$3:$Q$3,1,MATCH(D936,[2]Sheet1!$C$3:$Q$3)))/(INDEX([2]Sheet1!$C$3:$Q$3,1,MATCH(D936,[2]Sheet1!$C$3:$Q$3)+1) - INDEX([2]Sheet1!$C$3:$Q$3,1,MATCH(D936,[2]Sheet1!$C$3:$Q$3)))*(
INDEX([2]Sheet1!$C$4:$Q$23,MATCH(K936,[2]Sheet1!$B$4:$B$23,1),MATCH(D936,[2]Sheet1!$C$3:$Q$3,1)+1) - INDEX([2]Sheet1!$C$4:$Q$23,MATCH(K936,[2]Sheet1!$B$4:$B$23,1),MATCH(D936,[2]Sheet1!$C$3:$Q$3,1)))))</f>
        <v>0</v>
      </c>
      <c r="N936">
        <f t="shared" si="270"/>
        <v>12</v>
      </c>
      <c r="O936">
        <v>302.02450568394102</v>
      </c>
      <c r="P936" t="e">
        <f t="shared" si="271"/>
        <v>#DIV/0!</v>
      </c>
      <c r="Q936">
        <f t="shared" si="272"/>
        <v>0</v>
      </c>
      <c r="R936">
        <f t="shared" si="273"/>
        <v>741.9099431943954</v>
      </c>
      <c r="T936" t="e">
        <f t="shared" si="274"/>
        <v>#DIV/0!</v>
      </c>
      <c r="U936" t="e">
        <f t="shared" si="275"/>
        <v>#DIV/0!</v>
      </c>
      <c r="V936">
        <f t="shared" si="276"/>
        <v>0</v>
      </c>
      <c r="W936" t="e">
        <f t="shared" si="277"/>
        <v>#DIV/0!</v>
      </c>
    </row>
    <row r="937" spans="1:23" x14ac:dyDescent="0.55000000000000004">
      <c r="A937">
        <f t="shared" si="279"/>
        <v>90.299999999999145</v>
      </c>
      <c r="B937">
        <f t="shared" si="280"/>
        <v>0.316</v>
      </c>
      <c r="C937">
        <f t="shared" si="263"/>
        <v>-53.891304347825532</v>
      </c>
      <c r="D937">
        <v>303.43984551913201</v>
      </c>
      <c r="E937">
        <f t="shared" si="264"/>
        <v>0</v>
      </c>
      <c r="F937">
        <f t="shared" si="265"/>
        <v>4.8605058816845369E-2</v>
      </c>
      <c r="G937">
        <f t="shared" si="266"/>
        <v>39.513748498891111</v>
      </c>
      <c r="H937">
        <f t="shared" si="267"/>
        <v>0</v>
      </c>
      <c r="I937" s="1">
        <f t="shared" si="278"/>
        <v>0</v>
      </c>
      <c r="J937">
        <f t="shared" si="268"/>
        <v>0</v>
      </c>
      <c r="K937">
        <f t="shared" si="269"/>
        <v>0</v>
      </c>
      <c r="L937" cm="1">
        <f t="array" ref="L937">IF(E937*J937=0,0,$C$21*INDEX([3]Sheet1!$C$4:$Q$23,MATCH(K937,[3]Sheet1!$B$4:$B$23,1),MATCH(D937,[3]Sheet1!$C$3:$Q$3,1))
+(K937-INDEX([3]Sheet1!$B$4:$B$23,MATCH(K937,[3]Sheet1!$B$4:$B$23,1),1))/(INDEX([3]Sheet1!$B$4:$B$23,MATCH(K937,[3]Sheet1!$B$4:$B$23,1)+1,1)-INDEX([3]Sheet1!$B$4:$B$23,
MATCH(K937,[3]Sheet1!$B$4:$B$23,1),1))*(INDEX([3]Sheet1!$C$4:$Q$23,MATCH(K937,[3]Sheet1!$B$4:$B$23,1)+1,MATCH(D937,[3]Sheet1!$C$3:$Q$3,1))-INDEX([3]Sheet1!$C$4:$Q$23,
MATCH(K937,[3]Sheet1!$B$4:$B$23,1),MATCH(D937,[3]Sheet1!$C$3:$Q$3,1)))
+(D937-INDEX([3]Sheet1!$C$3:$Q$3,1,MATCH(D937,[3]Sheet1!$C$3:$Q$3)))/(INDEX([3]Sheet1!$C$3:$Q$3,1,MATCH(D937,[3]Sheet1!$C$3:$Q$3)+1)-INDEX([3]Sheet1!$C$3:$Q$3,1,MATCH(
D937,[3]Sheet1!$C$3:$Q$3)))*(INDEX([3]Sheet1!$C$4:$Q$23,MATCH(K937,[3]Sheet1!$B$4:$B$23,1),MATCH(D937,[3]Sheet1!$C$3:$Q$3,1)+1)-INDEX([3]Sheet1!$C$4:$Q$23,MATCH(K937,[3]Sheet1!$B$4:$B$23,1),MATCH(D937,[3]Sheet1!$C$3:$Q$3,1))))</f>
        <v>0</v>
      </c>
      <c r="M937" cm="1">
        <f t="array" ref="M937" xml:space="preserve"> IF(E937*J937=0,0,(INDEX([2]Sheet1!$C$4:$Q$23,MATCH(K937,[2]Sheet1!$B$4:$B$23,1),MATCH(D937,[2]Sheet1!$C$3:$Q$3,1))
+ (K937 - INDEX([2]Sheet1!$B$4:$B$23,MATCH(K937,[2]Sheet1!$B$4:$B$23,1),1))/(INDEX([2]Sheet1!$B$4:$B$23,MATCH(K937,[2]Sheet1!$B$4:$B$23,1)+1,1) - INDEX([2]Sheet1!$B$4:$B$23,MATCH(K937,[2]Sheet1!$B$4:$B$23,1),1))*(INDEX([2]Sheet1!$C$4:$Q$23,MATCH(K937,[2]Sheet1!$B$4:$B$23,1)+1,MATCH(D937,[2]Sheet1!$C$3:$Q$3,1)) - INDEX([2]Sheet1!$C$4:$Q$23,MATCH(K937,[2]Sheet1!$B$4:$B$23,1),MATCH(D937,[2]Sheet1!$C$3:$Q$3,1)))
+ (D937 - INDEX([2]Sheet1!$C$3:$Q$3,1,MATCH(D937,[2]Sheet1!$C$3:$Q$3)))/(INDEX([2]Sheet1!$C$3:$Q$3,1,MATCH(D937,[2]Sheet1!$C$3:$Q$3)+1) - INDEX([2]Sheet1!$C$3:$Q$3,1,MATCH(D937,[2]Sheet1!$C$3:$Q$3)))*(
INDEX([2]Sheet1!$C$4:$Q$23,MATCH(K937,[2]Sheet1!$B$4:$B$23,1),MATCH(D937,[2]Sheet1!$C$3:$Q$3,1)+1) - INDEX([2]Sheet1!$C$4:$Q$23,MATCH(K937,[2]Sheet1!$B$4:$B$23,1),MATCH(D937,[2]Sheet1!$C$3:$Q$3,1)))))</f>
        <v>0</v>
      </c>
      <c r="N937">
        <f t="shared" si="270"/>
        <v>12</v>
      </c>
      <c r="O937">
        <v>303.02450568394102</v>
      </c>
      <c r="P937" t="e">
        <f t="shared" si="271"/>
        <v>#DIV/0!</v>
      </c>
      <c r="Q937">
        <f t="shared" si="272"/>
        <v>0</v>
      </c>
      <c r="R937">
        <f t="shared" si="273"/>
        <v>741.9099431943954</v>
      </c>
      <c r="T937" t="e">
        <f t="shared" si="274"/>
        <v>#DIV/0!</v>
      </c>
      <c r="U937" t="e">
        <f t="shared" si="275"/>
        <v>#DIV/0!</v>
      </c>
      <c r="V937">
        <f t="shared" si="276"/>
        <v>0</v>
      </c>
      <c r="W937" t="e">
        <f t="shared" si="277"/>
        <v>#DIV/0!</v>
      </c>
    </row>
    <row r="938" spans="1:23" x14ac:dyDescent="0.55000000000000004">
      <c r="A938">
        <f t="shared" si="279"/>
        <v>90.399999999999139</v>
      </c>
      <c r="B938">
        <f t="shared" si="280"/>
        <v>0.316</v>
      </c>
      <c r="C938">
        <f t="shared" si="263"/>
        <v>-53.956521739129883</v>
      </c>
      <c r="D938">
        <v>304.43984551913201</v>
      </c>
      <c r="E938">
        <f t="shared" si="264"/>
        <v>0</v>
      </c>
      <c r="F938">
        <f t="shared" si="265"/>
        <v>4.8605058816845369E-2</v>
      </c>
      <c r="G938">
        <f t="shared" si="266"/>
        <v>39.513748498891111</v>
      </c>
      <c r="H938">
        <f t="shared" si="267"/>
        <v>0</v>
      </c>
      <c r="I938" s="1">
        <f t="shared" si="278"/>
        <v>0</v>
      </c>
      <c r="J938">
        <f t="shared" si="268"/>
        <v>0</v>
      </c>
      <c r="K938">
        <f t="shared" si="269"/>
        <v>0</v>
      </c>
      <c r="L938" cm="1">
        <f t="array" ref="L938">IF(E938*J938=0,0,$C$21*INDEX([3]Sheet1!$C$4:$Q$23,MATCH(K938,[3]Sheet1!$B$4:$B$23,1),MATCH(D938,[3]Sheet1!$C$3:$Q$3,1))
+(K938-INDEX([3]Sheet1!$B$4:$B$23,MATCH(K938,[3]Sheet1!$B$4:$B$23,1),1))/(INDEX([3]Sheet1!$B$4:$B$23,MATCH(K938,[3]Sheet1!$B$4:$B$23,1)+1,1)-INDEX([3]Sheet1!$B$4:$B$23,
MATCH(K938,[3]Sheet1!$B$4:$B$23,1),1))*(INDEX([3]Sheet1!$C$4:$Q$23,MATCH(K938,[3]Sheet1!$B$4:$B$23,1)+1,MATCH(D938,[3]Sheet1!$C$3:$Q$3,1))-INDEX([3]Sheet1!$C$4:$Q$23,
MATCH(K938,[3]Sheet1!$B$4:$B$23,1),MATCH(D938,[3]Sheet1!$C$3:$Q$3,1)))
+(D938-INDEX([3]Sheet1!$C$3:$Q$3,1,MATCH(D938,[3]Sheet1!$C$3:$Q$3)))/(INDEX([3]Sheet1!$C$3:$Q$3,1,MATCH(D938,[3]Sheet1!$C$3:$Q$3)+1)-INDEX([3]Sheet1!$C$3:$Q$3,1,MATCH(
D938,[3]Sheet1!$C$3:$Q$3)))*(INDEX([3]Sheet1!$C$4:$Q$23,MATCH(K938,[3]Sheet1!$B$4:$B$23,1),MATCH(D938,[3]Sheet1!$C$3:$Q$3,1)+1)-INDEX([3]Sheet1!$C$4:$Q$23,MATCH(K938,[3]Sheet1!$B$4:$B$23,1),MATCH(D938,[3]Sheet1!$C$3:$Q$3,1))))</f>
        <v>0</v>
      </c>
      <c r="M938" cm="1">
        <f t="array" ref="M938" xml:space="preserve"> IF(E938*J938=0,0,(INDEX([2]Sheet1!$C$4:$Q$23,MATCH(K938,[2]Sheet1!$B$4:$B$23,1),MATCH(D938,[2]Sheet1!$C$3:$Q$3,1))
+ (K938 - INDEX([2]Sheet1!$B$4:$B$23,MATCH(K938,[2]Sheet1!$B$4:$B$23,1),1))/(INDEX([2]Sheet1!$B$4:$B$23,MATCH(K938,[2]Sheet1!$B$4:$B$23,1)+1,1) - INDEX([2]Sheet1!$B$4:$B$23,MATCH(K938,[2]Sheet1!$B$4:$B$23,1),1))*(INDEX([2]Sheet1!$C$4:$Q$23,MATCH(K938,[2]Sheet1!$B$4:$B$23,1)+1,MATCH(D938,[2]Sheet1!$C$3:$Q$3,1)) - INDEX([2]Sheet1!$C$4:$Q$23,MATCH(K938,[2]Sheet1!$B$4:$B$23,1),MATCH(D938,[2]Sheet1!$C$3:$Q$3,1)))
+ (D938 - INDEX([2]Sheet1!$C$3:$Q$3,1,MATCH(D938,[2]Sheet1!$C$3:$Q$3)))/(INDEX([2]Sheet1!$C$3:$Q$3,1,MATCH(D938,[2]Sheet1!$C$3:$Q$3)+1) - INDEX([2]Sheet1!$C$3:$Q$3,1,MATCH(D938,[2]Sheet1!$C$3:$Q$3)))*(
INDEX([2]Sheet1!$C$4:$Q$23,MATCH(K938,[2]Sheet1!$B$4:$B$23,1),MATCH(D938,[2]Sheet1!$C$3:$Q$3,1)+1) - INDEX([2]Sheet1!$C$4:$Q$23,MATCH(K938,[2]Sheet1!$B$4:$B$23,1),MATCH(D938,[2]Sheet1!$C$3:$Q$3,1)))))</f>
        <v>0</v>
      </c>
      <c r="N938">
        <f t="shared" si="270"/>
        <v>12</v>
      </c>
      <c r="O938">
        <v>304.02450568394102</v>
      </c>
      <c r="P938" t="e">
        <f t="shared" si="271"/>
        <v>#DIV/0!</v>
      </c>
      <c r="Q938">
        <f t="shared" si="272"/>
        <v>0</v>
      </c>
      <c r="R938">
        <f t="shared" si="273"/>
        <v>741.9099431943954</v>
      </c>
      <c r="T938" t="e">
        <f t="shared" si="274"/>
        <v>#DIV/0!</v>
      </c>
      <c r="U938" t="e">
        <f t="shared" si="275"/>
        <v>#DIV/0!</v>
      </c>
      <c r="V938">
        <f t="shared" si="276"/>
        <v>0</v>
      </c>
      <c r="W938" t="e">
        <f t="shared" si="277"/>
        <v>#DIV/0!</v>
      </c>
    </row>
    <row r="939" spans="1:23" x14ac:dyDescent="0.55000000000000004">
      <c r="A939">
        <f t="shared" si="279"/>
        <v>90.499999999999133</v>
      </c>
      <c r="B939">
        <f t="shared" si="280"/>
        <v>0.316</v>
      </c>
      <c r="C939">
        <f t="shared" si="263"/>
        <v>-54.02173913043422</v>
      </c>
      <c r="D939">
        <v>305.43984551913201</v>
      </c>
      <c r="E939">
        <f t="shared" si="264"/>
        <v>0</v>
      </c>
      <c r="F939">
        <f t="shared" si="265"/>
        <v>4.8605058816845369E-2</v>
      </c>
      <c r="G939">
        <f t="shared" si="266"/>
        <v>39.513748498891111</v>
      </c>
      <c r="H939">
        <f t="shared" si="267"/>
        <v>0</v>
      </c>
      <c r="I939" s="1">
        <f t="shared" si="278"/>
        <v>0</v>
      </c>
      <c r="J939">
        <f t="shared" si="268"/>
        <v>0</v>
      </c>
      <c r="K939">
        <f t="shared" si="269"/>
        <v>0</v>
      </c>
      <c r="L939" cm="1">
        <f t="array" ref="L939">IF(E939*J939=0,0,$C$21*INDEX([3]Sheet1!$C$4:$Q$23,MATCH(K939,[3]Sheet1!$B$4:$B$23,1),MATCH(D939,[3]Sheet1!$C$3:$Q$3,1))
+(K939-INDEX([3]Sheet1!$B$4:$B$23,MATCH(K939,[3]Sheet1!$B$4:$B$23,1),1))/(INDEX([3]Sheet1!$B$4:$B$23,MATCH(K939,[3]Sheet1!$B$4:$B$23,1)+1,1)-INDEX([3]Sheet1!$B$4:$B$23,
MATCH(K939,[3]Sheet1!$B$4:$B$23,1),1))*(INDEX([3]Sheet1!$C$4:$Q$23,MATCH(K939,[3]Sheet1!$B$4:$B$23,1)+1,MATCH(D939,[3]Sheet1!$C$3:$Q$3,1))-INDEX([3]Sheet1!$C$4:$Q$23,
MATCH(K939,[3]Sheet1!$B$4:$B$23,1),MATCH(D939,[3]Sheet1!$C$3:$Q$3,1)))
+(D939-INDEX([3]Sheet1!$C$3:$Q$3,1,MATCH(D939,[3]Sheet1!$C$3:$Q$3)))/(INDEX([3]Sheet1!$C$3:$Q$3,1,MATCH(D939,[3]Sheet1!$C$3:$Q$3)+1)-INDEX([3]Sheet1!$C$3:$Q$3,1,MATCH(
D939,[3]Sheet1!$C$3:$Q$3)))*(INDEX([3]Sheet1!$C$4:$Q$23,MATCH(K939,[3]Sheet1!$B$4:$B$23,1),MATCH(D939,[3]Sheet1!$C$3:$Q$3,1)+1)-INDEX([3]Sheet1!$C$4:$Q$23,MATCH(K939,[3]Sheet1!$B$4:$B$23,1),MATCH(D939,[3]Sheet1!$C$3:$Q$3,1))))</f>
        <v>0</v>
      </c>
      <c r="M939" cm="1">
        <f t="array" ref="M939" xml:space="preserve"> IF(E939*J939=0,0,(INDEX([2]Sheet1!$C$4:$Q$23,MATCH(K939,[2]Sheet1!$B$4:$B$23,1),MATCH(D939,[2]Sheet1!$C$3:$Q$3,1))
+ (K939 - INDEX([2]Sheet1!$B$4:$B$23,MATCH(K939,[2]Sheet1!$B$4:$B$23,1),1))/(INDEX([2]Sheet1!$B$4:$B$23,MATCH(K939,[2]Sheet1!$B$4:$B$23,1)+1,1) - INDEX([2]Sheet1!$B$4:$B$23,MATCH(K939,[2]Sheet1!$B$4:$B$23,1),1))*(INDEX([2]Sheet1!$C$4:$Q$23,MATCH(K939,[2]Sheet1!$B$4:$B$23,1)+1,MATCH(D939,[2]Sheet1!$C$3:$Q$3,1)) - INDEX([2]Sheet1!$C$4:$Q$23,MATCH(K939,[2]Sheet1!$B$4:$B$23,1),MATCH(D939,[2]Sheet1!$C$3:$Q$3,1)))
+ (D939 - INDEX([2]Sheet1!$C$3:$Q$3,1,MATCH(D939,[2]Sheet1!$C$3:$Q$3)))/(INDEX([2]Sheet1!$C$3:$Q$3,1,MATCH(D939,[2]Sheet1!$C$3:$Q$3)+1) - INDEX([2]Sheet1!$C$3:$Q$3,1,MATCH(D939,[2]Sheet1!$C$3:$Q$3)))*(
INDEX([2]Sheet1!$C$4:$Q$23,MATCH(K939,[2]Sheet1!$B$4:$B$23,1),MATCH(D939,[2]Sheet1!$C$3:$Q$3,1)+1) - INDEX([2]Sheet1!$C$4:$Q$23,MATCH(K939,[2]Sheet1!$B$4:$B$23,1),MATCH(D939,[2]Sheet1!$C$3:$Q$3,1)))))</f>
        <v>0</v>
      </c>
      <c r="N939">
        <f t="shared" si="270"/>
        <v>12</v>
      </c>
      <c r="O939">
        <v>305.02450568394102</v>
      </c>
      <c r="P939" t="e">
        <f t="shared" si="271"/>
        <v>#DIV/0!</v>
      </c>
      <c r="Q939">
        <f t="shared" si="272"/>
        <v>0</v>
      </c>
      <c r="R939">
        <f t="shared" si="273"/>
        <v>741.9099431943954</v>
      </c>
      <c r="T939" t="e">
        <f t="shared" si="274"/>
        <v>#DIV/0!</v>
      </c>
      <c r="U939" t="e">
        <f t="shared" si="275"/>
        <v>#DIV/0!</v>
      </c>
      <c r="V939">
        <f t="shared" si="276"/>
        <v>0</v>
      </c>
      <c r="W939" t="e">
        <f t="shared" si="277"/>
        <v>#DIV/0!</v>
      </c>
    </row>
    <row r="940" spans="1:23" x14ac:dyDescent="0.55000000000000004">
      <c r="A940">
        <f t="shared" si="279"/>
        <v>90.599999999999127</v>
      </c>
      <c r="B940">
        <f t="shared" si="280"/>
        <v>0.316</v>
      </c>
      <c r="C940">
        <f t="shared" si="263"/>
        <v>-54.086956521738571</v>
      </c>
      <c r="D940">
        <v>306.43984551913201</v>
      </c>
      <c r="E940">
        <f t="shared" si="264"/>
        <v>0</v>
      </c>
      <c r="F940">
        <f t="shared" si="265"/>
        <v>4.8605058816845369E-2</v>
      </c>
      <c r="G940">
        <f t="shared" si="266"/>
        <v>39.513748498891111</v>
      </c>
      <c r="H940">
        <f t="shared" si="267"/>
        <v>0</v>
      </c>
      <c r="I940" s="1">
        <f t="shared" si="278"/>
        <v>0</v>
      </c>
      <c r="J940">
        <f t="shared" si="268"/>
        <v>0</v>
      </c>
      <c r="K940">
        <f t="shared" si="269"/>
        <v>0</v>
      </c>
      <c r="L940" cm="1">
        <f t="array" ref="L940">IF(E940*J940=0,0,$C$21*INDEX([3]Sheet1!$C$4:$Q$23,MATCH(K940,[3]Sheet1!$B$4:$B$23,1),MATCH(D940,[3]Sheet1!$C$3:$Q$3,1))
+(K940-INDEX([3]Sheet1!$B$4:$B$23,MATCH(K940,[3]Sheet1!$B$4:$B$23,1),1))/(INDEX([3]Sheet1!$B$4:$B$23,MATCH(K940,[3]Sheet1!$B$4:$B$23,1)+1,1)-INDEX([3]Sheet1!$B$4:$B$23,
MATCH(K940,[3]Sheet1!$B$4:$B$23,1),1))*(INDEX([3]Sheet1!$C$4:$Q$23,MATCH(K940,[3]Sheet1!$B$4:$B$23,1)+1,MATCH(D940,[3]Sheet1!$C$3:$Q$3,1))-INDEX([3]Sheet1!$C$4:$Q$23,
MATCH(K940,[3]Sheet1!$B$4:$B$23,1),MATCH(D940,[3]Sheet1!$C$3:$Q$3,1)))
+(D940-INDEX([3]Sheet1!$C$3:$Q$3,1,MATCH(D940,[3]Sheet1!$C$3:$Q$3)))/(INDEX([3]Sheet1!$C$3:$Q$3,1,MATCH(D940,[3]Sheet1!$C$3:$Q$3)+1)-INDEX([3]Sheet1!$C$3:$Q$3,1,MATCH(
D940,[3]Sheet1!$C$3:$Q$3)))*(INDEX([3]Sheet1!$C$4:$Q$23,MATCH(K940,[3]Sheet1!$B$4:$B$23,1),MATCH(D940,[3]Sheet1!$C$3:$Q$3,1)+1)-INDEX([3]Sheet1!$C$4:$Q$23,MATCH(K940,[3]Sheet1!$B$4:$B$23,1),MATCH(D940,[3]Sheet1!$C$3:$Q$3,1))))</f>
        <v>0</v>
      </c>
      <c r="M940" cm="1">
        <f t="array" ref="M940" xml:space="preserve"> IF(E940*J940=0,0,(INDEX([2]Sheet1!$C$4:$Q$23,MATCH(K940,[2]Sheet1!$B$4:$B$23,1),MATCH(D940,[2]Sheet1!$C$3:$Q$3,1))
+ (K940 - INDEX([2]Sheet1!$B$4:$B$23,MATCH(K940,[2]Sheet1!$B$4:$B$23,1),1))/(INDEX([2]Sheet1!$B$4:$B$23,MATCH(K940,[2]Sheet1!$B$4:$B$23,1)+1,1) - INDEX([2]Sheet1!$B$4:$B$23,MATCH(K940,[2]Sheet1!$B$4:$B$23,1),1))*(INDEX([2]Sheet1!$C$4:$Q$23,MATCH(K940,[2]Sheet1!$B$4:$B$23,1)+1,MATCH(D940,[2]Sheet1!$C$3:$Q$3,1)) - INDEX([2]Sheet1!$C$4:$Q$23,MATCH(K940,[2]Sheet1!$B$4:$B$23,1),MATCH(D940,[2]Sheet1!$C$3:$Q$3,1)))
+ (D940 - INDEX([2]Sheet1!$C$3:$Q$3,1,MATCH(D940,[2]Sheet1!$C$3:$Q$3)))/(INDEX([2]Sheet1!$C$3:$Q$3,1,MATCH(D940,[2]Sheet1!$C$3:$Q$3)+1) - INDEX([2]Sheet1!$C$3:$Q$3,1,MATCH(D940,[2]Sheet1!$C$3:$Q$3)))*(
INDEX([2]Sheet1!$C$4:$Q$23,MATCH(K940,[2]Sheet1!$B$4:$B$23,1),MATCH(D940,[2]Sheet1!$C$3:$Q$3,1)+1) - INDEX([2]Sheet1!$C$4:$Q$23,MATCH(K940,[2]Sheet1!$B$4:$B$23,1),MATCH(D940,[2]Sheet1!$C$3:$Q$3,1)))))</f>
        <v>0</v>
      </c>
      <c r="N940">
        <f t="shared" si="270"/>
        <v>12</v>
      </c>
      <c r="O940">
        <v>306.02450568394102</v>
      </c>
      <c r="P940" t="e">
        <f t="shared" si="271"/>
        <v>#DIV/0!</v>
      </c>
      <c r="Q940">
        <f t="shared" si="272"/>
        <v>0</v>
      </c>
      <c r="R940">
        <f t="shared" si="273"/>
        <v>741.9099431943954</v>
      </c>
      <c r="T940" t="e">
        <f t="shared" si="274"/>
        <v>#DIV/0!</v>
      </c>
      <c r="U940" t="e">
        <f t="shared" si="275"/>
        <v>#DIV/0!</v>
      </c>
      <c r="V940">
        <f t="shared" si="276"/>
        <v>0</v>
      </c>
      <c r="W940" t="e">
        <f t="shared" si="277"/>
        <v>#DIV/0!</v>
      </c>
    </row>
    <row r="941" spans="1:23" x14ac:dyDescent="0.55000000000000004">
      <c r="A941">
        <f t="shared" si="279"/>
        <v>90.699999999999122</v>
      </c>
      <c r="B941">
        <f t="shared" si="280"/>
        <v>0.316</v>
      </c>
      <c r="C941">
        <f t="shared" si="263"/>
        <v>-54.152173913042908</v>
      </c>
      <c r="D941">
        <v>307.43984551913201</v>
      </c>
      <c r="E941">
        <f t="shared" si="264"/>
        <v>0</v>
      </c>
      <c r="F941">
        <f t="shared" si="265"/>
        <v>4.8605058816845369E-2</v>
      </c>
      <c r="G941">
        <f t="shared" si="266"/>
        <v>39.513748498891111</v>
      </c>
      <c r="H941">
        <f t="shared" si="267"/>
        <v>0</v>
      </c>
      <c r="I941" s="1">
        <f t="shared" si="278"/>
        <v>0</v>
      </c>
      <c r="J941">
        <f t="shared" si="268"/>
        <v>0</v>
      </c>
      <c r="K941">
        <f t="shared" si="269"/>
        <v>0</v>
      </c>
      <c r="L941" cm="1">
        <f t="array" ref="L941">IF(E941*J941=0,0,$C$21*INDEX([3]Sheet1!$C$4:$Q$23,MATCH(K941,[3]Sheet1!$B$4:$B$23,1),MATCH(D941,[3]Sheet1!$C$3:$Q$3,1))
+(K941-INDEX([3]Sheet1!$B$4:$B$23,MATCH(K941,[3]Sheet1!$B$4:$B$23,1),1))/(INDEX([3]Sheet1!$B$4:$B$23,MATCH(K941,[3]Sheet1!$B$4:$B$23,1)+1,1)-INDEX([3]Sheet1!$B$4:$B$23,
MATCH(K941,[3]Sheet1!$B$4:$B$23,1),1))*(INDEX([3]Sheet1!$C$4:$Q$23,MATCH(K941,[3]Sheet1!$B$4:$B$23,1)+1,MATCH(D941,[3]Sheet1!$C$3:$Q$3,1))-INDEX([3]Sheet1!$C$4:$Q$23,
MATCH(K941,[3]Sheet1!$B$4:$B$23,1),MATCH(D941,[3]Sheet1!$C$3:$Q$3,1)))
+(D941-INDEX([3]Sheet1!$C$3:$Q$3,1,MATCH(D941,[3]Sheet1!$C$3:$Q$3)))/(INDEX([3]Sheet1!$C$3:$Q$3,1,MATCH(D941,[3]Sheet1!$C$3:$Q$3)+1)-INDEX([3]Sheet1!$C$3:$Q$3,1,MATCH(
D941,[3]Sheet1!$C$3:$Q$3)))*(INDEX([3]Sheet1!$C$4:$Q$23,MATCH(K941,[3]Sheet1!$B$4:$B$23,1),MATCH(D941,[3]Sheet1!$C$3:$Q$3,1)+1)-INDEX([3]Sheet1!$C$4:$Q$23,MATCH(K941,[3]Sheet1!$B$4:$B$23,1),MATCH(D941,[3]Sheet1!$C$3:$Q$3,1))))</f>
        <v>0</v>
      </c>
      <c r="M941" cm="1">
        <f t="array" ref="M941" xml:space="preserve"> IF(E941*J941=0,0,(INDEX([2]Sheet1!$C$4:$Q$23,MATCH(K941,[2]Sheet1!$B$4:$B$23,1),MATCH(D941,[2]Sheet1!$C$3:$Q$3,1))
+ (K941 - INDEX([2]Sheet1!$B$4:$B$23,MATCH(K941,[2]Sheet1!$B$4:$B$23,1),1))/(INDEX([2]Sheet1!$B$4:$B$23,MATCH(K941,[2]Sheet1!$B$4:$B$23,1)+1,1) - INDEX([2]Sheet1!$B$4:$B$23,MATCH(K941,[2]Sheet1!$B$4:$B$23,1),1))*(INDEX([2]Sheet1!$C$4:$Q$23,MATCH(K941,[2]Sheet1!$B$4:$B$23,1)+1,MATCH(D941,[2]Sheet1!$C$3:$Q$3,1)) - INDEX([2]Sheet1!$C$4:$Q$23,MATCH(K941,[2]Sheet1!$B$4:$B$23,1),MATCH(D941,[2]Sheet1!$C$3:$Q$3,1)))
+ (D941 - INDEX([2]Sheet1!$C$3:$Q$3,1,MATCH(D941,[2]Sheet1!$C$3:$Q$3)))/(INDEX([2]Sheet1!$C$3:$Q$3,1,MATCH(D941,[2]Sheet1!$C$3:$Q$3)+1) - INDEX([2]Sheet1!$C$3:$Q$3,1,MATCH(D941,[2]Sheet1!$C$3:$Q$3)))*(
INDEX([2]Sheet1!$C$4:$Q$23,MATCH(K941,[2]Sheet1!$B$4:$B$23,1),MATCH(D941,[2]Sheet1!$C$3:$Q$3,1)+1) - INDEX([2]Sheet1!$C$4:$Q$23,MATCH(K941,[2]Sheet1!$B$4:$B$23,1),MATCH(D941,[2]Sheet1!$C$3:$Q$3,1)))))</f>
        <v>0</v>
      </c>
      <c r="N941">
        <f t="shared" si="270"/>
        <v>12</v>
      </c>
      <c r="O941">
        <v>307.02450568394102</v>
      </c>
      <c r="P941" t="e">
        <f t="shared" si="271"/>
        <v>#DIV/0!</v>
      </c>
      <c r="Q941">
        <f t="shared" si="272"/>
        <v>0</v>
      </c>
      <c r="R941">
        <f t="shared" si="273"/>
        <v>741.9099431943954</v>
      </c>
      <c r="T941" t="e">
        <f t="shared" si="274"/>
        <v>#DIV/0!</v>
      </c>
      <c r="U941" t="e">
        <f t="shared" si="275"/>
        <v>#DIV/0!</v>
      </c>
      <c r="V941">
        <f t="shared" si="276"/>
        <v>0</v>
      </c>
      <c r="W941" t="e">
        <f t="shared" si="277"/>
        <v>#DIV/0!</v>
      </c>
    </row>
    <row r="942" spans="1:23" x14ac:dyDescent="0.55000000000000004">
      <c r="A942">
        <f t="shared" si="279"/>
        <v>90.799999999999116</v>
      </c>
      <c r="B942">
        <f t="shared" si="280"/>
        <v>0.316</v>
      </c>
      <c r="C942">
        <f t="shared" si="263"/>
        <v>-54.21739130434726</v>
      </c>
      <c r="D942">
        <v>308.43984551913201</v>
      </c>
      <c r="E942">
        <f t="shared" si="264"/>
        <v>0</v>
      </c>
      <c r="F942">
        <f t="shared" si="265"/>
        <v>4.8605058816845369E-2</v>
      </c>
      <c r="G942">
        <f t="shared" si="266"/>
        <v>39.513748498891111</v>
      </c>
      <c r="H942">
        <f t="shared" si="267"/>
        <v>0</v>
      </c>
      <c r="I942" s="1">
        <f t="shared" si="278"/>
        <v>0</v>
      </c>
      <c r="J942">
        <f t="shared" si="268"/>
        <v>0</v>
      </c>
      <c r="K942">
        <f t="shared" si="269"/>
        <v>0</v>
      </c>
      <c r="L942" cm="1">
        <f t="array" ref="L942">IF(E942*J942=0,0,$C$21*INDEX([3]Sheet1!$C$4:$Q$23,MATCH(K942,[3]Sheet1!$B$4:$B$23,1),MATCH(D942,[3]Sheet1!$C$3:$Q$3,1))
+(K942-INDEX([3]Sheet1!$B$4:$B$23,MATCH(K942,[3]Sheet1!$B$4:$B$23,1),1))/(INDEX([3]Sheet1!$B$4:$B$23,MATCH(K942,[3]Sheet1!$B$4:$B$23,1)+1,1)-INDEX([3]Sheet1!$B$4:$B$23,
MATCH(K942,[3]Sheet1!$B$4:$B$23,1),1))*(INDEX([3]Sheet1!$C$4:$Q$23,MATCH(K942,[3]Sheet1!$B$4:$B$23,1)+1,MATCH(D942,[3]Sheet1!$C$3:$Q$3,1))-INDEX([3]Sheet1!$C$4:$Q$23,
MATCH(K942,[3]Sheet1!$B$4:$B$23,1),MATCH(D942,[3]Sheet1!$C$3:$Q$3,1)))
+(D942-INDEX([3]Sheet1!$C$3:$Q$3,1,MATCH(D942,[3]Sheet1!$C$3:$Q$3)))/(INDEX([3]Sheet1!$C$3:$Q$3,1,MATCH(D942,[3]Sheet1!$C$3:$Q$3)+1)-INDEX([3]Sheet1!$C$3:$Q$3,1,MATCH(
D942,[3]Sheet1!$C$3:$Q$3)))*(INDEX([3]Sheet1!$C$4:$Q$23,MATCH(K942,[3]Sheet1!$B$4:$B$23,1),MATCH(D942,[3]Sheet1!$C$3:$Q$3,1)+1)-INDEX([3]Sheet1!$C$4:$Q$23,MATCH(K942,[3]Sheet1!$B$4:$B$23,1),MATCH(D942,[3]Sheet1!$C$3:$Q$3,1))))</f>
        <v>0</v>
      </c>
      <c r="M942" cm="1">
        <f t="array" ref="M942" xml:space="preserve"> IF(E942*J942=0,0,(INDEX([2]Sheet1!$C$4:$Q$23,MATCH(K942,[2]Sheet1!$B$4:$B$23,1),MATCH(D942,[2]Sheet1!$C$3:$Q$3,1))
+ (K942 - INDEX([2]Sheet1!$B$4:$B$23,MATCH(K942,[2]Sheet1!$B$4:$B$23,1),1))/(INDEX([2]Sheet1!$B$4:$B$23,MATCH(K942,[2]Sheet1!$B$4:$B$23,1)+1,1) - INDEX([2]Sheet1!$B$4:$B$23,MATCH(K942,[2]Sheet1!$B$4:$B$23,1),1))*(INDEX([2]Sheet1!$C$4:$Q$23,MATCH(K942,[2]Sheet1!$B$4:$B$23,1)+1,MATCH(D942,[2]Sheet1!$C$3:$Q$3,1)) - INDEX([2]Sheet1!$C$4:$Q$23,MATCH(K942,[2]Sheet1!$B$4:$B$23,1),MATCH(D942,[2]Sheet1!$C$3:$Q$3,1)))
+ (D942 - INDEX([2]Sheet1!$C$3:$Q$3,1,MATCH(D942,[2]Sheet1!$C$3:$Q$3)))/(INDEX([2]Sheet1!$C$3:$Q$3,1,MATCH(D942,[2]Sheet1!$C$3:$Q$3)+1) - INDEX([2]Sheet1!$C$3:$Q$3,1,MATCH(D942,[2]Sheet1!$C$3:$Q$3)))*(
INDEX([2]Sheet1!$C$4:$Q$23,MATCH(K942,[2]Sheet1!$B$4:$B$23,1),MATCH(D942,[2]Sheet1!$C$3:$Q$3,1)+1) - INDEX([2]Sheet1!$C$4:$Q$23,MATCH(K942,[2]Sheet1!$B$4:$B$23,1),MATCH(D942,[2]Sheet1!$C$3:$Q$3,1)))))</f>
        <v>0</v>
      </c>
      <c r="N942">
        <f t="shared" si="270"/>
        <v>12</v>
      </c>
      <c r="O942">
        <v>308.02450568394102</v>
      </c>
      <c r="P942" t="e">
        <f t="shared" si="271"/>
        <v>#DIV/0!</v>
      </c>
      <c r="Q942">
        <f t="shared" si="272"/>
        <v>0</v>
      </c>
      <c r="R942">
        <f t="shared" si="273"/>
        <v>741.9099431943954</v>
      </c>
      <c r="T942" t="e">
        <f t="shared" si="274"/>
        <v>#DIV/0!</v>
      </c>
      <c r="U942" t="e">
        <f t="shared" si="275"/>
        <v>#DIV/0!</v>
      </c>
      <c r="V942">
        <f t="shared" si="276"/>
        <v>0</v>
      </c>
      <c r="W942" t="e">
        <f t="shared" si="277"/>
        <v>#DIV/0!</v>
      </c>
    </row>
    <row r="943" spans="1:23" x14ac:dyDescent="0.55000000000000004">
      <c r="A943">
        <f t="shared" si="279"/>
        <v>90.89999999999911</v>
      </c>
      <c r="B943">
        <f t="shared" si="280"/>
        <v>0.316</v>
      </c>
      <c r="C943">
        <f t="shared" si="263"/>
        <v>-54.282608695651597</v>
      </c>
      <c r="D943">
        <v>309.43984551913201</v>
      </c>
      <c r="E943">
        <f t="shared" si="264"/>
        <v>0</v>
      </c>
      <c r="F943">
        <f t="shared" si="265"/>
        <v>4.8605058816845369E-2</v>
      </c>
      <c r="G943">
        <f t="shared" si="266"/>
        <v>39.513748498891111</v>
      </c>
      <c r="H943">
        <f t="shared" si="267"/>
        <v>0</v>
      </c>
      <c r="I943" s="1">
        <f t="shared" si="278"/>
        <v>0</v>
      </c>
      <c r="J943">
        <f t="shared" si="268"/>
        <v>0</v>
      </c>
      <c r="K943">
        <f t="shared" si="269"/>
        <v>0</v>
      </c>
      <c r="L943" cm="1">
        <f t="array" ref="L943">IF(E943*J943=0,0,$C$21*INDEX([3]Sheet1!$C$4:$Q$23,MATCH(K943,[3]Sheet1!$B$4:$B$23,1),MATCH(D943,[3]Sheet1!$C$3:$Q$3,1))
+(K943-INDEX([3]Sheet1!$B$4:$B$23,MATCH(K943,[3]Sheet1!$B$4:$B$23,1),1))/(INDEX([3]Sheet1!$B$4:$B$23,MATCH(K943,[3]Sheet1!$B$4:$B$23,1)+1,1)-INDEX([3]Sheet1!$B$4:$B$23,
MATCH(K943,[3]Sheet1!$B$4:$B$23,1),1))*(INDEX([3]Sheet1!$C$4:$Q$23,MATCH(K943,[3]Sheet1!$B$4:$B$23,1)+1,MATCH(D943,[3]Sheet1!$C$3:$Q$3,1))-INDEX([3]Sheet1!$C$4:$Q$23,
MATCH(K943,[3]Sheet1!$B$4:$B$23,1),MATCH(D943,[3]Sheet1!$C$3:$Q$3,1)))
+(D943-INDEX([3]Sheet1!$C$3:$Q$3,1,MATCH(D943,[3]Sheet1!$C$3:$Q$3)))/(INDEX([3]Sheet1!$C$3:$Q$3,1,MATCH(D943,[3]Sheet1!$C$3:$Q$3)+1)-INDEX([3]Sheet1!$C$3:$Q$3,1,MATCH(
D943,[3]Sheet1!$C$3:$Q$3)))*(INDEX([3]Sheet1!$C$4:$Q$23,MATCH(K943,[3]Sheet1!$B$4:$B$23,1),MATCH(D943,[3]Sheet1!$C$3:$Q$3,1)+1)-INDEX([3]Sheet1!$C$4:$Q$23,MATCH(K943,[3]Sheet1!$B$4:$B$23,1),MATCH(D943,[3]Sheet1!$C$3:$Q$3,1))))</f>
        <v>0</v>
      </c>
      <c r="M943" cm="1">
        <f t="array" ref="M943" xml:space="preserve"> IF(E943*J943=0,0,(INDEX([2]Sheet1!$C$4:$Q$23,MATCH(K943,[2]Sheet1!$B$4:$B$23,1),MATCH(D943,[2]Sheet1!$C$3:$Q$3,1))
+ (K943 - INDEX([2]Sheet1!$B$4:$B$23,MATCH(K943,[2]Sheet1!$B$4:$B$23,1),1))/(INDEX([2]Sheet1!$B$4:$B$23,MATCH(K943,[2]Sheet1!$B$4:$B$23,1)+1,1) - INDEX([2]Sheet1!$B$4:$B$23,MATCH(K943,[2]Sheet1!$B$4:$B$23,1),1))*(INDEX([2]Sheet1!$C$4:$Q$23,MATCH(K943,[2]Sheet1!$B$4:$B$23,1)+1,MATCH(D943,[2]Sheet1!$C$3:$Q$3,1)) - INDEX([2]Sheet1!$C$4:$Q$23,MATCH(K943,[2]Sheet1!$B$4:$B$23,1),MATCH(D943,[2]Sheet1!$C$3:$Q$3,1)))
+ (D943 - INDEX([2]Sheet1!$C$3:$Q$3,1,MATCH(D943,[2]Sheet1!$C$3:$Q$3)))/(INDEX([2]Sheet1!$C$3:$Q$3,1,MATCH(D943,[2]Sheet1!$C$3:$Q$3)+1) - INDEX([2]Sheet1!$C$3:$Q$3,1,MATCH(D943,[2]Sheet1!$C$3:$Q$3)))*(
INDEX([2]Sheet1!$C$4:$Q$23,MATCH(K943,[2]Sheet1!$B$4:$B$23,1),MATCH(D943,[2]Sheet1!$C$3:$Q$3,1)+1) - INDEX([2]Sheet1!$C$4:$Q$23,MATCH(K943,[2]Sheet1!$B$4:$B$23,1),MATCH(D943,[2]Sheet1!$C$3:$Q$3,1)))))</f>
        <v>0</v>
      </c>
      <c r="N943">
        <f t="shared" si="270"/>
        <v>12</v>
      </c>
      <c r="O943">
        <v>309.02450568394102</v>
      </c>
      <c r="P943" t="e">
        <f t="shared" si="271"/>
        <v>#DIV/0!</v>
      </c>
      <c r="Q943">
        <f t="shared" si="272"/>
        <v>0</v>
      </c>
      <c r="R943">
        <f t="shared" si="273"/>
        <v>741.9099431943954</v>
      </c>
      <c r="T943" t="e">
        <f t="shared" si="274"/>
        <v>#DIV/0!</v>
      </c>
      <c r="U943" t="e">
        <f t="shared" si="275"/>
        <v>#DIV/0!</v>
      </c>
      <c r="V943">
        <f t="shared" si="276"/>
        <v>0</v>
      </c>
      <c r="W943" t="e">
        <f t="shared" si="277"/>
        <v>#DIV/0!</v>
      </c>
    </row>
    <row r="944" spans="1:23" x14ac:dyDescent="0.55000000000000004">
      <c r="A944">
        <f t="shared" si="279"/>
        <v>90.999999999999105</v>
      </c>
      <c r="B944">
        <f t="shared" si="280"/>
        <v>0.316</v>
      </c>
      <c r="C944">
        <f t="shared" si="263"/>
        <v>-54.347826086955948</v>
      </c>
      <c r="D944">
        <v>310.43984551913201</v>
      </c>
      <c r="E944">
        <f t="shared" si="264"/>
        <v>0</v>
      </c>
      <c r="F944">
        <f t="shared" si="265"/>
        <v>4.8605058816845369E-2</v>
      </c>
      <c r="G944">
        <f t="shared" si="266"/>
        <v>39.513748498891111</v>
      </c>
      <c r="H944">
        <f t="shared" si="267"/>
        <v>0</v>
      </c>
      <c r="I944" s="1">
        <f t="shared" si="278"/>
        <v>0</v>
      </c>
      <c r="J944">
        <f t="shared" si="268"/>
        <v>0</v>
      </c>
      <c r="K944">
        <f t="shared" si="269"/>
        <v>0</v>
      </c>
      <c r="L944" cm="1">
        <f t="array" ref="L944">IF(E944*J944=0,0,$C$21*INDEX([3]Sheet1!$C$4:$Q$23,MATCH(K944,[3]Sheet1!$B$4:$B$23,1),MATCH(D944,[3]Sheet1!$C$3:$Q$3,1))
+(K944-INDEX([3]Sheet1!$B$4:$B$23,MATCH(K944,[3]Sheet1!$B$4:$B$23,1),1))/(INDEX([3]Sheet1!$B$4:$B$23,MATCH(K944,[3]Sheet1!$B$4:$B$23,1)+1,1)-INDEX([3]Sheet1!$B$4:$B$23,
MATCH(K944,[3]Sheet1!$B$4:$B$23,1),1))*(INDEX([3]Sheet1!$C$4:$Q$23,MATCH(K944,[3]Sheet1!$B$4:$B$23,1)+1,MATCH(D944,[3]Sheet1!$C$3:$Q$3,1))-INDEX([3]Sheet1!$C$4:$Q$23,
MATCH(K944,[3]Sheet1!$B$4:$B$23,1),MATCH(D944,[3]Sheet1!$C$3:$Q$3,1)))
+(D944-INDEX([3]Sheet1!$C$3:$Q$3,1,MATCH(D944,[3]Sheet1!$C$3:$Q$3)))/(INDEX([3]Sheet1!$C$3:$Q$3,1,MATCH(D944,[3]Sheet1!$C$3:$Q$3)+1)-INDEX([3]Sheet1!$C$3:$Q$3,1,MATCH(
D944,[3]Sheet1!$C$3:$Q$3)))*(INDEX([3]Sheet1!$C$4:$Q$23,MATCH(K944,[3]Sheet1!$B$4:$B$23,1),MATCH(D944,[3]Sheet1!$C$3:$Q$3,1)+1)-INDEX([3]Sheet1!$C$4:$Q$23,MATCH(K944,[3]Sheet1!$B$4:$B$23,1),MATCH(D944,[3]Sheet1!$C$3:$Q$3,1))))</f>
        <v>0</v>
      </c>
      <c r="M944" cm="1">
        <f t="array" ref="M944" xml:space="preserve"> IF(E944*J944=0,0,(INDEX([2]Sheet1!$C$4:$Q$23,MATCH(K944,[2]Sheet1!$B$4:$B$23,1),MATCH(D944,[2]Sheet1!$C$3:$Q$3,1))
+ (K944 - INDEX([2]Sheet1!$B$4:$B$23,MATCH(K944,[2]Sheet1!$B$4:$B$23,1),1))/(INDEX([2]Sheet1!$B$4:$B$23,MATCH(K944,[2]Sheet1!$B$4:$B$23,1)+1,1) - INDEX([2]Sheet1!$B$4:$B$23,MATCH(K944,[2]Sheet1!$B$4:$B$23,1),1))*(INDEX([2]Sheet1!$C$4:$Q$23,MATCH(K944,[2]Sheet1!$B$4:$B$23,1)+1,MATCH(D944,[2]Sheet1!$C$3:$Q$3,1)) - INDEX([2]Sheet1!$C$4:$Q$23,MATCH(K944,[2]Sheet1!$B$4:$B$23,1),MATCH(D944,[2]Sheet1!$C$3:$Q$3,1)))
+ (D944 - INDEX([2]Sheet1!$C$3:$Q$3,1,MATCH(D944,[2]Sheet1!$C$3:$Q$3)))/(INDEX([2]Sheet1!$C$3:$Q$3,1,MATCH(D944,[2]Sheet1!$C$3:$Q$3)+1) - INDEX([2]Sheet1!$C$3:$Q$3,1,MATCH(D944,[2]Sheet1!$C$3:$Q$3)))*(
INDEX([2]Sheet1!$C$4:$Q$23,MATCH(K944,[2]Sheet1!$B$4:$B$23,1),MATCH(D944,[2]Sheet1!$C$3:$Q$3,1)+1) - INDEX([2]Sheet1!$C$4:$Q$23,MATCH(K944,[2]Sheet1!$B$4:$B$23,1),MATCH(D944,[2]Sheet1!$C$3:$Q$3,1)))))</f>
        <v>0</v>
      </c>
      <c r="N944">
        <f t="shared" si="270"/>
        <v>12</v>
      </c>
      <c r="O944">
        <v>310.02450568394102</v>
      </c>
      <c r="P944" t="e">
        <f t="shared" si="271"/>
        <v>#DIV/0!</v>
      </c>
      <c r="Q944">
        <f t="shared" si="272"/>
        <v>0</v>
      </c>
      <c r="R944">
        <f t="shared" si="273"/>
        <v>741.9099431943954</v>
      </c>
      <c r="T944" t="e">
        <f t="shared" si="274"/>
        <v>#DIV/0!</v>
      </c>
      <c r="U944" t="e">
        <f t="shared" si="275"/>
        <v>#DIV/0!</v>
      </c>
      <c r="V944">
        <f t="shared" si="276"/>
        <v>0</v>
      </c>
      <c r="W944" t="e">
        <f t="shared" si="277"/>
        <v>#DIV/0!</v>
      </c>
    </row>
    <row r="945" spans="1:23" x14ac:dyDescent="0.55000000000000004">
      <c r="A945">
        <f t="shared" si="279"/>
        <v>91.099999999999099</v>
      </c>
      <c r="B945">
        <f t="shared" si="280"/>
        <v>0.316</v>
      </c>
      <c r="C945">
        <f t="shared" si="263"/>
        <v>-54.413043478260285</v>
      </c>
      <c r="D945">
        <v>311.43984551913201</v>
      </c>
      <c r="E945">
        <f t="shared" si="264"/>
        <v>0</v>
      </c>
      <c r="F945">
        <f t="shared" si="265"/>
        <v>4.8605058816845369E-2</v>
      </c>
      <c r="G945">
        <f t="shared" si="266"/>
        <v>39.513748498891111</v>
      </c>
      <c r="H945">
        <f t="shared" si="267"/>
        <v>0</v>
      </c>
      <c r="I945" s="1">
        <f t="shared" si="278"/>
        <v>0</v>
      </c>
      <c r="J945">
        <f t="shared" si="268"/>
        <v>0</v>
      </c>
      <c r="K945">
        <f t="shared" si="269"/>
        <v>0</v>
      </c>
      <c r="L945" cm="1">
        <f t="array" ref="L945">IF(E945*J945=0,0,$C$21*INDEX([3]Sheet1!$C$4:$Q$23,MATCH(K945,[3]Sheet1!$B$4:$B$23,1),MATCH(D945,[3]Sheet1!$C$3:$Q$3,1))
+(K945-INDEX([3]Sheet1!$B$4:$B$23,MATCH(K945,[3]Sheet1!$B$4:$B$23,1),1))/(INDEX([3]Sheet1!$B$4:$B$23,MATCH(K945,[3]Sheet1!$B$4:$B$23,1)+1,1)-INDEX([3]Sheet1!$B$4:$B$23,
MATCH(K945,[3]Sheet1!$B$4:$B$23,1),1))*(INDEX([3]Sheet1!$C$4:$Q$23,MATCH(K945,[3]Sheet1!$B$4:$B$23,1)+1,MATCH(D945,[3]Sheet1!$C$3:$Q$3,1))-INDEX([3]Sheet1!$C$4:$Q$23,
MATCH(K945,[3]Sheet1!$B$4:$B$23,1),MATCH(D945,[3]Sheet1!$C$3:$Q$3,1)))
+(D945-INDEX([3]Sheet1!$C$3:$Q$3,1,MATCH(D945,[3]Sheet1!$C$3:$Q$3)))/(INDEX([3]Sheet1!$C$3:$Q$3,1,MATCH(D945,[3]Sheet1!$C$3:$Q$3)+1)-INDEX([3]Sheet1!$C$3:$Q$3,1,MATCH(
D945,[3]Sheet1!$C$3:$Q$3)))*(INDEX([3]Sheet1!$C$4:$Q$23,MATCH(K945,[3]Sheet1!$B$4:$B$23,1),MATCH(D945,[3]Sheet1!$C$3:$Q$3,1)+1)-INDEX([3]Sheet1!$C$4:$Q$23,MATCH(K945,[3]Sheet1!$B$4:$B$23,1),MATCH(D945,[3]Sheet1!$C$3:$Q$3,1))))</f>
        <v>0</v>
      </c>
      <c r="M945" cm="1">
        <f t="array" ref="M945" xml:space="preserve"> IF(E945*J945=0,0,(INDEX([2]Sheet1!$C$4:$Q$23,MATCH(K945,[2]Sheet1!$B$4:$B$23,1),MATCH(D945,[2]Sheet1!$C$3:$Q$3,1))
+ (K945 - INDEX([2]Sheet1!$B$4:$B$23,MATCH(K945,[2]Sheet1!$B$4:$B$23,1),1))/(INDEX([2]Sheet1!$B$4:$B$23,MATCH(K945,[2]Sheet1!$B$4:$B$23,1)+1,1) - INDEX([2]Sheet1!$B$4:$B$23,MATCH(K945,[2]Sheet1!$B$4:$B$23,1),1))*(INDEX([2]Sheet1!$C$4:$Q$23,MATCH(K945,[2]Sheet1!$B$4:$B$23,1)+1,MATCH(D945,[2]Sheet1!$C$3:$Q$3,1)) - INDEX([2]Sheet1!$C$4:$Q$23,MATCH(K945,[2]Sheet1!$B$4:$B$23,1),MATCH(D945,[2]Sheet1!$C$3:$Q$3,1)))
+ (D945 - INDEX([2]Sheet1!$C$3:$Q$3,1,MATCH(D945,[2]Sheet1!$C$3:$Q$3)))/(INDEX([2]Sheet1!$C$3:$Q$3,1,MATCH(D945,[2]Sheet1!$C$3:$Q$3)+1) - INDEX([2]Sheet1!$C$3:$Q$3,1,MATCH(D945,[2]Sheet1!$C$3:$Q$3)))*(
INDEX([2]Sheet1!$C$4:$Q$23,MATCH(K945,[2]Sheet1!$B$4:$B$23,1),MATCH(D945,[2]Sheet1!$C$3:$Q$3,1)+1) - INDEX([2]Sheet1!$C$4:$Q$23,MATCH(K945,[2]Sheet1!$B$4:$B$23,1),MATCH(D945,[2]Sheet1!$C$3:$Q$3,1)))))</f>
        <v>0</v>
      </c>
      <c r="N945">
        <f t="shared" si="270"/>
        <v>12</v>
      </c>
      <c r="O945">
        <v>311.02450568394102</v>
      </c>
      <c r="P945" t="e">
        <f t="shared" si="271"/>
        <v>#DIV/0!</v>
      </c>
      <c r="Q945">
        <f t="shared" si="272"/>
        <v>0</v>
      </c>
      <c r="R945">
        <f t="shared" si="273"/>
        <v>741.9099431943954</v>
      </c>
      <c r="T945" t="e">
        <f t="shared" si="274"/>
        <v>#DIV/0!</v>
      </c>
      <c r="U945" t="e">
        <f t="shared" si="275"/>
        <v>#DIV/0!</v>
      </c>
      <c r="V945">
        <f t="shared" si="276"/>
        <v>0</v>
      </c>
      <c r="W945" t="e">
        <f t="shared" si="277"/>
        <v>#DIV/0!</v>
      </c>
    </row>
    <row r="946" spans="1:23" x14ac:dyDescent="0.55000000000000004">
      <c r="A946">
        <f t="shared" si="279"/>
        <v>91.199999999999093</v>
      </c>
      <c r="B946">
        <f t="shared" si="280"/>
        <v>0.316</v>
      </c>
      <c r="C946">
        <f t="shared" si="263"/>
        <v>-54.478260869564636</v>
      </c>
      <c r="D946">
        <v>312.43984551913201</v>
      </c>
      <c r="E946">
        <f t="shared" si="264"/>
        <v>0</v>
      </c>
      <c r="F946">
        <f t="shared" si="265"/>
        <v>4.8605058816845369E-2</v>
      </c>
      <c r="G946">
        <f t="shared" si="266"/>
        <v>39.513748498891111</v>
      </c>
      <c r="H946">
        <f t="shared" si="267"/>
        <v>0</v>
      </c>
      <c r="I946" s="1">
        <f t="shared" si="278"/>
        <v>0</v>
      </c>
      <c r="J946">
        <f t="shared" si="268"/>
        <v>0</v>
      </c>
      <c r="K946">
        <f t="shared" si="269"/>
        <v>0</v>
      </c>
      <c r="L946" cm="1">
        <f t="array" ref="L946">IF(E946*J946=0,0,$C$21*INDEX([3]Sheet1!$C$4:$Q$23,MATCH(K946,[3]Sheet1!$B$4:$B$23,1),MATCH(D946,[3]Sheet1!$C$3:$Q$3,1))
+(K946-INDEX([3]Sheet1!$B$4:$B$23,MATCH(K946,[3]Sheet1!$B$4:$B$23,1),1))/(INDEX([3]Sheet1!$B$4:$B$23,MATCH(K946,[3]Sheet1!$B$4:$B$23,1)+1,1)-INDEX([3]Sheet1!$B$4:$B$23,
MATCH(K946,[3]Sheet1!$B$4:$B$23,1),1))*(INDEX([3]Sheet1!$C$4:$Q$23,MATCH(K946,[3]Sheet1!$B$4:$B$23,1)+1,MATCH(D946,[3]Sheet1!$C$3:$Q$3,1))-INDEX([3]Sheet1!$C$4:$Q$23,
MATCH(K946,[3]Sheet1!$B$4:$B$23,1),MATCH(D946,[3]Sheet1!$C$3:$Q$3,1)))
+(D946-INDEX([3]Sheet1!$C$3:$Q$3,1,MATCH(D946,[3]Sheet1!$C$3:$Q$3)))/(INDEX([3]Sheet1!$C$3:$Q$3,1,MATCH(D946,[3]Sheet1!$C$3:$Q$3)+1)-INDEX([3]Sheet1!$C$3:$Q$3,1,MATCH(
D946,[3]Sheet1!$C$3:$Q$3)))*(INDEX([3]Sheet1!$C$4:$Q$23,MATCH(K946,[3]Sheet1!$B$4:$B$23,1),MATCH(D946,[3]Sheet1!$C$3:$Q$3,1)+1)-INDEX([3]Sheet1!$C$4:$Q$23,MATCH(K946,[3]Sheet1!$B$4:$B$23,1),MATCH(D946,[3]Sheet1!$C$3:$Q$3,1))))</f>
        <v>0</v>
      </c>
      <c r="M946" cm="1">
        <f t="array" ref="M946" xml:space="preserve"> IF(E946*J946=0,0,(INDEX([2]Sheet1!$C$4:$Q$23,MATCH(K946,[2]Sheet1!$B$4:$B$23,1),MATCH(D946,[2]Sheet1!$C$3:$Q$3,1))
+ (K946 - INDEX([2]Sheet1!$B$4:$B$23,MATCH(K946,[2]Sheet1!$B$4:$B$23,1),1))/(INDEX([2]Sheet1!$B$4:$B$23,MATCH(K946,[2]Sheet1!$B$4:$B$23,1)+1,1) - INDEX([2]Sheet1!$B$4:$B$23,MATCH(K946,[2]Sheet1!$B$4:$B$23,1),1))*(INDEX([2]Sheet1!$C$4:$Q$23,MATCH(K946,[2]Sheet1!$B$4:$B$23,1)+1,MATCH(D946,[2]Sheet1!$C$3:$Q$3,1)) - INDEX([2]Sheet1!$C$4:$Q$23,MATCH(K946,[2]Sheet1!$B$4:$B$23,1),MATCH(D946,[2]Sheet1!$C$3:$Q$3,1)))
+ (D946 - INDEX([2]Sheet1!$C$3:$Q$3,1,MATCH(D946,[2]Sheet1!$C$3:$Q$3)))/(INDEX([2]Sheet1!$C$3:$Q$3,1,MATCH(D946,[2]Sheet1!$C$3:$Q$3)+1) - INDEX([2]Sheet1!$C$3:$Q$3,1,MATCH(D946,[2]Sheet1!$C$3:$Q$3)))*(
INDEX([2]Sheet1!$C$4:$Q$23,MATCH(K946,[2]Sheet1!$B$4:$B$23,1),MATCH(D946,[2]Sheet1!$C$3:$Q$3,1)+1) - INDEX([2]Sheet1!$C$4:$Q$23,MATCH(K946,[2]Sheet1!$B$4:$B$23,1),MATCH(D946,[2]Sheet1!$C$3:$Q$3,1)))))</f>
        <v>0</v>
      </c>
      <c r="N946">
        <f t="shared" si="270"/>
        <v>12</v>
      </c>
      <c r="O946">
        <v>312.02450568394102</v>
      </c>
      <c r="P946" t="e">
        <f t="shared" si="271"/>
        <v>#DIV/0!</v>
      </c>
      <c r="Q946">
        <f t="shared" si="272"/>
        <v>0</v>
      </c>
      <c r="R946">
        <f t="shared" si="273"/>
        <v>741.9099431943954</v>
      </c>
      <c r="T946" t="e">
        <f t="shared" si="274"/>
        <v>#DIV/0!</v>
      </c>
      <c r="U946" t="e">
        <f t="shared" si="275"/>
        <v>#DIV/0!</v>
      </c>
      <c r="V946">
        <f t="shared" si="276"/>
        <v>0</v>
      </c>
      <c r="W946" t="e">
        <f t="shared" si="277"/>
        <v>#DIV/0!</v>
      </c>
    </row>
    <row r="947" spans="1:23" x14ac:dyDescent="0.55000000000000004">
      <c r="A947">
        <f t="shared" si="279"/>
        <v>91.299999999999088</v>
      </c>
      <c r="B947">
        <f t="shared" si="280"/>
        <v>0.316</v>
      </c>
      <c r="C947">
        <f t="shared" si="263"/>
        <v>-54.543478260868973</v>
      </c>
      <c r="D947">
        <v>313.43984551913201</v>
      </c>
      <c r="E947">
        <f t="shared" si="264"/>
        <v>0</v>
      </c>
      <c r="F947">
        <f t="shared" si="265"/>
        <v>4.8605058816845369E-2</v>
      </c>
      <c r="G947">
        <f t="shared" si="266"/>
        <v>39.513748498891111</v>
      </c>
      <c r="H947">
        <f t="shared" si="267"/>
        <v>0</v>
      </c>
      <c r="I947" s="1">
        <f t="shared" si="278"/>
        <v>0</v>
      </c>
      <c r="J947">
        <f t="shared" si="268"/>
        <v>0</v>
      </c>
      <c r="K947">
        <f t="shared" si="269"/>
        <v>0</v>
      </c>
      <c r="L947" cm="1">
        <f t="array" ref="L947">IF(E947*J947=0,0,$C$21*INDEX([3]Sheet1!$C$4:$Q$23,MATCH(K947,[3]Sheet1!$B$4:$B$23,1),MATCH(D947,[3]Sheet1!$C$3:$Q$3,1))
+(K947-INDEX([3]Sheet1!$B$4:$B$23,MATCH(K947,[3]Sheet1!$B$4:$B$23,1),1))/(INDEX([3]Sheet1!$B$4:$B$23,MATCH(K947,[3]Sheet1!$B$4:$B$23,1)+1,1)-INDEX([3]Sheet1!$B$4:$B$23,
MATCH(K947,[3]Sheet1!$B$4:$B$23,1),1))*(INDEX([3]Sheet1!$C$4:$Q$23,MATCH(K947,[3]Sheet1!$B$4:$B$23,1)+1,MATCH(D947,[3]Sheet1!$C$3:$Q$3,1))-INDEX([3]Sheet1!$C$4:$Q$23,
MATCH(K947,[3]Sheet1!$B$4:$B$23,1),MATCH(D947,[3]Sheet1!$C$3:$Q$3,1)))
+(D947-INDEX([3]Sheet1!$C$3:$Q$3,1,MATCH(D947,[3]Sheet1!$C$3:$Q$3)))/(INDEX([3]Sheet1!$C$3:$Q$3,1,MATCH(D947,[3]Sheet1!$C$3:$Q$3)+1)-INDEX([3]Sheet1!$C$3:$Q$3,1,MATCH(
D947,[3]Sheet1!$C$3:$Q$3)))*(INDEX([3]Sheet1!$C$4:$Q$23,MATCH(K947,[3]Sheet1!$B$4:$B$23,1),MATCH(D947,[3]Sheet1!$C$3:$Q$3,1)+1)-INDEX([3]Sheet1!$C$4:$Q$23,MATCH(K947,[3]Sheet1!$B$4:$B$23,1),MATCH(D947,[3]Sheet1!$C$3:$Q$3,1))))</f>
        <v>0</v>
      </c>
      <c r="M947" cm="1">
        <f t="array" ref="M947" xml:space="preserve"> IF(E947*J947=0,0,(INDEX([2]Sheet1!$C$4:$Q$23,MATCH(K947,[2]Sheet1!$B$4:$B$23,1),MATCH(D947,[2]Sheet1!$C$3:$Q$3,1))
+ (K947 - INDEX([2]Sheet1!$B$4:$B$23,MATCH(K947,[2]Sheet1!$B$4:$B$23,1),1))/(INDEX([2]Sheet1!$B$4:$B$23,MATCH(K947,[2]Sheet1!$B$4:$B$23,1)+1,1) - INDEX([2]Sheet1!$B$4:$B$23,MATCH(K947,[2]Sheet1!$B$4:$B$23,1),1))*(INDEX([2]Sheet1!$C$4:$Q$23,MATCH(K947,[2]Sheet1!$B$4:$B$23,1)+1,MATCH(D947,[2]Sheet1!$C$3:$Q$3,1)) - INDEX([2]Sheet1!$C$4:$Q$23,MATCH(K947,[2]Sheet1!$B$4:$B$23,1),MATCH(D947,[2]Sheet1!$C$3:$Q$3,1)))
+ (D947 - INDEX([2]Sheet1!$C$3:$Q$3,1,MATCH(D947,[2]Sheet1!$C$3:$Q$3)))/(INDEX([2]Sheet1!$C$3:$Q$3,1,MATCH(D947,[2]Sheet1!$C$3:$Q$3)+1) - INDEX([2]Sheet1!$C$3:$Q$3,1,MATCH(D947,[2]Sheet1!$C$3:$Q$3)))*(
INDEX([2]Sheet1!$C$4:$Q$23,MATCH(K947,[2]Sheet1!$B$4:$B$23,1),MATCH(D947,[2]Sheet1!$C$3:$Q$3,1)+1) - INDEX([2]Sheet1!$C$4:$Q$23,MATCH(K947,[2]Sheet1!$B$4:$B$23,1),MATCH(D947,[2]Sheet1!$C$3:$Q$3,1)))))</f>
        <v>0</v>
      </c>
      <c r="N947">
        <f t="shared" si="270"/>
        <v>12</v>
      </c>
      <c r="O947">
        <v>313.02450568394102</v>
      </c>
      <c r="P947" t="e">
        <f t="shared" si="271"/>
        <v>#DIV/0!</v>
      </c>
      <c r="Q947">
        <f t="shared" si="272"/>
        <v>0</v>
      </c>
      <c r="R947">
        <f t="shared" si="273"/>
        <v>741.9099431943954</v>
      </c>
      <c r="T947" t="e">
        <f t="shared" si="274"/>
        <v>#DIV/0!</v>
      </c>
      <c r="U947" t="e">
        <f t="shared" si="275"/>
        <v>#DIV/0!</v>
      </c>
      <c r="V947">
        <f t="shared" si="276"/>
        <v>0</v>
      </c>
      <c r="W947" t="e">
        <f t="shared" si="277"/>
        <v>#DIV/0!</v>
      </c>
    </row>
    <row r="948" spans="1:23" x14ac:dyDescent="0.55000000000000004">
      <c r="A948">
        <f t="shared" si="279"/>
        <v>91.399999999999082</v>
      </c>
      <c r="B948">
        <f t="shared" si="280"/>
        <v>0.316</v>
      </c>
      <c r="C948">
        <f t="shared" si="263"/>
        <v>-54.608695652173324</v>
      </c>
      <c r="D948">
        <v>314.43984551913201</v>
      </c>
      <c r="E948">
        <f t="shared" si="264"/>
        <v>0</v>
      </c>
      <c r="F948">
        <f t="shared" si="265"/>
        <v>4.8605058816845369E-2</v>
      </c>
      <c r="G948">
        <f t="shared" si="266"/>
        <v>39.513748498891111</v>
      </c>
      <c r="H948">
        <f t="shared" si="267"/>
        <v>0</v>
      </c>
      <c r="I948" s="1">
        <f t="shared" si="278"/>
        <v>0</v>
      </c>
      <c r="J948">
        <f t="shared" si="268"/>
        <v>0</v>
      </c>
      <c r="K948">
        <f t="shared" si="269"/>
        <v>0</v>
      </c>
      <c r="L948" cm="1">
        <f t="array" ref="L948">IF(E948*J948=0,0,$C$21*INDEX([3]Sheet1!$C$4:$Q$23,MATCH(K948,[3]Sheet1!$B$4:$B$23,1),MATCH(D948,[3]Sheet1!$C$3:$Q$3,1))
+(K948-INDEX([3]Sheet1!$B$4:$B$23,MATCH(K948,[3]Sheet1!$B$4:$B$23,1),1))/(INDEX([3]Sheet1!$B$4:$B$23,MATCH(K948,[3]Sheet1!$B$4:$B$23,1)+1,1)-INDEX([3]Sheet1!$B$4:$B$23,
MATCH(K948,[3]Sheet1!$B$4:$B$23,1),1))*(INDEX([3]Sheet1!$C$4:$Q$23,MATCH(K948,[3]Sheet1!$B$4:$B$23,1)+1,MATCH(D948,[3]Sheet1!$C$3:$Q$3,1))-INDEX([3]Sheet1!$C$4:$Q$23,
MATCH(K948,[3]Sheet1!$B$4:$B$23,1),MATCH(D948,[3]Sheet1!$C$3:$Q$3,1)))
+(D948-INDEX([3]Sheet1!$C$3:$Q$3,1,MATCH(D948,[3]Sheet1!$C$3:$Q$3)))/(INDEX([3]Sheet1!$C$3:$Q$3,1,MATCH(D948,[3]Sheet1!$C$3:$Q$3)+1)-INDEX([3]Sheet1!$C$3:$Q$3,1,MATCH(
D948,[3]Sheet1!$C$3:$Q$3)))*(INDEX([3]Sheet1!$C$4:$Q$23,MATCH(K948,[3]Sheet1!$B$4:$B$23,1),MATCH(D948,[3]Sheet1!$C$3:$Q$3,1)+1)-INDEX([3]Sheet1!$C$4:$Q$23,MATCH(K948,[3]Sheet1!$B$4:$B$23,1),MATCH(D948,[3]Sheet1!$C$3:$Q$3,1))))</f>
        <v>0</v>
      </c>
      <c r="M948" cm="1">
        <f t="array" ref="M948" xml:space="preserve"> IF(E948*J948=0,0,(INDEX([2]Sheet1!$C$4:$Q$23,MATCH(K948,[2]Sheet1!$B$4:$B$23,1),MATCH(D948,[2]Sheet1!$C$3:$Q$3,1))
+ (K948 - INDEX([2]Sheet1!$B$4:$B$23,MATCH(K948,[2]Sheet1!$B$4:$B$23,1),1))/(INDEX([2]Sheet1!$B$4:$B$23,MATCH(K948,[2]Sheet1!$B$4:$B$23,1)+1,1) - INDEX([2]Sheet1!$B$4:$B$23,MATCH(K948,[2]Sheet1!$B$4:$B$23,1),1))*(INDEX([2]Sheet1!$C$4:$Q$23,MATCH(K948,[2]Sheet1!$B$4:$B$23,1)+1,MATCH(D948,[2]Sheet1!$C$3:$Q$3,1)) - INDEX([2]Sheet1!$C$4:$Q$23,MATCH(K948,[2]Sheet1!$B$4:$B$23,1),MATCH(D948,[2]Sheet1!$C$3:$Q$3,1)))
+ (D948 - INDEX([2]Sheet1!$C$3:$Q$3,1,MATCH(D948,[2]Sheet1!$C$3:$Q$3)))/(INDEX([2]Sheet1!$C$3:$Q$3,1,MATCH(D948,[2]Sheet1!$C$3:$Q$3)+1) - INDEX([2]Sheet1!$C$3:$Q$3,1,MATCH(D948,[2]Sheet1!$C$3:$Q$3)))*(
INDEX([2]Sheet1!$C$4:$Q$23,MATCH(K948,[2]Sheet1!$B$4:$B$23,1),MATCH(D948,[2]Sheet1!$C$3:$Q$3,1)+1) - INDEX([2]Sheet1!$C$4:$Q$23,MATCH(K948,[2]Sheet1!$B$4:$B$23,1),MATCH(D948,[2]Sheet1!$C$3:$Q$3,1)))))</f>
        <v>0</v>
      </c>
      <c r="N948">
        <f t="shared" si="270"/>
        <v>12</v>
      </c>
      <c r="O948">
        <v>314.02450568394102</v>
      </c>
      <c r="P948" t="e">
        <f t="shared" si="271"/>
        <v>#DIV/0!</v>
      </c>
      <c r="Q948">
        <f t="shared" si="272"/>
        <v>0</v>
      </c>
      <c r="R948">
        <f t="shared" si="273"/>
        <v>741.9099431943954</v>
      </c>
      <c r="T948" t="e">
        <f t="shared" si="274"/>
        <v>#DIV/0!</v>
      </c>
      <c r="U948" t="e">
        <f t="shared" si="275"/>
        <v>#DIV/0!</v>
      </c>
      <c r="V948">
        <f t="shared" si="276"/>
        <v>0</v>
      </c>
      <c r="W948" t="e">
        <f t="shared" si="277"/>
        <v>#DIV/0!</v>
      </c>
    </row>
    <row r="949" spans="1:23" x14ac:dyDescent="0.55000000000000004">
      <c r="A949">
        <f t="shared" si="279"/>
        <v>91.499999999999076</v>
      </c>
      <c r="B949">
        <f t="shared" si="280"/>
        <v>0.316</v>
      </c>
      <c r="C949">
        <f t="shared" si="263"/>
        <v>-54.673913043477661</v>
      </c>
      <c r="D949">
        <v>315.43984551913201</v>
      </c>
      <c r="E949">
        <f t="shared" si="264"/>
        <v>0</v>
      </c>
      <c r="F949">
        <f t="shared" si="265"/>
        <v>4.8605058816845369E-2</v>
      </c>
      <c r="G949">
        <f t="shared" si="266"/>
        <v>39.513748498891111</v>
      </c>
      <c r="H949">
        <f t="shared" si="267"/>
        <v>0</v>
      </c>
      <c r="I949" s="1">
        <f t="shared" si="278"/>
        <v>0</v>
      </c>
      <c r="J949">
        <f t="shared" si="268"/>
        <v>0</v>
      </c>
      <c r="K949">
        <f t="shared" si="269"/>
        <v>0</v>
      </c>
      <c r="L949" cm="1">
        <f t="array" ref="L949">IF(E949*J949=0,0,$C$21*INDEX([3]Sheet1!$C$4:$Q$23,MATCH(K949,[3]Sheet1!$B$4:$B$23,1),MATCH(D949,[3]Sheet1!$C$3:$Q$3,1))
+(K949-INDEX([3]Sheet1!$B$4:$B$23,MATCH(K949,[3]Sheet1!$B$4:$B$23,1),1))/(INDEX([3]Sheet1!$B$4:$B$23,MATCH(K949,[3]Sheet1!$B$4:$B$23,1)+1,1)-INDEX([3]Sheet1!$B$4:$B$23,
MATCH(K949,[3]Sheet1!$B$4:$B$23,1),1))*(INDEX([3]Sheet1!$C$4:$Q$23,MATCH(K949,[3]Sheet1!$B$4:$B$23,1)+1,MATCH(D949,[3]Sheet1!$C$3:$Q$3,1))-INDEX([3]Sheet1!$C$4:$Q$23,
MATCH(K949,[3]Sheet1!$B$4:$B$23,1),MATCH(D949,[3]Sheet1!$C$3:$Q$3,1)))
+(D949-INDEX([3]Sheet1!$C$3:$Q$3,1,MATCH(D949,[3]Sheet1!$C$3:$Q$3)))/(INDEX([3]Sheet1!$C$3:$Q$3,1,MATCH(D949,[3]Sheet1!$C$3:$Q$3)+1)-INDEX([3]Sheet1!$C$3:$Q$3,1,MATCH(
D949,[3]Sheet1!$C$3:$Q$3)))*(INDEX([3]Sheet1!$C$4:$Q$23,MATCH(K949,[3]Sheet1!$B$4:$B$23,1),MATCH(D949,[3]Sheet1!$C$3:$Q$3,1)+1)-INDEX([3]Sheet1!$C$4:$Q$23,MATCH(K949,[3]Sheet1!$B$4:$B$23,1),MATCH(D949,[3]Sheet1!$C$3:$Q$3,1))))</f>
        <v>0</v>
      </c>
      <c r="M949" cm="1">
        <f t="array" ref="M949" xml:space="preserve"> IF(E949*J949=0,0,(INDEX([2]Sheet1!$C$4:$Q$23,MATCH(K949,[2]Sheet1!$B$4:$B$23,1),MATCH(D949,[2]Sheet1!$C$3:$Q$3,1))
+ (K949 - INDEX([2]Sheet1!$B$4:$B$23,MATCH(K949,[2]Sheet1!$B$4:$B$23,1),1))/(INDEX([2]Sheet1!$B$4:$B$23,MATCH(K949,[2]Sheet1!$B$4:$B$23,1)+1,1) - INDEX([2]Sheet1!$B$4:$B$23,MATCH(K949,[2]Sheet1!$B$4:$B$23,1),1))*(INDEX([2]Sheet1!$C$4:$Q$23,MATCH(K949,[2]Sheet1!$B$4:$B$23,1)+1,MATCH(D949,[2]Sheet1!$C$3:$Q$3,1)) - INDEX([2]Sheet1!$C$4:$Q$23,MATCH(K949,[2]Sheet1!$B$4:$B$23,1),MATCH(D949,[2]Sheet1!$C$3:$Q$3,1)))
+ (D949 - INDEX([2]Sheet1!$C$3:$Q$3,1,MATCH(D949,[2]Sheet1!$C$3:$Q$3)))/(INDEX([2]Sheet1!$C$3:$Q$3,1,MATCH(D949,[2]Sheet1!$C$3:$Q$3)+1) - INDEX([2]Sheet1!$C$3:$Q$3,1,MATCH(D949,[2]Sheet1!$C$3:$Q$3)))*(
INDEX([2]Sheet1!$C$4:$Q$23,MATCH(K949,[2]Sheet1!$B$4:$B$23,1),MATCH(D949,[2]Sheet1!$C$3:$Q$3,1)+1) - INDEX([2]Sheet1!$C$4:$Q$23,MATCH(K949,[2]Sheet1!$B$4:$B$23,1),MATCH(D949,[2]Sheet1!$C$3:$Q$3,1)))))</f>
        <v>0</v>
      </c>
      <c r="N949">
        <f t="shared" si="270"/>
        <v>12</v>
      </c>
      <c r="O949">
        <v>315.02450568394102</v>
      </c>
      <c r="P949" t="e">
        <f t="shared" si="271"/>
        <v>#DIV/0!</v>
      </c>
      <c r="Q949">
        <f t="shared" si="272"/>
        <v>0</v>
      </c>
      <c r="R949">
        <f t="shared" si="273"/>
        <v>741.9099431943954</v>
      </c>
      <c r="T949" t="e">
        <f t="shared" si="274"/>
        <v>#DIV/0!</v>
      </c>
      <c r="U949" t="e">
        <f t="shared" si="275"/>
        <v>#DIV/0!</v>
      </c>
      <c r="V949">
        <f t="shared" si="276"/>
        <v>0</v>
      </c>
      <c r="W949" t="e">
        <f t="shared" si="277"/>
        <v>#DIV/0!</v>
      </c>
    </row>
    <row r="950" spans="1:23" x14ac:dyDescent="0.55000000000000004">
      <c r="A950">
        <f t="shared" si="279"/>
        <v>91.599999999999071</v>
      </c>
      <c r="B950">
        <f t="shared" si="280"/>
        <v>0.316</v>
      </c>
      <c r="C950">
        <f t="shared" si="263"/>
        <v>-54.739130434782012</v>
      </c>
      <c r="D950">
        <v>316.43984551913201</v>
      </c>
      <c r="E950">
        <f t="shared" si="264"/>
        <v>0</v>
      </c>
      <c r="F950">
        <f t="shared" si="265"/>
        <v>4.8605058816845369E-2</v>
      </c>
      <c r="G950">
        <f t="shared" si="266"/>
        <v>39.513748498891111</v>
      </c>
      <c r="H950">
        <f t="shared" si="267"/>
        <v>0</v>
      </c>
      <c r="I950" s="1">
        <f t="shared" si="278"/>
        <v>0</v>
      </c>
      <c r="J950">
        <f t="shared" si="268"/>
        <v>0</v>
      </c>
      <c r="K950">
        <f t="shared" si="269"/>
        <v>0</v>
      </c>
      <c r="L950" cm="1">
        <f t="array" ref="L950">IF(E950*J950=0,0,$C$21*INDEX([3]Sheet1!$C$4:$Q$23,MATCH(K950,[3]Sheet1!$B$4:$B$23,1),MATCH(D950,[3]Sheet1!$C$3:$Q$3,1))
+(K950-INDEX([3]Sheet1!$B$4:$B$23,MATCH(K950,[3]Sheet1!$B$4:$B$23,1),1))/(INDEX([3]Sheet1!$B$4:$B$23,MATCH(K950,[3]Sheet1!$B$4:$B$23,1)+1,1)-INDEX([3]Sheet1!$B$4:$B$23,
MATCH(K950,[3]Sheet1!$B$4:$B$23,1),1))*(INDEX([3]Sheet1!$C$4:$Q$23,MATCH(K950,[3]Sheet1!$B$4:$B$23,1)+1,MATCH(D950,[3]Sheet1!$C$3:$Q$3,1))-INDEX([3]Sheet1!$C$4:$Q$23,
MATCH(K950,[3]Sheet1!$B$4:$B$23,1),MATCH(D950,[3]Sheet1!$C$3:$Q$3,1)))
+(D950-INDEX([3]Sheet1!$C$3:$Q$3,1,MATCH(D950,[3]Sheet1!$C$3:$Q$3)))/(INDEX([3]Sheet1!$C$3:$Q$3,1,MATCH(D950,[3]Sheet1!$C$3:$Q$3)+1)-INDEX([3]Sheet1!$C$3:$Q$3,1,MATCH(
D950,[3]Sheet1!$C$3:$Q$3)))*(INDEX([3]Sheet1!$C$4:$Q$23,MATCH(K950,[3]Sheet1!$B$4:$B$23,1),MATCH(D950,[3]Sheet1!$C$3:$Q$3,1)+1)-INDEX([3]Sheet1!$C$4:$Q$23,MATCH(K950,[3]Sheet1!$B$4:$B$23,1),MATCH(D950,[3]Sheet1!$C$3:$Q$3,1))))</f>
        <v>0</v>
      </c>
      <c r="M950" cm="1">
        <f t="array" ref="M950" xml:space="preserve"> IF(E950*J950=0,0,(INDEX([2]Sheet1!$C$4:$Q$23,MATCH(K950,[2]Sheet1!$B$4:$B$23,1),MATCH(D950,[2]Sheet1!$C$3:$Q$3,1))
+ (K950 - INDEX([2]Sheet1!$B$4:$B$23,MATCH(K950,[2]Sheet1!$B$4:$B$23,1),1))/(INDEX([2]Sheet1!$B$4:$B$23,MATCH(K950,[2]Sheet1!$B$4:$B$23,1)+1,1) - INDEX([2]Sheet1!$B$4:$B$23,MATCH(K950,[2]Sheet1!$B$4:$B$23,1),1))*(INDEX([2]Sheet1!$C$4:$Q$23,MATCH(K950,[2]Sheet1!$B$4:$B$23,1)+1,MATCH(D950,[2]Sheet1!$C$3:$Q$3,1)) - INDEX([2]Sheet1!$C$4:$Q$23,MATCH(K950,[2]Sheet1!$B$4:$B$23,1),MATCH(D950,[2]Sheet1!$C$3:$Q$3,1)))
+ (D950 - INDEX([2]Sheet1!$C$3:$Q$3,1,MATCH(D950,[2]Sheet1!$C$3:$Q$3)))/(INDEX([2]Sheet1!$C$3:$Q$3,1,MATCH(D950,[2]Sheet1!$C$3:$Q$3)+1) - INDEX([2]Sheet1!$C$3:$Q$3,1,MATCH(D950,[2]Sheet1!$C$3:$Q$3)))*(
INDEX([2]Sheet1!$C$4:$Q$23,MATCH(K950,[2]Sheet1!$B$4:$B$23,1),MATCH(D950,[2]Sheet1!$C$3:$Q$3,1)+1) - INDEX([2]Sheet1!$C$4:$Q$23,MATCH(K950,[2]Sheet1!$B$4:$B$23,1),MATCH(D950,[2]Sheet1!$C$3:$Q$3,1)))))</f>
        <v>0</v>
      </c>
      <c r="N950">
        <f t="shared" si="270"/>
        <v>12</v>
      </c>
      <c r="O950">
        <v>316.02450568394102</v>
      </c>
      <c r="P950" t="e">
        <f t="shared" si="271"/>
        <v>#DIV/0!</v>
      </c>
      <c r="Q950">
        <f t="shared" si="272"/>
        <v>0</v>
      </c>
      <c r="R950">
        <f t="shared" si="273"/>
        <v>741.9099431943954</v>
      </c>
      <c r="T950" t="e">
        <f t="shared" si="274"/>
        <v>#DIV/0!</v>
      </c>
      <c r="U950" t="e">
        <f t="shared" si="275"/>
        <v>#DIV/0!</v>
      </c>
      <c r="V950">
        <f t="shared" si="276"/>
        <v>0</v>
      </c>
      <c r="W950" t="e">
        <f t="shared" si="277"/>
        <v>#DIV/0!</v>
      </c>
    </row>
    <row r="951" spans="1:23" x14ac:dyDescent="0.55000000000000004">
      <c r="A951">
        <f t="shared" si="279"/>
        <v>91.699999999999065</v>
      </c>
      <c r="B951">
        <f t="shared" si="280"/>
        <v>0.316</v>
      </c>
      <c r="C951">
        <f t="shared" si="263"/>
        <v>-54.804347826086349</v>
      </c>
      <c r="D951">
        <v>317.43984551913201</v>
      </c>
      <c r="E951">
        <f t="shared" si="264"/>
        <v>0</v>
      </c>
      <c r="F951">
        <f t="shared" si="265"/>
        <v>4.8605058816845369E-2</v>
      </c>
      <c r="G951">
        <f t="shared" si="266"/>
        <v>39.513748498891111</v>
      </c>
      <c r="H951">
        <f t="shared" si="267"/>
        <v>0</v>
      </c>
      <c r="I951" s="1">
        <f t="shared" si="278"/>
        <v>0</v>
      </c>
      <c r="J951">
        <f t="shared" si="268"/>
        <v>0</v>
      </c>
      <c r="K951">
        <f t="shared" si="269"/>
        <v>0</v>
      </c>
      <c r="L951" cm="1">
        <f t="array" ref="L951">IF(E951*J951=0,0,$C$21*INDEX([3]Sheet1!$C$4:$Q$23,MATCH(K951,[3]Sheet1!$B$4:$B$23,1),MATCH(D951,[3]Sheet1!$C$3:$Q$3,1))
+(K951-INDEX([3]Sheet1!$B$4:$B$23,MATCH(K951,[3]Sheet1!$B$4:$B$23,1),1))/(INDEX([3]Sheet1!$B$4:$B$23,MATCH(K951,[3]Sheet1!$B$4:$B$23,1)+1,1)-INDEX([3]Sheet1!$B$4:$B$23,
MATCH(K951,[3]Sheet1!$B$4:$B$23,1),1))*(INDEX([3]Sheet1!$C$4:$Q$23,MATCH(K951,[3]Sheet1!$B$4:$B$23,1)+1,MATCH(D951,[3]Sheet1!$C$3:$Q$3,1))-INDEX([3]Sheet1!$C$4:$Q$23,
MATCH(K951,[3]Sheet1!$B$4:$B$23,1),MATCH(D951,[3]Sheet1!$C$3:$Q$3,1)))
+(D951-INDEX([3]Sheet1!$C$3:$Q$3,1,MATCH(D951,[3]Sheet1!$C$3:$Q$3)))/(INDEX([3]Sheet1!$C$3:$Q$3,1,MATCH(D951,[3]Sheet1!$C$3:$Q$3)+1)-INDEX([3]Sheet1!$C$3:$Q$3,1,MATCH(
D951,[3]Sheet1!$C$3:$Q$3)))*(INDEX([3]Sheet1!$C$4:$Q$23,MATCH(K951,[3]Sheet1!$B$4:$B$23,1),MATCH(D951,[3]Sheet1!$C$3:$Q$3,1)+1)-INDEX([3]Sheet1!$C$4:$Q$23,MATCH(K951,[3]Sheet1!$B$4:$B$23,1),MATCH(D951,[3]Sheet1!$C$3:$Q$3,1))))</f>
        <v>0</v>
      </c>
      <c r="M951" cm="1">
        <f t="array" ref="M951" xml:space="preserve"> IF(E951*J951=0,0,(INDEX([2]Sheet1!$C$4:$Q$23,MATCH(K951,[2]Sheet1!$B$4:$B$23,1),MATCH(D951,[2]Sheet1!$C$3:$Q$3,1))
+ (K951 - INDEX([2]Sheet1!$B$4:$B$23,MATCH(K951,[2]Sheet1!$B$4:$B$23,1),1))/(INDEX([2]Sheet1!$B$4:$B$23,MATCH(K951,[2]Sheet1!$B$4:$B$23,1)+1,1) - INDEX([2]Sheet1!$B$4:$B$23,MATCH(K951,[2]Sheet1!$B$4:$B$23,1),1))*(INDEX([2]Sheet1!$C$4:$Q$23,MATCH(K951,[2]Sheet1!$B$4:$B$23,1)+1,MATCH(D951,[2]Sheet1!$C$3:$Q$3,1)) - INDEX([2]Sheet1!$C$4:$Q$23,MATCH(K951,[2]Sheet1!$B$4:$B$23,1),MATCH(D951,[2]Sheet1!$C$3:$Q$3,1)))
+ (D951 - INDEX([2]Sheet1!$C$3:$Q$3,1,MATCH(D951,[2]Sheet1!$C$3:$Q$3)))/(INDEX([2]Sheet1!$C$3:$Q$3,1,MATCH(D951,[2]Sheet1!$C$3:$Q$3)+1) - INDEX([2]Sheet1!$C$3:$Q$3,1,MATCH(D951,[2]Sheet1!$C$3:$Q$3)))*(
INDEX([2]Sheet1!$C$4:$Q$23,MATCH(K951,[2]Sheet1!$B$4:$B$23,1),MATCH(D951,[2]Sheet1!$C$3:$Q$3,1)+1) - INDEX([2]Sheet1!$C$4:$Q$23,MATCH(K951,[2]Sheet1!$B$4:$B$23,1),MATCH(D951,[2]Sheet1!$C$3:$Q$3,1)))))</f>
        <v>0</v>
      </c>
      <c r="N951">
        <f t="shared" si="270"/>
        <v>12</v>
      </c>
      <c r="O951">
        <v>317.02450568394102</v>
      </c>
      <c r="P951" t="e">
        <f t="shared" si="271"/>
        <v>#DIV/0!</v>
      </c>
      <c r="Q951">
        <f t="shared" si="272"/>
        <v>0</v>
      </c>
      <c r="R951">
        <f t="shared" si="273"/>
        <v>741.9099431943954</v>
      </c>
      <c r="T951" t="e">
        <f t="shared" si="274"/>
        <v>#DIV/0!</v>
      </c>
      <c r="U951" t="e">
        <f t="shared" si="275"/>
        <v>#DIV/0!</v>
      </c>
      <c r="V951">
        <f t="shared" si="276"/>
        <v>0</v>
      </c>
      <c r="W951" t="e">
        <f t="shared" si="277"/>
        <v>#DIV/0!</v>
      </c>
    </row>
    <row r="952" spans="1:23" x14ac:dyDescent="0.55000000000000004">
      <c r="A952">
        <f t="shared" si="279"/>
        <v>91.799999999999059</v>
      </c>
      <c r="B952">
        <f t="shared" si="280"/>
        <v>0.316</v>
      </c>
      <c r="C952">
        <f t="shared" si="263"/>
        <v>-54.869565217390701</v>
      </c>
      <c r="D952">
        <v>318.43984551913201</v>
      </c>
      <c r="E952">
        <f t="shared" si="264"/>
        <v>0</v>
      </c>
      <c r="F952">
        <f t="shared" si="265"/>
        <v>4.8605058816845369E-2</v>
      </c>
      <c r="G952">
        <f t="shared" si="266"/>
        <v>39.513748498891111</v>
      </c>
      <c r="H952">
        <f t="shared" si="267"/>
        <v>0</v>
      </c>
      <c r="I952" s="1">
        <f t="shared" si="278"/>
        <v>0</v>
      </c>
      <c r="J952">
        <f t="shared" si="268"/>
        <v>0</v>
      </c>
      <c r="K952">
        <f t="shared" si="269"/>
        <v>0</v>
      </c>
      <c r="L952" cm="1">
        <f t="array" ref="L952">IF(E952*J952=0,0,$C$21*INDEX([3]Sheet1!$C$4:$Q$23,MATCH(K952,[3]Sheet1!$B$4:$B$23,1),MATCH(D952,[3]Sheet1!$C$3:$Q$3,1))
+(K952-INDEX([3]Sheet1!$B$4:$B$23,MATCH(K952,[3]Sheet1!$B$4:$B$23,1),1))/(INDEX([3]Sheet1!$B$4:$B$23,MATCH(K952,[3]Sheet1!$B$4:$B$23,1)+1,1)-INDEX([3]Sheet1!$B$4:$B$23,
MATCH(K952,[3]Sheet1!$B$4:$B$23,1),1))*(INDEX([3]Sheet1!$C$4:$Q$23,MATCH(K952,[3]Sheet1!$B$4:$B$23,1)+1,MATCH(D952,[3]Sheet1!$C$3:$Q$3,1))-INDEX([3]Sheet1!$C$4:$Q$23,
MATCH(K952,[3]Sheet1!$B$4:$B$23,1),MATCH(D952,[3]Sheet1!$C$3:$Q$3,1)))
+(D952-INDEX([3]Sheet1!$C$3:$Q$3,1,MATCH(D952,[3]Sheet1!$C$3:$Q$3)))/(INDEX([3]Sheet1!$C$3:$Q$3,1,MATCH(D952,[3]Sheet1!$C$3:$Q$3)+1)-INDEX([3]Sheet1!$C$3:$Q$3,1,MATCH(
D952,[3]Sheet1!$C$3:$Q$3)))*(INDEX([3]Sheet1!$C$4:$Q$23,MATCH(K952,[3]Sheet1!$B$4:$B$23,1),MATCH(D952,[3]Sheet1!$C$3:$Q$3,1)+1)-INDEX([3]Sheet1!$C$4:$Q$23,MATCH(K952,[3]Sheet1!$B$4:$B$23,1),MATCH(D952,[3]Sheet1!$C$3:$Q$3,1))))</f>
        <v>0</v>
      </c>
      <c r="M952" cm="1">
        <f t="array" ref="M952" xml:space="preserve"> IF(E952*J952=0,0,(INDEX([2]Sheet1!$C$4:$Q$23,MATCH(K952,[2]Sheet1!$B$4:$B$23,1),MATCH(D952,[2]Sheet1!$C$3:$Q$3,1))
+ (K952 - INDEX([2]Sheet1!$B$4:$B$23,MATCH(K952,[2]Sheet1!$B$4:$B$23,1),1))/(INDEX([2]Sheet1!$B$4:$B$23,MATCH(K952,[2]Sheet1!$B$4:$B$23,1)+1,1) - INDEX([2]Sheet1!$B$4:$B$23,MATCH(K952,[2]Sheet1!$B$4:$B$23,1),1))*(INDEX([2]Sheet1!$C$4:$Q$23,MATCH(K952,[2]Sheet1!$B$4:$B$23,1)+1,MATCH(D952,[2]Sheet1!$C$3:$Q$3,1)) - INDEX([2]Sheet1!$C$4:$Q$23,MATCH(K952,[2]Sheet1!$B$4:$B$23,1),MATCH(D952,[2]Sheet1!$C$3:$Q$3,1)))
+ (D952 - INDEX([2]Sheet1!$C$3:$Q$3,1,MATCH(D952,[2]Sheet1!$C$3:$Q$3)))/(INDEX([2]Sheet1!$C$3:$Q$3,1,MATCH(D952,[2]Sheet1!$C$3:$Q$3)+1) - INDEX([2]Sheet1!$C$3:$Q$3,1,MATCH(D952,[2]Sheet1!$C$3:$Q$3)))*(
INDEX([2]Sheet1!$C$4:$Q$23,MATCH(K952,[2]Sheet1!$B$4:$B$23,1),MATCH(D952,[2]Sheet1!$C$3:$Q$3,1)+1) - INDEX([2]Sheet1!$C$4:$Q$23,MATCH(K952,[2]Sheet1!$B$4:$B$23,1),MATCH(D952,[2]Sheet1!$C$3:$Q$3,1)))))</f>
        <v>0</v>
      </c>
      <c r="N952">
        <f t="shared" si="270"/>
        <v>12</v>
      </c>
      <c r="O952">
        <v>318.02450568394102</v>
      </c>
      <c r="P952" t="e">
        <f t="shared" si="271"/>
        <v>#DIV/0!</v>
      </c>
      <c r="Q952">
        <f t="shared" si="272"/>
        <v>0</v>
      </c>
      <c r="R952">
        <f t="shared" si="273"/>
        <v>741.9099431943954</v>
      </c>
      <c r="T952" t="e">
        <f t="shared" si="274"/>
        <v>#DIV/0!</v>
      </c>
      <c r="U952" t="e">
        <f t="shared" si="275"/>
        <v>#DIV/0!</v>
      </c>
      <c r="V952">
        <f t="shared" si="276"/>
        <v>0</v>
      </c>
      <c r="W952" t="e">
        <f t="shared" si="277"/>
        <v>#DIV/0!</v>
      </c>
    </row>
    <row r="953" spans="1:23" x14ac:dyDescent="0.55000000000000004">
      <c r="A953">
        <f t="shared" si="279"/>
        <v>91.899999999999054</v>
      </c>
      <c r="B953">
        <f t="shared" si="280"/>
        <v>0.316</v>
      </c>
      <c r="C953">
        <f t="shared" si="263"/>
        <v>-54.934782608695038</v>
      </c>
      <c r="D953">
        <v>319.43984551913201</v>
      </c>
      <c r="E953">
        <f t="shared" si="264"/>
        <v>0</v>
      </c>
      <c r="F953">
        <f t="shared" si="265"/>
        <v>4.8605058816845369E-2</v>
      </c>
      <c r="G953">
        <f t="shared" si="266"/>
        <v>39.513748498891111</v>
      </c>
      <c r="H953">
        <f t="shared" si="267"/>
        <v>0</v>
      </c>
      <c r="I953" s="1">
        <f t="shared" si="278"/>
        <v>0</v>
      </c>
      <c r="J953">
        <f t="shared" si="268"/>
        <v>0</v>
      </c>
      <c r="K953">
        <f t="shared" si="269"/>
        <v>0</v>
      </c>
      <c r="L953" cm="1">
        <f t="array" ref="L953">IF(E953*J953=0,0,$C$21*INDEX([3]Sheet1!$C$4:$Q$23,MATCH(K953,[3]Sheet1!$B$4:$B$23,1),MATCH(D953,[3]Sheet1!$C$3:$Q$3,1))
+(K953-INDEX([3]Sheet1!$B$4:$B$23,MATCH(K953,[3]Sheet1!$B$4:$B$23,1),1))/(INDEX([3]Sheet1!$B$4:$B$23,MATCH(K953,[3]Sheet1!$B$4:$B$23,1)+1,1)-INDEX([3]Sheet1!$B$4:$B$23,
MATCH(K953,[3]Sheet1!$B$4:$B$23,1),1))*(INDEX([3]Sheet1!$C$4:$Q$23,MATCH(K953,[3]Sheet1!$B$4:$B$23,1)+1,MATCH(D953,[3]Sheet1!$C$3:$Q$3,1))-INDEX([3]Sheet1!$C$4:$Q$23,
MATCH(K953,[3]Sheet1!$B$4:$B$23,1),MATCH(D953,[3]Sheet1!$C$3:$Q$3,1)))
+(D953-INDEX([3]Sheet1!$C$3:$Q$3,1,MATCH(D953,[3]Sheet1!$C$3:$Q$3)))/(INDEX([3]Sheet1!$C$3:$Q$3,1,MATCH(D953,[3]Sheet1!$C$3:$Q$3)+1)-INDEX([3]Sheet1!$C$3:$Q$3,1,MATCH(
D953,[3]Sheet1!$C$3:$Q$3)))*(INDEX([3]Sheet1!$C$4:$Q$23,MATCH(K953,[3]Sheet1!$B$4:$B$23,1),MATCH(D953,[3]Sheet1!$C$3:$Q$3,1)+1)-INDEX([3]Sheet1!$C$4:$Q$23,MATCH(K953,[3]Sheet1!$B$4:$B$23,1),MATCH(D953,[3]Sheet1!$C$3:$Q$3,1))))</f>
        <v>0</v>
      </c>
      <c r="M953" cm="1">
        <f t="array" ref="M953" xml:space="preserve"> IF(E953*J953=0,0,(INDEX([2]Sheet1!$C$4:$Q$23,MATCH(K953,[2]Sheet1!$B$4:$B$23,1),MATCH(D953,[2]Sheet1!$C$3:$Q$3,1))
+ (K953 - INDEX([2]Sheet1!$B$4:$B$23,MATCH(K953,[2]Sheet1!$B$4:$B$23,1),1))/(INDEX([2]Sheet1!$B$4:$B$23,MATCH(K953,[2]Sheet1!$B$4:$B$23,1)+1,1) - INDEX([2]Sheet1!$B$4:$B$23,MATCH(K953,[2]Sheet1!$B$4:$B$23,1),1))*(INDEX([2]Sheet1!$C$4:$Q$23,MATCH(K953,[2]Sheet1!$B$4:$B$23,1)+1,MATCH(D953,[2]Sheet1!$C$3:$Q$3,1)) - INDEX([2]Sheet1!$C$4:$Q$23,MATCH(K953,[2]Sheet1!$B$4:$B$23,1),MATCH(D953,[2]Sheet1!$C$3:$Q$3,1)))
+ (D953 - INDEX([2]Sheet1!$C$3:$Q$3,1,MATCH(D953,[2]Sheet1!$C$3:$Q$3)))/(INDEX([2]Sheet1!$C$3:$Q$3,1,MATCH(D953,[2]Sheet1!$C$3:$Q$3)+1) - INDEX([2]Sheet1!$C$3:$Q$3,1,MATCH(D953,[2]Sheet1!$C$3:$Q$3)))*(
INDEX([2]Sheet1!$C$4:$Q$23,MATCH(K953,[2]Sheet1!$B$4:$B$23,1),MATCH(D953,[2]Sheet1!$C$3:$Q$3,1)+1) - INDEX([2]Sheet1!$C$4:$Q$23,MATCH(K953,[2]Sheet1!$B$4:$B$23,1),MATCH(D953,[2]Sheet1!$C$3:$Q$3,1)))))</f>
        <v>0</v>
      </c>
      <c r="N953">
        <f t="shared" si="270"/>
        <v>12</v>
      </c>
      <c r="O953">
        <v>319.02450568394102</v>
      </c>
      <c r="P953" t="e">
        <f t="shared" si="271"/>
        <v>#DIV/0!</v>
      </c>
      <c r="Q953">
        <f t="shared" si="272"/>
        <v>0</v>
      </c>
      <c r="R953">
        <f t="shared" si="273"/>
        <v>741.9099431943954</v>
      </c>
      <c r="T953" t="e">
        <f t="shared" si="274"/>
        <v>#DIV/0!</v>
      </c>
      <c r="U953" t="e">
        <f t="shared" si="275"/>
        <v>#DIV/0!</v>
      </c>
      <c r="V953">
        <f t="shared" si="276"/>
        <v>0</v>
      </c>
      <c r="W953" t="e">
        <f t="shared" si="277"/>
        <v>#DIV/0!</v>
      </c>
    </row>
    <row r="954" spans="1:23" x14ac:dyDescent="0.55000000000000004">
      <c r="A954">
        <f t="shared" si="279"/>
        <v>91.999999999999048</v>
      </c>
      <c r="B954">
        <f t="shared" si="280"/>
        <v>0.316</v>
      </c>
      <c r="C954">
        <f t="shared" si="263"/>
        <v>-54.999999999999389</v>
      </c>
      <c r="D954">
        <v>320.43984551913201</v>
      </c>
      <c r="E954">
        <f t="shared" si="264"/>
        <v>0</v>
      </c>
      <c r="F954">
        <f t="shared" si="265"/>
        <v>4.8605058816845369E-2</v>
      </c>
      <c r="G954">
        <f t="shared" si="266"/>
        <v>39.513748498891111</v>
      </c>
      <c r="H954">
        <f t="shared" si="267"/>
        <v>0</v>
      </c>
      <c r="I954" s="1">
        <f t="shared" si="278"/>
        <v>0</v>
      </c>
      <c r="J954">
        <f t="shared" si="268"/>
        <v>0</v>
      </c>
      <c r="K954">
        <f t="shared" si="269"/>
        <v>0</v>
      </c>
      <c r="L954" cm="1">
        <f t="array" ref="L954">IF(E954*J954=0,0,$C$21*INDEX([3]Sheet1!$C$4:$Q$23,MATCH(K954,[3]Sheet1!$B$4:$B$23,1),MATCH(D954,[3]Sheet1!$C$3:$Q$3,1))
+(K954-INDEX([3]Sheet1!$B$4:$B$23,MATCH(K954,[3]Sheet1!$B$4:$B$23,1),1))/(INDEX([3]Sheet1!$B$4:$B$23,MATCH(K954,[3]Sheet1!$B$4:$B$23,1)+1,1)-INDEX([3]Sheet1!$B$4:$B$23,
MATCH(K954,[3]Sheet1!$B$4:$B$23,1),1))*(INDEX([3]Sheet1!$C$4:$Q$23,MATCH(K954,[3]Sheet1!$B$4:$B$23,1)+1,MATCH(D954,[3]Sheet1!$C$3:$Q$3,1))-INDEX([3]Sheet1!$C$4:$Q$23,
MATCH(K954,[3]Sheet1!$B$4:$B$23,1),MATCH(D954,[3]Sheet1!$C$3:$Q$3,1)))
+(D954-INDEX([3]Sheet1!$C$3:$Q$3,1,MATCH(D954,[3]Sheet1!$C$3:$Q$3)))/(INDEX([3]Sheet1!$C$3:$Q$3,1,MATCH(D954,[3]Sheet1!$C$3:$Q$3)+1)-INDEX([3]Sheet1!$C$3:$Q$3,1,MATCH(
D954,[3]Sheet1!$C$3:$Q$3)))*(INDEX([3]Sheet1!$C$4:$Q$23,MATCH(K954,[3]Sheet1!$B$4:$B$23,1),MATCH(D954,[3]Sheet1!$C$3:$Q$3,1)+1)-INDEX([3]Sheet1!$C$4:$Q$23,MATCH(K954,[3]Sheet1!$B$4:$B$23,1),MATCH(D954,[3]Sheet1!$C$3:$Q$3,1))))</f>
        <v>0</v>
      </c>
      <c r="M954" cm="1">
        <f t="array" ref="M954" xml:space="preserve"> IF(E954*J954=0,0,(INDEX([2]Sheet1!$C$4:$Q$23,MATCH(K954,[2]Sheet1!$B$4:$B$23,1),MATCH(D954,[2]Sheet1!$C$3:$Q$3,1))
+ (K954 - INDEX([2]Sheet1!$B$4:$B$23,MATCH(K954,[2]Sheet1!$B$4:$B$23,1),1))/(INDEX([2]Sheet1!$B$4:$B$23,MATCH(K954,[2]Sheet1!$B$4:$B$23,1)+1,1) - INDEX([2]Sheet1!$B$4:$B$23,MATCH(K954,[2]Sheet1!$B$4:$B$23,1),1))*(INDEX([2]Sheet1!$C$4:$Q$23,MATCH(K954,[2]Sheet1!$B$4:$B$23,1)+1,MATCH(D954,[2]Sheet1!$C$3:$Q$3,1)) - INDEX([2]Sheet1!$C$4:$Q$23,MATCH(K954,[2]Sheet1!$B$4:$B$23,1),MATCH(D954,[2]Sheet1!$C$3:$Q$3,1)))
+ (D954 - INDEX([2]Sheet1!$C$3:$Q$3,1,MATCH(D954,[2]Sheet1!$C$3:$Q$3)))/(INDEX([2]Sheet1!$C$3:$Q$3,1,MATCH(D954,[2]Sheet1!$C$3:$Q$3)+1) - INDEX([2]Sheet1!$C$3:$Q$3,1,MATCH(D954,[2]Sheet1!$C$3:$Q$3)))*(
INDEX([2]Sheet1!$C$4:$Q$23,MATCH(K954,[2]Sheet1!$B$4:$B$23,1),MATCH(D954,[2]Sheet1!$C$3:$Q$3,1)+1) - INDEX([2]Sheet1!$C$4:$Q$23,MATCH(K954,[2]Sheet1!$B$4:$B$23,1),MATCH(D954,[2]Sheet1!$C$3:$Q$3,1)))))</f>
        <v>0</v>
      </c>
      <c r="N954">
        <f t="shared" si="270"/>
        <v>12</v>
      </c>
      <c r="O954">
        <v>320.02450568394102</v>
      </c>
      <c r="P954" t="e">
        <f t="shared" si="271"/>
        <v>#DIV/0!</v>
      </c>
      <c r="Q954">
        <f t="shared" si="272"/>
        <v>0</v>
      </c>
      <c r="R954">
        <f t="shared" si="273"/>
        <v>741.9099431943954</v>
      </c>
      <c r="T954" t="e">
        <f t="shared" si="274"/>
        <v>#DIV/0!</v>
      </c>
      <c r="U954" t="e">
        <f t="shared" si="275"/>
        <v>#DIV/0!</v>
      </c>
      <c r="V954">
        <f t="shared" si="276"/>
        <v>0</v>
      </c>
      <c r="W954" t="e">
        <f t="shared" si="277"/>
        <v>#DIV/0!</v>
      </c>
    </row>
    <row r="955" spans="1:23" x14ac:dyDescent="0.55000000000000004">
      <c r="A955">
        <f t="shared" si="279"/>
        <v>92.099999999999042</v>
      </c>
      <c r="B955">
        <f t="shared" si="280"/>
        <v>0.316</v>
      </c>
      <c r="C955">
        <f t="shared" ref="C955:C1018" si="281">($C$3-$C$2)*A955/$C$4+$C$2</f>
        <v>-55.065217391303726</v>
      </c>
      <c r="D955">
        <v>321.43984551913201</v>
      </c>
      <c r="E955">
        <f t="shared" ref="E955:E1018" si="282">IF(B955&lt;($C$5*$C$6*10^-6),$C$9*(PI()/4*($C$8*0.001)^2)*SQRT(2*$C$6*IF(C955&gt;D955,(C955-D955),0)*10^6),0)</f>
        <v>0</v>
      </c>
      <c r="F955">
        <f t="shared" ref="F955:F1018" si="283">F954+(J954+J953)*(A955-A954)/2</f>
        <v>4.8605058816845369E-2</v>
      </c>
      <c r="G955">
        <f t="shared" ref="G955:G1018" si="284">IF(SQRT(4*F955/($C$15*PI()*$C$11*$C$12*0.001)+($C$13*0.001)^2)*1000&lt;$C$14,SQRT(4*F955/($C$15*PI()*$C$11*$C$12*0.001)+($C$13*0.001)^2)*1000,$C$14)</f>
        <v>39.513748498891111</v>
      </c>
      <c r="H955">
        <f t="shared" ref="H955:H1018" si="285">4*E955/($C$15*PI()*(G955*0.001)^2)</f>
        <v>0</v>
      </c>
      <c r="I955" s="1">
        <f t="shared" si="278"/>
        <v>0</v>
      </c>
      <c r="J955">
        <f t="shared" ref="J955:J1018" si="286">($C$12*10^-3)*PI()*(G955*10^-3)*$C$11*(I955*10^-3)*$C$15</f>
        <v>0</v>
      </c>
      <c r="K955">
        <f t="shared" ref="K955:K1018" si="287">IF(E955*J955=0,0,E955/J955)</f>
        <v>0</v>
      </c>
      <c r="L955" cm="1">
        <f t="array" ref="L955">IF(E955*J955=0,0,$C$21*INDEX([3]Sheet1!$C$4:$Q$23,MATCH(K955,[3]Sheet1!$B$4:$B$23,1),MATCH(D955,[3]Sheet1!$C$3:$Q$3,1))
+(K955-INDEX([3]Sheet1!$B$4:$B$23,MATCH(K955,[3]Sheet1!$B$4:$B$23,1),1))/(INDEX([3]Sheet1!$B$4:$B$23,MATCH(K955,[3]Sheet1!$B$4:$B$23,1)+1,1)-INDEX([3]Sheet1!$B$4:$B$23,
MATCH(K955,[3]Sheet1!$B$4:$B$23,1),1))*(INDEX([3]Sheet1!$C$4:$Q$23,MATCH(K955,[3]Sheet1!$B$4:$B$23,1)+1,MATCH(D955,[3]Sheet1!$C$3:$Q$3,1))-INDEX([3]Sheet1!$C$4:$Q$23,
MATCH(K955,[3]Sheet1!$B$4:$B$23,1),MATCH(D955,[3]Sheet1!$C$3:$Q$3,1)))
+(D955-INDEX([3]Sheet1!$C$3:$Q$3,1,MATCH(D955,[3]Sheet1!$C$3:$Q$3)))/(INDEX([3]Sheet1!$C$3:$Q$3,1,MATCH(D955,[3]Sheet1!$C$3:$Q$3)+1)-INDEX([3]Sheet1!$C$3:$Q$3,1,MATCH(
D955,[3]Sheet1!$C$3:$Q$3)))*(INDEX([3]Sheet1!$C$4:$Q$23,MATCH(K955,[3]Sheet1!$B$4:$B$23,1),MATCH(D955,[3]Sheet1!$C$3:$Q$3,1)+1)-INDEX([3]Sheet1!$C$4:$Q$23,MATCH(K955,[3]Sheet1!$B$4:$B$23,1),MATCH(D955,[3]Sheet1!$C$3:$Q$3,1))))</f>
        <v>0</v>
      </c>
      <c r="M955" cm="1">
        <f t="array" ref="M955" xml:space="preserve"> IF(E955*J955=0,0,(INDEX([2]Sheet1!$C$4:$Q$23,MATCH(K955,[2]Sheet1!$B$4:$B$23,1),MATCH(D955,[2]Sheet1!$C$3:$Q$3,1))
+ (K955 - INDEX([2]Sheet1!$B$4:$B$23,MATCH(K955,[2]Sheet1!$B$4:$B$23,1),1))/(INDEX([2]Sheet1!$B$4:$B$23,MATCH(K955,[2]Sheet1!$B$4:$B$23,1)+1,1) - INDEX([2]Sheet1!$B$4:$B$23,MATCH(K955,[2]Sheet1!$B$4:$B$23,1),1))*(INDEX([2]Sheet1!$C$4:$Q$23,MATCH(K955,[2]Sheet1!$B$4:$B$23,1)+1,MATCH(D955,[2]Sheet1!$C$3:$Q$3,1)) - INDEX([2]Sheet1!$C$4:$Q$23,MATCH(K955,[2]Sheet1!$B$4:$B$23,1),MATCH(D955,[2]Sheet1!$C$3:$Q$3,1)))
+ (D955 - INDEX([2]Sheet1!$C$3:$Q$3,1,MATCH(D955,[2]Sheet1!$C$3:$Q$3)))/(INDEX([2]Sheet1!$C$3:$Q$3,1,MATCH(D955,[2]Sheet1!$C$3:$Q$3)+1) - INDEX([2]Sheet1!$C$3:$Q$3,1,MATCH(D955,[2]Sheet1!$C$3:$Q$3)))*(
INDEX([2]Sheet1!$C$4:$Q$23,MATCH(K955,[2]Sheet1!$B$4:$B$23,1),MATCH(D955,[2]Sheet1!$C$3:$Q$3,1)+1) - INDEX([2]Sheet1!$C$4:$Q$23,MATCH(K955,[2]Sheet1!$B$4:$B$23,1),MATCH(D955,[2]Sheet1!$C$3:$Q$3,1)))))</f>
        <v>0</v>
      </c>
      <c r="N955">
        <f t="shared" ref="N955:N1018" si="288">C$23+$C$26*(A956-A955)</f>
        <v>12</v>
      </c>
      <c r="O955">
        <v>321.02450568394102</v>
      </c>
      <c r="P955" t="e">
        <f t="shared" ref="P955:P1018" si="289">SQRT(2*(M955^2)/(M955-1)*((2/(M955+1))^((M955+1)/(M955-1)))*(1-(O955/D955)^((M955-1)/M955)))+((O955-$C$22)/D955)*(($C$24^2)/($C$23^2))</f>
        <v>#DIV/0!</v>
      </c>
      <c r="Q955">
        <f t="shared" ref="Q955:Q1018" si="290">IF(E955*J955=0,0,((1+COS(RADIANS($C$25)))/2)*P955*D955*(PI()*($C$23^2)/4))</f>
        <v>0</v>
      </c>
      <c r="R955">
        <f t="shared" ref="R955:R1018" si="291">R954+(Q955+Q954)*(A955-A954)/2</f>
        <v>741.9099431943954</v>
      </c>
      <c r="T955" t="e">
        <f t="shared" ref="T955:T1018" si="292">((2/(M955+1))^(1/(M955-1)))*((D955/O955)^(1/M955))/SQRT(((M955+1)/(M955-1))*(1-(O955/D955)^((M955-1)/M955)))</f>
        <v>#DIV/0!</v>
      </c>
      <c r="U955" t="e">
        <f t="shared" ref="U955:U1018" si="293">(T955-(($C$24^2)/(N955^2)))/(($C$24^2)/(N955^2))*100</f>
        <v>#DIV/0!</v>
      </c>
      <c r="V955">
        <f t="shared" ref="V955:V1018" si="294">4*L955*(E955+J955)/(PI()*N955^2)</f>
        <v>0</v>
      </c>
      <c r="W955" t="e">
        <f t="shared" ref="W955:W1018" si="295">(D955-V955)/V955*100</f>
        <v>#DIV/0!</v>
      </c>
    </row>
    <row r="956" spans="1:23" x14ac:dyDescent="0.55000000000000004">
      <c r="A956">
        <f t="shared" si="279"/>
        <v>92.199999999999037</v>
      </c>
      <c r="B956">
        <f t="shared" si="280"/>
        <v>0.316</v>
      </c>
      <c r="C956">
        <f t="shared" si="281"/>
        <v>-55.130434782608077</v>
      </c>
      <c r="D956">
        <v>322.43984551913201</v>
      </c>
      <c r="E956">
        <f t="shared" si="282"/>
        <v>0</v>
      </c>
      <c r="F956">
        <f t="shared" si="283"/>
        <v>4.8605058816845369E-2</v>
      </c>
      <c r="G956">
        <f t="shared" si="284"/>
        <v>39.513748498891111</v>
      </c>
      <c r="H956">
        <f t="shared" si="285"/>
        <v>0</v>
      </c>
      <c r="I956" s="1">
        <f t="shared" si="278"/>
        <v>0</v>
      </c>
      <c r="J956">
        <f t="shared" si="286"/>
        <v>0</v>
      </c>
      <c r="K956">
        <f t="shared" si="287"/>
        <v>0</v>
      </c>
      <c r="L956" cm="1">
        <f t="array" ref="L956">IF(E956*J956=0,0,$C$21*INDEX([3]Sheet1!$C$4:$Q$23,MATCH(K956,[3]Sheet1!$B$4:$B$23,1),MATCH(D956,[3]Sheet1!$C$3:$Q$3,1))
+(K956-INDEX([3]Sheet1!$B$4:$B$23,MATCH(K956,[3]Sheet1!$B$4:$B$23,1),1))/(INDEX([3]Sheet1!$B$4:$B$23,MATCH(K956,[3]Sheet1!$B$4:$B$23,1)+1,1)-INDEX([3]Sheet1!$B$4:$B$23,
MATCH(K956,[3]Sheet1!$B$4:$B$23,1),1))*(INDEX([3]Sheet1!$C$4:$Q$23,MATCH(K956,[3]Sheet1!$B$4:$B$23,1)+1,MATCH(D956,[3]Sheet1!$C$3:$Q$3,1))-INDEX([3]Sheet1!$C$4:$Q$23,
MATCH(K956,[3]Sheet1!$B$4:$B$23,1),MATCH(D956,[3]Sheet1!$C$3:$Q$3,1)))
+(D956-INDEX([3]Sheet1!$C$3:$Q$3,1,MATCH(D956,[3]Sheet1!$C$3:$Q$3)))/(INDEX([3]Sheet1!$C$3:$Q$3,1,MATCH(D956,[3]Sheet1!$C$3:$Q$3)+1)-INDEX([3]Sheet1!$C$3:$Q$3,1,MATCH(
D956,[3]Sheet1!$C$3:$Q$3)))*(INDEX([3]Sheet1!$C$4:$Q$23,MATCH(K956,[3]Sheet1!$B$4:$B$23,1),MATCH(D956,[3]Sheet1!$C$3:$Q$3,1)+1)-INDEX([3]Sheet1!$C$4:$Q$23,MATCH(K956,[3]Sheet1!$B$4:$B$23,1),MATCH(D956,[3]Sheet1!$C$3:$Q$3,1))))</f>
        <v>0</v>
      </c>
      <c r="M956" cm="1">
        <f t="array" ref="M956" xml:space="preserve"> IF(E956*J956=0,0,(INDEX([2]Sheet1!$C$4:$Q$23,MATCH(K956,[2]Sheet1!$B$4:$B$23,1),MATCH(D956,[2]Sheet1!$C$3:$Q$3,1))
+ (K956 - INDEX([2]Sheet1!$B$4:$B$23,MATCH(K956,[2]Sheet1!$B$4:$B$23,1),1))/(INDEX([2]Sheet1!$B$4:$B$23,MATCH(K956,[2]Sheet1!$B$4:$B$23,1)+1,1) - INDEX([2]Sheet1!$B$4:$B$23,MATCH(K956,[2]Sheet1!$B$4:$B$23,1),1))*(INDEX([2]Sheet1!$C$4:$Q$23,MATCH(K956,[2]Sheet1!$B$4:$B$23,1)+1,MATCH(D956,[2]Sheet1!$C$3:$Q$3,1)) - INDEX([2]Sheet1!$C$4:$Q$23,MATCH(K956,[2]Sheet1!$B$4:$B$23,1),MATCH(D956,[2]Sheet1!$C$3:$Q$3,1)))
+ (D956 - INDEX([2]Sheet1!$C$3:$Q$3,1,MATCH(D956,[2]Sheet1!$C$3:$Q$3)))/(INDEX([2]Sheet1!$C$3:$Q$3,1,MATCH(D956,[2]Sheet1!$C$3:$Q$3)+1) - INDEX([2]Sheet1!$C$3:$Q$3,1,MATCH(D956,[2]Sheet1!$C$3:$Q$3)))*(
INDEX([2]Sheet1!$C$4:$Q$23,MATCH(K956,[2]Sheet1!$B$4:$B$23,1),MATCH(D956,[2]Sheet1!$C$3:$Q$3,1)+1) - INDEX([2]Sheet1!$C$4:$Q$23,MATCH(K956,[2]Sheet1!$B$4:$B$23,1),MATCH(D956,[2]Sheet1!$C$3:$Q$3,1)))))</f>
        <v>0</v>
      </c>
      <c r="N956">
        <f t="shared" si="288"/>
        <v>12</v>
      </c>
      <c r="O956">
        <v>322.02450568394102</v>
      </c>
      <c r="P956" t="e">
        <f t="shared" si="289"/>
        <v>#DIV/0!</v>
      </c>
      <c r="Q956">
        <f t="shared" si="290"/>
        <v>0</v>
      </c>
      <c r="R956">
        <f t="shared" si="291"/>
        <v>741.9099431943954</v>
      </c>
      <c r="T956" t="e">
        <f t="shared" si="292"/>
        <v>#DIV/0!</v>
      </c>
      <c r="U956" t="e">
        <f t="shared" si="293"/>
        <v>#DIV/0!</v>
      </c>
      <c r="V956">
        <f t="shared" si="294"/>
        <v>0</v>
      </c>
      <c r="W956" t="e">
        <f t="shared" si="295"/>
        <v>#DIV/0!</v>
      </c>
    </row>
    <row r="957" spans="1:23" x14ac:dyDescent="0.55000000000000004">
      <c r="A957">
        <f t="shared" si="279"/>
        <v>92.299999999999031</v>
      </c>
      <c r="B957">
        <f t="shared" si="280"/>
        <v>0.316</v>
      </c>
      <c r="C957">
        <f t="shared" si="281"/>
        <v>-55.195652173912414</v>
      </c>
      <c r="D957">
        <v>323.43984551913201</v>
      </c>
      <c r="E957">
        <f t="shared" si="282"/>
        <v>0</v>
      </c>
      <c r="F957">
        <f t="shared" si="283"/>
        <v>4.8605058816845369E-2</v>
      </c>
      <c r="G957">
        <f t="shared" si="284"/>
        <v>39.513748498891111</v>
      </c>
      <c r="H957">
        <f t="shared" si="285"/>
        <v>0</v>
      </c>
      <c r="I957" s="1">
        <f t="shared" si="278"/>
        <v>0</v>
      </c>
      <c r="J957">
        <f t="shared" si="286"/>
        <v>0</v>
      </c>
      <c r="K957">
        <f t="shared" si="287"/>
        <v>0</v>
      </c>
      <c r="L957" cm="1">
        <f t="array" ref="L957">IF(E957*J957=0,0,$C$21*INDEX([3]Sheet1!$C$4:$Q$23,MATCH(K957,[3]Sheet1!$B$4:$B$23,1),MATCH(D957,[3]Sheet1!$C$3:$Q$3,1))
+(K957-INDEX([3]Sheet1!$B$4:$B$23,MATCH(K957,[3]Sheet1!$B$4:$B$23,1),1))/(INDEX([3]Sheet1!$B$4:$B$23,MATCH(K957,[3]Sheet1!$B$4:$B$23,1)+1,1)-INDEX([3]Sheet1!$B$4:$B$23,
MATCH(K957,[3]Sheet1!$B$4:$B$23,1),1))*(INDEX([3]Sheet1!$C$4:$Q$23,MATCH(K957,[3]Sheet1!$B$4:$B$23,1)+1,MATCH(D957,[3]Sheet1!$C$3:$Q$3,1))-INDEX([3]Sheet1!$C$4:$Q$23,
MATCH(K957,[3]Sheet1!$B$4:$B$23,1),MATCH(D957,[3]Sheet1!$C$3:$Q$3,1)))
+(D957-INDEX([3]Sheet1!$C$3:$Q$3,1,MATCH(D957,[3]Sheet1!$C$3:$Q$3)))/(INDEX([3]Sheet1!$C$3:$Q$3,1,MATCH(D957,[3]Sheet1!$C$3:$Q$3)+1)-INDEX([3]Sheet1!$C$3:$Q$3,1,MATCH(
D957,[3]Sheet1!$C$3:$Q$3)))*(INDEX([3]Sheet1!$C$4:$Q$23,MATCH(K957,[3]Sheet1!$B$4:$B$23,1),MATCH(D957,[3]Sheet1!$C$3:$Q$3,1)+1)-INDEX([3]Sheet1!$C$4:$Q$23,MATCH(K957,[3]Sheet1!$B$4:$B$23,1),MATCH(D957,[3]Sheet1!$C$3:$Q$3,1))))</f>
        <v>0</v>
      </c>
      <c r="M957" cm="1">
        <f t="array" ref="M957" xml:space="preserve"> IF(E957*J957=0,0,(INDEX([2]Sheet1!$C$4:$Q$23,MATCH(K957,[2]Sheet1!$B$4:$B$23,1),MATCH(D957,[2]Sheet1!$C$3:$Q$3,1))
+ (K957 - INDEX([2]Sheet1!$B$4:$B$23,MATCH(K957,[2]Sheet1!$B$4:$B$23,1),1))/(INDEX([2]Sheet1!$B$4:$B$23,MATCH(K957,[2]Sheet1!$B$4:$B$23,1)+1,1) - INDEX([2]Sheet1!$B$4:$B$23,MATCH(K957,[2]Sheet1!$B$4:$B$23,1),1))*(INDEX([2]Sheet1!$C$4:$Q$23,MATCH(K957,[2]Sheet1!$B$4:$B$23,1)+1,MATCH(D957,[2]Sheet1!$C$3:$Q$3,1)) - INDEX([2]Sheet1!$C$4:$Q$23,MATCH(K957,[2]Sheet1!$B$4:$B$23,1),MATCH(D957,[2]Sheet1!$C$3:$Q$3,1)))
+ (D957 - INDEX([2]Sheet1!$C$3:$Q$3,1,MATCH(D957,[2]Sheet1!$C$3:$Q$3)))/(INDEX([2]Sheet1!$C$3:$Q$3,1,MATCH(D957,[2]Sheet1!$C$3:$Q$3)+1) - INDEX([2]Sheet1!$C$3:$Q$3,1,MATCH(D957,[2]Sheet1!$C$3:$Q$3)))*(
INDEX([2]Sheet1!$C$4:$Q$23,MATCH(K957,[2]Sheet1!$B$4:$B$23,1),MATCH(D957,[2]Sheet1!$C$3:$Q$3,1)+1) - INDEX([2]Sheet1!$C$4:$Q$23,MATCH(K957,[2]Sheet1!$B$4:$B$23,1),MATCH(D957,[2]Sheet1!$C$3:$Q$3,1)))))</f>
        <v>0</v>
      </c>
      <c r="N957">
        <f t="shared" si="288"/>
        <v>12</v>
      </c>
      <c r="O957">
        <v>323.02450568394102</v>
      </c>
      <c r="P957" t="e">
        <f t="shared" si="289"/>
        <v>#DIV/0!</v>
      </c>
      <c r="Q957">
        <f t="shared" si="290"/>
        <v>0</v>
      </c>
      <c r="R957">
        <f t="shared" si="291"/>
        <v>741.9099431943954</v>
      </c>
      <c r="T957" t="e">
        <f t="shared" si="292"/>
        <v>#DIV/0!</v>
      </c>
      <c r="U957" t="e">
        <f t="shared" si="293"/>
        <v>#DIV/0!</v>
      </c>
      <c r="V957">
        <f t="shared" si="294"/>
        <v>0</v>
      </c>
      <c r="W957" t="e">
        <f t="shared" si="295"/>
        <v>#DIV/0!</v>
      </c>
    </row>
    <row r="958" spans="1:23" x14ac:dyDescent="0.55000000000000004">
      <c r="A958">
        <f t="shared" si="279"/>
        <v>92.399999999999025</v>
      </c>
      <c r="B958">
        <f t="shared" si="280"/>
        <v>0.316</v>
      </c>
      <c r="C958">
        <f t="shared" si="281"/>
        <v>-55.260869565216765</v>
      </c>
      <c r="D958">
        <v>324.43984551913201</v>
      </c>
      <c r="E958">
        <f t="shared" si="282"/>
        <v>0</v>
      </c>
      <c r="F958">
        <f t="shared" si="283"/>
        <v>4.8605058816845369E-2</v>
      </c>
      <c r="G958">
        <f t="shared" si="284"/>
        <v>39.513748498891111</v>
      </c>
      <c r="H958">
        <f t="shared" si="285"/>
        <v>0</v>
      </c>
      <c r="I958" s="1">
        <f t="shared" si="278"/>
        <v>0</v>
      </c>
      <c r="J958">
        <f t="shared" si="286"/>
        <v>0</v>
      </c>
      <c r="K958">
        <f t="shared" si="287"/>
        <v>0</v>
      </c>
      <c r="L958" cm="1">
        <f t="array" ref="L958">IF(E958*J958=0,0,$C$21*INDEX([3]Sheet1!$C$4:$Q$23,MATCH(K958,[3]Sheet1!$B$4:$B$23,1),MATCH(D958,[3]Sheet1!$C$3:$Q$3,1))
+(K958-INDEX([3]Sheet1!$B$4:$B$23,MATCH(K958,[3]Sheet1!$B$4:$B$23,1),1))/(INDEX([3]Sheet1!$B$4:$B$23,MATCH(K958,[3]Sheet1!$B$4:$B$23,1)+1,1)-INDEX([3]Sheet1!$B$4:$B$23,
MATCH(K958,[3]Sheet1!$B$4:$B$23,1),1))*(INDEX([3]Sheet1!$C$4:$Q$23,MATCH(K958,[3]Sheet1!$B$4:$B$23,1)+1,MATCH(D958,[3]Sheet1!$C$3:$Q$3,1))-INDEX([3]Sheet1!$C$4:$Q$23,
MATCH(K958,[3]Sheet1!$B$4:$B$23,1),MATCH(D958,[3]Sheet1!$C$3:$Q$3,1)))
+(D958-INDEX([3]Sheet1!$C$3:$Q$3,1,MATCH(D958,[3]Sheet1!$C$3:$Q$3)))/(INDEX([3]Sheet1!$C$3:$Q$3,1,MATCH(D958,[3]Sheet1!$C$3:$Q$3)+1)-INDEX([3]Sheet1!$C$3:$Q$3,1,MATCH(
D958,[3]Sheet1!$C$3:$Q$3)))*(INDEX([3]Sheet1!$C$4:$Q$23,MATCH(K958,[3]Sheet1!$B$4:$B$23,1),MATCH(D958,[3]Sheet1!$C$3:$Q$3,1)+1)-INDEX([3]Sheet1!$C$4:$Q$23,MATCH(K958,[3]Sheet1!$B$4:$B$23,1),MATCH(D958,[3]Sheet1!$C$3:$Q$3,1))))</f>
        <v>0</v>
      </c>
      <c r="M958" cm="1">
        <f t="array" ref="M958" xml:space="preserve"> IF(E958*J958=0,0,(INDEX([2]Sheet1!$C$4:$Q$23,MATCH(K958,[2]Sheet1!$B$4:$B$23,1),MATCH(D958,[2]Sheet1!$C$3:$Q$3,1))
+ (K958 - INDEX([2]Sheet1!$B$4:$B$23,MATCH(K958,[2]Sheet1!$B$4:$B$23,1),1))/(INDEX([2]Sheet1!$B$4:$B$23,MATCH(K958,[2]Sheet1!$B$4:$B$23,1)+1,1) - INDEX([2]Sheet1!$B$4:$B$23,MATCH(K958,[2]Sheet1!$B$4:$B$23,1),1))*(INDEX([2]Sheet1!$C$4:$Q$23,MATCH(K958,[2]Sheet1!$B$4:$B$23,1)+1,MATCH(D958,[2]Sheet1!$C$3:$Q$3,1)) - INDEX([2]Sheet1!$C$4:$Q$23,MATCH(K958,[2]Sheet1!$B$4:$B$23,1),MATCH(D958,[2]Sheet1!$C$3:$Q$3,1)))
+ (D958 - INDEX([2]Sheet1!$C$3:$Q$3,1,MATCH(D958,[2]Sheet1!$C$3:$Q$3)))/(INDEX([2]Sheet1!$C$3:$Q$3,1,MATCH(D958,[2]Sheet1!$C$3:$Q$3)+1) - INDEX([2]Sheet1!$C$3:$Q$3,1,MATCH(D958,[2]Sheet1!$C$3:$Q$3)))*(
INDEX([2]Sheet1!$C$4:$Q$23,MATCH(K958,[2]Sheet1!$B$4:$B$23,1),MATCH(D958,[2]Sheet1!$C$3:$Q$3,1)+1) - INDEX([2]Sheet1!$C$4:$Q$23,MATCH(K958,[2]Sheet1!$B$4:$B$23,1),MATCH(D958,[2]Sheet1!$C$3:$Q$3,1)))))</f>
        <v>0</v>
      </c>
      <c r="N958">
        <f t="shared" si="288"/>
        <v>12</v>
      </c>
      <c r="O958">
        <v>324.02450568394102</v>
      </c>
      <c r="P958" t="e">
        <f t="shared" si="289"/>
        <v>#DIV/0!</v>
      </c>
      <c r="Q958">
        <f t="shared" si="290"/>
        <v>0</v>
      </c>
      <c r="R958">
        <f t="shared" si="291"/>
        <v>741.9099431943954</v>
      </c>
      <c r="T958" t="e">
        <f t="shared" si="292"/>
        <v>#DIV/0!</v>
      </c>
      <c r="U958" t="e">
        <f t="shared" si="293"/>
        <v>#DIV/0!</v>
      </c>
      <c r="V958">
        <f t="shared" si="294"/>
        <v>0</v>
      </c>
      <c r="W958" t="e">
        <f t="shared" si="295"/>
        <v>#DIV/0!</v>
      </c>
    </row>
    <row r="959" spans="1:23" x14ac:dyDescent="0.55000000000000004">
      <c r="A959">
        <f t="shared" si="279"/>
        <v>92.499999999999019</v>
      </c>
      <c r="B959">
        <f t="shared" si="280"/>
        <v>0.316</v>
      </c>
      <c r="C959">
        <f t="shared" si="281"/>
        <v>-55.326086956521102</v>
      </c>
      <c r="D959">
        <v>325.43984551913201</v>
      </c>
      <c r="E959">
        <f t="shared" si="282"/>
        <v>0</v>
      </c>
      <c r="F959">
        <f t="shared" si="283"/>
        <v>4.8605058816845369E-2</v>
      </c>
      <c r="G959">
        <f t="shared" si="284"/>
        <v>39.513748498891111</v>
      </c>
      <c r="H959">
        <f t="shared" si="285"/>
        <v>0</v>
      </c>
      <c r="I959" s="1">
        <f t="shared" si="278"/>
        <v>0</v>
      </c>
      <c r="J959">
        <f t="shared" si="286"/>
        <v>0</v>
      </c>
      <c r="K959">
        <f t="shared" si="287"/>
        <v>0</v>
      </c>
      <c r="L959" cm="1">
        <f t="array" ref="L959">IF(E959*J959=0,0,$C$21*INDEX([3]Sheet1!$C$4:$Q$23,MATCH(K959,[3]Sheet1!$B$4:$B$23,1),MATCH(D959,[3]Sheet1!$C$3:$Q$3,1))
+(K959-INDEX([3]Sheet1!$B$4:$B$23,MATCH(K959,[3]Sheet1!$B$4:$B$23,1),1))/(INDEX([3]Sheet1!$B$4:$B$23,MATCH(K959,[3]Sheet1!$B$4:$B$23,1)+1,1)-INDEX([3]Sheet1!$B$4:$B$23,
MATCH(K959,[3]Sheet1!$B$4:$B$23,1),1))*(INDEX([3]Sheet1!$C$4:$Q$23,MATCH(K959,[3]Sheet1!$B$4:$B$23,1)+1,MATCH(D959,[3]Sheet1!$C$3:$Q$3,1))-INDEX([3]Sheet1!$C$4:$Q$23,
MATCH(K959,[3]Sheet1!$B$4:$B$23,1),MATCH(D959,[3]Sheet1!$C$3:$Q$3,1)))
+(D959-INDEX([3]Sheet1!$C$3:$Q$3,1,MATCH(D959,[3]Sheet1!$C$3:$Q$3)))/(INDEX([3]Sheet1!$C$3:$Q$3,1,MATCH(D959,[3]Sheet1!$C$3:$Q$3)+1)-INDEX([3]Sheet1!$C$3:$Q$3,1,MATCH(
D959,[3]Sheet1!$C$3:$Q$3)))*(INDEX([3]Sheet1!$C$4:$Q$23,MATCH(K959,[3]Sheet1!$B$4:$B$23,1),MATCH(D959,[3]Sheet1!$C$3:$Q$3,1)+1)-INDEX([3]Sheet1!$C$4:$Q$23,MATCH(K959,[3]Sheet1!$B$4:$B$23,1),MATCH(D959,[3]Sheet1!$C$3:$Q$3,1))))</f>
        <v>0</v>
      </c>
      <c r="M959" cm="1">
        <f t="array" ref="M959" xml:space="preserve"> IF(E959*J959=0,0,(INDEX([2]Sheet1!$C$4:$Q$23,MATCH(K959,[2]Sheet1!$B$4:$B$23,1),MATCH(D959,[2]Sheet1!$C$3:$Q$3,1))
+ (K959 - INDEX([2]Sheet1!$B$4:$B$23,MATCH(K959,[2]Sheet1!$B$4:$B$23,1),1))/(INDEX([2]Sheet1!$B$4:$B$23,MATCH(K959,[2]Sheet1!$B$4:$B$23,1)+1,1) - INDEX([2]Sheet1!$B$4:$B$23,MATCH(K959,[2]Sheet1!$B$4:$B$23,1),1))*(INDEX([2]Sheet1!$C$4:$Q$23,MATCH(K959,[2]Sheet1!$B$4:$B$23,1)+1,MATCH(D959,[2]Sheet1!$C$3:$Q$3,1)) - INDEX([2]Sheet1!$C$4:$Q$23,MATCH(K959,[2]Sheet1!$B$4:$B$23,1),MATCH(D959,[2]Sheet1!$C$3:$Q$3,1)))
+ (D959 - INDEX([2]Sheet1!$C$3:$Q$3,1,MATCH(D959,[2]Sheet1!$C$3:$Q$3)))/(INDEX([2]Sheet1!$C$3:$Q$3,1,MATCH(D959,[2]Sheet1!$C$3:$Q$3)+1) - INDEX([2]Sheet1!$C$3:$Q$3,1,MATCH(D959,[2]Sheet1!$C$3:$Q$3)))*(
INDEX([2]Sheet1!$C$4:$Q$23,MATCH(K959,[2]Sheet1!$B$4:$B$23,1),MATCH(D959,[2]Sheet1!$C$3:$Q$3,1)+1) - INDEX([2]Sheet1!$C$4:$Q$23,MATCH(K959,[2]Sheet1!$B$4:$B$23,1),MATCH(D959,[2]Sheet1!$C$3:$Q$3,1)))))</f>
        <v>0</v>
      </c>
      <c r="N959">
        <f t="shared" si="288"/>
        <v>12</v>
      </c>
      <c r="O959">
        <v>325.02450568394102</v>
      </c>
      <c r="P959" t="e">
        <f t="shared" si="289"/>
        <v>#DIV/0!</v>
      </c>
      <c r="Q959">
        <f t="shared" si="290"/>
        <v>0</v>
      </c>
      <c r="R959">
        <f t="shared" si="291"/>
        <v>741.9099431943954</v>
      </c>
      <c r="T959" t="e">
        <f t="shared" si="292"/>
        <v>#DIV/0!</v>
      </c>
      <c r="U959" t="e">
        <f t="shared" si="293"/>
        <v>#DIV/0!</v>
      </c>
      <c r="V959">
        <f t="shared" si="294"/>
        <v>0</v>
      </c>
      <c r="W959" t="e">
        <f t="shared" si="295"/>
        <v>#DIV/0!</v>
      </c>
    </row>
    <row r="960" spans="1:23" x14ac:dyDescent="0.55000000000000004">
      <c r="A960">
        <f t="shared" si="279"/>
        <v>92.599999999999014</v>
      </c>
      <c r="B960">
        <f t="shared" si="280"/>
        <v>0.316</v>
      </c>
      <c r="C960">
        <f t="shared" si="281"/>
        <v>-55.391304347825454</v>
      </c>
      <c r="D960">
        <v>326.43984551913201</v>
      </c>
      <c r="E960">
        <f t="shared" si="282"/>
        <v>0</v>
      </c>
      <c r="F960">
        <f t="shared" si="283"/>
        <v>4.8605058816845369E-2</v>
      </c>
      <c r="G960">
        <f t="shared" si="284"/>
        <v>39.513748498891111</v>
      </c>
      <c r="H960">
        <f t="shared" si="285"/>
        <v>0</v>
      </c>
      <c r="I960" s="1">
        <f t="shared" si="278"/>
        <v>0</v>
      </c>
      <c r="J960">
        <f t="shared" si="286"/>
        <v>0</v>
      </c>
      <c r="K960">
        <f t="shared" si="287"/>
        <v>0</v>
      </c>
      <c r="L960" cm="1">
        <f t="array" ref="L960">IF(E960*J960=0,0,$C$21*INDEX([3]Sheet1!$C$4:$Q$23,MATCH(K960,[3]Sheet1!$B$4:$B$23,1),MATCH(D960,[3]Sheet1!$C$3:$Q$3,1))
+(K960-INDEX([3]Sheet1!$B$4:$B$23,MATCH(K960,[3]Sheet1!$B$4:$B$23,1),1))/(INDEX([3]Sheet1!$B$4:$B$23,MATCH(K960,[3]Sheet1!$B$4:$B$23,1)+1,1)-INDEX([3]Sheet1!$B$4:$B$23,
MATCH(K960,[3]Sheet1!$B$4:$B$23,1),1))*(INDEX([3]Sheet1!$C$4:$Q$23,MATCH(K960,[3]Sheet1!$B$4:$B$23,1)+1,MATCH(D960,[3]Sheet1!$C$3:$Q$3,1))-INDEX([3]Sheet1!$C$4:$Q$23,
MATCH(K960,[3]Sheet1!$B$4:$B$23,1),MATCH(D960,[3]Sheet1!$C$3:$Q$3,1)))
+(D960-INDEX([3]Sheet1!$C$3:$Q$3,1,MATCH(D960,[3]Sheet1!$C$3:$Q$3)))/(INDEX([3]Sheet1!$C$3:$Q$3,1,MATCH(D960,[3]Sheet1!$C$3:$Q$3)+1)-INDEX([3]Sheet1!$C$3:$Q$3,1,MATCH(
D960,[3]Sheet1!$C$3:$Q$3)))*(INDEX([3]Sheet1!$C$4:$Q$23,MATCH(K960,[3]Sheet1!$B$4:$B$23,1),MATCH(D960,[3]Sheet1!$C$3:$Q$3,1)+1)-INDEX([3]Sheet1!$C$4:$Q$23,MATCH(K960,[3]Sheet1!$B$4:$B$23,1),MATCH(D960,[3]Sheet1!$C$3:$Q$3,1))))</f>
        <v>0</v>
      </c>
      <c r="M960" cm="1">
        <f t="array" ref="M960" xml:space="preserve"> IF(E960*J960=0,0,(INDEX([2]Sheet1!$C$4:$Q$23,MATCH(K960,[2]Sheet1!$B$4:$B$23,1),MATCH(D960,[2]Sheet1!$C$3:$Q$3,1))
+ (K960 - INDEX([2]Sheet1!$B$4:$B$23,MATCH(K960,[2]Sheet1!$B$4:$B$23,1),1))/(INDEX([2]Sheet1!$B$4:$B$23,MATCH(K960,[2]Sheet1!$B$4:$B$23,1)+1,1) - INDEX([2]Sheet1!$B$4:$B$23,MATCH(K960,[2]Sheet1!$B$4:$B$23,1),1))*(INDEX([2]Sheet1!$C$4:$Q$23,MATCH(K960,[2]Sheet1!$B$4:$B$23,1)+1,MATCH(D960,[2]Sheet1!$C$3:$Q$3,1)) - INDEX([2]Sheet1!$C$4:$Q$23,MATCH(K960,[2]Sheet1!$B$4:$B$23,1),MATCH(D960,[2]Sheet1!$C$3:$Q$3,1)))
+ (D960 - INDEX([2]Sheet1!$C$3:$Q$3,1,MATCH(D960,[2]Sheet1!$C$3:$Q$3)))/(INDEX([2]Sheet1!$C$3:$Q$3,1,MATCH(D960,[2]Sheet1!$C$3:$Q$3)+1) - INDEX([2]Sheet1!$C$3:$Q$3,1,MATCH(D960,[2]Sheet1!$C$3:$Q$3)))*(
INDEX([2]Sheet1!$C$4:$Q$23,MATCH(K960,[2]Sheet1!$B$4:$B$23,1),MATCH(D960,[2]Sheet1!$C$3:$Q$3,1)+1) - INDEX([2]Sheet1!$C$4:$Q$23,MATCH(K960,[2]Sheet1!$B$4:$B$23,1),MATCH(D960,[2]Sheet1!$C$3:$Q$3,1)))))</f>
        <v>0</v>
      </c>
      <c r="N960">
        <f t="shared" si="288"/>
        <v>12</v>
      </c>
      <c r="O960">
        <v>326.02450568394102</v>
      </c>
      <c r="P960" t="e">
        <f t="shared" si="289"/>
        <v>#DIV/0!</v>
      </c>
      <c r="Q960">
        <f t="shared" si="290"/>
        <v>0</v>
      </c>
      <c r="R960">
        <f t="shared" si="291"/>
        <v>741.9099431943954</v>
      </c>
      <c r="T960" t="e">
        <f t="shared" si="292"/>
        <v>#DIV/0!</v>
      </c>
      <c r="U960" t="e">
        <f t="shared" si="293"/>
        <v>#DIV/0!</v>
      </c>
      <c r="V960">
        <f t="shared" si="294"/>
        <v>0</v>
      </c>
      <c r="W960" t="e">
        <f t="shared" si="295"/>
        <v>#DIV/0!</v>
      </c>
    </row>
    <row r="961" spans="1:23" x14ac:dyDescent="0.55000000000000004">
      <c r="A961">
        <f t="shared" si="279"/>
        <v>92.699999999999008</v>
      </c>
      <c r="B961">
        <f t="shared" si="280"/>
        <v>0.316</v>
      </c>
      <c r="C961">
        <f t="shared" si="281"/>
        <v>-55.456521739129791</v>
      </c>
      <c r="D961">
        <v>327.43984551913201</v>
      </c>
      <c r="E961">
        <f t="shared" si="282"/>
        <v>0</v>
      </c>
      <c r="F961">
        <f t="shared" si="283"/>
        <v>4.8605058816845369E-2</v>
      </c>
      <c r="G961">
        <f t="shared" si="284"/>
        <v>39.513748498891111</v>
      </c>
      <c r="H961">
        <f t="shared" si="285"/>
        <v>0</v>
      </c>
      <c r="I961" s="1">
        <f t="shared" si="278"/>
        <v>0</v>
      </c>
      <c r="J961">
        <f t="shared" si="286"/>
        <v>0</v>
      </c>
      <c r="K961">
        <f t="shared" si="287"/>
        <v>0</v>
      </c>
      <c r="L961" cm="1">
        <f t="array" ref="L961">IF(E961*J961=0,0,$C$21*INDEX([3]Sheet1!$C$4:$Q$23,MATCH(K961,[3]Sheet1!$B$4:$B$23,1),MATCH(D961,[3]Sheet1!$C$3:$Q$3,1))
+(K961-INDEX([3]Sheet1!$B$4:$B$23,MATCH(K961,[3]Sheet1!$B$4:$B$23,1),1))/(INDEX([3]Sheet1!$B$4:$B$23,MATCH(K961,[3]Sheet1!$B$4:$B$23,1)+1,1)-INDEX([3]Sheet1!$B$4:$B$23,
MATCH(K961,[3]Sheet1!$B$4:$B$23,1),1))*(INDEX([3]Sheet1!$C$4:$Q$23,MATCH(K961,[3]Sheet1!$B$4:$B$23,1)+1,MATCH(D961,[3]Sheet1!$C$3:$Q$3,1))-INDEX([3]Sheet1!$C$4:$Q$23,
MATCH(K961,[3]Sheet1!$B$4:$B$23,1),MATCH(D961,[3]Sheet1!$C$3:$Q$3,1)))
+(D961-INDEX([3]Sheet1!$C$3:$Q$3,1,MATCH(D961,[3]Sheet1!$C$3:$Q$3)))/(INDEX([3]Sheet1!$C$3:$Q$3,1,MATCH(D961,[3]Sheet1!$C$3:$Q$3)+1)-INDEX([3]Sheet1!$C$3:$Q$3,1,MATCH(
D961,[3]Sheet1!$C$3:$Q$3)))*(INDEX([3]Sheet1!$C$4:$Q$23,MATCH(K961,[3]Sheet1!$B$4:$B$23,1),MATCH(D961,[3]Sheet1!$C$3:$Q$3,1)+1)-INDEX([3]Sheet1!$C$4:$Q$23,MATCH(K961,[3]Sheet1!$B$4:$B$23,1),MATCH(D961,[3]Sheet1!$C$3:$Q$3,1))))</f>
        <v>0</v>
      </c>
      <c r="M961" cm="1">
        <f t="array" ref="M961" xml:space="preserve"> IF(E961*J961=0,0,(INDEX([2]Sheet1!$C$4:$Q$23,MATCH(K961,[2]Sheet1!$B$4:$B$23,1),MATCH(D961,[2]Sheet1!$C$3:$Q$3,1))
+ (K961 - INDEX([2]Sheet1!$B$4:$B$23,MATCH(K961,[2]Sheet1!$B$4:$B$23,1),1))/(INDEX([2]Sheet1!$B$4:$B$23,MATCH(K961,[2]Sheet1!$B$4:$B$23,1)+1,1) - INDEX([2]Sheet1!$B$4:$B$23,MATCH(K961,[2]Sheet1!$B$4:$B$23,1),1))*(INDEX([2]Sheet1!$C$4:$Q$23,MATCH(K961,[2]Sheet1!$B$4:$B$23,1)+1,MATCH(D961,[2]Sheet1!$C$3:$Q$3,1)) - INDEX([2]Sheet1!$C$4:$Q$23,MATCH(K961,[2]Sheet1!$B$4:$B$23,1),MATCH(D961,[2]Sheet1!$C$3:$Q$3,1)))
+ (D961 - INDEX([2]Sheet1!$C$3:$Q$3,1,MATCH(D961,[2]Sheet1!$C$3:$Q$3)))/(INDEX([2]Sheet1!$C$3:$Q$3,1,MATCH(D961,[2]Sheet1!$C$3:$Q$3)+1) - INDEX([2]Sheet1!$C$3:$Q$3,1,MATCH(D961,[2]Sheet1!$C$3:$Q$3)))*(
INDEX([2]Sheet1!$C$4:$Q$23,MATCH(K961,[2]Sheet1!$B$4:$B$23,1),MATCH(D961,[2]Sheet1!$C$3:$Q$3,1)+1) - INDEX([2]Sheet1!$C$4:$Q$23,MATCH(K961,[2]Sheet1!$B$4:$B$23,1),MATCH(D961,[2]Sheet1!$C$3:$Q$3,1)))))</f>
        <v>0</v>
      </c>
      <c r="N961">
        <f t="shared" si="288"/>
        <v>12</v>
      </c>
      <c r="O961">
        <v>327.02450568394102</v>
      </c>
      <c r="P961" t="e">
        <f t="shared" si="289"/>
        <v>#DIV/0!</v>
      </c>
      <c r="Q961">
        <f t="shared" si="290"/>
        <v>0</v>
      </c>
      <c r="R961">
        <f t="shared" si="291"/>
        <v>741.9099431943954</v>
      </c>
      <c r="T961" t="e">
        <f t="shared" si="292"/>
        <v>#DIV/0!</v>
      </c>
      <c r="U961" t="e">
        <f t="shared" si="293"/>
        <v>#DIV/0!</v>
      </c>
      <c r="V961">
        <f t="shared" si="294"/>
        <v>0</v>
      </c>
      <c r="W961" t="e">
        <f t="shared" si="295"/>
        <v>#DIV/0!</v>
      </c>
    </row>
    <row r="962" spans="1:23" x14ac:dyDescent="0.55000000000000004">
      <c r="A962">
        <f t="shared" si="279"/>
        <v>92.799999999999002</v>
      </c>
      <c r="B962">
        <f t="shared" si="280"/>
        <v>0.316</v>
      </c>
      <c r="C962">
        <f t="shared" si="281"/>
        <v>-55.521739130434142</v>
      </c>
      <c r="D962">
        <v>328.43984551913201</v>
      </c>
      <c r="E962">
        <f t="shared" si="282"/>
        <v>0</v>
      </c>
      <c r="F962">
        <f t="shared" si="283"/>
        <v>4.8605058816845369E-2</v>
      </c>
      <c r="G962">
        <f t="shared" si="284"/>
        <v>39.513748498891111</v>
      </c>
      <c r="H962">
        <f t="shared" si="285"/>
        <v>0</v>
      </c>
      <c r="I962" s="1">
        <f t="shared" si="278"/>
        <v>0</v>
      </c>
      <c r="J962">
        <f t="shared" si="286"/>
        <v>0</v>
      </c>
      <c r="K962">
        <f t="shared" si="287"/>
        <v>0</v>
      </c>
      <c r="L962" cm="1">
        <f t="array" ref="L962">IF(E962*J962=0,0,$C$21*INDEX([3]Sheet1!$C$4:$Q$23,MATCH(K962,[3]Sheet1!$B$4:$B$23,1),MATCH(D962,[3]Sheet1!$C$3:$Q$3,1))
+(K962-INDEX([3]Sheet1!$B$4:$B$23,MATCH(K962,[3]Sheet1!$B$4:$B$23,1),1))/(INDEX([3]Sheet1!$B$4:$B$23,MATCH(K962,[3]Sheet1!$B$4:$B$23,1)+1,1)-INDEX([3]Sheet1!$B$4:$B$23,
MATCH(K962,[3]Sheet1!$B$4:$B$23,1),1))*(INDEX([3]Sheet1!$C$4:$Q$23,MATCH(K962,[3]Sheet1!$B$4:$B$23,1)+1,MATCH(D962,[3]Sheet1!$C$3:$Q$3,1))-INDEX([3]Sheet1!$C$4:$Q$23,
MATCH(K962,[3]Sheet1!$B$4:$B$23,1),MATCH(D962,[3]Sheet1!$C$3:$Q$3,1)))
+(D962-INDEX([3]Sheet1!$C$3:$Q$3,1,MATCH(D962,[3]Sheet1!$C$3:$Q$3)))/(INDEX([3]Sheet1!$C$3:$Q$3,1,MATCH(D962,[3]Sheet1!$C$3:$Q$3)+1)-INDEX([3]Sheet1!$C$3:$Q$3,1,MATCH(
D962,[3]Sheet1!$C$3:$Q$3)))*(INDEX([3]Sheet1!$C$4:$Q$23,MATCH(K962,[3]Sheet1!$B$4:$B$23,1),MATCH(D962,[3]Sheet1!$C$3:$Q$3,1)+1)-INDEX([3]Sheet1!$C$4:$Q$23,MATCH(K962,[3]Sheet1!$B$4:$B$23,1),MATCH(D962,[3]Sheet1!$C$3:$Q$3,1))))</f>
        <v>0</v>
      </c>
      <c r="M962" cm="1">
        <f t="array" ref="M962" xml:space="preserve"> IF(E962*J962=0,0,(INDEX([2]Sheet1!$C$4:$Q$23,MATCH(K962,[2]Sheet1!$B$4:$B$23,1),MATCH(D962,[2]Sheet1!$C$3:$Q$3,1))
+ (K962 - INDEX([2]Sheet1!$B$4:$B$23,MATCH(K962,[2]Sheet1!$B$4:$B$23,1),1))/(INDEX([2]Sheet1!$B$4:$B$23,MATCH(K962,[2]Sheet1!$B$4:$B$23,1)+1,1) - INDEX([2]Sheet1!$B$4:$B$23,MATCH(K962,[2]Sheet1!$B$4:$B$23,1),1))*(INDEX([2]Sheet1!$C$4:$Q$23,MATCH(K962,[2]Sheet1!$B$4:$B$23,1)+1,MATCH(D962,[2]Sheet1!$C$3:$Q$3,1)) - INDEX([2]Sheet1!$C$4:$Q$23,MATCH(K962,[2]Sheet1!$B$4:$B$23,1),MATCH(D962,[2]Sheet1!$C$3:$Q$3,1)))
+ (D962 - INDEX([2]Sheet1!$C$3:$Q$3,1,MATCH(D962,[2]Sheet1!$C$3:$Q$3)))/(INDEX([2]Sheet1!$C$3:$Q$3,1,MATCH(D962,[2]Sheet1!$C$3:$Q$3)+1) - INDEX([2]Sheet1!$C$3:$Q$3,1,MATCH(D962,[2]Sheet1!$C$3:$Q$3)))*(
INDEX([2]Sheet1!$C$4:$Q$23,MATCH(K962,[2]Sheet1!$B$4:$B$23,1),MATCH(D962,[2]Sheet1!$C$3:$Q$3,1)+1) - INDEX([2]Sheet1!$C$4:$Q$23,MATCH(K962,[2]Sheet1!$B$4:$B$23,1),MATCH(D962,[2]Sheet1!$C$3:$Q$3,1)))))</f>
        <v>0</v>
      </c>
      <c r="N962">
        <f t="shared" si="288"/>
        <v>12</v>
      </c>
      <c r="O962">
        <v>328.02450568394102</v>
      </c>
      <c r="P962" t="e">
        <f t="shared" si="289"/>
        <v>#DIV/0!</v>
      </c>
      <c r="Q962">
        <f t="shared" si="290"/>
        <v>0</v>
      </c>
      <c r="R962">
        <f t="shared" si="291"/>
        <v>741.9099431943954</v>
      </c>
      <c r="T962" t="e">
        <f t="shared" si="292"/>
        <v>#DIV/0!</v>
      </c>
      <c r="U962" t="e">
        <f t="shared" si="293"/>
        <v>#DIV/0!</v>
      </c>
      <c r="V962">
        <f t="shared" si="294"/>
        <v>0</v>
      </c>
      <c r="W962" t="e">
        <f t="shared" si="295"/>
        <v>#DIV/0!</v>
      </c>
    </row>
    <row r="963" spans="1:23" x14ac:dyDescent="0.55000000000000004">
      <c r="A963">
        <f t="shared" si="279"/>
        <v>92.899999999998997</v>
      </c>
      <c r="B963">
        <f t="shared" si="280"/>
        <v>0.316</v>
      </c>
      <c r="C963">
        <f t="shared" si="281"/>
        <v>-55.586956521738479</v>
      </c>
      <c r="D963">
        <v>329.43984551913201</v>
      </c>
      <c r="E963">
        <f t="shared" si="282"/>
        <v>0</v>
      </c>
      <c r="F963">
        <f t="shared" si="283"/>
        <v>4.8605058816845369E-2</v>
      </c>
      <c r="G963">
        <f t="shared" si="284"/>
        <v>39.513748498891111</v>
      </c>
      <c r="H963">
        <f t="shared" si="285"/>
        <v>0</v>
      </c>
      <c r="I963" s="1">
        <f t="shared" si="278"/>
        <v>0</v>
      </c>
      <c r="J963">
        <f t="shared" si="286"/>
        <v>0</v>
      </c>
      <c r="K963">
        <f t="shared" si="287"/>
        <v>0</v>
      </c>
      <c r="L963" cm="1">
        <f t="array" ref="L963">IF(E963*J963=0,0,$C$21*INDEX([3]Sheet1!$C$4:$Q$23,MATCH(K963,[3]Sheet1!$B$4:$B$23,1),MATCH(D963,[3]Sheet1!$C$3:$Q$3,1))
+(K963-INDEX([3]Sheet1!$B$4:$B$23,MATCH(K963,[3]Sheet1!$B$4:$B$23,1),1))/(INDEX([3]Sheet1!$B$4:$B$23,MATCH(K963,[3]Sheet1!$B$4:$B$23,1)+1,1)-INDEX([3]Sheet1!$B$4:$B$23,
MATCH(K963,[3]Sheet1!$B$4:$B$23,1),1))*(INDEX([3]Sheet1!$C$4:$Q$23,MATCH(K963,[3]Sheet1!$B$4:$B$23,1)+1,MATCH(D963,[3]Sheet1!$C$3:$Q$3,1))-INDEX([3]Sheet1!$C$4:$Q$23,
MATCH(K963,[3]Sheet1!$B$4:$B$23,1),MATCH(D963,[3]Sheet1!$C$3:$Q$3,1)))
+(D963-INDEX([3]Sheet1!$C$3:$Q$3,1,MATCH(D963,[3]Sheet1!$C$3:$Q$3)))/(INDEX([3]Sheet1!$C$3:$Q$3,1,MATCH(D963,[3]Sheet1!$C$3:$Q$3)+1)-INDEX([3]Sheet1!$C$3:$Q$3,1,MATCH(
D963,[3]Sheet1!$C$3:$Q$3)))*(INDEX([3]Sheet1!$C$4:$Q$23,MATCH(K963,[3]Sheet1!$B$4:$B$23,1),MATCH(D963,[3]Sheet1!$C$3:$Q$3,1)+1)-INDEX([3]Sheet1!$C$4:$Q$23,MATCH(K963,[3]Sheet1!$B$4:$B$23,1),MATCH(D963,[3]Sheet1!$C$3:$Q$3,1))))</f>
        <v>0</v>
      </c>
      <c r="M963" cm="1">
        <f t="array" ref="M963" xml:space="preserve"> IF(E963*J963=0,0,(INDEX([2]Sheet1!$C$4:$Q$23,MATCH(K963,[2]Sheet1!$B$4:$B$23,1),MATCH(D963,[2]Sheet1!$C$3:$Q$3,1))
+ (K963 - INDEX([2]Sheet1!$B$4:$B$23,MATCH(K963,[2]Sheet1!$B$4:$B$23,1),1))/(INDEX([2]Sheet1!$B$4:$B$23,MATCH(K963,[2]Sheet1!$B$4:$B$23,1)+1,1) - INDEX([2]Sheet1!$B$4:$B$23,MATCH(K963,[2]Sheet1!$B$4:$B$23,1),1))*(INDEX([2]Sheet1!$C$4:$Q$23,MATCH(K963,[2]Sheet1!$B$4:$B$23,1)+1,MATCH(D963,[2]Sheet1!$C$3:$Q$3,1)) - INDEX([2]Sheet1!$C$4:$Q$23,MATCH(K963,[2]Sheet1!$B$4:$B$23,1),MATCH(D963,[2]Sheet1!$C$3:$Q$3,1)))
+ (D963 - INDEX([2]Sheet1!$C$3:$Q$3,1,MATCH(D963,[2]Sheet1!$C$3:$Q$3)))/(INDEX([2]Sheet1!$C$3:$Q$3,1,MATCH(D963,[2]Sheet1!$C$3:$Q$3)+1) - INDEX([2]Sheet1!$C$3:$Q$3,1,MATCH(D963,[2]Sheet1!$C$3:$Q$3)))*(
INDEX([2]Sheet1!$C$4:$Q$23,MATCH(K963,[2]Sheet1!$B$4:$B$23,1),MATCH(D963,[2]Sheet1!$C$3:$Q$3,1)+1) - INDEX([2]Sheet1!$C$4:$Q$23,MATCH(K963,[2]Sheet1!$B$4:$B$23,1),MATCH(D963,[2]Sheet1!$C$3:$Q$3,1)))))</f>
        <v>0</v>
      </c>
      <c r="N963">
        <f t="shared" si="288"/>
        <v>12</v>
      </c>
      <c r="O963">
        <v>329.02450568394102</v>
      </c>
      <c r="P963" t="e">
        <f t="shared" si="289"/>
        <v>#DIV/0!</v>
      </c>
      <c r="Q963">
        <f t="shared" si="290"/>
        <v>0</v>
      </c>
      <c r="R963">
        <f t="shared" si="291"/>
        <v>741.9099431943954</v>
      </c>
      <c r="T963" t="e">
        <f t="shared" si="292"/>
        <v>#DIV/0!</v>
      </c>
      <c r="U963" t="e">
        <f t="shared" si="293"/>
        <v>#DIV/0!</v>
      </c>
      <c r="V963">
        <f t="shared" si="294"/>
        <v>0</v>
      </c>
      <c r="W963" t="e">
        <f t="shared" si="295"/>
        <v>#DIV/0!</v>
      </c>
    </row>
    <row r="964" spans="1:23" x14ac:dyDescent="0.55000000000000004">
      <c r="A964">
        <f t="shared" si="279"/>
        <v>92.999999999998991</v>
      </c>
      <c r="B964">
        <f t="shared" si="280"/>
        <v>0.316</v>
      </c>
      <c r="C964">
        <f t="shared" si="281"/>
        <v>-55.65217391304283</v>
      </c>
      <c r="D964">
        <v>330.43984551913201</v>
      </c>
      <c r="E964">
        <f t="shared" si="282"/>
        <v>0</v>
      </c>
      <c r="F964">
        <f t="shared" si="283"/>
        <v>4.8605058816845369E-2</v>
      </c>
      <c r="G964">
        <f t="shared" si="284"/>
        <v>39.513748498891111</v>
      </c>
      <c r="H964">
        <f t="shared" si="285"/>
        <v>0</v>
      </c>
      <c r="I964" s="1">
        <f t="shared" si="278"/>
        <v>0</v>
      </c>
      <c r="J964">
        <f t="shared" si="286"/>
        <v>0</v>
      </c>
      <c r="K964">
        <f t="shared" si="287"/>
        <v>0</v>
      </c>
      <c r="L964" cm="1">
        <f t="array" ref="L964">IF(E964*J964=0,0,$C$21*INDEX([3]Sheet1!$C$4:$Q$23,MATCH(K964,[3]Sheet1!$B$4:$B$23,1),MATCH(D964,[3]Sheet1!$C$3:$Q$3,1))
+(K964-INDEX([3]Sheet1!$B$4:$B$23,MATCH(K964,[3]Sheet1!$B$4:$B$23,1),1))/(INDEX([3]Sheet1!$B$4:$B$23,MATCH(K964,[3]Sheet1!$B$4:$B$23,1)+1,1)-INDEX([3]Sheet1!$B$4:$B$23,
MATCH(K964,[3]Sheet1!$B$4:$B$23,1),1))*(INDEX([3]Sheet1!$C$4:$Q$23,MATCH(K964,[3]Sheet1!$B$4:$B$23,1)+1,MATCH(D964,[3]Sheet1!$C$3:$Q$3,1))-INDEX([3]Sheet1!$C$4:$Q$23,
MATCH(K964,[3]Sheet1!$B$4:$B$23,1),MATCH(D964,[3]Sheet1!$C$3:$Q$3,1)))
+(D964-INDEX([3]Sheet1!$C$3:$Q$3,1,MATCH(D964,[3]Sheet1!$C$3:$Q$3)))/(INDEX([3]Sheet1!$C$3:$Q$3,1,MATCH(D964,[3]Sheet1!$C$3:$Q$3)+1)-INDEX([3]Sheet1!$C$3:$Q$3,1,MATCH(
D964,[3]Sheet1!$C$3:$Q$3)))*(INDEX([3]Sheet1!$C$4:$Q$23,MATCH(K964,[3]Sheet1!$B$4:$B$23,1),MATCH(D964,[3]Sheet1!$C$3:$Q$3,1)+1)-INDEX([3]Sheet1!$C$4:$Q$23,MATCH(K964,[3]Sheet1!$B$4:$B$23,1),MATCH(D964,[3]Sheet1!$C$3:$Q$3,1))))</f>
        <v>0</v>
      </c>
      <c r="M964" cm="1">
        <f t="array" ref="M964" xml:space="preserve"> IF(E964*J964=0,0,(INDEX([2]Sheet1!$C$4:$Q$23,MATCH(K964,[2]Sheet1!$B$4:$B$23,1),MATCH(D964,[2]Sheet1!$C$3:$Q$3,1))
+ (K964 - INDEX([2]Sheet1!$B$4:$B$23,MATCH(K964,[2]Sheet1!$B$4:$B$23,1),1))/(INDEX([2]Sheet1!$B$4:$B$23,MATCH(K964,[2]Sheet1!$B$4:$B$23,1)+1,1) - INDEX([2]Sheet1!$B$4:$B$23,MATCH(K964,[2]Sheet1!$B$4:$B$23,1),1))*(INDEX([2]Sheet1!$C$4:$Q$23,MATCH(K964,[2]Sheet1!$B$4:$B$23,1)+1,MATCH(D964,[2]Sheet1!$C$3:$Q$3,1)) - INDEX([2]Sheet1!$C$4:$Q$23,MATCH(K964,[2]Sheet1!$B$4:$B$23,1),MATCH(D964,[2]Sheet1!$C$3:$Q$3,1)))
+ (D964 - INDEX([2]Sheet1!$C$3:$Q$3,1,MATCH(D964,[2]Sheet1!$C$3:$Q$3)))/(INDEX([2]Sheet1!$C$3:$Q$3,1,MATCH(D964,[2]Sheet1!$C$3:$Q$3)+1) - INDEX([2]Sheet1!$C$3:$Q$3,1,MATCH(D964,[2]Sheet1!$C$3:$Q$3)))*(
INDEX([2]Sheet1!$C$4:$Q$23,MATCH(K964,[2]Sheet1!$B$4:$B$23,1),MATCH(D964,[2]Sheet1!$C$3:$Q$3,1)+1) - INDEX([2]Sheet1!$C$4:$Q$23,MATCH(K964,[2]Sheet1!$B$4:$B$23,1),MATCH(D964,[2]Sheet1!$C$3:$Q$3,1)))))</f>
        <v>0</v>
      </c>
      <c r="N964">
        <f t="shared" si="288"/>
        <v>12</v>
      </c>
      <c r="O964">
        <v>330.02450568394102</v>
      </c>
      <c r="P964" t="e">
        <f t="shared" si="289"/>
        <v>#DIV/0!</v>
      </c>
      <c r="Q964">
        <f t="shared" si="290"/>
        <v>0</v>
      </c>
      <c r="R964">
        <f t="shared" si="291"/>
        <v>741.9099431943954</v>
      </c>
      <c r="T964" t="e">
        <f t="shared" si="292"/>
        <v>#DIV/0!</v>
      </c>
      <c r="U964" t="e">
        <f t="shared" si="293"/>
        <v>#DIV/0!</v>
      </c>
      <c r="V964">
        <f t="shared" si="294"/>
        <v>0</v>
      </c>
      <c r="W964" t="e">
        <f t="shared" si="295"/>
        <v>#DIV/0!</v>
      </c>
    </row>
    <row r="965" spans="1:23" x14ac:dyDescent="0.55000000000000004">
      <c r="A965">
        <f t="shared" si="279"/>
        <v>93.099999999998985</v>
      </c>
      <c r="B965">
        <f t="shared" si="280"/>
        <v>0.316</v>
      </c>
      <c r="C965">
        <f t="shared" si="281"/>
        <v>-55.717391304347167</v>
      </c>
      <c r="D965">
        <v>331.43984551913201</v>
      </c>
      <c r="E965">
        <f t="shared" si="282"/>
        <v>0</v>
      </c>
      <c r="F965">
        <f t="shared" si="283"/>
        <v>4.8605058816845369E-2</v>
      </c>
      <c r="G965">
        <f t="shared" si="284"/>
        <v>39.513748498891111</v>
      </c>
      <c r="H965">
        <f t="shared" si="285"/>
        <v>0</v>
      </c>
      <c r="I965" s="1">
        <f t="shared" si="278"/>
        <v>0</v>
      </c>
      <c r="J965">
        <f t="shared" si="286"/>
        <v>0</v>
      </c>
      <c r="K965">
        <f t="shared" si="287"/>
        <v>0</v>
      </c>
      <c r="L965" cm="1">
        <f t="array" ref="L965">IF(E965*J965=0,0,$C$21*INDEX([3]Sheet1!$C$4:$Q$23,MATCH(K965,[3]Sheet1!$B$4:$B$23,1),MATCH(D965,[3]Sheet1!$C$3:$Q$3,1))
+(K965-INDEX([3]Sheet1!$B$4:$B$23,MATCH(K965,[3]Sheet1!$B$4:$B$23,1),1))/(INDEX([3]Sheet1!$B$4:$B$23,MATCH(K965,[3]Sheet1!$B$4:$B$23,1)+1,1)-INDEX([3]Sheet1!$B$4:$B$23,
MATCH(K965,[3]Sheet1!$B$4:$B$23,1),1))*(INDEX([3]Sheet1!$C$4:$Q$23,MATCH(K965,[3]Sheet1!$B$4:$B$23,1)+1,MATCH(D965,[3]Sheet1!$C$3:$Q$3,1))-INDEX([3]Sheet1!$C$4:$Q$23,
MATCH(K965,[3]Sheet1!$B$4:$B$23,1),MATCH(D965,[3]Sheet1!$C$3:$Q$3,1)))
+(D965-INDEX([3]Sheet1!$C$3:$Q$3,1,MATCH(D965,[3]Sheet1!$C$3:$Q$3)))/(INDEX([3]Sheet1!$C$3:$Q$3,1,MATCH(D965,[3]Sheet1!$C$3:$Q$3)+1)-INDEX([3]Sheet1!$C$3:$Q$3,1,MATCH(
D965,[3]Sheet1!$C$3:$Q$3)))*(INDEX([3]Sheet1!$C$4:$Q$23,MATCH(K965,[3]Sheet1!$B$4:$B$23,1),MATCH(D965,[3]Sheet1!$C$3:$Q$3,1)+1)-INDEX([3]Sheet1!$C$4:$Q$23,MATCH(K965,[3]Sheet1!$B$4:$B$23,1),MATCH(D965,[3]Sheet1!$C$3:$Q$3,1))))</f>
        <v>0</v>
      </c>
      <c r="M965" cm="1">
        <f t="array" ref="M965" xml:space="preserve"> IF(E965*J965=0,0,(INDEX([2]Sheet1!$C$4:$Q$23,MATCH(K965,[2]Sheet1!$B$4:$B$23,1),MATCH(D965,[2]Sheet1!$C$3:$Q$3,1))
+ (K965 - INDEX([2]Sheet1!$B$4:$B$23,MATCH(K965,[2]Sheet1!$B$4:$B$23,1),1))/(INDEX([2]Sheet1!$B$4:$B$23,MATCH(K965,[2]Sheet1!$B$4:$B$23,1)+1,1) - INDEX([2]Sheet1!$B$4:$B$23,MATCH(K965,[2]Sheet1!$B$4:$B$23,1),1))*(INDEX([2]Sheet1!$C$4:$Q$23,MATCH(K965,[2]Sheet1!$B$4:$B$23,1)+1,MATCH(D965,[2]Sheet1!$C$3:$Q$3,1)) - INDEX([2]Sheet1!$C$4:$Q$23,MATCH(K965,[2]Sheet1!$B$4:$B$23,1),MATCH(D965,[2]Sheet1!$C$3:$Q$3,1)))
+ (D965 - INDEX([2]Sheet1!$C$3:$Q$3,1,MATCH(D965,[2]Sheet1!$C$3:$Q$3)))/(INDEX([2]Sheet1!$C$3:$Q$3,1,MATCH(D965,[2]Sheet1!$C$3:$Q$3)+1) - INDEX([2]Sheet1!$C$3:$Q$3,1,MATCH(D965,[2]Sheet1!$C$3:$Q$3)))*(
INDEX([2]Sheet1!$C$4:$Q$23,MATCH(K965,[2]Sheet1!$B$4:$B$23,1),MATCH(D965,[2]Sheet1!$C$3:$Q$3,1)+1) - INDEX([2]Sheet1!$C$4:$Q$23,MATCH(K965,[2]Sheet1!$B$4:$B$23,1),MATCH(D965,[2]Sheet1!$C$3:$Q$3,1)))))</f>
        <v>0</v>
      </c>
      <c r="N965">
        <f t="shared" si="288"/>
        <v>12</v>
      </c>
      <c r="O965">
        <v>331.02450568394102</v>
      </c>
      <c r="P965" t="e">
        <f t="shared" si="289"/>
        <v>#DIV/0!</v>
      </c>
      <c r="Q965">
        <f t="shared" si="290"/>
        <v>0</v>
      </c>
      <c r="R965">
        <f t="shared" si="291"/>
        <v>741.9099431943954</v>
      </c>
      <c r="T965" t="e">
        <f t="shared" si="292"/>
        <v>#DIV/0!</v>
      </c>
      <c r="U965" t="e">
        <f t="shared" si="293"/>
        <v>#DIV/0!</v>
      </c>
      <c r="V965">
        <f t="shared" si="294"/>
        <v>0</v>
      </c>
      <c r="W965" t="e">
        <f t="shared" si="295"/>
        <v>#DIV/0!</v>
      </c>
    </row>
    <row r="966" spans="1:23" x14ac:dyDescent="0.55000000000000004">
      <c r="A966">
        <f t="shared" si="279"/>
        <v>93.19999999999898</v>
      </c>
      <c r="B966">
        <f t="shared" si="280"/>
        <v>0.316</v>
      </c>
      <c r="C966">
        <f t="shared" si="281"/>
        <v>-55.782608695651518</v>
      </c>
      <c r="D966">
        <v>332.43984551913201</v>
      </c>
      <c r="E966">
        <f t="shared" si="282"/>
        <v>0</v>
      </c>
      <c r="F966">
        <f t="shared" si="283"/>
        <v>4.8605058816845369E-2</v>
      </c>
      <c r="G966">
        <f t="shared" si="284"/>
        <v>39.513748498891111</v>
      </c>
      <c r="H966">
        <f t="shared" si="285"/>
        <v>0</v>
      </c>
      <c r="I966" s="1">
        <f t="shared" si="278"/>
        <v>0</v>
      </c>
      <c r="J966">
        <f t="shared" si="286"/>
        <v>0</v>
      </c>
      <c r="K966">
        <f t="shared" si="287"/>
        <v>0</v>
      </c>
      <c r="L966" cm="1">
        <f t="array" ref="L966">IF(E966*J966=0,0,$C$21*INDEX([3]Sheet1!$C$4:$Q$23,MATCH(K966,[3]Sheet1!$B$4:$B$23,1),MATCH(D966,[3]Sheet1!$C$3:$Q$3,1))
+(K966-INDEX([3]Sheet1!$B$4:$B$23,MATCH(K966,[3]Sheet1!$B$4:$B$23,1),1))/(INDEX([3]Sheet1!$B$4:$B$23,MATCH(K966,[3]Sheet1!$B$4:$B$23,1)+1,1)-INDEX([3]Sheet1!$B$4:$B$23,
MATCH(K966,[3]Sheet1!$B$4:$B$23,1),1))*(INDEX([3]Sheet1!$C$4:$Q$23,MATCH(K966,[3]Sheet1!$B$4:$B$23,1)+1,MATCH(D966,[3]Sheet1!$C$3:$Q$3,1))-INDEX([3]Sheet1!$C$4:$Q$23,
MATCH(K966,[3]Sheet1!$B$4:$B$23,1),MATCH(D966,[3]Sheet1!$C$3:$Q$3,1)))
+(D966-INDEX([3]Sheet1!$C$3:$Q$3,1,MATCH(D966,[3]Sheet1!$C$3:$Q$3)))/(INDEX([3]Sheet1!$C$3:$Q$3,1,MATCH(D966,[3]Sheet1!$C$3:$Q$3)+1)-INDEX([3]Sheet1!$C$3:$Q$3,1,MATCH(
D966,[3]Sheet1!$C$3:$Q$3)))*(INDEX([3]Sheet1!$C$4:$Q$23,MATCH(K966,[3]Sheet1!$B$4:$B$23,1),MATCH(D966,[3]Sheet1!$C$3:$Q$3,1)+1)-INDEX([3]Sheet1!$C$4:$Q$23,MATCH(K966,[3]Sheet1!$B$4:$B$23,1),MATCH(D966,[3]Sheet1!$C$3:$Q$3,1))))</f>
        <v>0</v>
      </c>
      <c r="M966" cm="1">
        <f t="array" ref="M966" xml:space="preserve"> IF(E966*J966=0,0,(INDEX([2]Sheet1!$C$4:$Q$23,MATCH(K966,[2]Sheet1!$B$4:$B$23,1),MATCH(D966,[2]Sheet1!$C$3:$Q$3,1))
+ (K966 - INDEX([2]Sheet1!$B$4:$B$23,MATCH(K966,[2]Sheet1!$B$4:$B$23,1),1))/(INDEX([2]Sheet1!$B$4:$B$23,MATCH(K966,[2]Sheet1!$B$4:$B$23,1)+1,1) - INDEX([2]Sheet1!$B$4:$B$23,MATCH(K966,[2]Sheet1!$B$4:$B$23,1),1))*(INDEX([2]Sheet1!$C$4:$Q$23,MATCH(K966,[2]Sheet1!$B$4:$B$23,1)+1,MATCH(D966,[2]Sheet1!$C$3:$Q$3,1)) - INDEX([2]Sheet1!$C$4:$Q$23,MATCH(K966,[2]Sheet1!$B$4:$B$23,1),MATCH(D966,[2]Sheet1!$C$3:$Q$3,1)))
+ (D966 - INDEX([2]Sheet1!$C$3:$Q$3,1,MATCH(D966,[2]Sheet1!$C$3:$Q$3)))/(INDEX([2]Sheet1!$C$3:$Q$3,1,MATCH(D966,[2]Sheet1!$C$3:$Q$3)+1) - INDEX([2]Sheet1!$C$3:$Q$3,1,MATCH(D966,[2]Sheet1!$C$3:$Q$3)))*(
INDEX([2]Sheet1!$C$4:$Q$23,MATCH(K966,[2]Sheet1!$B$4:$B$23,1),MATCH(D966,[2]Sheet1!$C$3:$Q$3,1)+1) - INDEX([2]Sheet1!$C$4:$Q$23,MATCH(K966,[2]Sheet1!$B$4:$B$23,1),MATCH(D966,[2]Sheet1!$C$3:$Q$3,1)))))</f>
        <v>0</v>
      </c>
      <c r="N966">
        <f t="shared" si="288"/>
        <v>12</v>
      </c>
      <c r="O966">
        <v>332.02450568394102</v>
      </c>
      <c r="P966" t="e">
        <f t="shared" si="289"/>
        <v>#DIV/0!</v>
      </c>
      <c r="Q966">
        <f t="shared" si="290"/>
        <v>0</v>
      </c>
      <c r="R966">
        <f t="shared" si="291"/>
        <v>741.9099431943954</v>
      </c>
      <c r="T966" t="e">
        <f t="shared" si="292"/>
        <v>#DIV/0!</v>
      </c>
      <c r="U966" t="e">
        <f t="shared" si="293"/>
        <v>#DIV/0!</v>
      </c>
      <c r="V966">
        <f t="shared" si="294"/>
        <v>0</v>
      </c>
      <c r="W966" t="e">
        <f t="shared" si="295"/>
        <v>#DIV/0!</v>
      </c>
    </row>
    <row r="967" spans="1:23" x14ac:dyDescent="0.55000000000000004">
      <c r="A967">
        <f t="shared" si="279"/>
        <v>93.299999999998974</v>
      </c>
      <c r="B967">
        <f t="shared" si="280"/>
        <v>0.316</v>
      </c>
      <c r="C967">
        <f t="shared" si="281"/>
        <v>-55.847826086955855</v>
      </c>
      <c r="D967">
        <v>333.43984551913201</v>
      </c>
      <c r="E967">
        <f t="shared" si="282"/>
        <v>0</v>
      </c>
      <c r="F967">
        <f t="shared" si="283"/>
        <v>4.8605058816845369E-2</v>
      </c>
      <c r="G967">
        <f t="shared" si="284"/>
        <v>39.513748498891111</v>
      </c>
      <c r="H967">
        <f t="shared" si="285"/>
        <v>0</v>
      </c>
      <c r="I967" s="1">
        <f t="shared" si="278"/>
        <v>0</v>
      </c>
      <c r="J967">
        <f t="shared" si="286"/>
        <v>0</v>
      </c>
      <c r="K967">
        <f t="shared" si="287"/>
        <v>0</v>
      </c>
      <c r="L967" cm="1">
        <f t="array" ref="L967">IF(E967*J967=0,0,$C$21*INDEX([3]Sheet1!$C$4:$Q$23,MATCH(K967,[3]Sheet1!$B$4:$B$23,1),MATCH(D967,[3]Sheet1!$C$3:$Q$3,1))
+(K967-INDEX([3]Sheet1!$B$4:$B$23,MATCH(K967,[3]Sheet1!$B$4:$B$23,1),1))/(INDEX([3]Sheet1!$B$4:$B$23,MATCH(K967,[3]Sheet1!$B$4:$B$23,1)+1,1)-INDEX([3]Sheet1!$B$4:$B$23,
MATCH(K967,[3]Sheet1!$B$4:$B$23,1),1))*(INDEX([3]Sheet1!$C$4:$Q$23,MATCH(K967,[3]Sheet1!$B$4:$B$23,1)+1,MATCH(D967,[3]Sheet1!$C$3:$Q$3,1))-INDEX([3]Sheet1!$C$4:$Q$23,
MATCH(K967,[3]Sheet1!$B$4:$B$23,1),MATCH(D967,[3]Sheet1!$C$3:$Q$3,1)))
+(D967-INDEX([3]Sheet1!$C$3:$Q$3,1,MATCH(D967,[3]Sheet1!$C$3:$Q$3)))/(INDEX([3]Sheet1!$C$3:$Q$3,1,MATCH(D967,[3]Sheet1!$C$3:$Q$3)+1)-INDEX([3]Sheet1!$C$3:$Q$3,1,MATCH(
D967,[3]Sheet1!$C$3:$Q$3)))*(INDEX([3]Sheet1!$C$4:$Q$23,MATCH(K967,[3]Sheet1!$B$4:$B$23,1),MATCH(D967,[3]Sheet1!$C$3:$Q$3,1)+1)-INDEX([3]Sheet1!$C$4:$Q$23,MATCH(K967,[3]Sheet1!$B$4:$B$23,1),MATCH(D967,[3]Sheet1!$C$3:$Q$3,1))))</f>
        <v>0</v>
      </c>
      <c r="M967" cm="1">
        <f t="array" ref="M967" xml:space="preserve"> IF(E967*J967=0,0,(INDEX([2]Sheet1!$C$4:$Q$23,MATCH(K967,[2]Sheet1!$B$4:$B$23,1),MATCH(D967,[2]Sheet1!$C$3:$Q$3,1))
+ (K967 - INDEX([2]Sheet1!$B$4:$B$23,MATCH(K967,[2]Sheet1!$B$4:$B$23,1),1))/(INDEX([2]Sheet1!$B$4:$B$23,MATCH(K967,[2]Sheet1!$B$4:$B$23,1)+1,1) - INDEX([2]Sheet1!$B$4:$B$23,MATCH(K967,[2]Sheet1!$B$4:$B$23,1),1))*(INDEX([2]Sheet1!$C$4:$Q$23,MATCH(K967,[2]Sheet1!$B$4:$B$23,1)+1,MATCH(D967,[2]Sheet1!$C$3:$Q$3,1)) - INDEX([2]Sheet1!$C$4:$Q$23,MATCH(K967,[2]Sheet1!$B$4:$B$23,1),MATCH(D967,[2]Sheet1!$C$3:$Q$3,1)))
+ (D967 - INDEX([2]Sheet1!$C$3:$Q$3,1,MATCH(D967,[2]Sheet1!$C$3:$Q$3)))/(INDEX([2]Sheet1!$C$3:$Q$3,1,MATCH(D967,[2]Sheet1!$C$3:$Q$3)+1) - INDEX([2]Sheet1!$C$3:$Q$3,1,MATCH(D967,[2]Sheet1!$C$3:$Q$3)))*(
INDEX([2]Sheet1!$C$4:$Q$23,MATCH(K967,[2]Sheet1!$B$4:$B$23,1),MATCH(D967,[2]Sheet1!$C$3:$Q$3,1)+1) - INDEX([2]Sheet1!$C$4:$Q$23,MATCH(K967,[2]Sheet1!$B$4:$B$23,1),MATCH(D967,[2]Sheet1!$C$3:$Q$3,1)))))</f>
        <v>0</v>
      </c>
      <c r="N967">
        <f t="shared" si="288"/>
        <v>12</v>
      </c>
      <c r="O967">
        <v>333.02450568394102</v>
      </c>
      <c r="P967" t="e">
        <f t="shared" si="289"/>
        <v>#DIV/0!</v>
      </c>
      <c r="Q967">
        <f t="shared" si="290"/>
        <v>0</v>
      </c>
      <c r="R967">
        <f t="shared" si="291"/>
        <v>741.9099431943954</v>
      </c>
      <c r="T967" t="e">
        <f t="shared" si="292"/>
        <v>#DIV/0!</v>
      </c>
      <c r="U967" t="e">
        <f t="shared" si="293"/>
        <v>#DIV/0!</v>
      </c>
      <c r="V967">
        <f t="shared" si="294"/>
        <v>0</v>
      </c>
      <c r="W967" t="e">
        <f t="shared" si="295"/>
        <v>#DIV/0!</v>
      </c>
    </row>
    <row r="968" spans="1:23" x14ac:dyDescent="0.55000000000000004">
      <c r="A968">
        <f t="shared" si="279"/>
        <v>93.399999999998968</v>
      </c>
      <c r="B968">
        <f t="shared" si="280"/>
        <v>0.316</v>
      </c>
      <c r="C968">
        <f t="shared" si="281"/>
        <v>-55.913043478260207</v>
      </c>
      <c r="D968">
        <v>334.43984551913201</v>
      </c>
      <c r="E968">
        <f t="shared" si="282"/>
        <v>0</v>
      </c>
      <c r="F968">
        <f t="shared" si="283"/>
        <v>4.8605058816845369E-2</v>
      </c>
      <c r="G968">
        <f t="shared" si="284"/>
        <v>39.513748498891111</v>
      </c>
      <c r="H968">
        <f t="shared" si="285"/>
        <v>0</v>
      </c>
      <c r="I968" s="1">
        <f t="shared" si="278"/>
        <v>0</v>
      </c>
      <c r="J968">
        <f t="shared" si="286"/>
        <v>0</v>
      </c>
      <c r="K968">
        <f t="shared" si="287"/>
        <v>0</v>
      </c>
      <c r="L968" cm="1">
        <f t="array" ref="L968">IF(E968*J968=0,0,$C$21*INDEX([3]Sheet1!$C$4:$Q$23,MATCH(K968,[3]Sheet1!$B$4:$B$23,1),MATCH(D968,[3]Sheet1!$C$3:$Q$3,1))
+(K968-INDEX([3]Sheet1!$B$4:$B$23,MATCH(K968,[3]Sheet1!$B$4:$B$23,1),1))/(INDEX([3]Sheet1!$B$4:$B$23,MATCH(K968,[3]Sheet1!$B$4:$B$23,1)+1,1)-INDEX([3]Sheet1!$B$4:$B$23,
MATCH(K968,[3]Sheet1!$B$4:$B$23,1),1))*(INDEX([3]Sheet1!$C$4:$Q$23,MATCH(K968,[3]Sheet1!$B$4:$B$23,1)+1,MATCH(D968,[3]Sheet1!$C$3:$Q$3,1))-INDEX([3]Sheet1!$C$4:$Q$23,
MATCH(K968,[3]Sheet1!$B$4:$B$23,1),MATCH(D968,[3]Sheet1!$C$3:$Q$3,1)))
+(D968-INDEX([3]Sheet1!$C$3:$Q$3,1,MATCH(D968,[3]Sheet1!$C$3:$Q$3)))/(INDEX([3]Sheet1!$C$3:$Q$3,1,MATCH(D968,[3]Sheet1!$C$3:$Q$3)+1)-INDEX([3]Sheet1!$C$3:$Q$3,1,MATCH(
D968,[3]Sheet1!$C$3:$Q$3)))*(INDEX([3]Sheet1!$C$4:$Q$23,MATCH(K968,[3]Sheet1!$B$4:$B$23,1),MATCH(D968,[3]Sheet1!$C$3:$Q$3,1)+1)-INDEX([3]Sheet1!$C$4:$Q$23,MATCH(K968,[3]Sheet1!$B$4:$B$23,1),MATCH(D968,[3]Sheet1!$C$3:$Q$3,1))))</f>
        <v>0</v>
      </c>
      <c r="M968" cm="1">
        <f t="array" ref="M968" xml:space="preserve"> IF(E968*J968=0,0,(INDEX([2]Sheet1!$C$4:$Q$23,MATCH(K968,[2]Sheet1!$B$4:$B$23,1),MATCH(D968,[2]Sheet1!$C$3:$Q$3,1))
+ (K968 - INDEX([2]Sheet1!$B$4:$B$23,MATCH(K968,[2]Sheet1!$B$4:$B$23,1),1))/(INDEX([2]Sheet1!$B$4:$B$23,MATCH(K968,[2]Sheet1!$B$4:$B$23,1)+1,1) - INDEX([2]Sheet1!$B$4:$B$23,MATCH(K968,[2]Sheet1!$B$4:$B$23,1),1))*(INDEX([2]Sheet1!$C$4:$Q$23,MATCH(K968,[2]Sheet1!$B$4:$B$23,1)+1,MATCH(D968,[2]Sheet1!$C$3:$Q$3,1)) - INDEX([2]Sheet1!$C$4:$Q$23,MATCH(K968,[2]Sheet1!$B$4:$B$23,1),MATCH(D968,[2]Sheet1!$C$3:$Q$3,1)))
+ (D968 - INDEX([2]Sheet1!$C$3:$Q$3,1,MATCH(D968,[2]Sheet1!$C$3:$Q$3)))/(INDEX([2]Sheet1!$C$3:$Q$3,1,MATCH(D968,[2]Sheet1!$C$3:$Q$3)+1) - INDEX([2]Sheet1!$C$3:$Q$3,1,MATCH(D968,[2]Sheet1!$C$3:$Q$3)))*(
INDEX([2]Sheet1!$C$4:$Q$23,MATCH(K968,[2]Sheet1!$B$4:$B$23,1),MATCH(D968,[2]Sheet1!$C$3:$Q$3,1)+1) - INDEX([2]Sheet1!$C$4:$Q$23,MATCH(K968,[2]Sheet1!$B$4:$B$23,1),MATCH(D968,[2]Sheet1!$C$3:$Q$3,1)))))</f>
        <v>0</v>
      </c>
      <c r="N968">
        <f t="shared" si="288"/>
        <v>12</v>
      </c>
      <c r="O968">
        <v>334.02450568394102</v>
      </c>
      <c r="P968" t="e">
        <f t="shared" si="289"/>
        <v>#DIV/0!</v>
      </c>
      <c r="Q968">
        <f t="shared" si="290"/>
        <v>0</v>
      </c>
      <c r="R968">
        <f t="shared" si="291"/>
        <v>741.9099431943954</v>
      </c>
      <c r="T968" t="e">
        <f t="shared" si="292"/>
        <v>#DIV/0!</v>
      </c>
      <c r="U968" t="e">
        <f t="shared" si="293"/>
        <v>#DIV/0!</v>
      </c>
      <c r="V968">
        <f t="shared" si="294"/>
        <v>0</v>
      </c>
      <c r="W968" t="e">
        <f t="shared" si="295"/>
        <v>#DIV/0!</v>
      </c>
    </row>
    <row r="969" spans="1:23" x14ac:dyDescent="0.55000000000000004">
      <c r="A969">
        <f t="shared" si="279"/>
        <v>93.499999999998963</v>
      </c>
      <c r="B969">
        <f t="shared" si="280"/>
        <v>0.316</v>
      </c>
      <c r="C969">
        <f t="shared" si="281"/>
        <v>-55.978260869564544</v>
      </c>
      <c r="D969">
        <v>335.43984551913201</v>
      </c>
      <c r="E969">
        <f t="shared" si="282"/>
        <v>0</v>
      </c>
      <c r="F969">
        <f t="shared" si="283"/>
        <v>4.8605058816845369E-2</v>
      </c>
      <c r="G969">
        <f t="shared" si="284"/>
        <v>39.513748498891111</v>
      </c>
      <c r="H969">
        <f t="shared" si="285"/>
        <v>0</v>
      </c>
      <c r="I969" s="1">
        <f t="shared" si="278"/>
        <v>0</v>
      </c>
      <c r="J969">
        <f t="shared" si="286"/>
        <v>0</v>
      </c>
      <c r="K969">
        <f t="shared" si="287"/>
        <v>0</v>
      </c>
      <c r="L969" cm="1">
        <f t="array" ref="L969">IF(E969*J969=0,0,$C$21*INDEX([3]Sheet1!$C$4:$Q$23,MATCH(K969,[3]Sheet1!$B$4:$B$23,1),MATCH(D969,[3]Sheet1!$C$3:$Q$3,1))
+(K969-INDEX([3]Sheet1!$B$4:$B$23,MATCH(K969,[3]Sheet1!$B$4:$B$23,1),1))/(INDEX([3]Sheet1!$B$4:$B$23,MATCH(K969,[3]Sheet1!$B$4:$B$23,1)+1,1)-INDEX([3]Sheet1!$B$4:$B$23,
MATCH(K969,[3]Sheet1!$B$4:$B$23,1),1))*(INDEX([3]Sheet1!$C$4:$Q$23,MATCH(K969,[3]Sheet1!$B$4:$B$23,1)+1,MATCH(D969,[3]Sheet1!$C$3:$Q$3,1))-INDEX([3]Sheet1!$C$4:$Q$23,
MATCH(K969,[3]Sheet1!$B$4:$B$23,1),MATCH(D969,[3]Sheet1!$C$3:$Q$3,1)))
+(D969-INDEX([3]Sheet1!$C$3:$Q$3,1,MATCH(D969,[3]Sheet1!$C$3:$Q$3)))/(INDEX([3]Sheet1!$C$3:$Q$3,1,MATCH(D969,[3]Sheet1!$C$3:$Q$3)+1)-INDEX([3]Sheet1!$C$3:$Q$3,1,MATCH(
D969,[3]Sheet1!$C$3:$Q$3)))*(INDEX([3]Sheet1!$C$4:$Q$23,MATCH(K969,[3]Sheet1!$B$4:$B$23,1),MATCH(D969,[3]Sheet1!$C$3:$Q$3,1)+1)-INDEX([3]Sheet1!$C$4:$Q$23,MATCH(K969,[3]Sheet1!$B$4:$B$23,1),MATCH(D969,[3]Sheet1!$C$3:$Q$3,1))))</f>
        <v>0</v>
      </c>
      <c r="M969" cm="1">
        <f t="array" ref="M969" xml:space="preserve"> IF(E969*J969=0,0,(INDEX([2]Sheet1!$C$4:$Q$23,MATCH(K969,[2]Sheet1!$B$4:$B$23,1),MATCH(D969,[2]Sheet1!$C$3:$Q$3,1))
+ (K969 - INDEX([2]Sheet1!$B$4:$B$23,MATCH(K969,[2]Sheet1!$B$4:$B$23,1),1))/(INDEX([2]Sheet1!$B$4:$B$23,MATCH(K969,[2]Sheet1!$B$4:$B$23,1)+1,1) - INDEX([2]Sheet1!$B$4:$B$23,MATCH(K969,[2]Sheet1!$B$4:$B$23,1),1))*(INDEX([2]Sheet1!$C$4:$Q$23,MATCH(K969,[2]Sheet1!$B$4:$B$23,1)+1,MATCH(D969,[2]Sheet1!$C$3:$Q$3,1)) - INDEX([2]Sheet1!$C$4:$Q$23,MATCH(K969,[2]Sheet1!$B$4:$B$23,1),MATCH(D969,[2]Sheet1!$C$3:$Q$3,1)))
+ (D969 - INDEX([2]Sheet1!$C$3:$Q$3,1,MATCH(D969,[2]Sheet1!$C$3:$Q$3)))/(INDEX([2]Sheet1!$C$3:$Q$3,1,MATCH(D969,[2]Sheet1!$C$3:$Q$3)+1) - INDEX([2]Sheet1!$C$3:$Q$3,1,MATCH(D969,[2]Sheet1!$C$3:$Q$3)))*(
INDEX([2]Sheet1!$C$4:$Q$23,MATCH(K969,[2]Sheet1!$B$4:$B$23,1),MATCH(D969,[2]Sheet1!$C$3:$Q$3,1)+1) - INDEX([2]Sheet1!$C$4:$Q$23,MATCH(K969,[2]Sheet1!$B$4:$B$23,1),MATCH(D969,[2]Sheet1!$C$3:$Q$3,1)))))</f>
        <v>0</v>
      </c>
      <c r="N969">
        <f t="shared" si="288"/>
        <v>12</v>
      </c>
      <c r="O969">
        <v>335.02450568394102</v>
      </c>
      <c r="P969" t="e">
        <f t="shared" si="289"/>
        <v>#DIV/0!</v>
      </c>
      <c r="Q969">
        <f t="shared" si="290"/>
        <v>0</v>
      </c>
      <c r="R969">
        <f t="shared" si="291"/>
        <v>741.9099431943954</v>
      </c>
      <c r="T969" t="e">
        <f t="shared" si="292"/>
        <v>#DIV/0!</v>
      </c>
      <c r="U969" t="e">
        <f t="shared" si="293"/>
        <v>#DIV/0!</v>
      </c>
      <c r="V969">
        <f t="shared" si="294"/>
        <v>0</v>
      </c>
      <c r="W969" t="e">
        <f t="shared" si="295"/>
        <v>#DIV/0!</v>
      </c>
    </row>
    <row r="970" spans="1:23" x14ac:dyDescent="0.55000000000000004">
      <c r="A970">
        <f t="shared" si="279"/>
        <v>93.599999999998957</v>
      </c>
      <c r="B970">
        <f t="shared" si="280"/>
        <v>0.316</v>
      </c>
      <c r="C970">
        <f t="shared" si="281"/>
        <v>-56.043478260868895</v>
      </c>
      <c r="D970">
        <v>336.43984551913201</v>
      </c>
      <c r="E970">
        <f t="shared" si="282"/>
        <v>0</v>
      </c>
      <c r="F970">
        <f t="shared" si="283"/>
        <v>4.8605058816845369E-2</v>
      </c>
      <c r="G970">
        <f t="shared" si="284"/>
        <v>39.513748498891111</v>
      </c>
      <c r="H970">
        <f t="shared" si="285"/>
        <v>0</v>
      </c>
      <c r="I970" s="1">
        <f t="shared" si="278"/>
        <v>0</v>
      </c>
      <c r="J970">
        <f t="shared" si="286"/>
        <v>0</v>
      </c>
      <c r="K970">
        <f t="shared" si="287"/>
        <v>0</v>
      </c>
      <c r="L970" cm="1">
        <f t="array" ref="L970">IF(E970*J970=0,0,$C$21*INDEX([3]Sheet1!$C$4:$Q$23,MATCH(K970,[3]Sheet1!$B$4:$B$23,1),MATCH(D970,[3]Sheet1!$C$3:$Q$3,1))
+(K970-INDEX([3]Sheet1!$B$4:$B$23,MATCH(K970,[3]Sheet1!$B$4:$B$23,1),1))/(INDEX([3]Sheet1!$B$4:$B$23,MATCH(K970,[3]Sheet1!$B$4:$B$23,1)+1,1)-INDEX([3]Sheet1!$B$4:$B$23,
MATCH(K970,[3]Sheet1!$B$4:$B$23,1),1))*(INDEX([3]Sheet1!$C$4:$Q$23,MATCH(K970,[3]Sheet1!$B$4:$B$23,1)+1,MATCH(D970,[3]Sheet1!$C$3:$Q$3,1))-INDEX([3]Sheet1!$C$4:$Q$23,
MATCH(K970,[3]Sheet1!$B$4:$B$23,1),MATCH(D970,[3]Sheet1!$C$3:$Q$3,1)))
+(D970-INDEX([3]Sheet1!$C$3:$Q$3,1,MATCH(D970,[3]Sheet1!$C$3:$Q$3)))/(INDEX([3]Sheet1!$C$3:$Q$3,1,MATCH(D970,[3]Sheet1!$C$3:$Q$3)+1)-INDEX([3]Sheet1!$C$3:$Q$3,1,MATCH(
D970,[3]Sheet1!$C$3:$Q$3)))*(INDEX([3]Sheet1!$C$4:$Q$23,MATCH(K970,[3]Sheet1!$B$4:$B$23,1),MATCH(D970,[3]Sheet1!$C$3:$Q$3,1)+1)-INDEX([3]Sheet1!$C$4:$Q$23,MATCH(K970,[3]Sheet1!$B$4:$B$23,1),MATCH(D970,[3]Sheet1!$C$3:$Q$3,1))))</f>
        <v>0</v>
      </c>
      <c r="M970" cm="1">
        <f t="array" ref="M970" xml:space="preserve"> IF(E970*J970=0,0,(INDEX([2]Sheet1!$C$4:$Q$23,MATCH(K970,[2]Sheet1!$B$4:$B$23,1),MATCH(D970,[2]Sheet1!$C$3:$Q$3,1))
+ (K970 - INDEX([2]Sheet1!$B$4:$B$23,MATCH(K970,[2]Sheet1!$B$4:$B$23,1),1))/(INDEX([2]Sheet1!$B$4:$B$23,MATCH(K970,[2]Sheet1!$B$4:$B$23,1)+1,1) - INDEX([2]Sheet1!$B$4:$B$23,MATCH(K970,[2]Sheet1!$B$4:$B$23,1),1))*(INDEX([2]Sheet1!$C$4:$Q$23,MATCH(K970,[2]Sheet1!$B$4:$B$23,1)+1,MATCH(D970,[2]Sheet1!$C$3:$Q$3,1)) - INDEX([2]Sheet1!$C$4:$Q$23,MATCH(K970,[2]Sheet1!$B$4:$B$23,1),MATCH(D970,[2]Sheet1!$C$3:$Q$3,1)))
+ (D970 - INDEX([2]Sheet1!$C$3:$Q$3,1,MATCH(D970,[2]Sheet1!$C$3:$Q$3)))/(INDEX([2]Sheet1!$C$3:$Q$3,1,MATCH(D970,[2]Sheet1!$C$3:$Q$3)+1) - INDEX([2]Sheet1!$C$3:$Q$3,1,MATCH(D970,[2]Sheet1!$C$3:$Q$3)))*(
INDEX([2]Sheet1!$C$4:$Q$23,MATCH(K970,[2]Sheet1!$B$4:$B$23,1),MATCH(D970,[2]Sheet1!$C$3:$Q$3,1)+1) - INDEX([2]Sheet1!$C$4:$Q$23,MATCH(K970,[2]Sheet1!$B$4:$B$23,1),MATCH(D970,[2]Sheet1!$C$3:$Q$3,1)))))</f>
        <v>0</v>
      </c>
      <c r="N970">
        <f t="shared" si="288"/>
        <v>12</v>
      </c>
      <c r="O970">
        <v>336.02450568394102</v>
      </c>
      <c r="P970" t="e">
        <f t="shared" si="289"/>
        <v>#DIV/0!</v>
      </c>
      <c r="Q970">
        <f t="shared" si="290"/>
        <v>0</v>
      </c>
      <c r="R970">
        <f t="shared" si="291"/>
        <v>741.9099431943954</v>
      </c>
      <c r="T970" t="e">
        <f t="shared" si="292"/>
        <v>#DIV/0!</v>
      </c>
      <c r="U970" t="e">
        <f t="shared" si="293"/>
        <v>#DIV/0!</v>
      </c>
      <c r="V970">
        <f t="shared" si="294"/>
        <v>0</v>
      </c>
      <c r="W970" t="e">
        <f t="shared" si="295"/>
        <v>#DIV/0!</v>
      </c>
    </row>
    <row r="971" spans="1:23" x14ac:dyDescent="0.55000000000000004">
      <c r="A971">
        <f t="shared" si="279"/>
        <v>93.699999999998951</v>
      </c>
      <c r="B971">
        <f t="shared" si="280"/>
        <v>0.316</v>
      </c>
      <c r="C971">
        <f t="shared" si="281"/>
        <v>-56.108695652173232</v>
      </c>
      <c r="D971">
        <v>337.43984551913201</v>
      </c>
      <c r="E971">
        <f t="shared" si="282"/>
        <v>0</v>
      </c>
      <c r="F971">
        <f t="shared" si="283"/>
        <v>4.8605058816845369E-2</v>
      </c>
      <c r="G971">
        <f t="shared" si="284"/>
        <v>39.513748498891111</v>
      </c>
      <c r="H971">
        <f t="shared" si="285"/>
        <v>0</v>
      </c>
      <c r="I971" s="1">
        <f t="shared" si="278"/>
        <v>0</v>
      </c>
      <c r="J971">
        <f t="shared" si="286"/>
        <v>0</v>
      </c>
      <c r="K971">
        <f t="shared" si="287"/>
        <v>0</v>
      </c>
      <c r="L971" cm="1">
        <f t="array" ref="L971">IF(E971*J971=0,0,$C$21*INDEX([3]Sheet1!$C$4:$Q$23,MATCH(K971,[3]Sheet1!$B$4:$B$23,1),MATCH(D971,[3]Sheet1!$C$3:$Q$3,1))
+(K971-INDEX([3]Sheet1!$B$4:$B$23,MATCH(K971,[3]Sheet1!$B$4:$B$23,1),1))/(INDEX([3]Sheet1!$B$4:$B$23,MATCH(K971,[3]Sheet1!$B$4:$B$23,1)+1,1)-INDEX([3]Sheet1!$B$4:$B$23,
MATCH(K971,[3]Sheet1!$B$4:$B$23,1),1))*(INDEX([3]Sheet1!$C$4:$Q$23,MATCH(K971,[3]Sheet1!$B$4:$B$23,1)+1,MATCH(D971,[3]Sheet1!$C$3:$Q$3,1))-INDEX([3]Sheet1!$C$4:$Q$23,
MATCH(K971,[3]Sheet1!$B$4:$B$23,1),MATCH(D971,[3]Sheet1!$C$3:$Q$3,1)))
+(D971-INDEX([3]Sheet1!$C$3:$Q$3,1,MATCH(D971,[3]Sheet1!$C$3:$Q$3)))/(INDEX([3]Sheet1!$C$3:$Q$3,1,MATCH(D971,[3]Sheet1!$C$3:$Q$3)+1)-INDEX([3]Sheet1!$C$3:$Q$3,1,MATCH(
D971,[3]Sheet1!$C$3:$Q$3)))*(INDEX([3]Sheet1!$C$4:$Q$23,MATCH(K971,[3]Sheet1!$B$4:$B$23,1),MATCH(D971,[3]Sheet1!$C$3:$Q$3,1)+1)-INDEX([3]Sheet1!$C$4:$Q$23,MATCH(K971,[3]Sheet1!$B$4:$B$23,1),MATCH(D971,[3]Sheet1!$C$3:$Q$3,1))))</f>
        <v>0</v>
      </c>
      <c r="M971" cm="1">
        <f t="array" ref="M971" xml:space="preserve"> IF(E971*J971=0,0,(INDEX([2]Sheet1!$C$4:$Q$23,MATCH(K971,[2]Sheet1!$B$4:$B$23,1),MATCH(D971,[2]Sheet1!$C$3:$Q$3,1))
+ (K971 - INDEX([2]Sheet1!$B$4:$B$23,MATCH(K971,[2]Sheet1!$B$4:$B$23,1),1))/(INDEX([2]Sheet1!$B$4:$B$23,MATCH(K971,[2]Sheet1!$B$4:$B$23,1)+1,1) - INDEX([2]Sheet1!$B$4:$B$23,MATCH(K971,[2]Sheet1!$B$4:$B$23,1),1))*(INDEX([2]Sheet1!$C$4:$Q$23,MATCH(K971,[2]Sheet1!$B$4:$B$23,1)+1,MATCH(D971,[2]Sheet1!$C$3:$Q$3,1)) - INDEX([2]Sheet1!$C$4:$Q$23,MATCH(K971,[2]Sheet1!$B$4:$B$23,1),MATCH(D971,[2]Sheet1!$C$3:$Q$3,1)))
+ (D971 - INDEX([2]Sheet1!$C$3:$Q$3,1,MATCH(D971,[2]Sheet1!$C$3:$Q$3)))/(INDEX([2]Sheet1!$C$3:$Q$3,1,MATCH(D971,[2]Sheet1!$C$3:$Q$3)+1) - INDEX([2]Sheet1!$C$3:$Q$3,1,MATCH(D971,[2]Sheet1!$C$3:$Q$3)))*(
INDEX([2]Sheet1!$C$4:$Q$23,MATCH(K971,[2]Sheet1!$B$4:$B$23,1),MATCH(D971,[2]Sheet1!$C$3:$Q$3,1)+1) - INDEX([2]Sheet1!$C$4:$Q$23,MATCH(K971,[2]Sheet1!$B$4:$B$23,1),MATCH(D971,[2]Sheet1!$C$3:$Q$3,1)))))</f>
        <v>0</v>
      </c>
      <c r="N971">
        <f t="shared" si="288"/>
        <v>12</v>
      </c>
      <c r="O971">
        <v>337.02450568394102</v>
      </c>
      <c r="P971" t="e">
        <f t="shared" si="289"/>
        <v>#DIV/0!</v>
      </c>
      <c r="Q971">
        <f t="shared" si="290"/>
        <v>0</v>
      </c>
      <c r="R971">
        <f t="shared" si="291"/>
        <v>741.9099431943954</v>
      </c>
      <c r="T971" t="e">
        <f t="shared" si="292"/>
        <v>#DIV/0!</v>
      </c>
      <c r="U971" t="e">
        <f t="shared" si="293"/>
        <v>#DIV/0!</v>
      </c>
      <c r="V971">
        <f t="shared" si="294"/>
        <v>0</v>
      </c>
      <c r="W971" t="e">
        <f t="shared" si="295"/>
        <v>#DIV/0!</v>
      </c>
    </row>
    <row r="972" spans="1:23" x14ac:dyDescent="0.55000000000000004">
      <c r="A972">
        <f t="shared" si="279"/>
        <v>93.799999999998946</v>
      </c>
      <c r="B972">
        <f t="shared" si="280"/>
        <v>0.316</v>
      </c>
      <c r="C972">
        <f t="shared" si="281"/>
        <v>-56.173913043477583</v>
      </c>
      <c r="D972">
        <v>338.43984551913201</v>
      </c>
      <c r="E972">
        <f t="shared" si="282"/>
        <v>0</v>
      </c>
      <c r="F972">
        <f t="shared" si="283"/>
        <v>4.8605058816845369E-2</v>
      </c>
      <c r="G972">
        <f t="shared" si="284"/>
        <v>39.513748498891111</v>
      </c>
      <c r="H972">
        <f t="shared" si="285"/>
        <v>0</v>
      </c>
      <c r="I972" s="1">
        <f t="shared" si="278"/>
        <v>0</v>
      </c>
      <c r="J972">
        <f t="shared" si="286"/>
        <v>0</v>
      </c>
      <c r="K972">
        <f t="shared" si="287"/>
        <v>0</v>
      </c>
      <c r="L972" cm="1">
        <f t="array" ref="L972">IF(E972*J972=0,0,$C$21*INDEX([3]Sheet1!$C$4:$Q$23,MATCH(K972,[3]Sheet1!$B$4:$B$23,1),MATCH(D972,[3]Sheet1!$C$3:$Q$3,1))
+(K972-INDEX([3]Sheet1!$B$4:$B$23,MATCH(K972,[3]Sheet1!$B$4:$B$23,1),1))/(INDEX([3]Sheet1!$B$4:$B$23,MATCH(K972,[3]Sheet1!$B$4:$B$23,1)+1,1)-INDEX([3]Sheet1!$B$4:$B$23,
MATCH(K972,[3]Sheet1!$B$4:$B$23,1),1))*(INDEX([3]Sheet1!$C$4:$Q$23,MATCH(K972,[3]Sheet1!$B$4:$B$23,1)+1,MATCH(D972,[3]Sheet1!$C$3:$Q$3,1))-INDEX([3]Sheet1!$C$4:$Q$23,
MATCH(K972,[3]Sheet1!$B$4:$B$23,1),MATCH(D972,[3]Sheet1!$C$3:$Q$3,1)))
+(D972-INDEX([3]Sheet1!$C$3:$Q$3,1,MATCH(D972,[3]Sheet1!$C$3:$Q$3)))/(INDEX([3]Sheet1!$C$3:$Q$3,1,MATCH(D972,[3]Sheet1!$C$3:$Q$3)+1)-INDEX([3]Sheet1!$C$3:$Q$3,1,MATCH(
D972,[3]Sheet1!$C$3:$Q$3)))*(INDEX([3]Sheet1!$C$4:$Q$23,MATCH(K972,[3]Sheet1!$B$4:$B$23,1),MATCH(D972,[3]Sheet1!$C$3:$Q$3,1)+1)-INDEX([3]Sheet1!$C$4:$Q$23,MATCH(K972,[3]Sheet1!$B$4:$B$23,1),MATCH(D972,[3]Sheet1!$C$3:$Q$3,1))))</f>
        <v>0</v>
      </c>
      <c r="M972" cm="1">
        <f t="array" ref="M972" xml:space="preserve"> IF(E972*J972=0,0,(INDEX([2]Sheet1!$C$4:$Q$23,MATCH(K972,[2]Sheet1!$B$4:$B$23,1),MATCH(D972,[2]Sheet1!$C$3:$Q$3,1))
+ (K972 - INDEX([2]Sheet1!$B$4:$B$23,MATCH(K972,[2]Sheet1!$B$4:$B$23,1),1))/(INDEX([2]Sheet1!$B$4:$B$23,MATCH(K972,[2]Sheet1!$B$4:$B$23,1)+1,1) - INDEX([2]Sheet1!$B$4:$B$23,MATCH(K972,[2]Sheet1!$B$4:$B$23,1),1))*(INDEX([2]Sheet1!$C$4:$Q$23,MATCH(K972,[2]Sheet1!$B$4:$B$23,1)+1,MATCH(D972,[2]Sheet1!$C$3:$Q$3,1)) - INDEX([2]Sheet1!$C$4:$Q$23,MATCH(K972,[2]Sheet1!$B$4:$B$23,1),MATCH(D972,[2]Sheet1!$C$3:$Q$3,1)))
+ (D972 - INDEX([2]Sheet1!$C$3:$Q$3,1,MATCH(D972,[2]Sheet1!$C$3:$Q$3)))/(INDEX([2]Sheet1!$C$3:$Q$3,1,MATCH(D972,[2]Sheet1!$C$3:$Q$3)+1) - INDEX([2]Sheet1!$C$3:$Q$3,1,MATCH(D972,[2]Sheet1!$C$3:$Q$3)))*(
INDEX([2]Sheet1!$C$4:$Q$23,MATCH(K972,[2]Sheet1!$B$4:$B$23,1),MATCH(D972,[2]Sheet1!$C$3:$Q$3,1)+1) - INDEX([2]Sheet1!$C$4:$Q$23,MATCH(K972,[2]Sheet1!$B$4:$B$23,1),MATCH(D972,[2]Sheet1!$C$3:$Q$3,1)))))</f>
        <v>0</v>
      </c>
      <c r="N972">
        <f t="shared" si="288"/>
        <v>12</v>
      </c>
      <c r="O972">
        <v>338.02450568394102</v>
      </c>
      <c r="P972" t="e">
        <f t="shared" si="289"/>
        <v>#DIV/0!</v>
      </c>
      <c r="Q972">
        <f t="shared" si="290"/>
        <v>0</v>
      </c>
      <c r="R972">
        <f t="shared" si="291"/>
        <v>741.9099431943954</v>
      </c>
      <c r="T972" t="e">
        <f t="shared" si="292"/>
        <v>#DIV/0!</v>
      </c>
      <c r="U972" t="e">
        <f t="shared" si="293"/>
        <v>#DIV/0!</v>
      </c>
      <c r="V972">
        <f t="shared" si="294"/>
        <v>0</v>
      </c>
      <c r="W972" t="e">
        <f t="shared" si="295"/>
        <v>#DIV/0!</v>
      </c>
    </row>
    <row r="973" spans="1:23" x14ac:dyDescent="0.55000000000000004">
      <c r="A973">
        <f t="shared" si="279"/>
        <v>93.89999999999894</v>
      </c>
      <c r="B973">
        <f t="shared" si="280"/>
        <v>0.316</v>
      </c>
      <c r="C973">
        <f t="shared" si="281"/>
        <v>-56.23913043478192</v>
      </c>
      <c r="D973">
        <v>339.43984551913201</v>
      </c>
      <c r="E973">
        <f t="shared" si="282"/>
        <v>0</v>
      </c>
      <c r="F973">
        <f t="shared" si="283"/>
        <v>4.8605058816845369E-2</v>
      </c>
      <c r="G973">
        <f t="shared" si="284"/>
        <v>39.513748498891111</v>
      </c>
      <c r="H973">
        <f t="shared" si="285"/>
        <v>0</v>
      </c>
      <c r="I973" s="1">
        <f t="shared" si="278"/>
        <v>0</v>
      </c>
      <c r="J973">
        <f t="shared" si="286"/>
        <v>0</v>
      </c>
      <c r="K973">
        <f t="shared" si="287"/>
        <v>0</v>
      </c>
      <c r="L973" cm="1">
        <f t="array" ref="L973">IF(E973*J973=0,0,$C$21*INDEX([3]Sheet1!$C$4:$Q$23,MATCH(K973,[3]Sheet1!$B$4:$B$23,1),MATCH(D973,[3]Sheet1!$C$3:$Q$3,1))
+(K973-INDEX([3]Sheet1!$B$4:$B$23,MATCH(K973,[3]Sheet1!$B$4:$B$23,1),1))/(INDEX([3]Sheet1!$B$4:$B$23,MATCH(K973,[3]Sheet1!$B$4:$B$23,1)+1,1)-INDEX([3]Sheet1!$B$4:$B$23,
MATCH(K973,[3]Sheet1!$B$4:$B$23,1),1))*(INDEX([3]Sheet1!$C$4:$Q$23,MATCH(K973,[3]Sheet1!$B$4:$B$23,1)+1,MATCH(D973,[3]Sheet1!$C$3:$Q$3,1))-INDEX([3]Sheet1!$C$4:$Q$23,
MATCH(K973,[3]Sheet1!$B$4:$B$23,1),MATCH(D973,[3]Sheet1!$C$3:$Q$3,1)))
+(D973-INDEX([3]Sheet1!$C$3:$Q$3,1,MATCH(D973,[3]Sheet1!$C$3:$Q$3)))/(INDEX([3]Sheet1!$C$3:$Q$3,1,MATCH(D973,[3]Sheet1!$C$3:$Q$3)+1)-INDEX([3]Sheet1!$C$3:$Q$3,1,MATCH(
D973,[3]Sheet1!$C$3:$Q$3)))*(INDEX([3]Sheet1!$C$4:$Q$23,MATCH(K973,[3]Sheet1!$B$4:$B$23,1),MATCH(D973,[3]Sheet1!$C$3:$Q$3,1)+1)-INDEX([3]Sheet1!$C$4:$Q$23,MATCH(K973,[3]Sheet1!$B$4:$B$23,1),MATCH(D973,[3]Sheet1!$C$3:$Q$3,1))))</f>
        <v>0</v>
      </c>
      <c r="M973" cm="1">
        <f t="array" ref="M973" xml:space="preserve"> IF(E973*J973=0,0,(INDEX([2]Sheet1!$C$4:$Q$23,MATCH(K973,[2]Sheet1!$B$4:$B$23,1),MATCH(D973,[2]Sheet1!$C$3:$Q$3,1))
+ (K973 - INDEX([2]Sheet1!$B$4:$B$23,MATCH(K973,[2]Sheet1!$B$4:$B$23,1),1))/(INDEX([2]Sheet1!$B$4:$B$23,MATCH(K973,[2]Sheet1!$B$4:$B$23,1)+1,1) - INDEX([2]Sheet1!$B$4:$B$23,MATCH(K973,[2]Sheet1!$B$4:$B$23,1),1))*(INDEX([2]Sheet1!$C$4:$Q$23,MATCH(K973,[2]Sheet1!$B$4:$B$23,1)+1,MATCH(D973,[2]Sheet1!$C$3:$Q$3,1)) - INDEX([2]Sheet1!$C$4:$Q$23,MATCH(K973,[2]Sheet1!$B$4:$B$23,1),MATCH(D973,[2]Sheet1!$C$3:$Q$3,1)))
+ (D973 - INDEX([2]Sheet1!$C$3:$Q$3,1,MATCH(D973,[2]Sheet1!$C$3:$Q$3)))/(INDEX([2]Sheet1!$C$3:$Q$3,1,MATCH(D973,[2]Sheet1!$C$3:$Q$3)+1) - INDEX([2]Sheet1!$C$3:$Q$3,1,MATCH(D973,[2]Sheet1!$C$3:$Q$3)))*(
INDEX([2]Sheet1!$C$4:$Q$23,MATCH(K973,[2]Sheet1!$B$4:$B$23,1),MATCH(D973,[2]Sheet1!$C$3:$Q$3,1)+1) - INDEX([2]Sheet1!$C$4:$Q$23,MATCH(K973,[2]Sheet1!$B$4:$B$23,1),MATCH(D973,[2]Sheet1!$C$3:$Q$3,1)))))</f>
        <v>0</v>
      </c>
      <c r="N973">
        <f t="shared" si="288"/>
        <v>12</v>
      </c>
      <c r="O973">
        <v>339.02450568394102</v>
      </c>
      <c r="P973" t="e">
        <f t="shared" si="289"/>
        <v>#DIV/0!</v>
      </c>
      <c r="Q973">
        <f t="shared" si="290"/>
        <v>0</v>
      </c>
      <c r="R973">
        <f t="shared" si="291"/>
        <v>741.9099431943954</v>
      </c>
      <c r="T973" t="e">
        <f t="shared" si="292"/>
        <v>#DIV/0!</v>
      </c>
      <c r="U973" t="e">
        <f t="shared" si="293"/>
        <v>#DIV/0!</v>
      </c>
      <c r="V973">
        <f t="shared" si="294"/>
        <v>0</v>
      </c>
      <c r="W973" t="e">
        <f t="shared" si="295"/>
        <v>#DIV/0!</v>
      </c>
    </row>
    <row r="974" spans="1:23" x14ac:dyDescent="0.55000000000000004">
      <c r="A974">
        <f t="shared" si="279"/>
        <v>93.999999999998934</v>
      </c>
      <c r="B974">
        <f t="shared" si="280"/>
        <v>0.316</v>
      </c>
      <c r="C974">
        <f t="shared" si="281"/>
        <v>-56.304347826086271</v>
      </c>
      <c r="D974">
        <v>340.43984551913201</v>
      </c>
      <c r="E974">
        <f t="shared" si="282"/>
        <v>0</v>
      </c>
      <c r="F974">
        <f t="shared" si="283"/>
        <v>4.8605058816845369E-2</v>
      </c>
      <c r="G974">
        <f t="shared" si="284"/>
        <v>39.513748498891111</v>
      </c>
      <c r="H974">
        <f t="shared" si="285"/>
        <v>0</v>
      </c>
      <c r="I974" s="1">
        <f t="shared" si="278"/>
        <v>0</v>
      </c>
      <c r="J974">
        <f t="shared" si="286"/>
        <v>0</v>
      </c>
      <c r="K974">
        <f t="shared" si="287"/>
        <v>0</v>
      </c>
      <c r="L974" cm="1">
        <f t="array" ref="L974">IF(E974*J974=0,0,$C$21*INDEX([3]Sheet1!$C$4:$Q$23,MATCH(K974,[3]Sheet1!$B$4:$B$23,1),MATCH(D974,[3]Sheet1!$C$3:$Q$3,1))
+(K974-INDEX([3]Sheet1!$B$4:$B$23,MATCH(K974,[3]Sheet1!$B$4:$B$23,1),1))/(INDEX([3]Sheet1!$B$4:$B$23,MATCH(K974,[3]Sheet1!$B$4:$B$23,1)+1,1)-INDEX([3]Sheet1!$B$4:$B$23,
MATCH(K974,[3]Sheet1!$B$4:$B$23,1),1))*(INDEX([3]Sheet1!$C$4:$Q$23,MATCH(K974,[3]Sheet1!$B$4:$B$23,1)+1,MATCH(D974,[3]Sheet1!$C$3:$Q$3,1))-INDEX([3]Sheet1!$C$4:$Q$23,
MATCH(K974,[3]Sheet1!$B$4:$B$23,1),MATCH(D974,[3]Sheet1!$C$3:$Q$3,1)))
+(D974-INDEX([3]Sheet1!$C$3:$Q$3,1,MATCH(D974,[3]Sheet1!$C$3:$Q$3)))/(INDEX([3]Sheet1!$C$3:$Q$3,1,MATCH(D974,[3]Sheet1!$C$3:$Q$3)+1)-INDEX([3]Sheet1!$C$3:$Q$3,1,MATCH(
D974,[3]Sheet1!$C$3:$Q$3)))*(INDEX([3]Sheet1!$C$4:$Q$23,MATCH(K974,[3]Sheet1!$B$4:$B$23,1),MATCH(D974,[3]Sheet1!$C$3:$Q$3,1)+1)-INDEX([3]Sheet1!$C$4:$Q$23,MATCH(K974,[3]Sheet1!$B$4:$B$23,1),MATCH(D974,[3]Sheet1!$C$3:$Q$3,1))))</f>
        <v>0</v>
      </c>
      <c r="M974" cm="1">
        <f t="array" ref="M974" xml:space="preserve"> IF(E974*J974=0,0,(INDEX([2]Sheet1!$C$4:$Q$23,MATCH(K974,[2]Sheet1!$B$4:$B$23,1),MATCH(D974,[2]Sheet1!$C$3:$Q$3,1))
+ (K974 - INDEX([2]Sheet1!$B$4:$B$23,MATCH(K974,[2]Sheet1!$B$4:$B$23,1),1))/(INDEX([2]Sheet1!$B$4:$B$23,MATCH(K974,[2]Sheet1!$B$4:$B$23,1)+1,1) - INDEX([2]Sheet1!$B$4:$B$23,MATCH(K974,[2]Sheet1!$B$4:$B$23,1),1))*(INDEX([2]Sheet1!$C$4:$Q$23,MATCH(K974,[2]Sheet1!$B$4:$B$23,1)+1,MATCH(D974,[2]Sheet1!$C$3:$Q$3,1)) - INDEX([2]Sheet1!$C$4:$Q$23,MATCH(K974,[2]Sheet1!$B$4:$B$23,1),MATCH(D974,[2]Sheet1!$C$3:$Q$3,1)))
+ (D974 - INDEX([2]Sheet1!$C$3:$Q$3,1,MATCH(D974,[2]Sheet1!$C$3:$Q$3)))/(INDEX([2]Sheet1!$C$3:$Q$3,1,MATCH(D974,[2]Sheet1!$C$3:$Q$3)+1) - INDEX([2]Sheet1!$C$3:$Q$3,1,MATCH(D974,[2]Sheet1!$C$3:$Q$3)))*(
INDEX([2]Sheet1!$C$4:$Q$23,MATCH(K974,[2]Sheet1!$B$4:$B$23,1),MATCH(D974,[2]Sheet1!$C$3:$Q$3,1)+1) - INDEX([2]Sheet1!$C$4:$Q$23,MATCH(K974,[2]Sheet1!$B$4:$B$23,1),MATCH(D974,[2]Sheet1!$C$3:$Q$3,1)))))</f>
        <v>0</v>
      </c>
      <c r="N974">
        <f t="shared" si="288"/>
        <v>12</v>
      </c>
      <c r="O974">
        <v>340.02450568394102</v>
      </c>
      <c r="P974" t="e">
        <f t="shared" si="289"/>
        <v>#DIV/0!</v>
      </c>
      <c r="Q974">
        <f t="shared" si="290"/>
        <v>0</v>
      </c>
      <c r="R974">
        <f t="shared" si="291"/>
        <v>741.9099431943954</v>
      </c>
      <c r="T974" t="e">
        <f t="shared" si="292"/>
        <v>#DIV/0!</v>
      </c>
      <c r="U974" t="e">
        <f t="shared" si="293"/>
        <v>#DIV/0!</v>
      </c>
      <c r="V974">
        <f t="shared" si="294"/>
        <v>0</v>
      </c>
      <c r="W974" t="e">
        <f t="shared" si="295"/>
        <v>#DIV/0!</v>
      </c>
    </row>
    <row r="975" spans="1:23" x14ac:dyDescent="0.55000000000000004">
      <c r="A975">
        <f t="shared" si="279"/>
        <v>94.099999999998929</v>
      </c>
      <c r="B975">
        <f t="shared" si="280"/>
        <v>0.316</v>
      </c>
      <c r="C975">
        <f t="shared" si="281"/>
        <v>-56.369565217390608</v>
      </c>
      <c r="D975">
        <v>341.43984551913201</v>
      </c>
      <c r="E975">
        <f t="shared" si="282"/>
        <v>0</v>
      </c>
      <c r="F975">
        <f t="shared" si="283"/>
        <v>4.8605058816845369E-2</v>
      </c>
      <c r="G975">
        <f t="shared" si="284"/>
        <v>39.513748498891111</v>
      </c>
      <c r="H975">
        <f t="shared" si="285"/>
        <v>0</v>
      </c>
      <c r="I975" s="1">
        <f t="shared" si="278"/>
        <v>0</v>
      </c>
      <c r="J975">
        <f t="shared" si="286"/>
        <v>0</v>
      </c>
      <c r="K975">
        <f t="shared" si="287"/>
        <v>0</v>
      </c>
      <c r="L975" cm="1">
        <f t="array" ref="L975">IF(E975*J975=0,0,$C$21*INDEX([3]Sheet1!$C$4:$Q$23,MATCH(K975,[3]Sheet1!$B$4:$B$23,1),MATCH(D975,[3]Sheet1!$C$3:$Q$3,1))
+(K975-INDEX([3]Sheet1!$B$4:$B$23,MATCH(K975,[3]Sheet1!$B$4:$B$23,1),1))/(INDEX([3]Sheet1!$B$4:$B$23,MATCH(K975,[3]Sheet1!$B$4:$B$23,1)+1,1)-INDEX([3]Sheet1!$B$4:$B$23,
MATCH(K975,[3]Sheet1!$B$4:$B$23,1),1))*(INDEX([3]Sheet1!$C$4:$Q$23,MATCH(K975,[3]Sheet1!$B$4:$B$23,1)+1,MATCH(D975,[3]Sheet1!$C$3:$Q$3,1))-INDEX([3]Sheet1!$C$4:$Q$23,
MATCH(K975,[3]Sheet1!$B$4:$B$23,1),MATCH(D975,[3]Sheet1!$C$3:$Q$3,1)))
+(D975-INDEX([3]Sheet1!$C$3:$Q$3,1,MATCH(D975,[3]Sheet1!$C$3:$Q$3)))/(INDEX([3]Sheet1!$C$3:$Q$3,1,MATCH(D975,[3]Sheet1!$C$3:$Q$3)+1)-INDEX([3]Sheet1!$C$3:$Q$3,1,MATCH(
D975,[3]Sheet1!$C$3:$Q$3)))*(INDEX([3]Sheet1!$C$4:$Q$23,MATCH(K975,[3]Sheet1!$B$4:$B$23,1),MATCH(D975,[3]Sheet1!$C$3:$Q$3,1)+1)-INDEX([3]Sheet1!$C$4:$Q$23,MATCH(K975,[3]Sheet1!$B$4:$B$23,1),MATCH(D975,[3]Sheet1!$C$3:$Q$3,1))))</f>
        <v>0</v>
      </c>
      <c r="M975" cm="1">
        <f t="array" ref="M975" xml:space="preserve"> IF(E975*J975=0,0,(INDEX([2]Sheet1!$C$4:$Q$23,MATCH(K975,[2]Sheet1!$B$4:$B$23,1),MATCH(D975,[2]Sheet1!$C$3:$Q$3,1))
+ (K975 - INDEX([2]Sheet1!$B$4:$B$23,MATCH(K975,[2]Sheet1!$B$4:$B$23,1),1))/(INDEX([2]Sheet1!$B$4:$B$23,MATCH(K975,[2]Sheet1!$B$4:$B$23,1)+1,1) - INDEX([2]Sheet1!$B$4:$B$23,MATCH(K975,[2]Sheet1!$B$4:$B$23,1),1))*(INDEX([2]Sheet1!$C$4:$Q$23,MATCH(K975,[2]Sheet1!$B$4:$B$23,1)+1,MATCH(D975,[2]Sheet1!$C$3:$Q$3,1)) - INDEX([2]Sheet1!$C$4:$Q$23,MATCH(K975,[2]Sheet1!$B$4:$B$23,1),MATCH(D975,[2]Sheet1!$C$3:$Q$3,1)))
+ (D975 - INDEX([2]Sheet1!$C$3:$Q$3,1,MATCH(D975,[2]Sheet1!$C$3:$Q$3)))/(INDEX([2]Sheet1!$C$3:$Q$3,1,MATCH(D975,[2]Sheet1!$C$3:$Q$3)+1) - INDEX([2]Sheet1!$C$3:$Q$3,1,MATCH(D975,[2]Sheet1!$C$3:$Q$3)))*(
INDEX([2]Sheet1!$C$4:$Q$23,MATCH(K975,[2]Sheet1!$B$4:$B$23,1),MATCH(D975,[2]Sheet1!$C$3:$Q$3,1)+1) - INDEX([2]Sheet1!$C$4:$Q$23,MATCH(K975,[2]Sheet1!$B$4:$B$23,1),MATCH(D975,[2]Sheet1!$C$3:$Q$3,1)))))</f>
        <v>0</v>
      </c>
      <c r="N975">
        <f t="shared" si="288"/>
        <v>12</v>
      </c>
      <c r="O975">
        <v>341.02450568394102</v>
      </c>
      <c r="P975" t="e">
        <f t="shared" si="289"/>
        <v>#DIV/0!</v>
      </c>
      <c r="Q975">
        <f t="shared" si="290"/>
        <v>0</v>
      </c>
      <c r="R975">
        <f t="shared" si="291"/>
        <v>741.9099431943954</v>
      </c>
      <c r="T975" t="e">
        <f t="shared" si="292"/>
        <v>#DIV/0!</v>
      </c>
      <c r="U975" t="e">
        <f t="shared" si="293"/>
        <v>#DIV/0!</v>
      </c>
      <c r="V975">
        <f t="shared" si="294"/>
        <v>0</v>
      </c>
      <c r="W975" t="e">
        <f t="shared" si="295"/>
        <v>#DIV/0!</v>
      </c>
    </row>
    <row r="976" spans="1:23" x14ac:dyDescent="0.55000000000000004">
      <c r="A976">
        <f t="shared" si="279"/>
        <v>94.199999999998923</v>
      </c>
      <c r="B976">
        <f t="shared" si="280"/>
        <v>0.316</v>
      </c>
      <c r="C976">
        <f t="shared" si="281"/>
        <v>-56.43478260869496</v>
      </c>
      <c r="D976">
        <v>342.43984551913201</v>
      </c>
      <c r="E976">
        <f t="shared" si="282"/>
        <v>0</v>
      </c>
      <c r="F976">
        <f t="shared" si="283"/>
        <v>4.8605058816845369E-2</v>
      </c>
      <c r="G976">
        <f t="shared" si="284"/>
        <v>39.513748498891111</v>
      </c>
      <c r="H976">
        <f t="shared" si="285"/>
        <v>0</v>
      </c>
      <c r="I976" s="1">
        <f t="shared" si="278"/>
        <v>0</v>
      </c>
      <c r="J976">
        <f t="shared" si="286"/>
        <v>0</v>
      </c>
      <c r="K976">
        <f t="shared" si="287"/>
        <v>0</v>
      </c>
      <c r="L976" cm="1">
        <f t="array" ref="L976">IF(E976*J976=0,0,$C$21*INDEX([3]Sheet1!$C$4:$Q$23,MATCH(K976,[3]Sheet1!$B$4:$B$23,1),MATCH(D976,[3]Sheet1!$C$3:$Q$3,1))
+(K976-INDEX([3]Sheet1!$B$4:$B$23,MATCH(K976,[3]Sheet1!$B$4:$B$23,1),1))/(INDEX([3]Sheet1!$B$4:$B$23,MATCH(K976,[3]Sheet1!$B$4:$B$23,1)+1,1)-INDEX([3]Sheet1!$B$4:$B$23,
MATCH(K976,[3]Sheet1!$B$4:$B$23,1),1))*(INDEX([3]Sheet1!$C$4:$Q$23,MATCH(K976,[3]Sheet1!$B$4:$B$23,1)+1,MATCH(D976,[3]Sheet1!$C$3:$Q$3,1))-INDEX([3]Sheet1!$C$4:$Q$23,
MATCH(K976,[3]Sheet1!$B$4:$B$23,1),MATCH(D976,[3]Sheet1!$C$3:$Q$3,1)))
+(D976-INDEX([3]Sheet1!$C$3:$Q$3,1,MATCH(D976,[3]Sheet1!$C$3:$Q$3)))/(INDEX([3]Sheet1!$C$3:$Q$3,1,MATCH(D976,[3]Sheet1!$C$3:$Q$3)+1)-INDEX([3]Sheet1!$C$3:$Q$3,1,MATCH(
D976,[3]Sheet1!$C$3:$Q$3)))*(INDEX([3]Sheet1!$C$4:$Q$23,MATCH(K976,[3]Sheet1!$B$4:$B$23,1),MATCH(D976,[3]Sheet1!$C$3:$Q$3,1)+1)-INDEX([3]Sheet1!$C$4:$Q$23,MATCH(K976,[3]Sheet1!$B$4:$B$23,1),MATCH(D976,[3]Sheet1!$C$3:$Q$3,1))))</f>
        <v>0</v>
      </c>
      <c r="M976" cm="1">
        <f t="array" ref="M976" xml:space="preserve"> IF(E976*J976=0,0,(INDEX([2]Sheet1!$C$4:$Q$23,MATCH(K976,[2]Sheet1!$B$4:$B$23,1),MATCH(D976,[2]Sheet1!$C$3:$Q$3,1))
+ (K976 - INDEX([2]Sheet1!$B$4:$B$23,MATCH(K976,[2]Sheet1!$B$4:$B$23,1),1))/(INDEX([2]Sheet1!$B$4:$B$23,MATCH(K976,[2]Sheet1!$B$4:$B$23,1)+1,1) - INDEX([2]Sheet1!$B$4:$B$23,MATCH(K976,[2]Sheet1!$B$4:$B$23,1),1))*(INDEX([2]Sheet1!$C$4:$Q$23,MATCH(K976,[2]Sheet1!$B$4:$B$23,1)+1,MATCH(D976,[2]Sheet1!$C$3:$Q$3,1)) - INDEX([2]Sheet1!$C$4:$Q$23,MATCH(K976,[2]Sheet1!$B$4:$B$23,1),MATCH(D976,[2]Sheet1!$C$3:$Q$3,1)))
+ (D976 - INDEX([2]Sheet1!$C$3:$Q$3,1,MATCH(D976,[2]Sheet1!$C$3:$Q$3)))/(INDEX([2]Sheet1!$C$3:$Q$3,1,MATCH(D976,[2]Sheet1!$C$3:$Q$3)+1) - INDEX([2]Sheet1!$C$3:$Q$3,1,MATCH(D976,[2]Sheet1!$C$3:$Q$3)))*(
INDEX([2]Sheet1!$C$4:$Q$23,MATCH(K976,[2]Sheet1!$B$4:$B$23,1),MATCH(D976,[2]Sheet1!$C$3:$Q$3,1)+1) - INDEX([2]Sheet1!$C$4:$Q$23,MATCH(K976,[2]Sheet1!$B$4:$B$23,1),MATCH(D976,[2]Sheet1!$C$3:$Q$3,1)))))</f>
        <v>0</v>
      </c>
      <c r="N976">
        <f t="shared" si="288"/>
        <v>12</v>
      </c>
      <c r="O976">
        <v>342.02450568394102</v>
      </c>
      <c r="P976" t="e">
        <f t="shared" si="289"/>
        <v>#DIV/0!</v>
      </c>
      <c r="Q976">
        <f t="shared" si="290"/>
        <v>0</v>
      </c>
      <c r="R976">
        <f t="shared" si="291"/>
        <v>741.9099431943954</v>
      </c>
      <c r="T976" t="e">
        <f t="shared" si="292"/>
        <v>#DIV/0!</v>
      </c>
      <c r="U976" t="e">
        <f t="shared" si="293"/>
        <v>#DIV/0!</v>
      </c>
      <c r="V976">
        <f t="shared" si="294"/>
        <v>0</v>
      </c>
      <c r="W976" t="e">
        <f t="shared" si="295"/>
        <v>#DIV/0!</v>
      </c>
    </row>
    <row r="977" spans="1:23" x14ac:dyDescent="0.55000000000000004">
      <c r="A977">
        <f t="shared" si="279"/>
        <v>94.299999999998917</v>
      </c>
      <c r="B977">
        <f t="shared" si="280"/>
        <v>0.316</v>
      </c>
      <c r="C977">
        <f t="shared" si="281"/>
        <v>-56.499999999999297</v>
      </c>
      <c r="D977">
        <v>343.43984551913201</v>
      </c>
      <c r="E977">
        <f t="shared" si="282"/>
        <v>0</v>
      </c>
      <c r="F977">
        <f t="shared" si="283"/>
        <v>4.8605058816845369E-2</v>
      </c>
      <c r="G977">
        <f t="shared" si="284"/>
        <v>39.513748498891111</v>
      </c>
      <c r="H977">
        <f t="shared" si="285"/>
        <v>0</v>
      </c>
      <c r="I977" s="1">
        <f t="shared" si="278"/>
        <v>0</v>
      </c>
      <c r="J977">
        <f t="shared" si="286"/>
        <v>0</v>
      </c>
      <c r="K977">
        <f t="shared" si="287"/>
        <v>0</v>
      </c>
      <c r="L977" cm="1">
        <f t="array" ref="L977">IF(E977*J977=0,0,$C$21*INDEX([3]Sheet1!$C$4:$Q$23,MATCH(K977,[3]Sheet1!$B$4:$B$23,1),MATCH(D977,[3]Sheet1!$C$3:$Q$3,1))
+(K977-INDEX([3]Sheet1!$B$4:$B$23,MATCH(K977,[3]Sheet1!$B$4:$B$23,1),1))/(INDEX([3]Sheet1!$B$4:$B$23,MATCH(K977,[3]Sheet1!$B$4:$B$23,1)+1,1)-INDEX([3]Sheet1!$B$4:$B$23,
MATCH(K977,[3]Sheet1!$B$4:$B$23,1),1))*(INDEX([3]Sheet1!$C$4:$Q$23,MATCH(K977,[3]Sheet1!$B$4:$B$23,1)+1,MATCH(D977,[3]Sheet1!$C$3:$Q$3,1))-INDEX([3]Sheet1!$C$4:$Q$23,
MATCH(K977,[3]Sheet1!$B$4:$B$23,1),MATCH(D977,[3]Sheet1!$C$3:$Q$3,1)))
+(D977-INDEX([3]Sheet1!$C$3:$Q$3,1,MATCH(D977,[3]Sheet1!$C$3:$Q$3)))/(INDEX([3]Sheet1!$C$3:$Q$3,1,MATCH(D977,[3]Sheet1!$C$3:$Q$3)+1)-INDEX([3]Sheet1!$C$3:$Q$3,1,MATCH(
D977,[3]Sheet1!$C$3:$Q$3)))*(INDEX([3]Sheet1!$C$4:$Q$23,MATCH(K977,[3]Sheet1!$B$4:$B$23,1),MATCH(D977,[3]Sheet1!$C$3:$Q$3,1)+1)-INDEX([3]Sheet1!$C$4:$Q$23,MATCH(K977,[3]Sheet1!$B$4:$B$23,1),MATCH(D977,[3]Sheet1!$C$3:$Q$3,1))))</f>
        <v>0</v>
      </c>
      <c r="M977" cm="1">
        <f t="array" ref="M977" xml:space="preserve"> IF(E977*J977=0,0,(INDEX([2]Sheet1!$C$4:$Q$23,MATCH(K977,[2]Sheet1!$B$4:$B$23,1),MATCH(D977,[2]Sheet1!$C$3:$Q$3,1))
+ (K977 - INDEX([2]Sheet1!$B$4:$B$23,MATCH(K977,[2]Sheet1!$B$4:$B$23,1),1))/(INDEX([2]Sheet1!$B$4:$B$23,MATCH(K977,[2]Sheet1!$B$4:$B$23,1)+1,1) - INDEX([2]Sheet1!$B$4:$B$23,MATCH(K977,[2]Sheet1!$B$4:$B$23,1),1))*(INDEX([2]Sheet1!$C$4:$Q$23,MATCH(K977,[2]Sheet1!$B$4:$B$23,1)+1,MATCH(D977,[2]Sheet1!$C$3:$Q$3,1)) - INDEX([2]Sheet1!$C$4:$Q$23,MATCH(K977,[2]Sheet1!$B$4:$B$23,1),MATCH(D977,[2]Sheet1!$C$3:$Q$3,1)))
+ (D977 - INDEX([2]Sheet1!$C$3:$Q$3,1,MATCH(D977,[2]Sheet1!$C$3:$Q$3)))/(INDEX([2]Sheet1!$C$3:$Q$3,1,MATCH(D977,[2]Sheet1!$C$3:$Q$3)+1) - INDEX([2]Sheet1!$C$3:$Q$3,1,MATCH(D977,[2]Sheet1!$C$3:$Q$3)))*(
INDEX([2]Sheet1!$C$4:$Q$23,MATCH(K977,[2]Sheet1!$B$4:$B$23,1),MATCH(D977,[2]Sheet1!$C$3:$Q$3,1)+1) - INDEX([2]Sheet1!$C$4:$Q$23,MATCH(K977,[2]Sheet1!$B$4:$B$23,1),MATCH(D977,[2]Sheet1!$C$3:$Q$3,1)))))</f>
        <v>0</v>
      </c>
      <c r="N977">
        <f t="shared" si="288"/>
        <v>12</v>
      </c>
      <c r="O977">
        <v>343.02450568394102</v>
      </c>
      <c r="P977" t="e">
        <f t="shared" si="289"/>
        <v>#DIV/0!</v>
      </c>
      <c r="Q977">
        <f t="shared" si="290"/>
        <v>0</v>
      </c>
      <c r="R977">
        <f t="shared" si="291"/>
        <v>741.9099431943954</v>
      </c>
      <c r="T977" t="e">
        <f t="shared" si="292"/>
        <v>#DIV/0!</v>
      </c>
      <c r="U977" t="e">
        <f t="shared" si="293"/>
        <v>#DIV/0!</v>
      </c>
      <c r="V977">
        <f t="shared" si="294"/>
        <v>0</v>
      </c>
      <c r="W977" t="e">
        <f t="shared" si="295"/>
        <v>#DIV/0!</v>
      </c>
    </row>
    <row r="978" spans="1:23" x14ac:dyDescent="0.55000000000000004">
      <c r="A978">
        <f t="shared" si="279"/>
        <v>94.399999999998911</v>
      </c>
      <c r="B978">
        <f t="shared" si="280"/>
        <v>0.316</v>
      </c>
      <c r="C978">
        <f t="shared" si="281"/>
        <v>-56.565217391303648</v>
      </c>
      <c r="D978">
        <v>344.43984551913201</v>
      </c>
      <c r="E978">
        <f t="shared" si="282"/>
        <v>0</v>
      </c>
      <c r="F978">
        <f t="shared" si="283"/>
        <v>4.8605058816845369E-2</v>
      </c>
      <c r="G978">
        <f t="shared" si="284"/>
        <v>39.513748498891111</v>
      </c>
      <c r="H978">
        <f t="shared" si="285"/>
        <v>0</v>
      </c>
      <c r="I978" s="1">
        <f t="shared" si="278"/>
        <v>0</v>
      </c>
      <c r="J978">
        <f t="shared" si="286"/>
        <v>0</v>
      </c>
      <c r="K978">
        <f t="shared" si="287"/>
        <v>0</v>
      </c>
      <c r="L978" cm="1">
        <f t="array" ref="L978">IF(E978*J978=0,0,$C$21*INDEX([3]Sheet1!$C$4:$Q$23,MATCH(K978,[3]Sheet1!$B$4:$B$23,1),MATCH(D978,[3]Sheet1!$C$3:$Q$3,1))
+(K978-INDEX([3]Sheet1!$B$4:$B$23,MATCH(K978,[3]Sheet1!$B$4:$B$23,1),1))/(INDEX([3]Sheet1!$B$4:$B$23,MATCH(K978,[3]Sheet1!$B$4:$B$23,1)+1,1)-INDEX([3]Sheet1!$B$4:$B$23,
MATCH(K978,[3]Sheet1!$B$4:$B$23,1),1))*(INDEX([3]Sheet1!$C$4:$Q$23,MATCH(K978,[3]Sheet1!$B$4:$B$23,1)+1,MATCH(D978,[3]Sheet1!$C$3:$Q$3,1))-INDEX([3]Sheet1!$C$4:$Q$23,
MATCH(K978,[3]Sheet1!$B$4:$B$23,1),MATCH(D978,[3]Sheet1!$C$3:$Q$3,1)))
+(D978-INDEX([3]Sheet1!$C$3:$Q$3,1,MATCH(D978,[3]Sheet1!$C$3:$Q$3)))/(INDEX([3]Sheet1!$C$3:$Q$3,1,MATCH(D978,[3]Sheet1!$C$3:$Q$3)+1)-INDEX([3]Sheet1!$C$3:$Q$3,1,MATCH(
D978,[3]Sheet1!$C$3:$Q$3)))*(INDEX([3]Sheet1!$C$4:$Q$23,MATCH(K978,[3]Sheet1!$B$4:$B$23,1),MATCH(D978,[3]Sheet1!$C$3:$Q$3,1)+1)-INDEX([3]Sheet1!$C$4:$Q$23,MATCH(K978,[3]Sheet1!$B$4:$B$23,1),MATCH(D978,[3]Sheet1!$C$3:$Q$3,1))))</f>
        <v>0</v>
      </c>
      <c r="M978" cm="1">
        <f t="array" ref="M978" xml:space="preserve"> IF(E978*J978=0,0,(INDEX([2]Sheet1!$C$4:$Q$23,MATCH(K978,[2]Sheet1!$B$4:$B$23,1),MATCH(D978,[2]Sheet1!$C$3:$Q$3,1))
+ (K978 - INDEX([2]Sheet1!$B$4:$B$23,MATCH(K978,[2]Sheet1!$B$4:$B$23,1),1))/(INDEX([2]Sheet1!$B$4:$B$23,MATCH(K978,[2]Sheet1!$B$4:$B$23,1)+1,1) - INDEX([2]Sheet1!$B$4:$B$23,MATCH(K978,[2]Sheet1!$B$4:$B$23,1),1))*(INDEX([2]Sheet1!$C$4:$Q$23,MATCH(K978,[2]Sheet1!$B$4:$B$23,1)+1,MATCH(D978,[2]Sheet1!$C$3:$Q$3,1)) - INDEX([2]Sheet1!$C$4:$Q$23,MATCH(K978,[2]Sheet1!$B$4:$B$23,1),MATCH(D978,[2]Sheet1!$C$3:$Q$3,1)))
+ (D978 - INDEX([2]Sheet1!$C$3:$Q$3,1,MATCH(D978,[2]Sheet1!$C$3:$Q$3)))/(INDEX([2]Sheet1!$C$3:$Q$3,1,MATCH(D978,[2]Sheet1!$C$3:$Q$3)+1) - INDEX([2]Sheet1!$C$3:$Q$3,1,MATCH(D978,[2]Sheet1!$C$3:$Q$3)))*(
INDEX([2]Sheet1!$C$4:$Q$23,MATCH(K978,[2]Sheet1!$B$4:$B$23,1),MATCH(D978,[2]Sheet1!$C$3:$Q$3,1)+1) - INDEX([2]Sheet1!$C$4:$Q$23,MATCH(K978,[2]Sheet1!$B$4:$B$23,1),MATCH(D978,[2]Sheet1!$C$3:$Q$3,1)))))</f>
        <v>0</v>
      </c>
      <c r="N978">
        <f t="shared" si="288"/>
        <v>12</v>
      </c>
      <c r="O978">
        <v>344.02450568394102</v>
      </c>
      <c r="P978" t="e">
        <f t="shared" si="289"/>
        <v>#DIV/0!</v>
      </c>
      <c r="Q978">
        <f t="shared" si="290"/>
        <v>0</v>
      </c>
      <c r="R978">
        <f t="shared" si="291"/>
        <v>741.9099431943954</v>
      </c>
      <c r="T978" t="e">
        <f t="shared" si="292"/>
        <v>#DIV/0!</v>
      </c>
      <c r="U978" t="e">
        <f t="shared" si="293"/>
        <v>#DIV/0!</v>
      </c>
      <c r="V978">
        <f t="shared" si="294"/>
        <v>0</v>
      </c>
      <c r="W978" t="e">
        <f t="shared" si="295"/>
        <v>#DIV/0!</v>
      </c>
    </row>
    <row r="979" spans="1:23" x14ac:dyDescent="0.55000000000000004">
      <c r="A979">
        <f t="shared" si="279"/>
        <v>94.499999999998906</v>
      </c>
      <c r="B979">
        <f t="shared" si="280"/>
        <v>0.316</v>
      </c>
      <c r="C979">
        <f t="shared" si="281"/>
        <v>-56.630434782607985</v>
      </c>
      <c r="D979">
        <v>345.43984551913201</v>
      </c>
      <c r="E979">
        <f t="shared" si="282"/>
        <v>0</v>
      </c>
      <c r="F979">
        <f t="shared" si="283"/>
        <v>4.8605058816845369E-2</v>
      </c>
      <c r="G979">
        <f t="shared" si="284"/>
        <v>39.513748498891111</v>
      </c>
      <c r="H979">
        <f t="shared" si="285"/>
        <v>0</v>
      </c>
      <c r="I979" s="1">
        <f t="shared" si="278"/>
        <v>0</v>
      </c>
      <c r="J979">
        <f t="shared" si="286"/>
        <v>0</v>
      </c>
      <c r="K979">
        <f t="shared" si="287"/>
        <v>0</v>
      </c>
      <c r="L979" cm="1">
        <f t="array" ref="L979">IF(E979*J979=0,0,$C$21*INDEX([3]Sheet1!$C$4:$Q$23,MATCH(K979,[3]Sheet1!$B$4:$B$23,1),MATCH(D979,[3]Sheet1!$C$3:$Q$3,1))
+(K979-INDEX([3]Sheet1!$B$4:$B$23,MATCH(K979,[3]Sheet1!$B$4:$B$23,1),1))/(INDEX([3]Sheet1!$B$4:$B$23,MATCH(K979,[3]Sheet1!$B$4:$B$23,1)+1,1)-INDEX([3]Sheet1!$B$4:$B$23,
MATCH(K979,[3]Sheet1!$B$4:$B$23,1),1))*(INDEX([3]Sheet1!$C$4:$Q$23,MATCH(K979,[3]Sheet1!$B$4:$B$23,1)+1,MATCH(D979,[3]Sheet1!$C$3:$Q$3,1))-INDEX([3]Sheet1!$C$4:$Q$23,
MATCH(K979,[3]Sheet1!$B$4:$B$23,1),MATCH(D979,[3]Sheet1!$C$3:$Q$3,1)))
+(D979-INDEX([3]Sheet1!$C$3:$Q$3,1,MATCH(D979,[3]Sheet1!$C$3:$Q$3)))/(INDEX([3]Sheet1!$C$3:$Q$3,1,MATCH(D979,[3]Sheet1!$C$3:$Q$3)+1)-INDEX([3]Sheet1!$C$3:$Q$3,1,MATCH(
D979,[3]Sheet1!$C$3:$Q$3)))*(INDEX([3]Sheet1!$C$4:$Q$23,MATCH(K979,[3]Sheet1!$B$4:$B$23,1),MATCH(D979,[3]Sheet1!$C$3:$Q$3,1)+1)-INDEX([3]Sheet1!$C$4:$Q$23,MATCH(K979,[3]Sheet1!$B$4:$B$23,1),MATCH(D979,[3]Sheet1!$C$3:$Q$3,1))))</f>
        <v>0</v>
      </c>
      <c r="M979" cm="1">
        <f t="array" ref="M979" xml:space="preserve"> IF(E979*J979=0,0,(INDEX([2]Sheet1!$C$4:$Q$23,MATCH(K979,[2]Sheet1!$B$4:$B$23,1),MATCH(D979,[2]Sheet1!$C$3:$Q$3,1))
+ (K979 - INDEX([2]Sheet1!$B$4:$B$23,MATCH(K979,[2]Sheet1!$B$4:$B$23,1),1))/(INDEX([2]Sheet1!$B$4:$B$23,MATCH(K979,[2]Sheet1!$B$4:$B$23,1)+1,1) - INDEX([2]Sheet1!$B$4:$B$23,MATCH(K979,[2]Sheet1!$B$4:$B$23,1),1))*(INDEX([2]Sheet1!$C$4:$Q$23,MATCH(K979,[2]Sheet1!$B$4:$B$23,1)+1,MATCH(D979,[2]Sheet1!$C$3:$Q$3,1)) - INDEX([2]Sheet1!$C$4:$Q$23,MATCH(K979,[2]Sheet1!$B$4:$B$23,1),MATCH(D979,[2]Sheet1!$C$3:$Q$3,1)))
+ (D979 - INDEX([2]Sheet1!$C$3:$Q$3,1,MATCH(D979,[2]Sheet1!$C$3:$Q$3)))/(INDEX([2]Sheet1!$C$3:$Q$3,1,MATCH(D979,[2]Sheet1!$C$3:$Q$3)+1) - INDEX([2]Sheet1!$C$3:$Q$3,1,MATCH(D979,[2]Sheet1!$C$3:$Q$3)))*(
INDEX([2]Sheet1!$C$4:$Q$23,MATCH(K979,[2]Sheet1!$B$4:$B$23,1),MATCH(D979,[2]Sheet1!$C$3:$Q$3,1)+1) - INDEX([2]Sheet1!$C$4:$Q$23,MATCH(K979,[2]Sheet1!$B$4:$B$23,1),MATCH(D979,[2]Sheet1!$C$3:$Q$3,1)))))</f>
        <v>0</v>
      </c>
      <c r="N979">
        <f t="shared" si="288"/>
        <v>12</v>
      </c>
      <c r="O979">
        <v>345.02450568394102</v>
      </c>
      <c r="P979" t="e">
        <f t="shared" si="289"/>
        <v>#DIV/0!</v>
      </c>
      <c r="Q979">
        <f t="shared" si="290"/>
        <v>0</v>
      </c>
      <c r="R979">
        <f t="shared" si="291"/>
        <v>741.9099431943954</v>
      </c>
      <c r="T979" t="e">
        <f t="shared" si="292"/>
        <v>#DIV/0!</v>
      </c>
      <c r="U979" t="e">
        <f t="shared" si="293"/>
        <v>#DIV/0!</v>
      </c>
      <c r="V979">
        <f t="shared" si="294"/>
        <v>0</v>
      </c>
      <c r="W979" t="e">
        <f t="shared" si="295"/>
        <v>#DIV/0!</v>
      </c>
    </row>
    <row r="980" spans="1:23" x14ac:dyDescent="0.55000000000000004">
      <c r="A980">
        <f t="shared" si="279"/>
        <v>94.5999999999989</v>
      </c>
      <c r="B980">
        <f t="shared" si="280"/>
        <v>0.316</v>
      </c>
      <c r="C980">
        <f t="shared" si="281"/>
        <v>-56.695652173912336</v>
      </c>
      <c r="D980">
        <v>346.43984551913201</v>
      </c>
      <c r="E980">
        <f t="shared" si="282"/>
        <v>0</v>
      </c>
      <c r="F980">
        <f t="shared" si="283"/>
        <v>4.8605058816845369E-2</v>
      </c>
      <c r="G980">
        <f t="shared" si="284"/>
        <v>39.513748498891111</v>
      </c>
      <c r="H980">
        <f t="shared" si="285"/>
        <v>0</v>
      </c>
      <c r="I980" s="1">
        <f t="shared" si="278"/>
        <v>0</v>
      </c>
      <c r="J980">
        <f t="shared" si="286"/>
        <v>0</v>
      </c>
      <c r="K980">
        <f t="shared" si="287"/>
        <v>0</v>
      </c>
      <c r="L980" cm="1">
        <f t="array" ref="L980">IF(E980*J980=0,0,$C$21*INDEX([3]Sheet1!$C$4:$Q$23,MATCH(K980,[3]Sheet1!$B$4:$B$23,1),MATCH(D980,[3]Sheet1!$C$3:$Q$3,1))
+(K980-INDEX([3]Sheet1!$B$4:$B$23,MATCH(K980,[3]Sheet1!$B$4:$B$23,1),1))/(INDEX([3]Sheet1!$B$4:$B$23,MATCH(K980,[3]Sheet1!$B$4:$B$23,1)+1,1)-INDEX([3]Sheet1!$B$4:$B$23,
MATCH(K980,[3]Sheet1!$B$4:$B$23,1),1))*(INDEX([3]Sheet1!$C$4:$Q$23,MATCH(K980,[3]Sheet1!$B$4:$B$23,1)+1,MATCH(D980,[3]Sheet1!$C$3:$Q$3,1))-INDEX([3]Sheet1!$C$4:$Q$23,
MATCH(K980,[3]Sheet1!$B$4:$B$23,1),MATCH(D980,[3]Sheet1!$C$3:$Q$3,1)))
+(D980-INDEX([3]Sheet1!$C$3:$Q$3,1,MATCH(D980,[3]Sheet1!$C$3:$Q$3)))/(INDEX([3]Sheet1!$C$3:$Q$3,1,MATCH(D980,[3]Sheet1!$C$3:$Q$3)+1)-INDEX([3]Sheet1!$C$3:$Q$3,1,MATCH(
D980,[3]Sheet1!$C$3:$Q$3)))*(INDEX([3]Sheet1!$C$4:$Q$23,MATCH(K980,[3]Sheet1!$B$4:$B$23,1),MATCH(D980,[3]Sheet1!$C$3:$Q$3,1)+1)-INDEX([3]Sheet1!$C$4:$Q$23,MATCH(K980,[3]Sheet1!$B$4:$B$23,1),MATCH(D980,[3]Sheet1!$C$3:$Q$3,1))))</f>
        <v>0</v>
      </c>
      <c r="M980" cm="1">
        <f t="array" ref="M980" xml:space="preserve"> IF(E980*J980=0,0,(INDEX([2]Sheet1!$C$4:$Q$23,MATCH(K980,[2]Sheet1!$B$4:$B$23,1),MATCH(D980,[2]Sheet1!$C$3:$Q$3,1))
+ (K980 - INDEX([2]Sheet1!$B$4:$B$23,MATCH(K980,[2]Sheet1!$B$4:$B$23,1),1))/(INDEX([2]Sheet1!$B$4:$B$23,MATCH(K980,[2]Sheet1!$B$4:$B$23,1)+1,1) - INDEX([2]Sheet1!$B$4:$B$23,MATCH(K980,[2]Sheet1!$B$4:$B$23,1),1))*(INDEX([2]Sheet1!$C$4:$Q$23,MATCH(K980,[2]Sheet1!$B$4:$B$23,1)+1,MATCH(D980,[2]Sheet1!$C$3:$Q$3,1)) - INDEX([2]Sheet1!$C$4:$Q$23,MATCH(K980,[2]Sheet1!$B$4:$B$23,1),MATCH(D980,[2]Sheet1!$C$3:$Q$3,1)))
+ (D980 - INDEX([2]Sheet1!$C$3:$Q$3,1,MATCH(D980,[2]Sheet1!$C$3:$Q$3)))/(INDEX([2]Sheet1!$C$3:$Q$3,1,MATCH(D980,[2]Sheet1!$C$3:$Q$3)+1) - INDEX([2]Sheet1!$C$3:$Q$3,1,MATCH(D980,[2]Sheet1!$C$3:$Q$3)))*(
INDEX([2]Sheet1!$C$4:$Q$23,MATCH(K980,[2]Sheet1!$B$4:$B$23,1),MATCH(D980,[2]Sheet1!$C$3:$Q$3,1)+1) - INDEX([2]Sheet1!$C$4:$Q$23,MATCH(K980,[2]Sheet1!$B$4:$B$23,1),MATCH(D980,[2]Sheet1!$C$3:$Q$3,1)))))</f>
        <v>0</v>
      </c>
      <c r="N980">
        <f t="shared" si="288"/>
        <v>12</v>
      </c>
      <c r="O980">
        <v>346.02450568394102</v>
      </c>
      <c r="P980" t="e">
        <f t="shared" si="289"/>
        <v>#DIV/0!</v>
      </c>
      <c r="Q980">
        <f t="shared" si="290"/>
        <v>0</v>
      </c>
      <c r="R980">
        <f t="shared" si="291"/>
        <v>741.9099431943954</v>
      </c>
      <c r="T980" t="e">
        <f t="shared" si="292"/>
        <v>#DIV/0!</v>
      </c>
      <c r="U980" t="e">
        <f t="shared" si="293"/>
        <v>#DIV/0!</v>
      </c>
      <c r="V980">
        <f t="shared" si="294"/>
        <v>0</v>
      </c>
      <c r="W980" t="e">
        <f t="shared" si="295"/>
        <v>#DIV/0!</v>
      </c>
    </row>
    <row r="981" spans="1:23" x14ac:dyDescent="0.55000000000000004">
      <c r="A981">
        <f t="shared" si="279"/>
        <v>94.699999999998894</v>
      </c>
      <c r="B981">
        <f t="shared" si="280"/>
        <v>0.316</v>
      </c>
      <c r="C981">
        <f t="shared" si="281"/>
        <v>-56.760869565216673</v>
      </c>
      <c r="D981">
        <v>347.43984551913201</v>
      </c>
      <c r="E981">
        <f t="shared" si="282"/>
        <v>0</v>
      </c>
      <c r="F981">
        <f t="shared" si="283"/>
        <v>4.8605058816845369E-2</v>
      </c>
      <c r="G981">
        <f t="shared" si="284"/>
        <v>39.513748498891111</v>
      </c>
      <c r="H981">
        <f t="shared" si="285"/>
        <v>0</v>
      </c>
      <c r="I981" s="1">
        <f t="shared" si="278"/>
        <v>0</v>
      </c>
      <c r="J981">
        <f t="shared" si="286"/>
        <v>0</v>
      </c>
      <c r="K981">
        <f t="shared" si="287"/>
        <v>0</v>
      </c>
      <c r="L981" cm="1">
        <f t="array" ref="L981">IF(E981*J981=0,0,$C$21*INDEX([3]Sheet1!$C$4:$Q$23,MATCH(K981,[3]Sheet1!$B$4:$B$23,1),MATCH(D981,[3]Sheet1!$C$3:$Q$3,1))
+(K981-INDEX([3]Sheet1!$B$4:$B$23,MATCH(K981,[3]Sheet1!$B$4:$B$23,1),1))/(INDEX([3]Sheet1!$B$4:$B$23,MATCH(K981,[3]Sheet1!$B$4:$B$23,1)+1,1)-INDEX([3]Sheet1!$B$4:$B$23,
MATCH(K981,[3]Sheet1!$B$4:$B$23,1),1))*(INDEX([3]Sheet1!$C$4:$Q$23,MATCH(K981,[3]Sheet1!$B$4:$B$23,1)+1,MATCH(D981,[3]Sheet1!$C$3:$Q$3,1))-INDEX([3]Sheet1!$C$4:$Q$23,
MATCH(K981,[3]Sheet1!$B$4:$B$23,1),MATCH(D981,[3]Sheet1!$C$3:$Q$3,1)))
+(D981-INDEX([3]Sheet1!$C$3:$Q$3,1,MATCH(D981,[3]Sheet1!$C$3:$Q$3)))/(INDEX([3]Sheet1!$C$3:$Q$3,1,MATCH(D981,[3]Sheet1!$C$3:$Q$3)+1)-INDEX([3]Sheet1!$C$3:$Q$3,1,MATCH(
D981,[3]Sheet1!$C$3:$Q$3)))*(INDEX([3]Sheet1!$C$4:$Q$23,MATCH(K981,[3]Sheet1!$B$4:$B$23,1),MATCH(D981,[3]Sheet1!$C$3:$Q$3,1)+1)-INDEX([3]Sheet1!$C$4:$Q$23,MATCH(K981,[3]Sheet1!$B$4:$B$23,1),MATCH(D981,[3]Sheet1!$C$3:$Q$3,1))))</f>
        <v>0</v>
      </c>
      <c r="M981" cm="1">
        <f t="array" ref="M981" xml:space="preserve"> IF(E981*J981=0,0,(INDEX([2]Sheet1!$C$4:$Q$23,MATCH(K981,[2]Sheet1!$B$4:$B$23,1),MATCH(D981,[2]Sheet1!$C$3:$Q$3,1))
+ (K981 - INDEX([2]Sheet1!$B$4:$B$23,MATCH(K981,[2]Sheet1!$B$4:$B$23,1),1))/(INDEX([2]Sheet1!$B$4:$B$23,MATCH(K981,[2]Sheet1!$B$4:$B$23,1)+1,1) - INDEX([2]Sheet1!$B$4:$B$23,MATCH(K981,[2]Sheet1!$B$4:$B$23,1),1))*(INDEX([2]Sheet1!$C$4:$Q$23,MATCH(K981,[2]Sheet1!$B$4:$B$23,1)+1,MATCH(D981,[2]Sheet1!$C$3:$Q$3,1)) - INDEX([2]Sheet1!$C$4:$Q$23,MATCH(K981,[2]Sheet1!$B$4:$B$23,1),MATCH(D981,[2]Sheet1!$C$3:$Q$3,1)))
+ (D981 - INDEX([2]Sheet1!$C$3:$Q$3,1,MATCH(D981,[2]Sheet1!$C$3:$Q$3)))/(INDEX([2]Sheet1!$C$3:$Q$3,1,MATCH(D981,[2]Sheet1!$C$3:$Q$3)+1) - INDEX([2]Sheet1!$C$3:$Q$3,1,MATCH(D981,[2]Sheet1!$C$3:$Q$3)))*(
INDEX([2]Sheet1!$C$4:$Q$23,MATCH(K981,[2]Sheet1!$B$4:$B$23,1),MATCH(D981,[2]Sheet1!$C$3:$Q$3,1)+1) - INDEX([2]Sheet1!$C$4:$Q$23,MATCH(K981,[2]Sheet1!$B$4:$B$23,1),MATCH(D981,[2]Sheet1!$C$3:$Q$3,1)))))</f>
        <v>0</v>
      </c>
      <c r="N981">
        <f t="shared" si="288"/>
        <v>12</v>
      </c>
      <c r="O981">
        <v>347.02450568394102</v>
      </c>
      <c r="P981" t="e">
        <f t="shared" si="289"/>
        <v>#DIV/0!</v>
      </c>
      <c r="Q981">
        <f t="shared" si="290"/>
        <v>0</v>
      </c>
      <c r="R981">
        <f t="shared" si="291"/>
        <v>741.9099431943954</v>
      </c>
      <c r="T981" t="e">
        <f t="shared" si="292"/>
        <v>#DIV/0!</v>
      </c>
      <c r="U981" t="e">
        <f t="shared" si="293"/>
        <v>#DIV/0!</v>
      </c>
      <c r="V981">
        <f t="shared" si="294"/>
        <v>0</v>
      </c>
      <c r="W981" t="e">
        <f t="shared" si="295"/>
        <v>#DIV/0!</v>
      </c>
    </row>
    <row r="982" spans="1:23" x14ac:dyDescent="0.55000000000000004">
      <c r="A982">
        <f t="shared" si="279"/>
        <v>94.799999999998889</v>
      </c>
      <c r="B982">
        <f t="shared" si="280"/>
        <v>0.316</v>
      </c>
      <c r="C982">
        <f t="shared" si="281"/>
        <v>-56.826086956521024</v>
      </c>
      <c r="D982">
        <v>348.43984551913201</v>
      </c>
      <c r="E982">
        <f t="shared" si="282"/>
        <v>0</v>
      </c>
      <c r="F982">
        <f t="shared" si="283"/>
        <v>4.8605058816845369E-2</v>
      </c>
      <c r="G982">
        <f t="shared" si="284"/>
        <v>39.513748498891111</v>
      </c>
      <c r="H982">
        <f t="shared" si="285"/>
        <v>0</v>
      </c>
      <c r="I982" s="1">
        <f t="shared" si="278"/>
        <v>0</v>
      </c>
      <c r="J982">
        <f t="shared" si="286"/>
        <v>0</v>
      </c>
      <c r="K982">
        <f t="shared" si="287"/>
        <v>0</v>
      </c>
      <c r="L982" cm="1">
        <f t="array" ref="L982">IF(E982*J982=0,0,$C$21*INDEX([3]Sheet1!$C$4:$Q$23,MATCH(K982,[3]Sheet1!$B$4:$B$23,1),MATCH(D982,[3]Sheet1!$C$3:$Q$3,1))
+(K982-INDEX([3]Sheet1!$B$4:$B$23,MATCH(K982,[3]Sheet1!$B$4:$B$23,1),1))/(INDEX([3]Sheet1!$B$4:$B$23,MATCH(K982,[3]Sheet1!$B$4:$B$23,1)+1,1)-INDEX([3]Sheet1!$B$4:$B$23,
MATCH(K982,[3]Sheet1!$B$4:$B$23,1),1))*(INDEX([3]Sheet1!$C$4:$Q$23,MATCH(K982,[3]Sheet1!$B$4:$B$23,1)+1,MATCH(D982,[3]Sheet1!$C$3:$Q$3,1))-INDEX([3]Sheet1!$C$4:$Q$23,
MATCH(K982,[3]Sheet1!$B$4:$B$23,1),MATCH(D982,[3]Sheet1!$C$3:$Q$3,1)))
+(D982-INDEX([3]Sheet1!$C$3:$Q$3,1,MATCH(D982,[3]Sheet1!$C$3:$Q$3)))/(INDEX([3]Sheet1!$C$3:$Q$3,1,MATCH(D982,[3]Sheet1!$C$3:$Q$3)+1)-INDEX([3]Sheet1!$C$3:$Q$3,1,MATCH(
D982,[3]Sheet1!$C$3:$Q$3)))*(INDEX([3]Sheet1!$C$4:$Q$23,MATCH(K982,[3]Sheet1!$B$4:$B$23,1),MATCH(D982,[3]Sheet1!$C$3:$Q$3,1)+1)-INDEX([3]Sheet1!$C$4:$Q$23,MATCH(K982,[3]Sheet1!$B$4:$B$23,1),MATCH(D982,[3]Sheet1!$C$3:$Q$3,1))))</f>
        <v>0</v>
      </c>
      <c r="M982" cm="1">
        <f t="array" ref="M982" xml:space="preserve"> IF(E982*J982=0,0,(INDEX([2]Sheet1!$C$4:$Q$23,MATCH(K982,[2]Sheet1!$B$4:$B$23,1),MATCH(D982,[2]Sheet1!$C$3:$Q$3,1))
+ (K982 - INDEX([2]Sheet1!$B$4:$B$23,MATCH(K982,[2]Sheet1!$B$4:$B$23,1),1))/(INDEX([2]Sheet1!$B$4:$B$23,MATCH(K982,[2]Sheet1!$B$4:$B$23,1)+1,1) - INDEX([2]Sheet1!$B$4:$B$23,MATCH(K982,[2]Sheet1!$B$4:$B$23,1),1))*(INDEX([2]Sheet1!$C$4:$Q$23,MATCH(K982,[2]Sheet1!$B$4:$B$23,1)+1,MATCH(D982,[2]Sheet1!$C$3:$Q$3,1)) - INDEX([2]Sheet1!$C$4:$Q$23,MATCH(K982,[2]Sheet1!$B$4:$B$23,1),MATCH(D982,[2]Sheet1!$C$3:$Q$3,1)))
+ (D982 - INDEX([2]Sheet1!$C$3:$Q$3,1,MATCH(D982,[2]Sheet1!$C$3:$Q$3)))/(INDEX([2]Sheet1!$C$3:$Q$3,1,MATCH(D982,[2]Sheet1!$C$3:$Q$3)+1) - INDEX([2]Sheet1!$C$3:$Q$3,1,MATCH(D982,[2]Sheet1!$C$3:$Q$3)))*(
INDEX([2]Sheet1!$C$4:$Q$23,MATCH(K982,[2]Sheet1!$B$4:$B$23,1),MATCH(D982,[2]Sheet1!$C$3:$Q$3,1)+1) - INDEX([2]Sheet1!$C$4:$Q$23,MATCH(K982,[2]Sheet1!$B$4:$B$23,1),MATCH(D982,[2]Sheet1!$C$3:$Q$3,1)))))</f>
        <v>0</v>
      </c>
      <c r="N982">
        <f t="shared" si="288"/>
        <v>12</v>
      </c>
      <c r="O982">
        <v>348.02450568394102</v>
      </c>
      <c r="P982" t="e">
        <f t="shared" si="289"/>
        <v>#DIV/0!</v>
      </c>
      <c r="Q982">
        <f t="shared" si="290"/>
        <v>0</v>
      </c>
      <c r="R982">
        <f t="shared" si="291"/>
        <v>741.9099431943954</v>
      </c>
      <c r="T982" t="e">
        <f t="shared" si="292"/>
        <v>#DIV/0!</v>
      </c>
      <c r="U982" t="e">
        <f t="shared" si="293"/>
        <v>#DIV/0!</v>
      </c>
      <c r="V982">
        <f t="shared" si="294"/>
        <v>0</v>
      </c>
      <c r="W982" t="e">
        <f t="shared" si="295"/>
        <v>#DIV/0!</v>
      </c>
    </row>
    <row r="983" spans="1:23" x14ac:dyDescent="0.55000000000000004">
      <c r="A983">
        <f t="shared" si="279"/>
        <v>94.899999999998883</v>
      </c>
      <c r="B983">
        <f t="shared" si="280"/>
        <v>0.316</v>
      </c>
      <c r="C983">
        <f t="shared" si="281"/>
        <v>-56.891304347825361</v>
      </c>
      <c r="D983">
        <v>349.43984551913201</v>
      </c>
      <c r="E983">
        <f t="shared" si="282"/>
        <v>0</v>
      </c>
      <c r="F983">
        <f t="shared" si="283"/>
        <v>4.8605058816845369E-2</v>
      </c>
      <c r="G983">
        <f t="shared" si="284"/>
        <v>39.513748498891111</v>
      </c>
      <c r="H983">
        <f t="shared" si="285"/>
        <v>0</v>
      </c>
      <c r="I983" s="1">
        <f t="shared" si="278"/>
        <v>0</v>
      </c>
      <c r="J983">
        <f t="shared" si="286"/>
        <v>0</v>
      </c>
      <c r="K983">
        <f t="shared" si="287"/>
        <v>0</v>
      </c>
      <c r="L983" cm="1">
        <f t="array" ref="L983">IF(E983*J983=0,0,$C$21*INDEX([3]Sheet1!$C$4:$Q$23,MATCH(K983,[3]Sheet1!$B$4:$B$23,1),MATCH(D983,[3]Sheet1!$C$3:$Q$3,1))
+(K983-INDEX([3]Sheet1!$B$4:$B$23,MATCH(K983,[3]Sheet1!$B$4:$B$23,1),1))/(INDEX([3]Sheet1!$B$4:$B$23,MATCH(K983,[3]Sheet1!$B$4:$B$23,1)+1,1)-INDEX([3]Sheet1!$B$4:$B$23,
MATCH(K983,[3]Sheet1!$B$4:$B$23,1),1))*(INDEX([3]Sheet1!$C$4:$Q$23,MATCH(K983,[3]Sheet1!$B$4:$B$23,1)+1,MATCH(D983,[3]Sheet1!$C$3:$Q$3,1))-INDEX([3]Sheet1!$C$4:$Q$23,
MATCH(K983,[3]Sheet1!$B$4:$B$23,1),MATCH(D983,[3]Sheet1!$C$3:$Q$3,1)))
+(D983-INDEX([3]Sheet1!$C$3:$Q$3,1,MATCH(D983,[3]Sheet1!$C$3:$Q$3)))/(INDEX([3]Sheet1!$C$3:$Q$3,1,MATCH(D983,[3]Sheet1!$C$3:$Q$3)+1)-INDEX([3]Sheet1!$C$3:$Q$3,1,MATCH(
D983,[3]Sheet1!$C$3:$Q$3)))*(INDEX([3]Sheet1!$C$4:$Q$23,MATCH(K983,[3]Sheet1!$B$4:$B$23,1),MATCH(D983,[3]Sheet1!$C$3:$Q$3,1)+1)-INDEX([3]Sheet1!$C$4:$Q$23,MATCH(K983,[3]Sheet1!$B$4:$B$23,1),MATCH(D983,[3]Sheet1!$C$3:$Q$3,1))))</f>
        <v>0</v>
      </c>
      <c r="M983" cm="1">
        <f t="array" ref="M983" xml:space="preserve"> IF(E983*J983=0,0,(INDEX([2]Sheet1!$C$4:$Q$23,MATCH(K983,[2]Sheet1!$B$4:$B$23,1),MATCH(D983,[2]Sheet1!$C$3:$Q$3,1))
+ (K983 - INDEX([2]Sheet1!$B$4:$B$23,MATCH(K983,[2]Sheet1!$B$4:$B$23,1),1))/(INDEX([2]Sheet1!$B$4:$B$23,MATCH(K983,[2]Sheet1!$B$4:$B$23,1)+1,1) - INDEX([2]Sheet1!$B$4:$B$23,MATCH(K983,[2]Sheet1!$B$4:$B$23,1),1))*(INDEX([2]Sheet1!$C$4:$Q$23,MATCH(K983,[2]Sheet1!$B$4:$B$23,1)+1,MATCH(D983,[2]Sheet1!$C$3:$Q$3,1)) - INDEX([2]Sheet1!$C$4:$Q$23,MATCH(K983,[2]Sheet1!$B$4:$B$23,1),MATCH(D983,[2]Sheet1!$C$3:$Q$3,1)))
+ (D983 - INDEX([2]Sheet1!$C$3:$Q$3,1,MATCH(D983,[2]Sheet1!$C$3:$Q$3)))/(INDEX([2]Sheet1!$C$3:$Q$3,1,MATCH(D983,[2]Sheet1!$C$3:$Q$3)+1) - INDEX([2]Sheet1!$C$3:$Q$3,1,MATCH(D983,[2]Sheet1!$C$3:$Q$3)))*(
INDEX([2]Sheet1!$C$4:$Q$23,MATCH(K983,[2]Sheet1!$B$4:$B$23,1),MATCH(D983,[2]Sheet1!$C$3:$Q$3,1)+1) - INDEX([2]Sheet1!$C$4:$Q$23,MATCH(K983,[2]Sheet1!$B$4:$B$23,1),MATCH(D983,[2]Sheet1!$C$3:$Q$3,1)))))</f>
        <v>0</v>
      </c>
      <c r="N983">
        <f t="shared" si="288"/>
        <v>12</v>
      </c>
      <c r="O983">
        <v>349.02450568394102</v>
      </c>
      <c r="P983" t="e">
        <f t="shared" si="289"/>
        <v>#DIV/0!</v>
      </c>
      <c r="Q983">
        <f t="shared" si="290"/>
        <v>0</v>
      </c>
      <c r="R983">
        <f t="shared" si="291"/>
        <v>741.9099431943954</v>
      </c>
      <c r="T983" t="e">
        <f t="shared" si="292"/>
        <v>#DIV/0!</v>
      </c>
      <c r="U983" t="e">
        <f t="shared" si="293"/>
        <v>#DIV/0!</v>
      </c>
      <c r="V983">
        <f t="shared" si="294"/>
        <v>0</v>
      </c>
      <c r="W983" t="e">
        <f t="shared" si="295"/>
        <v>#DIV/0!</v>
      </c>
    </row>
    <row r="984" spans="1:23" x14ac:dyDescent="0.55000000000000004">
      <c r="A984">
        <f t="shared" si="279"/>
        <v>94.999999999998877</v>
      </c>
      <c r="B984">
        <f t="shared" si="280"/>
        <v>0.316</v>
      </c>
      <c r="C984">
        <f t="shared" si="281"/>
        <v>-56.956521739129713</v>
      </c>
      <c r="D984">
        <v>350.43984551913201</v>
      </c>
      <c r="E984">
        <f t="shared" si="282"/>
        <v>0</v>
      </c>
      <c r="F984">
        <f t="shared" si="283"/>
        <v>4.8605058816845369E-2</v>
      </c>
      <c r="G984">
        <f t="shared" si="284"/>
        <v>39.513748498891111</v>
      </c>
      <c r="H984">
        <f t="shared" si="285"/>
        <v>0</v>
      </c>
      <c r="I984" s="1">
        <f t="shared" si="278"/>
        <v>0</v>
      </c>
      <c r="J984">
        <f t="shared" si="286"/>
        <v>0</v>
      </c>
      <c r="K984">
        <f t="shared" si="287"/>
        <v>0</v>
      </c>
      <c r="L984" cm="1">
        <f t="array" ref="L984">IF(E984*J984=0,0,$C$21*INDEX([3]Sheet1!$C$4:$Q$23,MATCH(K984,[3]Sheet1!$B$4:$B$23,1),MATCH(D984,[3]Sheet1!$C$3:$Q$3,1))
+(K984-INDEX([3]Sheet1!$B$4:$B$23,MATCH(K984,[3]Sheet1!$B$4:$B$23,1),1))/(INDEX([3]Sheet1!$B$4:$B$23,MATCH(K984,[3]Sheet1!$B$4:$B$23,1)+1,1)-INDEX([3]Sheet1!$B$4:$B$23,
MATCH(K984,[3]Sheet1!$B$4:$B$23,1),1))*(INDEX([3]Sheet1!$C$4:$Q$23,MATCH(K984,[3]Sheet1!$B$4:$B$23,1)+1,MATCH(D984,[3]Sheet1!$C$3:$Q$3,1))-INDEX([3]Sheet1!$C$4:$Q$23,
MATCH(K984,[3]Sheet1!$B$4:$B$23,1),MATCH(D984,[3]Sheet1!$C$3:$Q$3,1)))
+(D984-INDEX([3]Sheet1!$C$3:$Q$3,1,MATCH(D984,[3]Sheet1!$C$3:$Q$3)))/(INDEX([3]Sheet1!$C$3:$Q$3,1,MATCH(D984,[3]Sheet1!$C$3:$Q$3)+1)-INDEX([3]Sheet1!$C$3:$Q$3,1,MATCH(
D984,[3]Sheet1!$C$3:$Q$3)))*(INDEX([3]Sheet1!$C$4:$Q$23,MATCH(K984,[3]Sheet1!$B$4:$B$23,1),MATCH(D984,[3]Sheet1!$C$3:$Q$3,1)+1)-INDEX([3]Sheet1!$C$4:$Q$23,MATCH(K984,[3]Sheet1!$B$4:$B$23,1),MATCH(D984,[3]Sheet1!$C$3:$Q$3,1))))</f>
        <v>0</v>
      </c>
      <c r="M984" cm="1">
        <f t="array" ref="M984" xml:space="preserve"> IF(E984*J984=0,0,(INDEX([2]Sheet1!$C$4:$Q$23,MATCH(K984,[2]Sheet1!$B$4:$B$23,1),MATCH(D984,[2]Sheet1!$C$3:$Q$3,1))
+ (K984 - INDEX([2]Sheet1!$B$4:$B$23,MATCH(K984,[2]Sheet1!$B$4:$B$23,1),1))/(INDEX([2]Sheet1!$B$4:$B$23,MATCH(K984,[2]Sheet1!$B$4:$B$23,1)+1,1) - INDEX([2]Sheet1!$B$4:$B$23,MATCH(K984,[2]Sheet1!$B$4:$B$23,1),1))*(INDEX([2]Sheet1!$C$4:$Q$23,MATCH(K984,[2]Sheet1!$B$4:$B$23,1)+1,MATCH(D984,[2]Sheet1!$C$3:$Q$3,1)) - INDEX([2]Sheet1!$C$4:$Q$23,MATCH(K984,[2]Sheet1!$B$4:$B$23,1),MATCH(D984,[2]Sheet1!$C$3:$Q$3,1)))
+ (D984 - INDEX([2]Sheet1!$C$3:$Q$3,1,MATCH(D984,[2]Sheet1!$C$3:$Q$3)))/(INDEX([2]Sheet1!$C$3:$Q$3,1,MATCH(D984,[2]Sheet1!$C$3:$Q$3)+1) - INDEX([2]Sheet1!$C$3:$Q$3,1,MATCH(D984,[2]Sheet1!$C$3:$Q$3)))*(
INDEX([2]Sheet1!$C$4:$Q$23,MATCH(K984,[2]Sheet1!$B$4:$B$23,1),MATCH(D984,[2]Sheet1!$C$3:$Q$3,1)+1) - INDEX([2]Sheet1!$C$4:$Q$23,MATCH(K984,[2]Sheet1!$B$4:$B$23,1),MATCH(D984,[2]Sheet1!$C$3:$Q$3,1)))))</f>
        <v>0</v>
      </c>
      <c r="N984">
        <f t="shared" si="288"/>
        <v>12</v>
      </c>
      <c r="O984">
        <v>350.02450568394102</v>
      </c>
      <c r="P984" t="e">
        <f t="shared" si="289"/>
        <v>#DIV/0!</v>
      </c>
      <c r="Q984">
        <f t="shared" si="290"/>
        <v>0</v>
      </c>
      <c r="R984">
        <f t="shared" si="291"/>
        <v>741.9099431943954</v>
      </c>
      <c r="T984" t="e">
        <f t="shared" si="292"/>
        <v>#DIV/0!</v>
      </c>
      <c r="U984" t="e">
        <f t="shared" si="293"/>
        <v>#DIV/0!</v>
      </c>
      <c r="V984">
        <f t="shared" si="294"/>
        <v>0</v>
      </c>
      <c r="W984" t="e">
        <f t="shared" si="295"/>
        <v>#DIV/0!</v>
      </c>
    </row>
    <row r="985" spans="1:23" x14ac:dyDescent="0.55000000000000004">
      <c r="A985">
        <f t="shared" si="279"/>
        <v>95.099999999998872</v>
      </c>
      <c r="B985">
        <f t="shared" si="280"/>
        <v>0.316</v>
      </c>
      <c r="C985">
        <f t="shared" si="281"/>
        <v>-57.02173913043405</v>
      </c>
      <c r="D985">
        <v>351.43984551913201</v>
      </c>
      <c r="E985">
        <f t="shared" si="282"/>
        <v>0</v>
      </c>
      <c r="F985">
        <f t="shared" si="283"/>
        <v>4.8605058816845369E-2</v>
      </c>
      <c r="G985">
        <f t="shared" si="284"/>
        <v>39.513748498891111</v>
      </c>
      <c r="H985">
        <f t="shared" si="285"/>
        <v>0</v>
      </c>
      <c r="I985" s="1">
        <f t="shared" si="278"/>
        <v>0</v>
      </c>
      <c r="J985">
        <f t="shared" si="286"/>
        <v>0</v>
      </c>
      <c r="K985">
        <f t="shared" si="287"/>
        <v>0</v>
      </c>
      <c r="L985" cm="1">
        <f t="array" ref="L985">IF(E985*J985=0,0,$C$21*INDEX([3]Sheet1!$C$4:$Q$23,MATCH(K985,[3]Sheet1!$B$4:$B$23,1),MATCH(D985,[3]Sheet1!$C$3:$Q$3,1))
+(K985-INDEX([3]Sheet1!$B$4:$B$23,MATCH(K985,[3]Sheet1!$B$4:$B$23,1),1))/(INDEX([3]Sheet1!$B$4:$B$23,MATCH(K985,[3]Sheet1!$B$4:$B$23,1)+1,1)-INDEX([3]Sheet1!$B$4:$B$23,
MATCH(K985,[3]Sheet1!$B$4:$B$23,1),1))*(INDEX([3]Sheet1!$C$4:$Q$23,MATCH(K985,[3]Sheet1!$B$4:$B$23,1)+1,MATCH(D985,[3]Sheet1!$C$3:$Q$3,1))-INDEX([3]Sheet1!$C$4:$Q$23,
MATCH(K985,[3]Sheet1!$B$4:$B$23,1),MATCH(D985,[3]Sheet1!$C$3:$Q$3,1)))
+(D985-INDEX([3]Sheet1!$C$3:$Q$3,1,MATCH(D985,[3]Sheet1!$C$3:$Q$3)))/(INDEX([3]Sheet1!$C$3:$Q$3,1,MATCH(D985,[3]Sheet1!$C$3:$Q$3)+1)-INDEX([3]Sheet1!$C$3:$Q$3,1,MATCH(
D985,[3]Sheet1!$C$3:$Q$3)))*(INDEX([3]Sheet1!$C$4:$Q$23,MATCH(K985,[3]Sheet1!$B$4:$B$23,1),MATCH(D985,[3]Sheet1!$C$3:$Q$3,1)+1)-INDEX([3]Sheet1!$C$4:$Q$23,MATCH(K985,[3]Sheet1!$B$4:$B$23,1),MATCH(D985,[3]Sheet1!$C$3:$Q$3,1))))</f>
        <v>0</v>
      </c>
      <c r="M985" cm="1">
        <f t="array" ref="M985" xml:space="preserve"> IF(E985*J985=0,0,(INDEX([2]Sheet1!$C$4:$Q$23,MATCH(K985,[2]Sheet1!$B$4:$B$23,1),MATCH(D985,[2]Sheet1!$C$3:$Q$3,1))
+ (K985 - INDEX([2]Sheet1!$B$4:$B$23,MATCH(K985,[2]Sheet1!$B$4:$B$23,1),1))/(INDEX([2]Sheet1!$B$4:$B$23,MATCH(K985,[2]Sheet1!$B$4:$B$23,1)+1,1) - INDEX([2]Sheet1!$B$4:$B$23,MATCH(K985,[2]Sheet1!$B$4:$B$23,1),1))*(INDEX([2]Sheet1!$C$4:$Q$23,MATCH(K985,[2]Sheet1!$B$4:$B$23,1)+1,MATCH(D985,[2]Sheet1!$C$3:$Q$3,1)) - INDEX([2]Sheet1!$C$4:$Q$23,MATCH(K985,[2]Sheet1!$B$4:$B$23,1),MATCH(D985,[2]Sheet1!$C$3:$Q$3,1)))
+ (D985 - INDEX([2]Sheet1!$C$3:$Q$3,1,MATCH(D985,[2]Sheet1!$C$3:$Q$3)))/(INDEX([2]Sheet1!$C$3:$Q$3,1,MATCH(D985,[2]Sheet1!$C$3:$Q$3)+1) - INDEX([2]Sheet1!$C$3:$Q$3,1,MATCH(D985,[2]Sheet1!$C$3:$Q$3)))*(
INDEX([2]Sheet1!$C$4:$Q$23,MATCH(K985,[2]Sheet1!$B$4:$B$23,1),MATCH(D985,[2]Sheet1!$C$3:$Q$3,1)+1) - INDEX([2]Sheet1!$C$4:$Q$23,MATCH(K985,[2]Sheet1!$B$4:$B$23,1),MATCH(D985,[2]Sheet1!$C$3:$Q$3,1)))))</f>
        <v>0</v>
      </c>
      <c r="N985">
        <f t="shared" si="288"/>
        <v>12</v>
      </c>
      <c r="O985">
        <v>351.02450568394102</v>
      </c>
      <c r="P985" t="e">
        <f t="shared" si="289"/>
        <v>#DIV/0!</v>
      </c>
      <c r="Q985">
        <f t="shared" si="290"/>
        <v>0</v>
      </c>
      <c r="R985">
        <f t="shared" si="291"/>
        <v>741.9099431943954</v>
      </c>
      <c r="T985" t="e">
        <f t="shared" si="292"/>
        <v>#DIV/0!</v>
      </c>
      <c r="U985" t="e">
        <f t="shared" si="293"/>
        <v>#DIV/0!</v>
      </c>
      <c r="V985">
        <f t="shared" si="294"/>
        <v>0</v>
      </c>
      <c r="W985" t="e">
        <f t="shared" si="295"/>
        <v>#DIV/0!</v>
      </c>
    </row>
    <row r="986" spans="1:23" x14ac:dyDescent="0.55000000000000004">
      <c r="A986">
        <f t="shared" si="279"/>
        <v>95.199999999998866</v>
      </c>
      <c r="B986">
        <f t="shared" si="280"/>
        <v>0.316</v>
      </c>
      <c r="C986">
        <f t="shared" si="281"/>
        <v>-57.086956521738401</v>
      </c>
      <c r="D986">
        <v>352.43984551913201</v>
      </c>
      <c r="E986">
        <f t="shared" si="282"/>
        <v>0</v>
      </c>
      <c r="F986">
        <f t="shared" si="283"/>
        <v>4.8605058816845369E-2</v>
      </c>
      <c r="G986">
        <f t="shared" si="284"/>
        <v>39.513748498891111</v>
      </c>
      <c r="H986">
        <f t="shared" si="285"/>
        <v>0</v>
      </c>
      <c r="I986" s="1">
        <f t="shared" si="278"/>
        <v>0</v>
      </c>
      <c r="J986">
        <f t="shared" si="286"/>
        <v>0</v>
      </c>
      <c r="K986">
        <f t="shared" si="287"/>
        <v>0</v>
      </c>
      <c r="L986" cm="1">
        <f t="array" ref="L986">IF(E986*J986=0,0,$C$21*INDEX([3]Sheet1!$C$4:$Q$23,MATCH(K986,[3]Sheet1!$B$4:$B$23,1),MATCH(D986,[3]Sheet1!$C$3:$Q$3,1))
+(K986-INDEX([3]Sheet1!$B$4:$B$23,MATCH(K986,[3]Sheet1!$B$4:$B$23,1),1))/(INDEX([3]Sheet1!$B$4:$B$23,MATCH(K986,[3]Sheet1!$B$4:$B$23,1)+1,1)-INDEX([3]Sheet1!$B$4:$B$23,
MATCH(K986,[3]Sheet1!$B$4:$B$23,1),1))*(INDEX([3]Sheet1!$C$4:$Q$23,MATCH(K986,[3]Sheet1!$B$4:$B$23,1)+1,MATCH(D986,[3]Sheet1!$C$3:$Q$3,1))-INDEX([3]Sheet1!$C$4:$Q$23,
MATCH(K986,[3]Sheet1!$B$4:$B$23,1),MATCH(D986,[3]Sheet1!$C$3:$Q$3,1)))
+(D986-INDEX([3]Sheet1!$C$3:$Q$3,1,MATCH(D986,[3]Sheet1!$C$3:$Q$3)))/(INDEX([3]Sheet1!$C$3:$Q$3,1,MATCH(D986,[3]Sheet1!$C$3:$Q$3)+1)-INDEX([3]Sheet1!$C$3:$Q$3,1,MATCH(
D986,[3]Sheet1!$C$3:$Q$3)))*(INDEX([3]Sheet1!$C$4:$Q$23,MATCH(K986,[3]Sheet1!$B$4:$B$23,1),MATCH(D986,[3]Sheet1!$C$3:$Q$3,1)+1)-INDEX([3]Sheet1!$C$4:$Q$23,MATCH(K986,[3]Sheet1!$B$4:$B$23,1),MATCH(D986,[3]Sheet1!$C$3:$Q$3,1))))</f>
        <v>0</v>
      </c>
      <c r="M986" cm="1">
        <f t="array" ref="M986" xml:space="preserve"> IF(E986*J986=0,0,(INDEX([2]Sheet1!$C$4:$Q$23,MATCH(K986,[2]Sheet1!$B$4:$B$23,1),MATCH(D986,[2]Sheet1!$C$3:$Q$3,1))
+ (K986 - INDEX([2]Sheet1!$B$4:$B$23,MATCH(K986,[2]Sheet1!$B$4:$B$23,1),1))/(INDEX([2]Sheet1!$B$4:$B$23,MATCH(K986,[2]Sheet1!$B$4:$B$23,1)+1,1) - INDEX([2]Sheet1!$B$4:$B$23,MATCH(K986,[2]Sheet1!$B$4:$B$23,1),1))*(INDEX([2]Sheet1!$C$4:$Q$23,MATCH(K986,[2]Sheet1!$B$4:$B$23,1)+1,MATCH(D986,[2]Sheet1!$C$3:$Q$3,1)) - INDEX([2]Sheet1!$C$4:$Q$23,MATCH(K986,[2]Sheet1!$B$4:$B$23,1),MATCH(D986,[2]Sheet1!$C$3:$Q$3,1)))
+ (D986 - INDEX([2]Sheet1!$C$3:$Q$3,1,MATCH(D986,[2]Sheet1!$C$3:$Q$3)))/(INDEX([2]Sheet1!$C$3:$Q$3,1,MATCH(D986,[2]Sheet1!$C$3:$Q$3)+1) - INDEX([2]Sheet1!$C$3:$Q$3,1,MATCH(D986,[2]Sheet1!$C$3:$Q$3)))*(
INDEX([2]Sheet1!$C$4:$Q$23,MATCH(K986,[2]Sheet1!$B$4:$B$23,1),MATCH(D986,[2]Sheet1!$C$3:$Q$3,1)+1) - INDEX([2]Sheet1!$C$4:$Q$23,MATCH(K986,[2]Sheet1!$B$4:$B$23,1),MATCH(D986,[2]Sheet1!$C$3:$Q$3,1)))))</f>
        <v>0</v>
      </c>
      <c r="N986">
        <f t="shared" si="288"/>
        <v>12</v>
      </c>
      <c r="O986">
        <v>352.02450568394102</v>
      </c>
      <c r="P986" t="e">
        <f t="shared" si="289"/>
        <v>#DIV/0!</v>
      </c>
      <c r="Q986">
        <f t="shared" si="290"/>
        <v>0</v>
      </c>
      <c r="R986">
        <f t="shared" si="291"/>
        <v>741.9099431943954</v>
      </c>
      <c r="T986" t="e">
        <f t="shared" si="292"/>
        <v>#DIV/0!</v>
      </c>
      <c r="U986" t="e">
        <f t="shared" si="293"/>
        <v>#DIV/0!</v>
      </c>
      <c r="V986">
        <f t="shared" si="294"/>
        <v>0</v>
      </c>
      <c r="W986" t="e">
        <f t="shared" si="295"/>
        <v>#DIV/0!</v>
      </c>
    </row>
    <row r="987" spans="1:23" x14ac:dyDescent="0.55000000000000004">
      <c r="A987">
        <f t="shared" si="279"/>
        <v>95.29999999999886</v>
      </c>
      <c r="B987">
        <f t="shared" si="280"/>
        <v>0.316</v>
      </c>
      <c r="C987">
        <f t="shared" si="281"/>
        <v>-57.152173913042738</v>
      </c>
      <c r="D987">
        <v>353.43984551913201</v>
      </c>
      <c r="E987">
        <f t="shared" si="282"/>
        <v>0</v>
      </c>
      <c r="F987">
        <f t="shared" si="283"/>
        <v>4.8605058816845369E-2</v>
      </c>
      <c r="G987">
        <f t="shared" si="284"/>
        <v>39.513748498891111</v>
      </c>
      <c r="H987">
        <f t="shared" si="285"/>
        <v>0</v>
      </c>
      <c r="I987" s="1">
        <f t="shared" si="278"/>
        <v>0</v>
      </c>
      <c r="J987">
        <f t="shared" si="286"/>
        <v>0</v>
      </c>
      <c r="K987">
        <f t="shared" si="287"/>
        <v>0</v>
      </c>
      <c r="L987" cm="1">
        <f t="array" ref="L987">IF(E987*J987=0,0,$C$21*INDEX([3]Sheet1!$C$4:$Q$23,MATCH(K987,[3]Sheet1!$B$4:$B$23,1),MATCH(D987,[3]Sheet1!$C$3:$Q$3,1))
+(K987-INDEX([3]Sheet1!$B$4:$B$23,MATCH(K987,[3]Sheet1!$B$4:$B$23,1),1))/(INDEX([3]Sheet1!$B$4:$B$23,MATCH(K987,[3]Sheet1!$B$4:$B$23,1)+1,1)-INDEX([3]Sheet1!$B$4:$B$23,
MATCH(K987,[3]Sheet1!$B$4:$B$23,1),1))*(INDEX([3]Sheet1!$C$4:$Q$23,MATCH(K987,[3]Sheet1!$B$4:$B$23,1)+1,MATCH(D987,[3]Sheet1!$C$3:$Q$3,1))-INDEX([3]Sheet1!$C$4:$Q$23,
MATCH(K987,[3]Sheet1!$B$4:$B$23,1),MATCH(D987,[3]Sheet1!$C$3:$Q$3,1)))
+(D987-INDEX([3]Sheet1!$C$3:$Q$3,1,MATCH(D987,[3]Sheet1!$C$3:$Q$3)))/(INDEX([3]Sheet1!$C$3:$Q$3,1,MATCH(D987,[3]Sheet1!$C$3:$Q$3)+1)-INDEX([3]Sheet1!$C$3:$Q$3,1,MATCH(
D987,[3]Sheet1!$C$3:$Q$3)))*(INDEX([3]Sheet1!$C$4:$Q$23,MATCH(K987,[3]Sheet1!$B$4:$B$23,1),MATCH(D987,[3]Sheet1!$C$3:$Q$3,1)+1)-INDEX([3]Sheet1!$C$4:$Q$23,MATCH(K987,[3]Sheet1!$B$4:$B$23,1),MATCH(D987,[3]Sheet1!$C$3:$Q$3,1))))</f>
        <v>0</v>
      </c>
      <c r="M987" cm="1">
        <f t="array" ref="M987" xml:space="preserve"> IF(E987*J987=0,0,(INDEX([2]Sheet1!$C$4:$Q$23,MATCH(K987,[2]Sheet1!$B$4:$B$23,1),MATCH(D987,[2]Sheet1!$C$3:$Q$3,1))
+ (K987 - INDEX([2]Sheet1!$B$4:$B$23,MATCH(K987,[2]Sheet1!$B$4:$B$23,1),1))/(INDEX([2]Sheet1!$B$4:$B$23,MATCH(K987,[2]Sheet1!$B$4:$B$23,1)+1,1) - INDEX([2]Sheet1!$B$4:$B$23,MATCH(K987,[2]Sheet1!$B$4:$B$23,1),1))*(INDEX([2]Sheet1!$C$4:$Q$23,MATCH(K987,[2]Sheet1!$B$4:$B$23,1)+1,MATCH(D987,[2]Sheet1!$C$3:$Q$3,1)) - INDEX([2]Sheet1!$C$4:$Q$23,MATCH(K987,[2]Sheet1!$B$4:$B$23,1),MATCH(D987,[2]Sheet1!$C$3:$Q$3,1)))
+ (D987 - INDEX([2]Sheet1!$C$3:$Q$3,1,MATCH(D987,[2]Sheet1!$C$3:$Q$3)))/(INDEX([2]Sheet1!$C$3:$Q$3,1,MATCH(D987,[2]Sheet1!$C$3:$Q$3)+1) - INDEX([2]Sheet1!$C$3:$Q$3,1,MATCH(D987,[2]Sheet1!$C$3:$Q$3)))*(
INDEX([2]Sheet1!$C$4:$Q$23,MATCH(K987,[2]Sheet1!$B$4:$B$23,1),MATCH(D987,[2]Sheet1!$C$3:$Q$3,1)+1) - INDEX([2]Sheet1!$C$4:$Q$23,MATCH(K987,[2]Sheet1!$B$4:$B$23,1),MATCH(D987,[2]Sheet1!$C$3:$Q$3,1)))))</f>
        <v>0</v>
      </c>
      <c r="N987">
        <f t="shared" si="288"/>
        <v>12</v>
      </c>
      <c r="O987">
        <v>353.02450568394102</v>
      </c>
      <c r="P987" t="e">
        <f t="shared" si="289"/>
        <v>#DIV/0!</v>
      </c>
      <c r="Q987">
        <f t="shared" si="290"/>
        <v>0</v>
      </c>
      <c r="R987">
        <f t="shared" si="291"/>
        <v>741.9099431943954</v>
      </c>
      <c r="T987" t="e">
        <f t="shared" si="292"/>
        <v>#DIV/0!</v>
      </c>
      <c r="U987" t="e">
        <f t="shared" si="293"/>
        <v>#DIV/0!</v>
      </c>
      <c r="V987">
        <f t="shared" si="294"/>
        <v>0</v>
      </c>
      <c r="W987" t="e">
        <f t="shared" si="295"/>
        <v>#DIV/0!</v>
      </c>
    </row>
    <row r="988" spans="1:23" x14ac:dyDescent="0.55000000000000004">
      <c r="A988">
        <f t="shared" si="279"/>
        <v>95.399999999998855</v>
      </c>
      <c r="B988">
        <f t="shared" si="280"/>
        <v>0.316</v>
      </c>
      <c r="C988">
        <f t="shared" si="281"/>
        <v>-57.217391304347089</v>
      </c>
      <c r="D988">
        <v>354.43984551913201</v>
      </c>
      <c r="E988">
        <f t="shared" si="282"/>
        <v>0</v>
      </c>
      <c r="F988">
        <f t="shared" si="283"/>
        <v>4.8605058816845369E-2</v>
      </c>
      <c r="G988">
        <f t="shared" si="284"/>
        <v>39.513748498891111</v>
      </c>
      <c r="H988">
        <f t="shared" si="285"/>
        <v>0</v>
      </c>
      <c r="I988" s="1">
        <f t="shared" si="278"/>
        <v>0</v>
      </c>
      <c r="J988">
        <f t="shared" si="286"/>
        <v>0</v>
      </c>
      <c r="K988">
        <f t="shared" si="287"/>
        <v>0</v>
      </c>
      <c r="L988" cm="1">
        <f t="array" ref="L988">IF(E988*J988=0,0,$C$21*INDEX([3]Sheet1!$C$4:$Q$23,MATCH(K988,[3]Sheet1!$B$4:$B$23,1),MATCH(D988,[3]Sheet1!$C$3:$Q$3,1))
+(K988-INDEX([3]Sheet1!$B$4:$B$23,MATCH(K988,[3]Sheet1!$B$4:$B$23,1),1))/(INDEX([3]Sheet1!$B$4:$B$23,MATCH(K988,[3]Sheet1!$B$4:$B$23,1)+1,1)-INDEX([3]Sheet1!$B$4:$B$23,
MATCH(K988,[3]Sheet1!$B$4:$B$23,1),1))*(INDEX([3]Sheet1!$C$4:$Q$23,MATCH(K988,[3]Sheet1!$B$4:$B$23,1)+1,MATCH(D988,[3]Sheet1!$C$3:$Q$3,1))-INDEX([3]Sheet1!$C$4:$Q$23,
MATCH(K988,[3]Sheet1!$B$4:$B$23,1),MATCH(D988,[3]Sheet1!$C$3:$Q$3,1)))
+(D988-INDEX([3]Sheet1!$C$3:$Q$3,1,MATCH(D988,[3]Sheet1!$C$3:$Q$3)))/(INDEX([3]Sheet1!$C$3:$Q$3,1,MATCH(D988,[3]Sheet1!$C$3:$Q$3)+1)-INDEX([3]Sheet1!$C$3:$Q$3,1,MATCH(
D988,[3]Sheet1!$C$3:$Q$3)))*(INDEX([3]Sheet1!$C$4:$Q$23,MATCH(K988,[3]Sheet1!$B$4:$B$23,1),MATCH(D988,[3]Sheet1!$C$3:$Q$3,1)+1)-INDEX([3]Sheet1!$C$4:$Q$23,MATCH(K988,[3]Sheet1!$B$4:$B$23,1),MATCH(D988,[3]Sheet1!$C$3:$Q$3,1))))</f>
        <v>0</v>
      </c>
      <c r="M988" cm="1">
        <f t="array" ref="M988" xml:space="preserve"> IF(E988*J988=0,0,(INDEX([2]Sheet1!$C$4:$Q$23,MATCH(K988,[2]Sheet1!$B$4:$B$23,1),MATCH(D988,[2]Sheet1!$C$3:$Q$3,1))
+ (K988 - INDEX([2]Sheet1!$B$4:$B$23,MATCH(K988,[2]Sheet1!$B$4:$B$23,1),1))/(INDEX([2]Sheet1!$B$4:$B$23,MATCH(K988,[2]Sheet1!$B$4:$B$23,1)+1,1) - INDEX([2]Sheet1!$B$4:$B$23,MATCH(K988,[2]Sheet1!$B$4:$B$23,1),1))*(INDEX([2]Sheet1!$C$4:$Q$23,MATCH(K988,[2]Sheet1!$B$4:$B$23,1)+1,MATCH(D988,[2]Sheet1!$C$3:$Q$3,1)) - INDEX([2]Sheet1!$C$4:$Q$23,MATCH(K988,[2]Sheet1!$B$4:$B$23,1),MATCH(D988,[2]Sheet1!$C$3:$Q$3,1)))
+ (D988 - INDEX([2]Sheet1!$C$3:$Q$3,1,MATCH(D988,[2]Sheet1!$C$3:$Q$3)))/(INDEX([2]Sheet1!$C$3:$Q$3,1,MATCH(D988,[2]Sheet1!$C$3:$Q$3)+1) - INDEX([2]Sheet1!$C$3:$Q$3,1,MATCH(D988,[2]Sheet1!$C$3:$Q$3)))*(
INDEX([2]Sheet1!$C$4:$Q$23,MATCH(K988,[2]Sheet1!$B$4:$B$23,1),MATCH(D988,[2]Sheet1!$C$3:$Q$3,1)+1) - INDEX([2]Sheet1!$C$4:$Q$23,MATCH(K988,[2]Sheet1!$B$4:$B$23,1),MATCH(D988,[2]Sheet1!$C$3:$Q$3,1)))))</f>
        <v>0</v>
      </c>
      <c r="N988">
        <f t="shared" si="288"/>
        <v>12</v>
      </c>
      <c r="O988">
        <v>354.02450568394102</v>
      </c>
      <c r="P988" t="e">
        <f t="shared" si="289"/>
        <v>#DIV/0!</v>
      </c>
      <c r="Q988">
        <f t="shared" si="290"/>
        <v>0</v>
      </c>
      <c r="R988">
        <f t="shared" si="291"/>
        <v>741.9099431943954</v>
      </c>
      <c r="T988" t="e">
        <f t="shared" si="292"/>
        <v>#DIV/0!</v>
      </c>
      <c r="U988" t="e">
        <f t="shared" si="293"/>
        <v>#DIV/0!</v>
      </c>
      <c r="V988">
        <f t="shared" si="294"/>
        <v>0</v>
      </c>
      <c r="W988" t="e">
        <f t="shared" si="295"/>
        <v>#DIV/0!</v>
      </c>
    </row>
    <row r="989" spans="1:23" x14ac:dyDescent="0.55000000000000004">
      <c r="A989">
        <f t="shared" si="279"/>
        <v>95.499999999998849</v>
      </c>
      <c r="B989">
        <f t="shared" si="280"/>
        <v>0.316</v>
      </c>
      <c r="C989">
        <f t="shared" si="281"/>
        <v>-57.282608695651426</v>
      </c>
      <c r="D989">
        <v>355.43984551913201</v>
      </c>
      <c r="E989">
        <f t="shared" si="282"/>
        <v>0</v>
      </c>
      <c r="F989">
        <f t="shared" si="283"/>
        <v>4.8605058816845369E-2</v>
      </c>
      <c r="G989">
        <f t="shared" si="284"/>
        <v>39.513748498891111</v>
      </c>
      <c r="H989">
        <f t="shared" si="285"/>
        <v>0</v>
      </c>
      <c r="I989" s="1">
        <f t="shared" si="278"/>
        <v>0</v>
      </c>
      <c r="J989">
        <f t="shared" si="286"/>
        <v>0</v>
      </c>
      <c r="K989">
        <f t="shared" si="287"/>
        <v>0</v>
      </c>
      <c r="L989" cm="1">
        <f t="array" ref="L989">IF(E989*J989=0,0,$C$21*INDEX([3]Sheet1!$C$4:$Q$23,MATCH(K989,[3]Sheet1!$B$4:$B$23,1),MATCH(D989,[3]Sheet1!$C$3:$Q$3,1))
+(K989-INDEX([3]Sheet1!$B$4:$B$23,MATCH(K989,[3]Sheet1!$B$4:$B$23,1),1))/(INDEX([3]Sheet1!$B$4:$B$23,MATCH(K989,[3]Sheet1!$B$4:$B$23,1)+1,1)-INDEX([3]Sheet1!$B$4:$B$23,
MATCH(K989,[3]Sheet1!$B$4:$B$23,1),1))*(INDEX([3]Sheet1!$C$4:$Q$23,MATCH(K989,[3]Sheet1!$B$4:$B$23,1)+1,MATCH(D989,[3]Sheet1!$C$3:$Q$3,1))-INDEX([3]Sheet1!$C$4:$Q$23,
MATCH(K989,[3]Sheet1!$B$4:$B$23,1),MATCH(D989,[3]Sheet1!$C$3:$Q$3,1)))
+(D989-INDEX([3]Sheet1!$C$3:$Q$3,1,MATCH(D989,[3]Sheet1!$C$3:$Q$3)))/(INDEX([3]Sheet1!$C$3:$Q$3,1,MATCH(D989,[3]Sheet1!$C$3:$Q$3)+1)-INDEX([3]Sheet1!$C$3:$Q$3,1,MATCH(
D989,[3]Sheet1!$C$3:$Q$3)))*(INDEX([3]Sheet1!$C$4:$Q$23,MATCH(K989,[3]Sheet1!$B$4:$B$23,1),MATCH(D989,[3]Sheet1!$C$3:$Q$3,1)+1)-INDEX([3]Sheet1!$C$4:$Q$23,MATCH(K989,[3]Sheet1!$B$4:$B$23,1),MATCH(D989,[3]Sheet1!$C$3:$Q$3,1))))</f>
        <v>0</v>
      </c>
      <c r="M989" cm="1">
        <f t="array" ref="M989" xml:space="preserve"> IF(E989*J989=0,0,(INDEX([2]Sheet1!$C$4:$Q$23,MATCH(K989,[2]Sheet1!$B$4:$B$23,1),MATCH(D989,[2]Sheet1!$C$3:$Q$3,1))
+ (K989 - INDEX([2]Sheet1!$B$4:$B$23,MATCH(K989,[2]Sheet1!$B$4:$B$23,1),1))/(INDEX([2]Sheet1!$B$4:$B$23,MATCH(K989,[2]Sheet1!$B$4:$B$23,1)+1,1) - INDEX([2]Sheet1!$B$4:$B$23,MATCH(K989,[2]Sheet1!$B$4:$B$23,1),1))*(INDEX([2]Sheet1!$C$4:$Q$23,MATCH(K989,[2]Sheet1!$B$4:$B$23,1)+1,MATCH(D989,[2]Sheet1!$C$3:$Q$3,1)) - INDEX([2]Sheet1!$C$4:$Q$23,MATCH(K989,[2]Sheet1!$B$4:$B$23,1),MATCH(D989,[2]Sheet1!$C$3:$Q$3,1)))
+ (D989 - INDEX([2]Sheet1!$C$3:$Q$3,1,MATCH(D989,[2]Sheet1!$C$3:$Q$3)))/(INDEX([2]Sheet1!$C$3:$Q$3,1,MATCH(D989,[2]Sheet1!$C$3:$Q$3)+1) - INDEX([2]Sheet1!$C$3:$Q$3,1,MATCH(D989,[2]Sheet1!$C$3:$Q$3)))*(
INDEX([2]Sheet1!$C$4:$Q$23,MATCH(K989,[2]Sheet1!$B$4:$B$23,1),MATCH(D989,[2]Sheet1!$C$3:$Q$3,1)+1) - INDEX([2]Sheet1!$C$4:$Q$23,MATCH(K989,[2]Sheet1!$B$4:$B$23,1),MATCH(D989,[2]Sheet1!$C$3:$Q$3,1)))))</f>
        <v>0</v>
      </c>
      <c r="N989">
        <f t="shared" si="288"/>
        <v>12</v>
      </c>
      <c r="O989">
        <v>355.02450568394102</v>
      </c>
      <c r="P989" t="e">
        <f t="shared" si="289"/>
        <v>#DIV/0!</v>
      </c>
      <c r="Q989">
        <f t="shared" si="290"/>
        <v>0</v>
      </c>
      <c r="R989">
        <f t="shared" si="291"/>
        <v>741.9099431943954</v>
      </c>
      <c r="T989" t="e">
        <f t="shared" si="292"/>
        <v>#DIV/0!</v>
      </c>
      <c r="U989" t="e">
        <f t="shared" si="293"/>
        <v>#DIV/0!</v>
      </c>
      <c r="V989">
        <f t="shared" si="294"/>
        <v>0</v>
      </c>
      <c r="W989" t="e">
        <f t="shared" si="295"/>
        <v>#DIV/0!</v>
      </c>
    </row>
    <row r="990" spans="1:23" x14ac:dyDescent="0.55000000000000004">
      <c r="A990">
        <f t="shared" si="279"/>
        <v>95.599999999998843</v>
      </c>
      <c r="B990">
        <f t="shared" si="280"/>
        <v>0.316</v>
      </c>
      <c r="C990">
        <f t="shared" si="281"/>
        <v>-57.347826086955777</v>
      </c>
      <c r="D990">
        <v>356.43984551913201</v>
      </c>
      <c r="E990">
        <f t="shared" si="282"/>
        <v>0</v>
      </c>
      <c r="F990">
        <f t="shared" si="283"/>
        <v>4.8605058816845369E-2</v>
      </c>
      <c r="G990">
        <f t="shared" si="284"/>
        <v>39.513748498891111</v>
      </c>
      <c r="H990">
        <f t="shared" si="285"/>
        <v>0</v>
      </c>
      <c r="I990" s="1">
        <f t="shared" si="278"/>
        <v>0</v>
      </c>
      <c r="J990">
        <f t="shared" si="286"/>
        <v>0</v>
      </c>
      <c r="K990">
        <f t="shared" si="287"/>
        <v>0</v>
      </c>
      <c r="L990" cm="1">
        <f t="array" ref="L990">IF(E990*J990=0,0,$C$21*INDEX([3]Sheet1!$C$4:$Q$23,MATCH(K990,[3]Sheet1!$B$4:$B$23,1),MATCH(D990,[3]Sheet1!$C$3:$Q$3,1))
+(K990-INDEX([3]Sheet1!$B$4:$B$23,MATCH(K990,[3]Sheet1!$B$4:$B$23,1),1))/(INDEX([3]Sheet1!$B$4:$B$23,MATCH(K990,[3]Sheet1!$B$4:$B$23,1)+1,1)-INDEX([3]Sheet1!$B$4:$B$23,
MATCH(K990,[3]Sheet1!$B$4:$B$23,1),1))*(INDEX([3]Sheet1!$C$4:$Q$23,MATCH(K990,[3]Sheet1!$B$4:$B$23,1)+1,MATCH(D990,[3]Sheet1!$C$3:$Q$3,1))-INDEX([3]Sheet1!$C$4:$Q$23,
MATCH(K990,[3]Sheet1!$B$4:$B$23,1),MATCH(D990,[3]Sheet1!$C$3:$Q$3,1)))
+(D990-INDEX([3]Sheet1!$C$3:$Q$3,1,MATCH(D990,[3]Sheet1!$C$3:$Q$3)))/(INDEX([3]Sheet1!$C$3:$Q$3,1,MATCH(D990,[3]Sheet1!$C$3:$Q$3)+1)-INDEX([3]Sheet1!$C$3:$Q$3,1,MATCH(
D990,[3]Sheet1!$C$3:$Q$3)))*(INDEX([3]Sheet1!$C$4:$Q$23,MATCH(K990,[3]Sheet1!$B$4:$B$23,1),MATCH(D990,[3]Sheet1!$C$3:$Q$3,1)+1)-INDEX([3]Sheet1!$C$4:$Q$23,MATCH(K990,[3]Sheet1!$B$4:$B$23,1),MATCH(D990,[3]Sheet1!$C$3:$Q$3,1))))</f>
        <v>0</v>
      </c>
      <c r="M990" cm="1">
        <f t="array" ref="M990" xml:space="preserve"> IF(E990*J990=0,0,(INDEX([2]Sheet1!$C$4:$Q$23,MATCH(K990,[2]Sheet1!$B$4:$B$23,1),MATCH(D990,[2]Sheet1!$C$3:$Q$3,1))
+ (K990 - INDEX([2]Sheet1!$B$4:$B$23,MATCH(K990,[2]Sheet1!$B$4:$B$23,1),1))/(INDEX([2]Sheet1!$B$4:$B$23,MATCH(K990,[2]Sheet1!$B$4:$B$23,1)+1,1) - INDEX([2]Sheet1!$B$4:$B$23,MATCH(K990,[2]Sheet1!$B$4:$B$23,1),1))*(INDEX([2]Sheet1!$C$4:$Q$23,MATCH(K990,[2]Sheet1!$B$4:$B$23,1)+1,MATCH(D990,[2]Sheet1!$C$3:$Q$3,1)) - INDEX([2]Sheet1!$C$4:$Q$23,MATCH(K990,[2]Sheet1!$B$4:$B$23,1),MATCH(D990,[2]Sheet1!$C$3:$Q$3,1)))
+ (D990 - INDEX([2]Sheet1!$C$3:$Q$3,1,MATCH(D990,[2]Sheet1!$C$3:$Q$3)))/(INDEX([2]Sheet1!$C$3:$Q$3,1,MATCH(D990,[2]Sheet1!$C$3:$Q$3)+1) - INDEX([2]Sheet1!$C$3:$Q$3,1,MATCH(D990,[2]Sheet1!$C$3:$Q$3)))*(
INDEX([2]Sheet1!$C$4:$Q$23,MATCH(K990,[2]Sheet1!$B$4:$B$23,1),MATCH(D990,[2]Sheet1!$C$3:$Q$3,1)+1) - INDEX([2]Sheet1!$C$4:$Q$23,MATCH(K990,[2]Sheet1!$B$4:$B$23,1),MATCH(D990,[2]Sheet1!$C$3:$Q$3,1)))))</f>
        <v>0</v>
      </c>
      <c r="N990">
        <f t="shared" si="288"/>
        <v>12</v>
      </c>
      <c r="O990">
        <v>356.02450568394102</v>
      </c>
      <c r="P990" t="e">
        <f t="shared" si="289"/>
        <v>#DIV/0!</v>
      </c>
      <c r="Q990">
        <f t="shared" si="290"/>
        <v>0</v>
      </c>
      <c r="R990">
        <f t="shared" si="291"/>
        <v>741.9099431943954</v>
      </c>
      <c r="T990" t="e">
        <f t="shared" si="292"/>
        <v>#DIV/0!</v>
      </c>
      <c r="U990" t="e">
        <f t="shared" si="293"/>
        <v>#DIV/0!</v>
      </c>
      <c r="V990">
        <f t="shared" si="294"/>
        <v>0</v>
      </c>
      <c r="W990" t="e">
        <f t="shared" si="295"/>
        <v>#DIV/0!</v>
      </c>
    </row>
    <row r="991" spans="1:23" x14ac:dyDescent="0.55000000000000004">
      <c r="A991">
        <f t="shared" si="279"/>
        <v>95.699999999998838</v>
      </c>
      <c r="B991">
        <f t="shared" si="280"/>
        <v>0.316</v>
      </c>
      <c r="C991">
        <f t="shared" si="281"/>
        <v>-57.413043478260114</v>
      </c>
      <c r="D991">
        <v>357.43984551913201</v>
      </c>
      <c r="E991">
        <f t="shared" si="282"/>
        <v>0</v>
      </c>
      <c r="F991">
        <f t="shared" si="283"/>
        <v>4.8605058816845369E-2</v>
      </c>
      <c r="G991">
        <f t="shared" si="284"/>
        <v>39.513748498891111</v>
      </c>
      <c r="H991">
        <f t="shared" si="285"/>
        <v>0</v>
      </c>
      <c r="I991" s="1">
        <f t="shared" si="278"/>
        <v>0</v>
      </c>
      <c r="J991">
        <f t="shared" si="286"/>
        <v>0</v>
      </c>
      <c r="K991">
        <f t="shared" si="287"/>
        <v>0</v>
      </c>
      <c r="L991" cm="1">
        <f t="array" ref="L991">IF(E991*J991=0,0,$C$21*INDEX([3]Sheet1!$C$4:$Q$23,MATCH(K991,[3]Sheet1!$B$4:$B$23,1),MATCH(D991,[3]Sheet1!$C$3:$Q$3,1))
+(K991-INDEX([3]Sheet1!$B$4:$B$23,MATCH(K991,[3]Sheet1!$B$4:$B$23,1),1))/(INDEX([3]Sheet1!$B$4:$B$23,MATCH(K991,[3]Sheet1!$B$4:$B$23,1)+1,1)-INDEX([3]Sheet1!$B$4:$B$23,
MATCH(K991,[3]Sheet1!$B$4:$B$23,1),1))*(INDEX([3]Sheet1!$C$4:$Q$23,MATCH(K991,[3]Sheet1!$B$4:$B$23,1)+1,MATCH(D991,[3]Sheet1!$C$3:$Q$3,1))-INDEX([3]Sheet1!$C$4:$Q$23,
MATCH(K991,[3]Sheet1!$B$4:$B$23,1),MATCH(D991,[3]Sheet1!$C$3:$Q$3,1)))
+(D991-INDEX([3]Sheet1!$C$3:$Q$3,1,MATCH(D991,[3]Sheet1!$C$3:$Q$3)))/(INDEX([3]Sheet1!$C$3:$Q$3,1,MATCH(D991,[3]Sheet1!$C$3:$Q$3)+1)-INDEX([3]Sheet1!$C$3:$Q$3,1,MATCH(
D991,[3]Sheet1!$C$3:$Q$3)))*(INDEX([3]Sheet1!$C$4:$Q$23,MATCH(K991,[3]Sheet1!$B$4:$B$23,1),MATCH(D991,[3]Sheet1!$C$3:$Q$3,1)+1)-INDEX([3]Sheet1!$C$4:$Q$23,MATCH(K991,[3]Sheet1!$B$4:$B$23,1),MATCH(D991,[3]Sheet1!$C$3:$Q$3,1))))</f>
        <v>0</v>
      </c>
      <c r="M991" cm="1">
        <f t="array" ref="M991" xml:space="preserve"> IF(E991*J991=0,0,(INDEX([2]Sheet1!$C$4:$Q$23,MATCH(K991,[2]Sheet1!$B$4:$B$23,1),MATCH(D991,[2]Sheet1!$C$3:$Q$3,1))
+ (K991 - INDEX([2]Sheet1!$B$4:$B$23,MATCH(K991,[2]Sheet1!$B$4:$B$23,1),1))/(INDEX([2]Sheet1!$B$4:$B$23,MATCH(K991,[2]Sheet1!$B$4:$B$23,1)+1,1) - INDEX([2]Sheet1!$B$4:$B$23,MATCH(K991,[2]Sheet1!$B$4:$B$23,1),1))*(INDEX([2]Sheet1!$C$4:$Q$23,MATCH(K991,[2]Sheet1!$B$4:$B$23,1)+1,MATCH(D991,[2]Sheet1!$C$3:$Q$3,1)) - INDEX([2]Sheet1!$C$4:$Q$23,MATCH(K991,[2]Sheet1!$B$4:$B$23,1),MATCH(D991,[2]Sheet1!$C$3:$Q$3,1)))
+ (D991 - INDEX([2]Sheet1!$C$3:$Q$3,1,MATCH(D991,[2]Sheet1!$C$3:$Q$3)))/(INDEX([2]Sheet1!$C$3:$Q$3,1,MATCH(D991,[2]Sheet1!$C$3:$Q$3)+1) - INDEX([2]Sheet1!$C$3:$Q$3,1,MATCH(D991,[2]Sheet1!$C$3:$Q$3)))*(
INDEX([2]Sheet1!$C$4:$Q$23,MATCH(K991,[2]Sheet1!$B$4:$B$23,1),MATCH(D991,[2]Sheet1!$C$3:$Q$3,1)+1) - INDEX([2]Sheet1!$C$4:$Q$23,MATCH(K991,[2]Sheet1!$B$4:$B$23,1),MATCH(D991,[2]Sheet1!$C$3:$Q$3,1)))))</f>
        <v>0</v>
      </c>
      <c r="N991">
        <f t="shared" si="288"/>
        <v>12</v>
      </c>
      <c r="O991">
        <v>357.02450568394102</v>
      </c>
      <c r="P991" t="e">
        <f t="shared" si="289"/>
        <v>#DIV/0!</v>
      </c>
      <c r="Q991">
        <f t="shared" si="290"/>
        <v>0</v>
      </c>
      <c r="R991">
        <f t="shared" si="291"/>
        <v>741.9099431943954</v>
      </c>
      <c r="T991" t="e">
        <f t="shared" si="292"/>
        <v>#DIV/0!</v>
      </c>
      <c r="U991" t="e">
        <f t="shared" si="293"/>
        <v>#DIV/0!</v>
      </c>
      <c r="V991">
        <f t="shared" si="294"/>
        <v>0</v>
      </c>
      <c r="W991" t="e">
        <f t="shared" si="295"/>
        <v>#DIV/0!</v>
      </c>
    </row>
    <row r="992" spans="1:23" x14ac:dyDescent="0.55000000000000004">
      <c r="A992">
        <f t="shared" si="279"/>
        <v>95.799999999998832</v>
      </c>
      <c r="B992">
        <f t="shared" si="280"/>
        <v>0.316</v>
      </c>
      <c r="C992">
        <f t="shared" si="281"/>
        <v>-57.478260869564465</v>
      </c>
      <c r="D992">
        <v>358.43984551913201</v>
      </c>
      <c r="E992">
        <f t="shared" si="282"/>
        <v>0</v>
      </c>
      <c r="F992">
        <f t="shared" si="283"/>
        <v>4.8605058816845369E-2</v>
      </c>
      <c r="G992">
        <f t="shared" si="284"/>
        <v>39.513748498891111</v>
      </c>
      <c r="H992">
        <f t="shared" si="285"/>
        <v>0</v>
      </c>
      <c r="I992" s="1">
        <f t="shared" si="278"/>
        <v>0</v>
      </c>
      <c r="J992">
        <f t="shared" si="286"/>
        <v>0</v>
      </c>
      <c r="K992">
        <f t="shared" si="287"/>
        <v>0</v>
      </c>
      <c r="L992" cm="1">
        <f t="array" ref="L992">IF(E992*J992=0,0,$C$21*INDEX([3]Sheet1!$C$4:$Q$23,MATCH(K992,[3]Sheet1!$B$4:$B$23,1),MATCH(D992,[3]Sheet1!$C$3:$Q$3,1))
+(K992-INDEX([3]Sheet1!$B$4:$B$23,MATCH(K992,[3]Sheet1!$B$4:$B$23,1),1))/(INDEX([3]Sheet1!$B$4:$B$23,MATCH(K992,[3]Sheet1!$B$4:$B$23,1)+1,1)-INDEX([3]Sheet1!$B$4:$B$23,
MATCH(K992,[3]Sheet1!$B$4:$B$23,1),1))*(INDEX([3]Sheet1!$C$4:$Q$23,MATCH(K992,[3]Sheet1!$B$4:$B$23,1)+1,MATCH(D992,[3]Sheet1!$C$3:$Q$3,1))-INDEX([3]Sheet1!$C$4:$Q$23,
MATCH(K992,[3]Sheet1!$B$4:$B$23,1),MATCH(D992,[3]Sheet1!$C$3:$Q$3,1)))
+(D992-INDEX([3]Sheet1!$C$3:$Q$3,1,MATCH(D992,[3]Sheet1!$C$3:$Q$3)))/(INDEX([3]Sheet1!$C$3:$Q$3,1,MATCH(D992,[3]Sheet1!$C$3:$Q$3)+1)-INDEX([3]Sheet1!$C$3:$Q$3,1,MATCH(
D992,[3]Sheet1!$C$3:$Q$3)))*(INDEX([3]Sheet1!$C$4:$Q$23,MATCH(K992,[3]Sheet1!$B$4:$B$23,1),MATCH(D992,[3]Sheet1!$C$3:$Q$3,1)+1)-INDEX([3]Sheet1!$C$4:$Q$23,MATCH(K992,[3]Sheet1!$B$4:$B$23,1),MATCH(D992,[3]Sheet1!$C$3:$Q$3,1))))</f>
        <v>0</v>
      </c>
      <c r="M992" cm="1">
        <f t="array" ref="M992" xml:space="preserve"> IF(E992*J992=0,0,(INDEX([2]Sheet1!$C$4:$Q$23,MATCH(K992,[2]Sheet1!$B$4:$B$23,1),MATCH(D992,[2]Sheet1!$C$3:$Q$3,1))
+ (K992 - INDEX([2]Sheet1!$B$4:$B$23,MATCH(K992,[2]Sheet1!$B$4:$B$23,1),1))/(INDEX([2]Sheet1!$B$4:$B$23,MATCH(K992,[2]Sheet1!$B$4:$B$23,1)+1,1) - INDEX([2]Sheet1!$B$4:$B$23,MATCH(K992,[2]Sheet1!$B$4:$B$23,1),1))*(INDEX([2]Sheet1!$C$4:$Q$23,MATCH(K992,[2]Sheet1!$B$4:$B$23,1)+1,MATCH(D992,[2]Sheet1!$C$3:$Q$3,1)) - INDEX([2]Sheet1!$C$4:$Q$23,MATCH(K992,[2]Sheet1!$B$4:$B$23,1),MATCH(D992,[2]Sheet1!$C$3:$Q$3,1)))
+ (D992 - INDEX([2]Sheet1!$C$3:$Q$3,1,MATCH(D992,[2]Sheet1!$C$3:$Q$3)))/(INDEX([2]Sheet1!$C$3:$Q$3,1,MATCH(D992,[2]Sheet1!$C$3:$Q$3)+1) - INDEX([2]Sheet1!$C$3:$Q$3,1,MATCH(D992,[2]Sheet1!$C$3:$Q$3)))*(
INDEX([2]Sheet1!$C$4:$Q$23,MATCH(K992,[2]Sheet1!$B$4:$B$23,1),MATCH(D992,[2]Sheet1!$C$3:$Q$3,1)+1) - INDEX([2]Sheet1!$C$4:$Q$23,MATCH(K992,[2]Sheet1!$B$4:$B$23,1),MATCH(D992,[2]Sheet1!$C$3:$Q$3,1)))))</f>
        <v>0</v>
      </c>
      <c r="N992">
        <f t="shared" si="288"/>
        <v>12</v>
      </c>
      <c r="O992">
        <v>358.02450568394102</v>
      </c>
      <c r="P992" t="e">
        <f t="shared" si="289"/>
        <v>#DIV/0!</v>
      </c>
      <c r="Q992">
        <f t="shared" si="290"/>
        <v>0</v>
      </c>
      <c r="R992">
        <f t="shared" si="291"/>
        <v>741.9099431943954</v>
      </c>
      <c r="T992" t="e">
        <f t="shared" si="292"/>
        <v>#DIV/0!</v>
      </c>
      <c r="U992" t="e">
        <f t="shared" si="293"/>
        <v>#DIV/0!</v>
      </c>
      <c r="V992">
        <f t="shared" si="294"/>
        <v>0</v>
      </c>
      <c r="W992" t="e">
        <f t="shared" si="295"/>
        <v>#DIV/0!</v>
      </c>
    </row>
    <row r="993" spans="1:23" x14ac:dyDescent="0.55000000000000004">
      <c r="A993">
        <f t="shared" si="279"/>
        <v>95.899999999998826</v>
      </c>
      <c r="B993">
        <f t="shared" si="280"/>
        <v>0.316</v>
      </c>
      <c r="C993">
        <f t="shared" si="281"/>
        <v>-57.543478260868802</v>
      </c>
      <c r="D993">
        <v>359.43984551913201</v>
      </c>
      <c r="E993">
        <f t="shared" si="282"/>
        <v>0</v>
      </c>
      <c r="F993">
        <f t="shared" si="283"/>
        <v>4.8605058816845369E-2</v>
      </c>
      <c r="G993">
        <f t="shared" si="284"/>
        <v>39.513748498891111</v>
      </c>
      <c r="H993">
        <f t="shared" si="285"/>
        <v>0</v>
      </c>
      <c r="I993" s="1">
        <f t="shared" si="278"/>
        <v>0</v>
      </c>
      <c r="J993">
        <f t="shared" si="286"/>
        <v>0</v>
      </c>
      <c r="K993">
        <f t="shared" si="287"/>
        <v>0</v>
      </c>
      <c r="L993" cm="1">
        <f t="array" ref="L993">IF(E993*J993=0,0,$C$21*INDEX([3]Sheet1!$C$4:$Q$23,MATCH(K993,[3]Sheet1!$B$4:$B$23,1),MATCH(D993,[3]Sheet1!$C$3:$Q$3,1))
+(K993-INDEX([3]Sheet1!$B$4:$B$23,MATCH(K993,[3]Sheet1!$B$4:$B$23,1),1))/(INDEX([3]Sheet1!$B$4:$B$23,MATCH(K993,[3]Sheet1!$B$4:$B$23,1)+1,1)-INDEX([3]Sheet1!$B$4:$B$23,
MATCH(K993,[3]Sheet1!$B$4:$B$23,1),1))*(INDEX([3]Sheet1!$C$4:$Q$23,MATCH(K993,[3]Sheet1!$B$4:$B$23,1)+1,MATCH(D993,[3]Sheet1!$C$3:$Q$3,1))-INDEX([3]Sheet1!$C$4:$Q$23,
MATCH(K993,[3]Sheet1!$B$4:$B$23,1),MATCH(D993,[3]Sheet1!$C$3:$Q$3,1)))
+(D993-INDEX([3]Sheet1!$C$3:$Q$3,1,MATCH(D993,[3]Sheet1!$C$3:$Q$3)))/(INDEX([3]Sheet1!$C$3:$Q$3,1,MATCH(D993,[3]Sheet1!$C$3:$Q$3)+1)-INDEX([3]Sheet1!$C$3:$Q$3,1,MATCH(
D993,[3]Sheet1!$C$3:$Q$3)))*(INDEX([3]Sheet1!$C$4:$Q$23,MATCH(K993,[3]Sheet1!$B$4:$B$23,1),MATCH(D993,[3]Sheet1!$C$3:$Q$3,1)+1)-INDEX([3]Sheet1!$C$4:$Q$23,MATCH(K993,[3]Sheet1!$B$4:$B$23,1),MATCH(D993,[3]Sheet1!$C$3:$Q$3,1))))</f>
        <v>0</v>
      </c>
      <c r="M993" cm="1">
        <f t="array" ref="M993" xml:space="preserve"> IF(E993*J993=0,0,(INDEX([2]Sheet1!$C$4:$Q$23,MATCH(K993,[2]Sheet1!$B$4:$B$23,1),MATCH(D993,[2]Sheet1!$C$3:$Q$3,1))
+ (K993 - INDEX([2]Sheet1!$B$4:$B$23,MATCH(K993,[2]Sheet1!$B$4:$B$23,1),1))/(INDEX([2]Sheet1!$B$4:$B$23,MATCH(K993,[2]Sheet1!$B$4:$B$23,1)+1,1) - INDEX([2]Sheet1!$B$4:$B$23,MATCH(K993,[2]Sheet1!$B$4:$B$23,1),1))*(INDEX([2]Sheet1!$C$4:$Q$23,MATCH(K993,[2]Sheet1!$B$4:$B$23,1)+1,MATCH(D993,[2]Sheet1!$C$3:$Q$3,1)) - INDEX([2]Sheet1!$C$4:$Q$23,MATCH(K993,[2]Sheet1!$B$4:$B$23,1),MATCH(D993,[2]Sheet1!$C$3:$Q$3,1)))
+ (D993 - INDEX([2]Sheet1!$C$3:$Q$3,1,MATCH(D993,[2]Sheet1!$C$3:$Q$3)))/(INDEX([2]Sheet1!$C$3:$Q$3,1,MATCH(D993,[2]Sheet1!$C$3:$Q$3)+1) - INDEX([2]Sheet1!$C$3:$Q$3,1,MATCH(D993,[2]Sheet1!$C$3:$Q$3)))*(
INDEX([2]Sheet1!$C$4:$Q$23,MATCH(K993,[2]Sheet1!$B$4:$B$23,1),MATCH(D993,[2]Sheet1!$C$3:$Q$3,1)+1) - INDEX([2]Sheet1!$C$4:$Q$23,MATCH(K993,[2]Sheet1!$B$4:$B$23,1),MATCH(D993,[2]Sheet1!$C$3:$Q$3,1)))))</f>
        <v>0</v>
      </c>
      <c r="N993">
        <f t="shared" si="288"/>
        <v>12</v>
      </c>
      <c r="O993">
        <v>359.02450568394102</v>
      </c>
      <c r="P993" t="e">
        <f t="shared" si="289"/>
        <v>#DIV/0!</v>
      </c>
      <c r="Q993">
        <f t="shared" si="290"/>
        <v>0</v>
      </c>
      <c r="R993">
        <f t="shared" si="291"/>
        <v>741.9099431943954</v>
      </c>
      <c r="T993" t="e">
        <f t="shared" si="292"/>
        <v>#DIV/0!</v>
      </c>
      <c r="U993" t="e">
        <f t="shared" si="293"/>
        <v>#DIV/0!</v>
      </c>
      <c r="V993">
        <f t="shared" si="294"/>
        <v>0</v>
      </c>
      <c r="W993" t="e">
        <f t="shared" si="295"/>
        <v>#DIV/0!</v>
      </c>
    </row>
    <row r="994" spans="1:23" x14ac:dyDescent="0.55000000000000004">
      <c r="A994">
        <f t="shared" si="279"/>
        <v>95.99999999999882</v>
      </c>
      <c r="B994">
        <f t="shared" si="280"/>
        <v>0.316</v>
      </c>
      <c r="C994">
        <f t="shared" si="281"/>
        <v>-57.608695652173154</v>
      </c>
      <c r="D994">
        <v>360.43984551913201</v>
      </c>
      <c r="E994">
        <f t="shared" si="282"/>
        <v>0</v>
      </c>
      <c r="F994">
        <f t="shared" si="283"/>
        <v>4.8605058816845369E-2</v>
      </c>
      <c r="G994">
        <f t="shared" si="284"/>
        <v>39.513748498891111</v>
      </c>
      <c r="H994">
        <f t="shared" si="285"/>
        <v>0</v>
      </c>
      <c r="I994" s="1">
        <f t="shared" si="278"/>
        <v>0</v>
      </c>
      <c r="J994">
        <f t="shared" si="286"/>
        <v>0</v>
      </c>
      <c r="K994">
        <f t="shared" si="287"/>
        <v>0</v>
      </c>
      <c r="L994" cm="1">
        <f t="array" ref="L994">IF(E994*J994=0,0,$C$21*INDEX([3]Sheet1!$C$4:$Q$23,MATCH(K994,[3]Sheet1!$B$4:$B$23,1),MATCH(D994,[3]Sheet1!$C$3:$Q$3,1))
+(K994-INDEX([3]Sheet1!$B$4:$B$23,MATCH(K994,[3]Sheet1!$B$4:$B$23,1),1))/(INDEX([3]Sheet1!$B$4:$B$23,MATCH(K994,[3]Sheet1!$B$4:$B$23,1)+1,1)-INDEX([3]Sheet1!$B$4:$B$23,
MATCH(K994,[3]Sheet1!$B$4:$B$23,1),1))*(INDEX([3]Sheet1!$C$4:$Q$23,MATCH(K994,[3]Sheet1!$B$4:$B$23,1)+1,MATCH(D994,[3]Sheet1!$C$3:$Q$3,1))-INDEX([3]Sheet1!$C$4:$Q$23,
MATCH(K994,[3]Sheet1!$B$4:$B$23,1),MATCH(D994,[3]Sheet1!$C$3:$Q$3,1)))
+(D994-INDEX([3]Sheet1!$C$3:$Q$3,1,MATCH(D994,[3]Sheet1!$C$3:$Q$3)))/(INDEX([3]Sheet1!$C$3:$Q$3,1,MATCH(D994,[3]Sheet1!$C$3:$Q$3)+1)-INDEX([3]Sheet1!$C$3:$Q$3,1,MATCH(
D994,[3]Sheet1!$C$3:$Q$3)))*(INDEX([3]Sheet1!$C$4:$Q$23,MATCH(K994,[3]Sheet1!$B$4:$B$23,1),MATCH(D994,[3]Sheet1!$C$3:$Q$3,1)+1)-INDEX([3]Sheet1!$C$4:$Q$23,MATCH(K994,[3]Sheet1!$B$4:$B$23,1),MATCH(D994,[3]Sheet1!$C$3:$Q$3,1))))</f>
        <v>0</v>
      </c>
      <c r="M994" cm="1">
        <f t="array" ref="M994" xml:space="preserve"> IF(E994*J994=0,0,(INDEX([2]Sheet1!$C$4:$Q$23,MATCH(K994,[2]Sheet1!$B$4:$B$23,1),MATCH(D994,[2]Sheet1!$C$3:$Q$3,1))
+ (K994 - INDEX([2]Sheet1!$B$4:$B$23,MATCH(K994,[2]Sheet1!$B$4:$B$23,1),1))/(INDEX([2]Sheet1!$B$4:$B$23,MATCH(K994,[2]Sheet1!$B$4:$B$23,1)+1,1) - INDEX([2]Sheet1!$B$4:$B$23,MATCH(K994,[2]Sheet1!$B$4:$B$23,1),1))*(INDEX([2]Sheet1!$C$4:$Q$23,MATCH(K994,[2]Sheet1!$B$4:$B$23,1)+1,MATCH(D994,[2]Sheet1!$C$3:$Q$3,1)) - INDEX([2]Sheet1!$C$4:$Q$23,MATCH(K994,[2]Sheet1!$B$4:$B$23,1),MATCH(D994,[2]Sheet1!$C$3:$Q$3,1)))
+ (D994 - INDEX([2]Sheet1!$C$3:$Q$3,1,MATCH(D994,[2]Sheet1!$C$3:$Q$3)))/(INDEX([2]Sheet1!$C$3:$Q$3,1,MATCH(D994,[2]Sheet1!$C$3:$Q$3)+1) - INDEX([2]Sheet1!$C$3:$Q$3,1,MATCH(D994,[2]Sheet1!$C$3:$Q$3)))*(
INDEX([2]Sheet1!$C$4:$Q$23,MATCH(K994,[2]Sheet1!$B$4:$B$23,1),MATCH(D994,[2]Sheet1!$C$3:$Q$3,1)+1) - INDEX([2]Sheet1!$C$4:$Q$23,MATCH(K994,[2]Sheet1!$B$4:$B$23,1),MATCH(D994,[2]Sheet1!$C$3:$Q$3,1)))))</f>
        <v>0</v>
      </c>
      <c r="N994">
        <f t="shared" si="288"/>
        <v>12</v>
      </c>
      <c r="O994">
        <v>360.02450568394102</v>
      </c>
      <c r="P994" t="e">
        <f t="shared" si="289"/>
        <v>#DIV/0!</v>
      </c>
      <c r="Q994">
        <f t="shared" si="290"/>
        <v>0</v>
      </c>
      <c r="R994">
        <f t="shared" si="291"/>
        <v>741.9099431943954</v>
      </c>
      <c r="T994" t="e">
        <f t="shared" si="292"/>
        <v>#DIV/0!</v>
      </c>
      <c r="U994" t="e">
        <f t="shared" si="293"/>
        <v>#DIV/0!</v>
      </c>
      <c r="V994">
        <f t="shared" si="294"/>
        <v>0</v>
      </c>
      <c r="W994" t="e">
        <f t="shared" si="295"/>
        <v>#DIV/0!</v>
      </c>
    </row>
    <row r="995" spans="1:23" x14ac:dyDescent="0.55000000000000004">
      <c r="A995">
        <f t="shared" si="279"/>
        <v>96.099999999998815</v>
      </c>
      <c r="B995">
        <f t="shared" si="280"/>
        <v>0.316</v>
      </c>
      <c r="C995">
        <f t="shared" si="281"/>
        <v>-57.673913043477491</v>
      </c>
      <c r="D995">
        <v>361.43984551913201</v>
      </c>
      <c r="E995">
        <f t="shared" si="282"/>
        <v>0</v>
      </c>
      <c r="F995">
        <f t="shared" si="283"/>
        <v>4.8605058816845369E-2</v>
      </c>
      <c r="G995">
        <f t="shared" si="284"/>
        <v>39.513748498891111</v>
      </c>
      <c r="H995">
        <f t="shared" si="285"/>
        <v>0</v>
      </c>
      <c r="I995" s="1">
        <f t="shared" ref="I995:I1034" si="296">IF(G995=$C$14,0,$C$16*(H995)^$C$17)</f>
        <v>0</v>
      </c>
      <c r="J995">
        <f t="shared" si="286"/>
        <v>0</v>
      </c>
      <c r="K995">
        <f t="shared" si="287"/>
        <v>0</v>
      </c>
      <c r="L995" cm="1">
        <f t="array" ref="L995">IF(E995*J995=0,0,$C$21*INDEX([3]Sheet1!$C$4:$Q$23,MATCH(K995,[3]Sheet1!$B$4:$B$23,1),MATCH(D995,[3]Sheet1!$C$3:$Q$3,1))
+(K995-INDEX([3]Sheet1!$B$4:$B$23,MATCH(K995,[3]Sheet1!$B$4:$B$23,1),1))/(INDEX([3]Sheet1!$B$4:$B$23,MATCH(K995,[3]Sheet1!$B$4:$B$23,1)+1,1)-INDEX([3]Sheet1!$B$4:$B$23,
MATCH(K995,[3]Sheet1!$B$4:$B$23,1),1))*(INDEX([3]Sheet1!$C$4:$Q$23,MATCH(K995,[3]Sheet1!$B$4:$B$23,1)+1,MATCH(D995,[3]Sheet1!$C$3:$Q$3,1))-INDEX([3]Sheet1!$C$4:$Q$23,
MATCH(K995,[3]Sheet1!$B$4:$B$23,1),MATCH(D995,[3]Sheet1!$C$3:$Q$3,1)))
+(D995-INDEX([3]Sheet1!$C$3:$Q$3,1,MATCH(D995,[3]Sheet1!$C$3:$Q$3)))/(INDEX([3]Sheet1!$C$3:$Q$3,1,MATCH(D995,[3]Sheet1!$C$3:$Q$3)+1)-INDEX([3]Sheet1!$C$3:$Q$3,1,MATCH(
D995,[3]Sheet1!$C$3:$Q$3)))*(INDEX([3]Sheet1!$C$4:$Q$23,MATCH(K995,[3]Sheet1!$B$4:$B$23,1),MATCH(D995,[3]Sheet1!$C$3:$Q$3,1)+1)-INDEX([3]Sheet1!$C$4:$Q$23,MATCH(K995,[3]Sheet1!$B$4:$B$23,1),MATCH(D995,[3]Sheet1!$C$3:$Q$3,1))))</f>
        <v>0</v>
      </c>
      <c r="M995" cm="1">
        <f t="array" ref="M995" xml:space="preserve"> IF(E995*J995=0,0,(INDEX([2]Sheet1!$C$4:$Q$23,MATCH(K995,[2]Sheet1!$B$4:$B$23,1),MATCH(D995,[2]Sheet1!$C$3:$Q$3,1))
+ (K995 - INDEX([2]Sheet1!$B$4:$B$23,MATCH(K995,[2]Sheet1!$B$4:$B$23,1),1))/(INDEX([2]Sheet1!$B$4:$B$23,MATCH(K995,[2]Sheet1!$B$4:$B$23,1)+1,1) - INDEX([2]Sheet1!$B$4:$B$23,MATCH(K995,[2]Sheet1!$B$4:$B$23,1),1))*(INDEX([2]Sheet1!$C$4:$Q$23,MATCH(K995,[2]Sheet1!$B$4:$B$23,1)+1,MATCH(D995,[2]Sheet1!$C$3:$Q$3,1)) - INDEX([2]Sheet1!$C$4:$Q$23,MATCH(K995,[2]Sheet1!$B$4:$B$23,1),MATCH(D995,[2]Sheet1!$C$3:$Q$3,1)))
+ (D995 - INDEX([2]Sheet1!$C$3:$Q$3,1,MATCH(D995,[2]Sheet1!$C$3:$Q$3)))/(INDEX([2]Sheet1!$C$3:$Q$3,1,MATCH(D995,[2]Sheet1!$C$3:$Q$3)+1) - INDEX([2]Sheet1!$C$3:$Q$3,1,MATCH(D995,[2]Sheet1!$C$3:$Q$3)))*(
INDEX([2]Sheet1!$C$4:$Q$23,MATCH(K995,[2]Sheet1!$B$4:$B$23,1),MATCH(D995,[2]Sheet1!$C$3:$Q$3,1)+1) - INDEX([2]Sheet1!$C$4:$Q$23,MATCH(K995,[2]Sheet1!$B$4:$B$23,1),MATCH(D995,[2]Sheet1!$C$3:$Q$3,1)))))</f>
        <v>0</v>
      </c>
      <c r="N995">
        <f t="shared" si="288"/>
        <v>12</v>
      </c>
      <c r="O995">
        <v>361.02450568394102</v>
      </c>
      <c r="P995" t="e">
        <f t="shared" si="289"/>
        <v>#DIV/0!</v>
      </c>
      <c r="Q995">
        <f t="shared" si="290"/>
        <v>0</v>
      </c>
      <c r="R995">
        <f t="shared" si="291"/>
        <v>741.9099431943954</v>
      </c>
      <c r="T995" t="e">
        <f t="shared" si="292"/>
        <v>#DIV/0!</v>
      </c>
      <c r="U995" t="e">
        <f t="shared" si="293"/>
        <v>#DIV/0!</v>
      </c>
      <c r="V995">
        <f t="shared" si="294"/>
        <v>0</v>
      </c>
      <c r="W995" t="e">
        <f t="shared" si="295"/>
        <v>#DIV/0!</v>
      </c>
    </row>
    <row r="996" spans="1:23" x14ac:dyDescent="0.55000000000000004">
      <c r="A996">
        <f t="shared" ref="A996:A1030" si="297">A995+$C$29</f>
        <v>96.199999999998809</v>
      </c>
      <c r="B996">
        <f t="shared" si="280"/>
        <v>0.316</v>
      </c>
      <c r="C996">
        <f t="shared" si="281"/>
        <v>-57.739130434781842</v>
      </c>
      <c r="D996">
        <v>362.43984551913201</v>
      </c>
      <c r="E996">
        <f t="shared" si="282"/>
        <v>0</v>
      </c>
      <c r="F996">
        <f t="shared" si="283"/>
        <v>4.8605058816845369E-2</v>
      </c>
      <c r="G996">
        <f t="shared" si="284"/>
        <v>39.513748498891111</v>
      </c>
      <c r="H996">
        <f t="shared" si="285"/>
        <v>0</v>
      </c>
      <c r="I996" s="1">
        <f t="shared" si="296"/>
        <v>0</v>
      </c>
      <c r="J996">
        <f t="shared" si="286"/>
        <v>0</v>
      </c>
      <c r="K996">
        <f t="shared" si="287"/>
        <v>0</v>
      </c>
      <c r="L996" cm="1">
        <f t="array" ref="L996">IF(E996*J996=0,0,$C$21*INDEX([3]Sheet1!$C$4:$Q$23,MATCH(K996,[3]Sheet1!$B$4:$B$23,1),MATCH(D996,[3]Sheet1!$C$3:$Q$3,1))
+(K996-INDEX([3]Sheet1!$B$4:$B$23,MATCH(K996,[3]Sheet1!$B$4:$B$23,1),1))/(INDEX([3]Sheet1!$B$4:$B$23,MATCH(K996,[3]Sheet1!$B$4:$B$23,1)+1,1)-INDEX([3]Sheet1!$B$4:$B$23,
MATCH(K996,[3]Sheet1!$B$4:$B$23,1),1))*(INDEX([3]Sheet1!$C$4:$Q$23,MATCH(K996,[3]Sheet1!$B$4:$B$23,1)+1,MATCH(D996,[3]Sheet1!$C$3:$Q$3,1))-INDEX([3]Sheet1!$C$4:$Q$23,
MATCH(K996,[3]Sheet1!$B$4:$B$23,1),MATCH(D996,[3]Sheet1!$C$3:$Q$3,1)))
+(D996-INDEX([3]Sheet1!$C$3:$Q$3,1,MATCH(D996,[3]Sheet1!$C$3:$Q$3)))/(INDEX([3]Sheet1!$C$3:$Q$3,1,MATCH(D996,[3]Sheet1!$C$3:$Q$3)+1)-INDEX([3]Sheet1!$C$3:$Q$3,1,MATCH(
D996,[3]Sheet1!$C$3:$Q$3)))*(INDEX([3]Sheet1!$C$4:$Q$23,MATCH(K996,[3]Sheet1!$B$4:$B$23,1),MATCH(D996,[3]Sheet1!$C$3:$Q$3,1)+1)-INDEX([3]Sheet1!$C$4:$Q$23,MATCH(K996,[3]Sheet1!$B$4:$B$23,1),MATCH(D996,[3]Sheet1!$C$3:$Q$3,1))))</f>
        <v>0</v>
      </c>
      <c r="M996" cm="1">
        <f t="array" ref="M996" xml:space="preserve"> IF(E996*J996=0,0,(INDEX([2]Sheet1!$C$4:$Q$23,MATCH(K996,[2]Sheet1!$B$4:$B$23,1),MATCH(D996,[2]Sheet1!$C$3:$Q$3,1))
+ (K996 - INDEX([2]Sheet1!$B$4:$B$23,MATCH(K996,[2]Sheet1!$B$4:$B$23,1),1))/(INDEX([2]Sheet1!$B$4:$B$23,MATCH(K996,[2]Sheet1!$B$4:$B$23,1)+1,1) - INDEX([2]Sheet1!$B$4:$B$23,MATCH(K996,[2]Sheet1!$B$4:$B$23,1),1))*(INDEX([2]Sheet1!$C$4:$Q$23,MATCH(K996,[2]Sheet1!$B$4:$B$23,1)+1,MATCH(D996,[2]Sheet1!$C$3:$Q$3,1)) - INDEX([2]Sheet1!$C$4:$Q$23,MATCH(K996,[2]Sheet1!$B$4:$B$23,1),MATCH(D996,[2]Sheet1!$C$3:$Q$3,1)))
+ (D996 - INDEX([2]Sheet1!$C$3:$Q$3,1,MATCH(D996,[2]Sheet1!$C$3:$Q$3)))/(INDEX([2]Sheet1!$C$3:$Q$3,1,MATCH(D996,[2]Sheet1!$C$3:$Q$3)+1) - INDEX([2]Sheet1!$C$3:$Q$3,1,MATCH(D996,[2]Sheet1!$C$3:$Q$3)))*(
INDEX([2]Sheet1!$C$4:$Q$23,MATCH(K996,[2]Sheet1!$B$4:$B$23,1),MATCH(D996,[2]Sheet1!$C$3:$Q$3,1)+1) - INDEX([2]Sheet1!$C$4:$Q$23,MATCH(K996,[2]Sheet1!$B$4:$B$23,1),MATCH(D996,[2]Sheet1!$C$3:$Q$3,1)))))</f>
        <v>0</v>
      </c>
      <c r="N996">
        <f t="shared" si="288"/>
        <v>12</v>
      </c>
      <c r="O996">
        <v>362.02450568394102</v>
      </c>
      <c r="P996" t="e">
        <f t="shared" si="289"/>
        <v>#DIV/0!</v>
      </c>
      <c r="Q996">
        <f t="shared" si="290"/>
        <v>0</v>
      </c>
      <c r="R996">
        <f t="shared" si="291"/>
        <v>741.9099431943954</v>
      </c>
      <c r="T996" t="e">
        <f t="shared" si="292"/>
        <v>#DIV/0!</v>
      </c>
      <c r="U996" t="e">
        <f t="shared" si="293"/>
        <v>#DIV/0!</v>
      </c>
      <c r="V996">
        <f t="shared" si="294"/>
        <v>0</v>
      </c>
      <c r="W996" t="e">
        <f t="shared" si="295"/>
        <v>#DIV/0!</v>
      </c>
    </row>
    <row r="997" spans="1:23" x14ac:dyDescent="0.55000000000000004">
      <c r="A997">
        <f t="shared" si="297"/>
        <v>96.299999999998803</v>
      </c>
      <c r="B997">
        <f t="shared" si="280"/>
        <v>0.316</v>
      </c>
      <c r="C997">
        <f t="shared" si="281"/>
        <v>-57.804347826086179</v>
      </c>
      <c r="D997">
        <v>363.43984551913201</v>
      </c>
      <c r="E997">
        <f t="shared" si="282"/>
        <v>0</v>
      </c>
      <c r="F997">
        <f t="shared" si="283"/>
        <v>4.8605058816845369E-2</v>
      </c>
      <c r="G997">
        <f t="shared" si="284"/>
        <v>39.513748498891111</v>
      </c>
      <c r="H997">
        <f t="shared" si="285"/>
        <v>0</v>
      </c>
      <c r="I997" s="1">
        <f t="shared" si="296"/>
        <v>0</v>
      </c>
      <c r="J997">
        <f t="shared" si="286"/>
        <v>0</v>
      </c>
      <c r="K997">
        <f t="shared" si="287"/>
        <v>0</v>
      </c>
      <c r="L997" cm="1">
        <f t="array" ref="L997">IF(E997*J997=0,0,$C$21*INDEX([3]Sheet1!$C$4:$Q$23,MATCH(K997,[3]Sheet1!$B$4:$B$23,1),MATCH(D997,[3]Sheet1!$C$3:$Q$3,1))
+(K997-INDEX([3]Sheet1!$B$4:$B$23,MATCH(K997,[3]Sheet1!$B$4:$B$23,1),1))/(INDEX([3]Sheet1!$B$4:$B$23,MATCH(K997,[3]Sheet1!$B$4:$B$23,1)+1,1)-INDEX([3]Sheet1!$B$4:$B$23,
MATCH(K997,[3]Sheet1!$B$4:$B$23,1),1))*(INDEX([3]Sheet1!$C$4:$Q$23,MATCH(K997,[3]Sheet1!$B$4:$B$23,1)+1,MATCH(D997,[3]Sheet1!$C$3:$Q$3,1))-INDEX([3]Sheet1!$C$4:$Q$23,
MATCH(K997,[3]Sheet1!$B$4:$B$23,1),MATCH(D997,[3]Sheet1!$C$3:$Q$3,1)))
+(D997-INDEX([3]Sheet1!$C$3:$Q$3,1,MATCH(D997,[3]Sheet1!$C$3:$Q$3)))/(INDEX([3]Sheet1!$C$3:$Q$3,1,MATCH(D997,[3]Sheet1!$C$3:$Q$3)+1)-INDEX([3]Sheet1!$C$3:$Q$3,1,MATCH(
D997,[3]Sheet1!$C$3:$Q$3)))*(INDEX([3]Sheet1!$C$4:$Q$23,MATCH(K997,[3]Sheet1!$B$4:$B$23,1),MATCH(D997,[3]Sheet1!$C$3:$Q$3,1)+1)-INDEX([3]Sheet1!$C$4:$Q$23,MATCH(K997,[3]Sheet1!$B$4:$B$23,1),MATCH(D997,[3]Sheet1!$C$3:$Q$3,1))))</f>
        <v>0</v>
      </c>
      <c r="M997" cm="1">
        <f t="array" ref="M997" xml:space="preserve"> IF(E997*J997=0,0,(INDEX([2]Sheet1!$C$4:$Q$23,MATCH(K997,[2]Sheet1!$B$4:$B$23,1),MATCH(D997,[2]Sheet1!$C$3:$Q$3,1))
+ (K997 - INDEX([2]Sheet1!$B$4:$B$23,MATCH(K997,[2]Sheet1!$B$4:$B$23,1),1))/(INDEX([2]Sheet1!$B$4:$B$23,MATCH(K997,[2]Sheet1!$B$4:$B$23,1)+1,1) - INDEX([2]Sheet1!$B$4:$B$23,MATCH(K997,[2]Sheet1!$B$4:$B$23,1),1))*(INDEX([2]Sheet1!$C$4:$Q$23,MATCH(K997,[2]Sheet1!$B$4:$B$23,1)+1,MATCH(D997,[2]Sheet1!$C$3:$Q$3,1)) - INDEX([2]Sheet1!$C$4:$Q$23,MATCH(K997,[2]Sheet1!$B$4:$B$23,1),MATCH(D997,[2]Sheet1!$C$3:$Q$3,1)))
+ (D997 - INDEX([2]Sheet1!$C$3:$Q$3,1,MATCH(D997,[2]Sheet1!$C$3:$Q$3)))/(INDEX([2]Sheet1!$C$3:$Q$3,1,MATCH(D997,[2]Sheet1!$C$3:$Q$3)+1) - INDEX([2]Sheet1!$C$3:$Q$3,1,MATCH(D997,[2]Sheet1!$C$3:$Q$3)))*(
INDEX([2]Sheet1!$C$4:$Q$23,MATCH(K997,[2]Sheet1!$B$4:$B$23,1),MATCH(D997,[2]Sheet1!$C$3:$Q$3,1)+1) - INDEX([2]Sheet1!$C$4:$Q$23,MATCH(K997,[2]Sheet1!$B$4:$B$23,1),MATCH(D997,[2]Sheet1!$C$3:$Q$3,1)))))</f>
        <v>0</v>
      </c>
      <c r="N997">
        <f t="shared" si="288"/>
        <v>12</v>
      </c>
      <c r="O997">
        <v>363.02450568394102</v>
      </c>
      <c r="P997" t="e">
        <f t="shared" si="289"/>
        <v>#DIV/0!</v>
      </c>
      <c r="Q997">
        <f t="shared" si="290"/>
        <v>0</v>
      </c>
      <c r="R997">
        <f t="shared" si="291"/>
        <v>741.9099431943954</v>
      </c>
      <c r="T997" t="e">
        <f t="shared" si="292"/>
        <v>#DIV/0!</v>
      </c>
      <c r="U997" t="e">
        <f t="shared" si="293"/>
        <v>#DIV/0!</v>
      </c>
      <c r="V997">
        <f t="shared" si="294"/>
        <v>0</v>
      </c>
      <c r="W997" t="e">
        <f t="shared" si="295"/>
        <v>#DIV/0!</v>
      </c>
    </row>
    <row r="998" spans="1:23" x14ac:dyDescent="0.55000000000000004">
      <c r="A998">
        <f t="shared" si="297"/>
        <v>96.399999999998798</v>
      </c>
      <c r="B998">
        <f t="shared" ref="B998:B1034" si="298">IF(B997+(E997+E996)*(A997-A996)/2&lt;$C$5*$C$6*10^-6,B997+(E997+E996)*(A997-A996)/2,$C$5*$C$6*10^-6)</f>
        <v>0.316</v>
      </c>
      <c r="C998">
        <f t="shared" si="281"/>
        <v>-57.86956521739053</v>
      </c>
      <c r="D998">
        <v>364.43984551913201</v>
      </c>
      <c r="E998">
        <f t="shared" si="282"/>
        <v>0</v>
      </c>
      <c r="F998">
        <f t="shared" si="283"/>
        <v>4.8605058816845369E-2</v>
      </c>
      <c r="G998">
        <f t="shared" si="284"/>
        <v>39.513748498891111</v>
      </c>
      <c r="H998">
        <f t="shared" si="285"/>
        <v>0</v>
      </c>
      <c r="I998" s="1">
        <f t="shared" si="296"/>
        <v>0</v>
      </c>
      <c r="J998">
        <f t="shared" si="286"/>
        <v>0</v>
      </c>
      <c r="K998">
        <f t="shared" si="287"/>
        <v>0</v>
      </c>
      <c r="L998" cm="1">
        <f t="array" ref="L998">IF(E998*J998=0,0,$C$21*INDEX([3]Sheet1!$C$4:$Q$23,MATCH(K998,[3]Sheet1!$B$4:$B$23,1),MATCH(D998,[3]Sheet1!$C$3:$Q$3,1))
+(K998-INDEX([3]Sheet1!$B$4:$B$23,MATCH(K998,[3]Sheet1!$B$4:$B$23,1),1))/(INDEX([3]Sheet1!$B$4:$B$23,MATCH(K998,[3]Sheet1!$B$4:$B$23,1)+1,1)-INDEX([3]Sheet1!$B$4:$B$23,
MATCH(K998,[3]Sheet1!$B$4:$B$23,1),1))*(INDEX([3]Sheet1!$C$4:$Q$23,MATCH(K998,[3]Sheet1!$B$4:$B$23,1)+1,MATCH(D998,[3]Sheet1!$C$3:$Q$3,1))-INDEX([3]Sheet1!$C$4:$Q$23,
MATCH(K998,[3]Sheet1!$B$4:$B$23,1),MATCH(D998,[3]Sheet1!$C$3:$Q$3,1)))
+(D998-INDEX([3]Sheet1!$C$3:$Q$3,1,MATCH(D998,[3]Sheet1!$C$3:$Q$3)))/(INDEX([3]Sheet1!$C$3:$Q$3,1,MATCH(D998,[3]Sheet1!$C$3:$Q$3)+1)-INDEX([3]Sheet1!$C$3:$Q$3,1,MATCH(
D998,[3]Sheet1!$C$3:$Q$3)))*(INDEX([3]Sheet1!$C$4:$Q$23,MATCH(K998,[3]Sheet1!$B$4:$B$23,1),MATCH(D998,[3]Sheet1!$C$3:$Q$3,1)+1)-INDEX([3]Sheet1!$C$4:$Q$23,MATCH(K998,[3]Sheet1!$B$4:$B$23,1),MATCH(D998,[3]Sheet1!$C$3:$Q$3,1))))</f>
        <v>0</v>
      </c>
      <c r="M998" cm="1">
        <f t="array" ref="M998" xml:space="preserve"> IF(E998*J998=0,0,(INDEX([2]Sheet1!$C$4:$Q$23,MATCH(K998,[2]Sheet1!$B$4:$B$23,1),MATCH(D998,[2]Sheet1!$C$3:$Q$3,1))
+ (K998 - INDEX([2]Sheet1!$B$4:$B$23,MATCH(K998,[2]Sheet1!$B$4:$B$23,1),1))/(INDEX([2]Sheet1!$B$4:$B$23,MATCH(K998,[2]Sheet1!$B$4:$B$23,1)+1,1) - INDEX([2]Sheet1!$B$4:$B$23,MATCH(K998,[2]Sheet1!$B$4:$B$23,1),1))*(INDEX([2]Sheet1!$C$4:$Q$23,MATCH(K998,[2]Sheet1!$B$4:$B$23,1)+1,MATCH(D998,[2]Sheet1!$C$3:$Q$3,1)) - INDEX([2]Sheet1!$C$4:$Q$23,MATCH(K998,[2]Sheet1!$B$4:$B$23,1),MATCH(D998,[2]Sheet1!$C$3:$Q$3,1)))
+ (D998 - INDEX([2]Sheet1!$C$3:$Q$3,1,MATCH(D998,[2]Sheet1!$C$3:$Q$3)))/(INDEX([2]Sheet1!$C$3:$Q$3,1,MATCH(D998,[2]Sheet1!$C$3:$Q$3)+1) - INDEX([2]Sheet1!$C$3:$Q$3,1,MATCH(D998,[2]Sheet1!$C$3:$Q$3)))*(
INDEX([2]Sheet1!$C$4:$Q$23,MATCH(K998,[2]Sheet1!$B$4:$B$23,1),MATCH(D998,[2]Sheet1!$C$3:$Q$3,1)+1) - INDEX([2]Sheet1!$C$4:$Q$23,MATCH(K998,[2]Sheet1!$B$4:$B$23,1),MATCH(D998,[2]Sheet1!$C$3:$Q$3,1)))))</f>
        <v>0</v>
      </c>
      <c r="N998">
        <f t="shared" si="288"/>
        <v>12</v>
      </c>
      <c r="O998">
        <v>364.02450568394102</v>
      </c>
      <c r="P998" t="e">
        <f t="shared" si="289"/>
        <v>#DIV/0!</v>
      </c>
      <c r="Q998">
        <f t="shared" si="290"/>
        <v>0</v>
      </c>
      <c r="R998">
        <f t="shared" si="291"/>
        <v>741.9099431943954</v>
      </c>
      <c r="T998" t="e">
        <f t="shared" si="292"/>
        <v>#DIV/0!</v>
      </c>
      <c r="U998" t="e">
        <f t="shared" si="293"/>
        <v>#DIV/0!</v>
      </c>
      <c r="V998">
        <f t="shared" si="294"/>
        <v>0</v>
      </c>
      <c r="W998" t="e">
        <f t="shared" si="295"/>
        <v>#DIV/0!</v>
      </c>
    </row>
    <row r="999" spans="1:23" x14ac:dyDescent="0.55000000000000004">
      <c r="A999">
        <f t="shared" si="297"/>
        <v>96.499999999998792</v>
      </c>
      <c r="B999">
        <f t="shared" si="298"/>
        <v>0.316</v>
      </c>
      <c r="C999">
        <f t="shared" si="281"/>
        <v>-57.934782608694867</v>
      </c>
      <c r="D999">
        <v>365.43984551913201</v>
      </c>
      <c r="E999">
        <f t="shared" si="282"/>
        <v>0</v>
      </c>
      <c r="F999">
        <f t="shared" si="283"/>
        <v>4.8605058816845369E-2</v>
      </c>
      <c r="G999">
        <f t="shared" si="284"/>
        <v>39.513748498891111</v>
      </c>
      <c r="H999">
        <f t="shared" si="285"/>
        <v>0</v>
      </c>
      <c r="I999" s="1">
        <f t="shared" si="296"/>
        <v>0</v>
      </c>
      <c r="J999">
        <f t="shared" si="286"/>
        <v>0</v>
      </c>
      <c r="K999">
        <f t="shared" si="287"/>
        <v>0</v>
      </c>
      <c r="L999" cm="1">
        <f t="array" ref="L999">IF(E999*J999=0,0,$C$21*INDEX([3]Sheet1!$C$4:$Q$23,MATCH(K999,[3]Sheet1!$B$4:$B$23,1),MATCH(D999,[3]Sheet1!$C$3:$Q$3,1))
+(K999-INDEX([3]Sheet1!$B$4:$B$23,MATCH(K999,[3]Sheet1!$B$4:$B$23,1),1))/(INDEX([3]Sheet1!$B$4:$B$23,MATCH(K999,[3]Sheet1!$B$4:$B$23,1)+1,1)-INDEX([3]Sheet1!$B$4:$B$23,
MATCH(K999,[3]Sheet1!$B$4:$B$23,1),1))*(INDEX([3]Sheet1!$C$4:$Q$23,MATCH(K999,[3]Sheet1!$B$4:$B$23,1)+1,MATCH(D999,[3]Sheet1!$C$3:$Q$3,1))-INDEX([3]Sheet1!$C$4:$Q$23,
MATCH(K999,[3]Sheet1!$B$4:$B$23,1),MATCH(D999,[3]Sheet1!$C$3:$Q$3,1)))
+(D999-INDEX([3]Sheet1!$C$3:$Q$3,1,MATCH(D999,[3]Sheet1!$C$3:$Q$3)))/(INDEX([3]Sheet1!$C$3:$Q$3,1,MATCH(D999,[3]Sheet1!$C$3:$Q$3)+1)-INDEX([3]Sheet1!$C$3:$Q$3,1,MATCH(
D999,[3]Sheet1!$C$3:$Q$3)))*(INDEX([3]Sheet1!$C$4:$Q$23,MATCH(K999,[3]Sheet1!$B$4:$B$23,1),MATCH(D999,[3]Sheet1!$C$3:$Q$3,1)+1)-INDEX([3]Sheet1!$C$4:$Q$23,MATCH(K999,[3]Sheet1!$B$4:$B$23,1),MATCH(D999,[3]Sheet1!$C$3:$Q$3,1))))</f>
        <v>0</v>
      </c>
      <c r="M999" cm="1">
        <f t="array" ref="M999" xml:space="preserve"> IF(E999*J999=0,0,(INDEX([2]Sheet1!$C$4:$Q$23,MATCH(K999,[2]Sheet1!$B$4:$B$23,1),MATCH(D999,[2]Sheet1!$C$3:$Q$3,1))
+ (K999 - INDEX([2]Sheet1!$B$4:$B$23,MATCH(K999,[2]Sheet1!$B$4:$B$23,1),1))/(INDEX([2]Sheet1!$B$4:$B$23,MATCH(K999,[2]Sheet1!$B$4:$B$23,1)+1,1) - INDEX([2]Sheet1!$B$4:$B$23,MATCH(K999,[2]Sheet1!$B$4:$B$23,1),1))*(INDEX([2]Sheet1!$C$4:$Q$23,MATCH(K999,[2]Sheet1!$B$4:$B$23,1)+1,MATCH(D999,[2]Sheet1!$C$3:$Q$3,1)) - INDEX([2]Sheet1!$C$4:$Q$23,MATCH(K999,[2]Sheet1!$B$4:$B$23,1),MATCH(D999,[2]Sheet1!$C$3:$Q$3,1)))
+ (D999 - INDEX([2]Sheet1!$C$3:$Q$3,1,MATCH(D999,[2]Sheet1!$C$3:$Q$3)))/(INDEX([2]Sheet1!$C$3:$Q$3,1,MATCH(D999,[2]Sheet1!$C$3:$Q$3)+1) - INDEX([2]Sheet1!$C$3:$Q$3,1,MATCH(D999,[2]Sheet1!$C$3:$Q$3)))*(
INDEX([2]Sheet1!$C$4:$Q$23,MATCH(K999,[2]Sheet1!$B$4:$B$23,1),MATCH(D999,[2]Sheet1!$C$3:$Q$3,1)+1) - INDEX([2]Sheet1!$C$4:$Q$23,MATCH(K999,[2]Sheet1!$B$4:$B$23,1),MATCH(D999,[2]Sheet1!$C$3:$Q$3,1)))))</f>
        <v>0</v>
      </c>
      <c r="N999">
        <f t="shared" si="288"/>
        <v>12</v>
      </c>
      <c r="O999">
        <v>365.02450568394102</v>
      </c>
      <c r="P999" t="e">
        <f t="shared" si="289"/>
        <v>#DIV/0!</v>
      </c>
      <c r="Q999">
        <f t="shared" si="290"/>
        <v>0</v>
      </c>
      <c r="R999">
        <f t="shared" si="291"/>
        <v>741.9099431943954</v>
      </c>
      <c r="T999" t="e">
        <f t="shared" si="292"/>
        <v>#DIV/0!</v>
      </c>
      <c r="U999" t="e">
        <f t="shared" si="293"/>
        <v>#DIV/0!</v>
      </c>
      <c r="V999">
        <f t="shared" si="294"/>
        <v>0</v>
      </c>
      <c r="W999" t="e">
        <f t="shared" si="295"/>
        <v>#DIV/0!</v>
      </c>
    </row>
    <row r="1000" spans="1:23" x14ac:dyDescent="0.55000000000000004">
      <c r="A1000">
        <f t="shared" si="297"/>
        <v>96.599999999998786</v>
      </c>
      <c r="B1000">
        <f t="shared" si="298"/>
        <v>0.316</v>
      </c>
      <c r="C1000">
        <f t="shared" si="281"/>
        <v>-57.999999999999218</v>
      </c>
      <c r="D1000">
        <v>366.43984551913201</v>
      </c>
      <c r="E1000">
        <f t="shared" si="282"/>
        <v>0</v>
      </c>
      <c r="F1000">
        <f t="shared" si="283"/>
        <v>4.8605058816845369E-2</v>
      </c>
      <c r="G1000">
        <f t="shared" si="284"/>
        <v>39.513748498891111</v>
      </c>
      <c r="H1000">
        <f t="shared" si="285"/>
        <v>0</v>
      </c>
      <c r="I1000" s="1">
        <f t="shared" si="296"/>
        <v>0</v>
      </c>
      <c r="J1000">
        <f t="shared" si="286"/>
        <v>0</v>
      </c>
      <c r="K1000">
        <f t="shared" si="287"/>
        <v>0</v>
      </c>
      <c r="L1000" cm="1">
        <f t="array" ref="L1000">IF(E1000*J1000=0,0,$C$21*INDEX([3]Sheet1!$C$4:$Q$23,MATCH(K1000,[3]Sheet1!$B$4:$B$23,1),MATCH(D1000,[3]Sheet1!$C$3:$Q$3,1))
+(K1000-INDEX([3]Sheet1!$B$4:$B$23,MATCH(K1000,[3]Sheet1!$B$4:$B$23,1),1))/(INDEX([3]Sheet1!$B$4:$B$23,MATCH(K1000,[3]Sheet1!$B$4:$B$23,1)+1,1)-INDEX([3]Sheet1!$B$4:$B$23,
MATCH(K1000,[3]Sheet1!$B$4:$B$23,1),1))*(INDEX([3]Sheet1!$C$4:$Q$23,MATCH(K1000,[3]Sheet1!$B$4:$B$23,1)+1,MATCH(D1000,[3]Sheet1!$C$3:$Q$3,1))-INDEX([3]Sheet1!$C$4:$Q$23,
MATCH(K1000,[3]Sheet1!$B$4:$B$23,1),MATCH(D1000,[3]Sheet1!$C$3:$Q$3,1)))
+(D1000-INDEX([3]Sheet1!$C$3:$Q$3,1,MATCH(D1000,[3]Sheet1!$C$3:$Q$3)))/(INDEX([3]Sheet1!$C$3:$Q$3,1,MATCH(D1000,[3]Sheet1!$C$3:$Q$3)+1)-INDEX([3]Sheet1!$C$3:$Q$3,1,MATCH(
D1000,[3]Sheet1!$C$3:$Q$3)))*(INDEX([3]Sheet1!$C$4:$Q$23,MATCH(K1000,[3]Sheet1!$B$4:$B$23,1),MATCH(D1000,[3]Sheet1!$C$3:$Q$3,1)+1)-INDEX([3]Sheet1!$C$4:$Q$23,MATCH(K1000,[3]Sheet1!$B$4:$B$23,1),MATCH(D1000,[3]Sheet1!$C$3:$Q$3,1))))</f>
        <v>0</v>
      </c>
      <c r="M1000" cm="1">
        <f t="array" ref="M1000" xml:space="preserve"> IF(E1000*J1000=0,0,(INDEX([2]Sheet1!$C$4:$Q$23,MATCH(K1000,[2]Sheet1!$B$4:$B$23,1),MATCH(D1000,[2]Sheet1!$C$3:$Q$3,1))
+ (K1000 - INDEX([2]Sheet1!$B$4:$B$23,MATCH(K1000,[2]Sheet1!$B$4:$B$23,1),1))/(INDEX([2]Sheet1!$B$4:$B$23,MATCH(K1000,[2]Sheet1!$B$4:$B$23,1)+1,1) - INDEX([2]Sheet1!$B$4:$B$23,MATCH(K1000,[2]Sheet1!$B$4:$B$23,1),1))*(INDEX([2]Sheet1!$C$4:$Q$23,MATCH(K1000,[2]Sheet1!$B$4:$B$23,1)+1,MATCH(D1000,[2]Sheet1!$C$3:$Q$3,1)) - INDEX([2]Sheet1!$C$4:$Q$23,MATCH(K1000,[2]Sheet1!$B$4:$B$23,1),MATCH(D1000,[2]Sheet1!$C$3:$Q$3,1)))
+ (D1000 - INDEX([2]Sheet1!$C$3:$Q$3,1,MATCH(D1000,[2]Sheet1!$C$3:$Q$3)))/(INDEX([2]Sheet1!$C$3:$Q$3,1,MATCH(D1000,[2]Sheet1!$C$3:$Q$3)+1) - INDEX([2]Sheet1!$C$3:$Q$3,1,MATCH(D1000,[2]Sheet1!$C$3:$Q$3)))*(
INDEX([2]Sheet1!$C$4:$Q$23,MATCH(K1000,[2]Sheet1!$B$4:$B$23,1),MATCH(D1000,[2]Sheet1!$C$3:$Q$3,1)+1) - INDEX([2]Sheet1!$C$4:$Q$23,MATCH(K1000,[2]Sheet1!$B$4:$B$23,1),MATCH(D1000,[2]Sheet1!$C$3:$Q$3,1)))))</f>
        <v>0</v>
      </c>
      <c r="N1000">
        <f t="shared" si="288"/>
        <v>12</v>
      </c>
      <c r="O1000">
        <v>366.02450568394102</v>
      </c>
      <c r="P1000" t="e">
        <f t="shared" si="289"/>
        <v>#DIV/0!</v>
      </c>
      <c r="Q1000">
        <f t="shared" si="290"/>
        <v>0</v>
      </c>
      <c r="R1000">
        <f t="shared" si="291"/>
        <v>741.9099431943954</v>
      </c>
      <c r="T1000" t="e">
        <f t="shared" si="292"/>
        <v>#DIV/0!</v>
      </c>
      <c r="U1000" t="e">
        <f t="shared" si="293"/>
        <v>#DIV/0!</v>
      </c>
      <c r="V1000">
        <f t="shared" si="294"/>
        <v>0</v>
      </c>
      <c r="W1000" t="e">
        <f t="shared" si="295"/>
        <v>#DIV/0!</v>
      </c>
    </row>
    <row r="1001" spans="1:23" x14ac:dyDescent="0.55000000000000004">
      <c r="A1001">
        <f t="shared" si="297"/>
        <v>96.699999999998781</v>
      </c>
      <c r="B1001">
        <f t="shared" si="298"/>
        <v>0.316</v>
      </c>
      <c r="C1001">
        <f t="shared" si="281"/>
        <v>-58.065217391303555</v>
      </c>
      <c r="D1001">
        <v>367.43984551913201</v>
      </c>
      <c r="E1001">
        <f t="shared" si="282"/>
        <v>0</v>
      </c>
      <c r="F1001">
        <f t="shared" si="283"/>
        <v>4.8605058816845369E-2</v>
      </c>
      <c r="G1001">
        <f t="shared" si="284"/>
        <v>39.513748498891111</v>
      </c>
      <c r="H1001">
        <f t="shared" si="285"/>
        <v>0</v>
      </c>
      <c r="I1001" s="1">
        <f t="shared" si="296"/>
        <v>0</v>
      </c>
      <c r="J1001">
        <f t="shared" si="286"/>
        <v>0</v>
      </c>
      <c r="K1001">
        <f t="shared" si="287"/>
        <v>0</v>
      </c>
      <c r="L1001" cm="1">
        <f t="array" ref="L1001">IF(E1001*J1001=0,0,$C$21*INDEX([3]Sheet1!$C$4:$Q$23,MATCH(K1001,[3]Sheet1!$B$4:$B$23,1),MATCH(D1001,[3]Sheet1!$C$3:$Q$3,1))
+(K1001-INDEX([3]Sheet1!$B$4:$B$23,MATCH(K1001,[3]Sheet1!$B$4:$B$23,1),1))/(INDEX([3]Sheet1!$B$4:$B$23,MATCH(K1001,[3]Sheet1!$B$4:$B$23,1)+1,1)-INDEX([3]Sheet1!$B$4:$B$23,
MATCH(K1001,[3]Sheet1!$B$4:$B$23,1),1))*(INDEX([3]Sheet1!$C$4:$Q$23,MATCH(K1001,[3]Sheet1!$B$4:$B$23,1)+1,MATCH(D1001,[3]Sheet1!$C$3:$Q$3,1))-INDEX([3]Sheet1!$C$4:$Q$23,
MATCH(K1001,[3]Sheet1!$B$4:$B$23,1),MATCH(D1001,[3]Sheet1!$C$3:$Q$3,1)))
+(D1001-INDEX([3]Sheet1!$C$3:$Q$3,1,MATCH(D1001,[3]Sheet1!$C$3:$Q$3)))/(INDEX([3]Sheet1!$C$3:$Q$3,1,MATCH(D1001,[3]Sheet1!$C$3:$Q$3)+1)-INDEX([3]Sheet1!$C$3:$Q$3,1,MATCH(
D1001,[3]Sheet1!$C$3:$Q$3)))*(INDEX([3]Sheet1!$C$4:$Q$23,MATCH(K1001,[3]Sheet1!$B$4:$B$23,1),MATCH(D1001,[3]Sheet1!$C$3:$Q$3,1)+1)-INDEX([3]Sheet1!$C$4:$Q$23,MATCH(K1001,[3]Sheet1!$B$4:$B$23,1),MATCH(D1001,[3]Sheet1!$C$3:$Q$3,1))))</f>
        <v>0</v>
      </c>
      <c r="M1001" cm="1">
        <f t="array" ref="M1001" xml:space="preserve"> IF(E1001*J1001=0,0,(INDEX([2]Sheet1!$C$4:$Q$23,MATCH(K1001,[2]Sheet1!$B$4:$B$23,1),MATCH(D1001,[2]Sheet1!$C$3:$Q$3,1))
+ (K1001 - INDEX([2]Sheet1!$B$4:$B$23,MATCH(K1001,[2]Sheet1!$B$4:$B$23,1),1))/(INDEX([2]Sheet1!$B$4:$B$23,MATCH(K1001,[2]Sheet1!$B$4:$B$23,1)+1,1) - INDEX([2]Sheet1!$B$4:$B$23,MATCH(K1001,[2]Sheet1!$B$4:$B$23,1),1))*(INDEX([2]Sheet1!$C$4:$Q$23,MATCH(K1001,[2]Sheet1!$B$4:$B$23,1)+1,MATCH(D1001,[2]Sheet1!$C$3:$Q$3,1)) - INDEX([2]Sheet1!$C$4:$Q$23,MATCH(K1001,[2]Sheet1!$B$4:$B$23,1),MATCH(D1001,[2]Sheet1!$C$3:$Q$3,1)))
+ (D1001 - INDEX([2]Sheet1!$C$3:$Q$3,1,MATCH(D1001,[2]Sheet1!$C$3:$Q$3)))/(INDEX([2]Sheet1!$C$3:$Q$3,1,MATCH(D1001,[2]Sheet1!$C$3:$Q$3)+1) - INDEX([2]Sheet1!$C$3:$Q$3,1,MATCH(D1001,[2]Sheet1!$C$3:$Q$3)))*(
INDEX([2]Sheet1!$C$4:$Q$23,MATCH(K1001,[2]Sheet1!$B$4:$B$23,1),MATCH(D1001,[2]Sheet1!$C$3:$Q$3,1)+1) - INDEX([2]Sheet1!$C$4:$Q$23,MATCH(K1001,[2]Sheet1!$B$4:$B$23,1),MATCH(D1001,[2]Sheet1!$C$3:$Q$3,1)))))</f>
        <v>0</v>
      </c>
      <c r="N1001">
        <f t="shared" si="288"/>
        <v>12</v>
      </c>
      <c r="O1001">
        <v>367.02450568394102</v>
      </c>
      <c r="P1001" t="e">
        <f t="shared" si="289"/>
        <v>#DIV/0!</v>
      </c>
      <c r="Q1001">
        <f t="shared" si="290"/>
        <v>0</v>
      </c>
      <c r="R1001">
        <f t="shared" si="291"/>
        <v>741.9099431943954</v>
      </c>
      <c r="T1001" t="e">
        <f t="shared" si="292"/>
        <v>#DIV/0!</v>
      </c>
      <c r="U1001" t="e">
        <f t="shared" si="293"/>
        <v>#DIV/0!</v>
      </c>
      <c r="V1001">
        <f t="shared" si="294"/>
        <v>0</v>
      </c>
      <c r="W1001" t="e">
        <f t="shared" si="295"/>
        <v>#DIV/0!</v>
      </c>
    </row>
    <row r="1002" spans="1:23" x14ac:dyDescent="0.55000000000000004">
      <c r="A1002">
        <f t="shared" si="297"/>
        <v>96.799999999998775</v>
      </c>
      <c r="B1002">
        <f t="shared" si="298"/>
        <v>0.316</v>
      </c>
      <c r="C1002">
        <f t="shared" si="281"/>
        <v>-58.130434782607907</v>
      </c>
      <c r="D1002">
        <v>368.43984551913201</v>
      </c>
      <c r="E1002">
        <f t="shared" si="282"/>
        <v>0</v>
      </c>
      <c r="F1002">
        <f t="shared" si="283"/>
        <v>4.8605058816845369E-2</v>
      </c>
      <c r="G1002">
        <f t="shared" si="284"/>
        <v>39.513748498891111</v>
      </c>
      <c r="H1002">
        <f t="shared" si="285"/>
        <v>0</v>
      </c>
      <c r="I1002" s="1">
        <f t="shared" si="296"/>
        <v>0</v>
      </c>
      <c r="J1002">
        <f t="shared" si="286"/>
        <v>0</v>
      </c>
      <c r="K1002">
        <f t="shared" si="287"/>
        <v>0</v>
      </c>
      <c r="L1002" cm="1">
        <f t="array" ref="L1002">IF(E1002*J1002=0,0,$C$21*INDEX([3]Sheet1!$C$4:$Q$23,MATCH(K1002,[3]Sheet1!$B$4:$B$23,1),MATCH(D1002,[3]Sheet1!$C$3:$Q$3,1))
+(K1002-INDEX([3]Sheet1!$B$4:$B$23,MATCH(K1002,[3]Sheet1!$B$4:$B$23,1),1))/(INDEX([3]Sheet1!$B$4:$B$23,MATCH(K1002,[3]Sheet1!$B$4:$B$23,1)+1,1)-INDEX([3]Sheet1!$B$4:$B$23,
MATCH(K1002,[3]Sheet1!$B$4:$B$23,1),1))*(INDEX([3]Sheet1!$C$4:$Q$23,MATCH(K1002,[3]Sheet1!$B$4:$B$23,1)+1,MATCH(D1002,[3]Sheet1!$C$3:$Q$3,1))-INDEX([3]Sheet1!$C$4:$Q$23,
MATCH(K1002,[3]Sheet1!$B$4:$B$23,1),MATCH(D1002,[3]Sheet1!$C$3:$Q$3,1)))
+(D1002-INDEX([3]Sheet1!$C$3:$Q$3,1,MATCH(D1002,[3]Sheet1!$C$3:$Q$3)))/(INDEX([3]Sheet1!$C$3:$Q$3,1,MATCH(D1002,[3]Sheet1!$C$3:$Q$3)+1)-INDEX([3]Sheet1!$C$3:$Q$3,1,MATCH(
D1002,[3]Sheet1!$C$3:$Q$3)))*(INDEX([3]Sheet1!$C$4:$Q$23,MATCH(K1002,[3]Sheet1!$B$4:$B$23,1),MATCH(D1002,[3]Sheet1!$C$3:$Q$3,1)+1)-INDEX([3]Sheet1!$C$4:$Q$23,MATCH(K1002,[3]Sheet1!$B$4:$B$23,1),MATCH(D1002,[3]Sheet1!$C$3:$Q$3,1))))</f>
        <v>0</v>
      </c>
      <c r="M1002" cm="1">
        <f t="array" ref="M1002" xml:space="preserve"> IF(E1002*J1002=0,0,(INDEX([2]Sheet1!$C$4:$Q$23,MATCH(K1002,[2]Sheet1!$B$4:$B$23,1),MATCH(D1002,[2]Sheet1!$C$3:$Q$3,1))
+ (K1002 - INDEX([2]Sheet1!$B$4:$B$23,MATCH(K1002,[2]Sheet1!$B$4:$B$23,1),1))/(INDEX([2]Sheet1!$B$4:$B$23,MATCH(K1002,[2]Sheet1!$B$4:$B$23,1)+1,1) - INDEX([2]Sheet1!$B$4:$B$23,MATCH(K1002,[2]Sheet1!$B$4:$B$23,1),1))*(INDEX([2]Sheet1!$C$4:$Q$23,MATCH(K1002,[2]Sheet1!$B$4:$B$23,1)+1,MATCH(D1002,[2]Sheet1!$C$3:$Q$3,1)) - INDEX([2]Sheet1!$C$4:$Q$23,MATCH(K1002,[2]Sheet1!$B$4:$B$23,1),MATCH(D1002,[2]Sheet1!$C$3:$Q$3,1)))
+ (D1002 - INDEX([2]Sheet1!$C$3:$Q$3,1,MATCH(D1002,[2]Sheet1!$C$3:$Q$3)))/(INDEX([2]Sheet1!$C$3:$Q$3,1,MATCH(D1002,[2]Sheet1!$C$3:$Q$3)+1) - INDEX([2]Sheet1!$C$3:$Q$3,1,MATCH(D1002,[2]Sheet1!$C$3:$Q$3)))*(
INDEX([2]Sheet1!$C$4:$Q$23,MATCH(K1002,[2]Sheet1!$B$4:$B$23,1),MATCH(D1002,[2]Sheet1!$C$3:$Q$3,1)+1) - INDEX([2]Sheet1!$C$4:$Q$23,MATCH(K1002,[2]Sheet1!$B$4:$B$23,1),MATCH(D1002,[2]Sheet1!$C$3:$Q$3,1)))))</f>
        <v>0</v>
      </c>
      <c r="N1002">
        <f t="shared" si="288"/>
        <v>12</v>
      </c>
      <c r="O1002">
        <v>368.02450568394102</v>
      </c>
      <c r="P1002" t="e">
        <f t="shared" si="289"/>
        <v>#DIV/0!</v>
      </c>
      <c r="Q1002">
        <f t="shared" si="290"/>
        <v>0</v>
      </c>
      <c r="R1002">
        <f t="shared" si="291"/>
        <v>741.9099431943954</v>
      </c>
      <c r="T1002" t="e">
        <f t="shared" si="292"/>
        <v>#DIV/0!</v>
      </c>
      <c r="U1002" t="e">
        <f t="shared" si="293"/>
        <v>#DIV/0!</v>
      </c>
      <c r="V1002">
        <f t="shared" si="294"/>
        <v>0</v>
      </c>
      <c r="W1002" t="e">
        <f t="shared" si="295"/>
        <v>#DIV/0!</v>
      </c>
    </row>
    <row r="1003" spans="1:23" x14ac:dyDescent="0.55000000000000004">
      <c r="A1003">
        <f t="shared" si="297"/>
        <v>96.899999999998769</v>
      </c>
      <c r="B1003">
        <f t="shared" si="298"/>
        <v>0.316</v>
      </c>
      <c r="C1003">
        <f t="shared" si="281"/>
        <v>-58.195652173912244</v>
      </c>
      <c r="D1003">
        <v>369.43984551913201</v>
      </c>
      <c r="E1003">
        <f t="shared" si="282"/>
        <v>0</v>
      </c>
      <c r="F1003">
        <f t="shared" si="283"/>
        <v>4.8605058816845369E-2</v>
      </c>
      <c r="G1003">
        <f t="shared" si="284"/>
        <v>39.513748498891111</v>
      </c>
      <c r="H1003">
        <f t="shared" si="285"/>
        <v>0</v>
      </c>
      <c r="I1003" s="1">
        <f t="shared" si="296"/>
        <v>0</v>
      </c>
      <c r="J1003">
        <f t="shared" si="286"/>
        <v>0</v>
      </c>
      <c r="K1003">
        <f t="shared" si="287"/>
        <v>0</v>
      </c>
      <c r="L1003" cm="1">
        <f t="array" ref="L1003">IF(E1003*J1003=0,0,$C$21*INDEX([3]Sheet1!$C$4:$Q$23,MATCH(K1003,[3]Sheet1!$B$4:$B$23,1),MATCH(D1003,[3]Sheet1!$C$3:$Q$3,1))
+(K1003-INDEX([3]Sheet1!$B$4:$B$23,MATCH(K1003,[3]Sheet1!$B$4:$B$23,1),1))/(INDEX([3]Sheet1!$B$4:$B$23,MATCH(K1003,[3]Sheet1!$B$4:$B$23,1)+1,1)-INDEX([3]Sheet1!$B$4:$B$23,
MATCH(K1003,[3]Sheet1!$B$4:$B$23,1),1))*(INDEX([3]Sheet1!$C$4:$Q$23,MATCH(K1003,[3]Sheet1!$B$4:$B$23,1)+1,MATCH(D1003,[3]Sheet1!$C$3:$Q$3,1))-INDEX([3]Sheet1!$C$4:$Q$23,
MATCH(K1003,[3]Sheet1!$B$4:$B$23,1),MATCH(D1003,[3]Sheet1!$C$3:$Q$3,1)))
+(D1003-INDEX([3]Sheet1!$C$3:$Q$3,1,MATCH(D1003,[3]Sheet1!$C$3:$Q$3)))/(INDEX([3]Sheet1!$C$3:$Q$3,1,MATCH(D1003,[3]Sheet1!$C$3:$Q$3)+1)-INDEX([3]Sheet1!$C$3:$Q$3,1,MATCH(
D1003,[3]Sheet1!$C$3:$Q$3)))*(INDEX([3]Sheet1!$C$4:$Q$23,MATCH(K1003,[3]Sheet1!$B$4:$B$23,1),MATCH(D1003,[3]Sheet1!$C$3:$Q$3,1)+1)-INDEX([3]Sheet1!$C$4:$Q$23,MATCH(K1003,[3]Sheet1!$B$4:$B$23,1),MATCH(D1003,[3]Sheet1!$C$3:$Q$3,1))))</f>
        <v>0</v>
      </c>
      <c r="M1003" cm="1">
        <f t="array" ref="M1003" xml:space="preserve"> IF(E1003*J1003=0,0,(INDEX([2]Sheet1!$C$4:$Q$23,MATCH(K1003,[2]Sheet1!$B$4:$B$23,1),MATCH(D1003,[2]Sheet1!$C$3:$Q$3,1))
+ (K1003 - INDEX([2]Sheet1!$B$4:$B$23,MATCH(K1003,[2]Sheet1!$B$4:$B$23,1),1))/(INDEX([2]Sheet1!$B$4:$B$23,MATCH(K1003,[2]Sheet1!$B$4:$B$23,1)+1,1) - INDEX([2]Sheet1!$B$4:$B$23,MATCH(K1003,[2]Sheet1!$B$4:$B$23,1),1))*(INDEX([2]Sheet1!$C$4:$Q$23,MATCH(K1003,[2]Sheet1!$B$4:$B$23,1)+1,MATCH(D1003,[2]Sheet1!$C$3:$Q$3,1)) - INDEX([2]Sheet1!$C$4:$Q$23,MATCH(K1003,[2]Sheet1!$B$4:$B$23,1),MATCH(D1003,[2]Sheet1!$C$3:$Q$3,1)))
+ (D1003 - INDEX([2]Sheet1!$C$3:$Q$3,1,MATCH(D1003,[2]Sheet1!$C$3:$Q$3)))/(INDEX([2]Sheet1!$C$3:$Q$3,1,MATCH(D1003,[2]Sheet1!$C$3:$Q$3)+1) - INDEX([2]Sheet1!$C$3:$Q$3,1,MATCH(D1003,[2]Sheet1!$C$3:$Q$3)))*(
INDEX([2]Sheet1!$C$4:$Q$23,MATCH(K1003,[2]Sheet1!$B$4:$B$23,1),MATCH(D1003,[2]Sheet1!$C$3:$Q$3,1)+1) - INDEX([2]Sheet1!$C$4:$Q$23,MATCH(K1003,[2]Sheet1!$B$4:$B$23,1),MATCH(D1003,[2]Sheet1!$C$3:$Q$3,1)))))</f>
        <v>0</v>
      </c>
      <c r="N1003">
        <f t="shared" si="288"/>
        <v>12</v>
      </c>
      <c r="O1003">
        <v>369.02450568394102</v>
      </c>
      <c r="P1003" t="e">
        <f t="shared" si="289"/>
        <v>#DIV/0!</v>
      </c>
      <c r="Q1003">
        <f t="shared" si="290"/>
        <v>0</v>
      </c>
      <c r="R1003">
        <f t="shared" si="291"/>
        <v>741.9099431943954</v>
      </c>
      <c r="T1003" t="e">
        <f t="shared" si="292"/>
        <v>#DIV/0!</v>
      </c>
      <c r="U1003" t="e">
        <f t="shared" si="293"/>
        <v>#DIV/0!</v>
      </c>
      <c r="V1003">
        <f t="shared" si="294"/>
        <v>0</v>
      </c>
      <c r="W1003" t="e">
        <f t="shared" si="295"/>
        <v>#DIV/0!</v>
      </c>
    </row>
    <row r="1004" spans="1:23" x14ac:dyDescent="0.55000000000000004">
      <c r="A1004">
        <f t="shared" si="297"/>
        <v>96.999999999998764</v>
      </c>
      <c r="B1004">
        <f t="shared" si="298"/>
        <v>0.316</v>
      </c>
      <c r="C1004">
        <f t="shared" si="281"/>
        <v>-58.260869565216595</v>
      </c>
      <c r="D1004">
        <v>370.43984551913201</v>
      </c>
      <c r="E1004">
        <f t="shared" si="282"/>
        <v>0</v>
      </c>
      <c r="F1004">
        <f t="shared" si="283"/>
        <v>4.8605058816845369E-2</v>
      </c>
      <c r="G1004">
        <f t="shared" si="284"/>
        <v>39.513748498891111</v>
      </c>
      <c r="H1004">
        <f t="shared" si="285"/>
        <v>0</v>
      </c>
      <c r="I1004" s="1">
        <f t="shared" si="296"/>
        <v>0</v>
      </c>
      <c r="J1004">
        <f t="shared" si="286"/>
        <v>0</v>
      </c>
      <c r="K1004">
        <f t="shared" si="287"/>
        <v>0</v>
      </c>
      <c r="L1004" cm="1">
        <f t="array" ref="L1004">IF(E1004*J1004=0,0,$C$21*INDEX([3]Sheet1!$C$4:$Q$23,MATCH(K1004,[3]Sheet1!$B$4:$B$23,1),MATCH(D1004,[3]Sheet1!$C$3:$Q$3,1))
+(K1004-INDEX([3]Sheet1!$B$4:$B$23,MATCH(K1004,[3]Sheet1!$B$4:$B$23,1),1))/(INDEX([3]Sheet1!$B$4:$B$23,MATCH(K1004,[3]Sheet1!$B$4:$B$23,1)+1,1)-INDEX([3]Sheet1!$B$4:$B$23,
MATCH(K1004,[3]Sheet1!$B$4:$B$23,1),1))*(INDEX([3]Sheet1!$C$4:$Q$23,MATCH(K1004,[3]Sheet1!$B$4:$B$23,1)+1,MATCH(D1004,[3]Sheet1!$C$3:$Q$3,1))-INDEX([3]Sheet1!$C$4:$Q$23,
MATCH(K1004,[3]Sheet1!$B$4:$B$23,1),MATCH(D1004,[3]Sheet1!$C$3:$Q$3,1)))
+(D1004-INDEX([3]Sheet1!$C$3:$Q$3,1,MATCH(D1004,[3]Sheet1!$C$3:$Q$3)))/(INDEX([3]Sheet1!$C$3:$Q$3,1,MATCH(D1004,[3]Sheet1!$C$3:$Q$3)+1)-INDEX([3]Sheet1!$C$3:$Q$3,1,MATCH(
D1004,[3]Sheet1!$C$3:$Q$3)))*(INDEX([3]Sheet1!$C$4:$Q$23,MATCH(K1004,[3]Sheet1!$B$4:$B$23,1),MATCH(D1004,[3]Sheet1!$C$3:$Q$3,1)+1)-INDEX([3]Sheet1!$C$4:$Q$23,MATCH(K1004,[3]Sheet1!$B$4:$B$23,1),MATCH(D1004,[3]Sheet1!$C$3:$Q$3,1))))</f>
        <v>0</v>
      </c>
      <c r="M1004" cm="1">
        <f t="array" ref="M1004" xml:space="preserve"> IF(E1004*J1004=0,0,(INDEX([2]Sheet1!$C$4:$Q$23,MATCH(K1004,[2]Sheet1!$B$4:$B$23,1),MATCH(D1004,[2]Sheet1!$C$3:$Q$3,1))
+ (K1004 - INDEX([2]Sheet1!$B$4:$B$23,MATCH(K1004,[2]Sheet1!$B$4:$B$23,1),1))/(INDEX([2]Sheet1!$B$4:$B$23,MATCH(K1004,[2]Sheet1!$B$4:$B$23,1)+1,1) - INDEX([2]Sheet1!$B$4:$B$23,MATCH(K1004,[2]Sheet1!$B$4:$B$23,1),1))*(INDEX([2]Sheet1!$C$4:$Q$23,MATCH(K1004,[2]Sheet1!$B$4:$B$23,1)+1,MATCH(D1004,[2]Sheet1!$C$3:$Q$3,1)) - INDEX([2]Sheet1!$C$4:$Q$23,MATCH(K1004,[2]Sheet1!$B$4:$B$23,1),MATCH(D1004,[2]Sheet1!$C$3:$Q$3,1)))
+ (D1004 - INDEX([2]Sheet1!$C$3:$Q$3,1,MATCH(D1004,[2]Sheet1!$C$3:$Q$3)))/(INDEX([2]Sheet1!$C$3:$Q$3,1,MATCH(D1004,[2]Sheet1!$C$3:$Q$3)+1) - INDEX([2]Sheet1!$C$3:$Q$3,1,MATCH(D1004,[2]Sheet1!$C$3:$Q$3)))*(
INDEX([2]Sheet1!$C$4:$Q$23,MATCH(K1004,[2]Sheet1!$B$4:$B$23,1),MATCH(D1004,[2]Sheet1!$C$3:$Q$3,1)+1) - INDEX([2]Sheet1!$C$4:$Q$23,MATCH(K1004,[2]Sheet1!$B$4:$B$23,1),MATCH(D1004,[2]Sheet1!$C$3:$Q$3,1)))))</f>
        <v>0</v>
      </c>
      <c r="N1004">
        <f t="shared" si="288"/>
        <v>12</v>
      </c>
      <c r="O1004">
        <v>370.02450568394102</v>
      </c>
      <c r="P1004" t="e">
        <f t="shared" si="289"/>
        <v>#DIV/0!</v>
      </c>
      <c r="Q1004">
        <f t="shared" si="290"/>
        <v>0</v>
      </c>
      <c r="R1004">
        <f t="shared" si="291"/>
        <v>741.9099431943954</v>
      </c>
      <c r="T1004" t="e">
        <f t="shared" si="292"/>
        <v>#DIV/0!</v>
      </c>
      <c r="U1004" t="e">
        <f t="shared" si="293"/>
        <v>#DIV/0!</v>
      </c>
      <c r="V1004">
        <f t="shared" si="294"/>
        <v>0</v>
      </c>
      <c r="W1004" t="e">
        <f t="shared" si="295"/>
        <v>#DIV/0!</v>
      </c>
    </row>
    <row r="1005" spans="1:23" x14ac:dyDescent="0.55000000000000004">
      <c r="A1005">
        <f t="shared" si="297"/>
        <v>97.099999999998758</v>
      </c>
      <c r="B1005">
        <f t="shared" si="298"/>
        <v>0.316</v>
      </c>
      <c r="C1005">
        <f t="shared" si="281"/>
        <v>-58.326086956520932</v>
      </c>
      <c r="D1005">
        <v>371.43984551913201</v>
      </c>
      <c r="E1005">
        <f t="shared" si="282"/>
        <v>0</v>
      </c>
      <c r="F1005">
        <f t="shared" si="283"/>
        <v>4.8605058816845369E-2</v>
      </c>
      <c r="G1005">
        <f t="shared" si="284"/>
        <v>39.513748498891111</v>
      </c>
      <c r="H1005">
        <f t="shared" si="285"/>
        <v>0</v>
      </c>
      <c r="I1005" s="1">
        <f t="shared" si="296"/>
        <v>0</v>
      </c>
      <c r="J1005">
        <f t="shared" si="286"/>
        <v>0</v>
      </c>
      <c r="K1005">
        <f t="shared" si="287"/>
        <v>0</v>
      </c>
      <c r="L1005" cm="1">
        <f t="array" ref="L1005">IF(E1005*J1005=0,0,$C$21*INDEX([3]Sheet1!$C$4:$Q$23,MATCH(K1005,[3]Sheet1!$B$4:$B$23,1),MATCH(D1005,[3]Sheet1!$C$3:$Q$3,1))
+(K1005-INDEX([3]Sheet1!$B$4:$B$23,MATCH(K1005,[3]Sheet1!$B$4:$B$23,1),1))/(INDEX([3]Sheet1!$B$4:$B$23,MATCH(K1005,[3]Sheet1!$B$4:$B$23,1)+1,1)-INDEX([3]Sheet1!$B$4:$B$23,
MATCH(K1005,[3]Sheet1!$B$4:$B$23,1),1))*(INDEX([3]Sheet1!$C$4:$Q$23,MATCH(K1005,[3]Sheet1!$B$4:$B$23,1)+1,MATCH(D1005,[3]Sheet1!$C$3:$Q$3,1))-INDEX([3]Sheet1!$C$4:$Q$23,
MATCH(K1005,[3]Sheet1!$B$4:$B$23,1),MATCH(D1005,[3]Sheet1!$C$3:$Q$3,1)))
+(D1005-INDEX([3]Sheet1!$C$3:$Q$3,1,MATCH(D1005,[3]Sheet1!$C$3:$Q$3)))/(INDEX([3]Sheet1!$C$3:$Q$3,1,MATCH(D1005,[3]Sheet1!$C$3:$Q$3)+1)-INDEX([3]Sheet1!$C$3:$Q$3,1,MATCH(
D1005,[3]Sheet1!$C$3:$Q$3)))*(INDEX([3]Sheet1!$C$4:$Q$23,MATCH(K1005,[3]Sheet1!$B$4:$B$23,1),MATCH(D1005,[3]Sheet1!$C$3:$Q$3,1)+1)-INDEX([3]Sheet1!$C$4:$Q$23,MATCH(K1005,[3]Sheet1!$B$4:$B$23,1),MATCH(D1005,[3]Sheet1!$C$3:$Q$3,1))))</f>
        <v>0</v>
      </c>
      <c r="M1005" cm="1">
        <f t="array" ref="M1005" xml:space="preserve"> IF(E1005*J1005=0,0,(INDEX([2]Sheet1!$C$4:$Q$23,MATCH(K1005,[2]Sheet1!$B$4:$B$23,1),MATCH(D1005,[2]Sheet1!$C$3:$Q$3,1))
+ (K1005 - INDEX([2]Sheet1!$B$4:$B$23,MATCH(K1005,[2]Sheet1!$B$4:$B$23,1),1))/(INDEX([2]Sheet1!$B$4:$B$23,MATCH(K1005,[2]Sheet1!$B$4:$B$23,1)+1,1) - INDEX([2]Sheet1!$B$4:$B$23,MATCH(K1005,[2]Sheet1!$B$4:$B$23,1),1))*(INDEX([2]Sheet1!$C$4:$Q$23,MATCH(K1005,[2]Sheet1!$B$4:$B$23,1)+1,MATCH(D1005,[2]Sheet1!$C$3:$Q$3,1)) - INDEX([2]Sheet1!$C$4:$Q$23,MATCH(K1005,[2]Sheet1!$B$4:$B$23,1),MATCH(D1005,[2]Sheet1!$C$3:$Q$3,1)))
+ (D1005 - INDEX([2]Sheet1!$C$3:$Q$3,1,MATCH(D1005,[2]Sheet1!$C$3:$Q$3)))/(INDEX([2]Sheet1!$C$3:$Q$3,1,MATCH(D1005,[2]Sheet1!$C$3:$Q$3)+1) - INDEX([2]Sheet1!$C$3:$Q$3,1,MATCH(D1005,[2]Sheet1!$C$3:$Q$3)))*(
INDEX([2]Sheet1!$C$4:$Q$23,MATCH(K1005,[2]Sheet1!$B$4:$B$23,1),MATCH(D1005,[2]Sheet1!$C$3:$Q$3,1)+1) - INDEX([2]Sheet1!$C$4:$Q$23,MATCH(K1005,[2]Sheet1!$B$4:$B$23,1),MATCH(D1005,[2]Sheet1!$C$3:$Q$3,1)))))</f>
        <v>0</v>
      </c>
      <c r="N1005">
        <f t="shared" si="288"/>
        <v>12</v>
      </c>
      <c r="O1005">
        <v>371.02450568394102</v>
      </c>
      <c r="P1005" t="e">
        <f t="shared" si="289"/>
        <v>#DIV/0!</v>
      </c>
      <c r="Q1005">
        <f t="shared" si="290"/>
        <v>0</v>
      </c>
      <c r="R1005">
        <f t="shared" si="291"/>
        <v>741.9099431943954</v>
      </c>
      <c r="T1005" t="e">
        <f t="shared" si="292"/>
        <v>#DIV/0!</v>
      </c>
      <c r="U1005" t="e">
        <f t="shared" si="293"/>
        <v>#DIV/0!</v>
      </c>
      <c r="V1005">
        <f t="shared" si="294"/>
        <v>0</v>
      </c>
      <c r="W1005" t="e">
        <f t="shared" si="295"/>
        <v>#DIV/0!</v>
      </c>
    </row>
    <row r="1006" spans="1:23" x14ac:dyDescent="0.55000000000000004">
      <c r="A1006">
        <f t="shared" si="297"/>
        <v>97.199999999998752</v>
      </c>
      <c r="B1006">
        <f t="shared" si="298"/>
        <v>0.316</v>
      </c>
      <c r="C1006">
        <f t="shared" si="281"/>
        <v>-58.391304347825283</v>
      </c>
      <c r="D1006">
        <v>372.43984551913201</v>
      </c>
      <c r="E1006">
        <f t="shared" si="282"/>
        <v>0</v>
      </c>
      <c r="F1006">
        <f t="shared" si="283"/>
        <v>4.8605058816845369E-2</v>
      </c>
      <c r="G1006">
        <f t="shared" si="284"/>
        <v>39.513748498891111</v>
      </c>
      <c r="H1006">
        <f t="shared" si="285"/>
        <v>0</v>
      </c>
      <c r="I1006" s="1">
        <f t="shared" si="296"/>
        <v>0</v>
      </c>
      <c r="J1006">
        <f t="shared" si="286"/>
        <v>0</v>
      </c>
      <c r="K1006">
        <f t="shared" si="287"/>
        <v>0</v>
      </c>
      <c r="L1006" cm="1">
        <f t="array" ref="L1006">IF(E1006*J1006=0,0,$C$21*INDEX([3]Sheet1!$C$4:$Q$23,MATCH(K1006,[3]Sheet1!$B$4:$B$23,1),MATCH(D1006,[3]Sheet1!$C$3:$Q$3,1))
+(K1006-INDEX([3]Sheet1!$B$4:$B$23,MATCH(K1006,[3]Sheet1!$B$4:$B$23,1),1))/(INDEX([3]Sheet1!$B$4:$B$23,MATCH(K1006,[3]Sheet1!$B$4:$B$23,1)+1,1)-INDEX([3]Sheet1!$B$4:$B$23,
MATCH(K1006,[3]Sheet1!$B$4:$B$23,1),1))*(INDEX([3]Sheet1!$C$4:$Q$23,MATCH(K1006,[3]Sheet1!$B$4:$B$23,1)+1,MATCH(D1006,[3]Sheet1!$C$3:$Q$3,1))-INDEX([3]Sheet1!$C$4:$Q$23,
MATCH(K1006,[3]Sheet1!$B$4:$B$23,1),MATCH(D1006,[3]Sheet1!$C$3:$Q$3,1)))
+(D1006-INDEX([3]Sheet1!$C$3:$Q$3,1,MATCH(D1006,[3]Sheet1!$C$3:$Q$3)))/(INDEX([3]Sheet1!$C$3:$Q$3,1,MATCH(D1006,[3]Sheet1!$C$3:$Q$3)+1)-INDEX([3]Sheet1!$C$3:$Q$3,1,MATCH(
D1006,[3]Sheet1!$C$3:$Q$3)))*(INDEX([3]Sheet1!$C$4:$Q$23,MATCH(K1006,[3]Sheet1!$B$4:$B$23,1),MATCH(D1006,[3]Sheet1!$C$3:$Q$3,1)+1)-INDEX([3]Sheet1!$C$4:$Q$23,MATCH(K1006,[3]Sheet1!$B$4:$B$23,1),MATCH(D1006,[3]Sheet1!$C$3:$Q$3,1))))</f>
        <v>0</v>
      </c>
      <c r="M1006" cm="1">
        <f t="array" ref="M1006" xml:space="preserve"> IF(E1006*J1006=0,0,(INDEX([2]Sheet1!$C$4:$Q$23,MATCH(K1006,[2]Sheet1!$B$4:$B$23,1),MATCH(D1006,[2]Sheet1!$C$3:$Q$3,1))
+ (K1006 - INDEX([2]Sheet1!$B$4:$B$23,MATCH(K1006,[2]Sheet1!$B$4:$B$23,1),1))/(INDEX([2]Sheet1!$B$4:$B$23,MATCH(K1006,[2]Sheet1!$B$4:$B$23,1)+1,1) - INDEX([2]Sheet1!$B$4:$B$23,MATCH(K1006,[2]Sheet1!$B$4:$B$23,1),1))*(INDEX([2]Sheet1!$C$4:$Q$23,MATCH(K1006,[2]Sheet1!$B$4:$B$23,1)+1,MATCH(D1006,[2]Sheet1!$C$3:$Q$3,1)) - INDEX([2]Sheet1!$C$4:$Q$23,MATCH(K1006,[2]Sheet1!$B$4:$B$23,1),MATCH(D1006,[2]Sheet1!$C$3:$Q$3,1)))
+ (D1006 - INDEX([2]Sheet1!$C$3:$Q$3,1,MATCH(D1006,[2]Sheet1!$C$3:$Q$3)))/(INDEX([2]Sheet1!$C$3:$Q$3,1,MATCH(D1006,[2]Sheet1!$C$3:$Q$3)+1) - INDEX([2]Sheet1!$C$3:$Q$3,1,MATCH(D1006,[2]Sheet1!$C$3:$Q$3)))*(
INDEX([2]Sheet1!$C$4:$Q$23,MATCH(K1006,[2]Sheet1!$B$4:$B$23,1),MATCH(D1006,[2]Sheet1!$C$3:$Q$3,1)+1) - INDEX([2]Sheet1!$C$4:$Q$23,MATCH(K1006,[2]Sheet1!$B$4:$B$23,1),MATCH(D1006,[2]Sheet1!$C$3:$Q$3,1)))))</f>
        <v>0</v>
      </c>
      <c r="N1006">
        <f t="shared" si="288"/>
        <v>12</v>
      </c>
      <c r="O1006">
        <v>372.02450568394102</v>
      </c>
      <c r="P1006" t="e">
        <f t="shared" si="289"/>
        <v>#DIV/0!</v>
      </c>
      <c r="Q1006">
        <f t="shared" si="290"/>
        <v>0</v>
      </c>
      <c r="R1006">
        <f t="shared" si="291"/>
        <v>741.9099431943954</v>
      </c>
      <c r="T1006" t="e">
        <f t="shared" si="292"/>
        <v>#DIV/0!</v>
      </c>
      <c r="U1006" t="e">
        <f t="shared" si="293"/>
        <v>#DIV/0!</v>
      </c>
      <c r="V1006">
        <f t="shared" si="294"/>
        <v>0</v>
      </c>
      <c r="W1006" t="e">
        <f t="shared" si="295"/>
        <v>#DIV/0!</v>
      </c>
    </row>
    <row r="1007" spans="1:23" x14ac:dyDescent="0.55000000000000004">
      <c r="A1007">
        <f t="shared" si="297"/>
        <v>97.299999999998747</v>
      </c>
      <c r="B1007">
        <f t="shared" si="298"/>
        <v>0.316</v>
      </c>
      <c r="C1007">
        <f t="shared" si="281"/>
        <v>-58.45652173912962</v>
      </c>
      <c r="D1007">
        <v>373.43984551913201</v>
      </c>
      <c r="E1007">
        <f t="shared" si="282"/>
        <v>0</v>
      </c>
      <c r="F1007">
        <f t="shared" si="283"/>
        <v>4.8605058816845369E-2</v>
      </c>
      <c r="G1007">
        <f t="shared" si="284"/>
        <v>39.513748498891111</v>
      </c>
      <c r="H1007">
        <f t="shared" si="285"/>
        <v>0</v>
      </c>
      <c r="I1007" s="1">
        <f t="shared" si="296"/>
        <v>0</v>
      </c>
      <c r="J1007">
        <f t="shared" si="286"/>
        <v>0</v>
      </c>
      <c r="K1007">
        <f t="shared" si="287"/>
        <v>0</v>
      </c>
      <c r="L1007" cm="1">
        <f t="array" ref="L1007">IF(E1007*J1007=0,0,$C$21*INDEX([3]Sheet1!$C$4:$Q$23,MATCH(K1007,[3]Sheet1!$B$4:$B$23,1),MATCH(D1007,[3]Sheet1!$C$3:$Q$3,1))
+(K1007-INDEX([3]Sheet1!$B$4:$B$23,MATCH(K1007,[3]Sheet1!$B$4:$B$23,1),1))/(INDEX([3]Sheet1!$B$4:$B$23,MATCH(K1007,[3]Sheet1!$B$4:$B$23,1)+1,1)-INDEX([3]Sheet1!$B$4:$B$23,
MATCH(K1007,[3]Sheet1!$B$4:$B$23,1),1))*(INDEX([3]Sheet1!$C$4:$Q$23,MATCH(K1007,[3]Sheet1!$B$4:$B$23,1)+1,MATCH(D1007,[3]Sheet1!$C$3:$Q$3,1))-INDEX([3]Sheet1!$C$4:$Q$23,
MATCH(K1007,[3]Sheet1!$B$4:$B$23,1),MATCH(D1007,[3]Sheet1!$C$3:$Q$3,1)))
+(D1007-INDEX([3]Sheet1!$C$3:$Q$3,1,MATCH(D1007,[3]Sheet1!$C$3:$Q$3)))/(INDEX([3]Sheet1!$C$3:$Q$3,1,MATCH(D1007,[3]Sheet1!$C$3:$Q$3)+1)-INDEX([3]Sheet1!$C$3:$Q$3,1,MATCH(
D1007,[3]Sheet1!$C$3:$Q$3)))*(INDEX([3]Sheet1!$C$4:$Q$23,MATCH(K1007,[3]Sheet1!$B$4:$B$23,1),MATCH(D1007,[3]Sheet1!$C$3:$Q$3,1)+1)-INDEX([3]Sheet1!$C$4:$Q$23,MATCH(K1007,[3]Sheet1!$B$4:$B$23,1),MATCH(D1007,[3]Sheet1!$C$3:$Q$3,1))))</f>
        <v>0</v>
      </c>
      <c r="M1007" cm="1">
        <f t="array" ref="M1007" xml:space="preserve"> IF(E1007*J1007=0,0,(INDEX([2]Sheet1!$C$4:$Q$23,MATCH(K1007,[2]Sheet1!$B$4:$B$23,1),MATCH(D1007,[2]Sheet1!$C$3:$Q$3,1))
+ (K1007 - INDEX([2]Sheet1!$B$4:$B$23,MATCH(K1007,[2]Sheet1!$B$4:$B$23,1),1))/(INDEX([2]Sheet1!$B$4:$B$23,MATCH(K1007,[2]Sheet1!$B$4:$B$23,1)+1,1) - INDEX([2]Sheet1!$B$4:$B$23,MATCH(K1007,[2]Sheet1!$B$4:$B$23,1),1))*(INDEX([2]Sheet1!$C$4:$Q$23,MATCH(K1007,[2]Sheet1!$B$4:$B$23,1)+1,MATCH(D1007,[2]Sheet1!$C$3:$Q$3,1)) - INDEX([2]Sheet1!$C$4:$Q$23,MATCH(K1007,[2]Sheet1!$B$4:$B$23,1),MATCH(D1007,[2]Sheet1!$C$3:$Q$3,1)))
+ (D1007 - INDEX([2]Sheet1!$C$3:$Q$3,1,MATCH(D1007,[2]Sheet1!$C$3:$Q$3)))/(INDEX([2]Sheet1!$C$3:$Q$3,1,MATCH(D1007,[2]Sheet1!$C$3:$Q$3)+1) - INDEX([2]Sheet1!$C$3:$Q$3,1,MATCH(D1007,[2]Sheet1!$C$3:$Q$3)))*(
INDEX([2]Sheet1!$C$4:$Q$23,MATCH(K1007,[2]Sheet1!$B$4:$B$23,1),MATCH(D1007,[2]Sheet1!$C$3:$Q$3,1)+1) - INDEX([2]Sheet1!$C$4:$Q$23,MATCH(K1007,[2]Sheet1!$B$4:$B$23,1),MATCH(D1007,[2]Sheet1!$C$3:$Q$3,1)))))</f>
        <v>0</v>
      </c>
      <c r="N1007">
        <f t="shared" si="288"/>
        <v>12</v>
      </c>
      <c r="O1007">
        <v>373.02450568394102</v>
      </c>
      <c r="P1007" t="e">
        <f t="shared" si="289"/>
        <v>#DIV/0!</v>
      </c>
      <c r="Q1007">
        <f t="shared" si="290"/>
        <v>0</v>
      </c>
      <c r="R1007">
        <f t="shared" si="291"/>
        <v>741.9099431943954</v>
      </c>
      <c r="T1007" t="e">
        <f t="shared" si="292"/>
        <v>#DIV/0!</v>
      </c>
      <c r="U1007" t="e">
        <f t="shared" si="293"/>
        <v>#DIV/0!</v>
      </c>
      <c r="V1007">
        <f t="shared" si="294"/>
        <v>0</v>
      </c>
      <c r="W1007" t="e">
        <f t="shared" si="295"/>
        <v>#DIV/0!</v>
      </c>
    </row>
    <row r="1008" spans="1:23" x14ac:dyDescent="0.55000000000000004">
      <c r="A1008">
        <f t="shared" si="297"/>
        <v>97.399999999998741</v>
      </c>
      <c r="B1008">
        <f t="shared" si="298"/>
        <v>0.316</v>
      </c>
      <c r="C1008">
        <f t="shared" si="281"/>
        <v>-58.521739130433971</v>
      </c>
      <c r="D1008">
        <v>374.43984551913201</v>
      </c>
      <c r="E1008">
        <f t="shared" si="282"/>
        <v>0</v>
      </c>
      <c r="F1008">
        <f t="shared" si="283"/>
        <v>4.8605058816845369E-2</v>
      </c>
      <c r="G1008">
        <f t="shared" si="284"/>
        <v>39.513748498891111</v>
      </c>
      <c r="H1008">
        <f t="shared" si="285"/>
        <v>0</v>
      </c>
      <c r="I1008" s="1">
        <f t="shared" si="296"/>
        <v>0</v>
      </c>
      <c r="J1008">
        <f t="shared" si="286"/>
        <v>0</v>
      </c>
      <c r="K1008">
        <f t="shared" si="287"/>
        <v>0</v>
      </c>
      <c r="L1008" cm="1">
        <f t="array" ref="L1008">IF(E1008*J1008=0,0,$C$21*INDEX([3]Sheet1!$C$4:$Q$23,MATCH(K1008,[3]Sheet1!$B$4:$B$23,1),MATCH(D1008,[3]Sheet1!$C$3:$Q$3,1))
+(K1008-INDEX([3]Sheet1!$B$4:$B$23,MATCH(K1008,[3]Sheet1!$B$4:$B$23,1),1))/(INDEX([3]Sheet1!$B$4:$B$23,MATCH(K1008,[3]Sheet1!$B$4:$B$23,1)+1,1)-INDEX([3]Sheet1!$B$4:$B$23,
MATCH(K1008,[3]Sheet1!$B$4:$B$23,1),1))*(INDEX([3]Sheet1!$C$4:$Q$23,MATCH(K1008,[3]Sheet1!$B$4:$B$23,1)+1,MATCH(D1008,[3]Sheet1!$C$3:$Q$3,1))-INDEX([3]Sheet1!$C$4:$Q$23,
MATCH(K1008,[3]Sheet1!$B$4:$B$23,1),MATCH(D1008,[3]Sheet1!$C$3:$Q$3,1)))
+(D1008-INDEX([3]Sheet1!$C$3:$Q$3,1,MATCH(D1008,[3]Sheet1!$C$3:$Q$3)))/(INDEX([3]Sheet1!$C$3:$Q$3,1,MATCH(D1008,[3]Sheet1!$C$3:$Q$3)+1)-INDEX([3]Sheet1!$C$3:$Q$3,1,MATCH(
D1008,[3]Sheet1!$C$3:$Q$3)))*(INDEX([3]Sheet1!$C$4:$Q$23,MATCH(K1008,[3]Sheet1!$B$4:$B$23,1),MATCH(D1008,[3]Sheet1!$C$3:$Q$3,1)+1)-INDEX([3]Sheet1!$C$4:$Q$23,MATCH(K1008,[3]Sheet1!$B$4:$B$23,1),MATCH(D1008,[3]Sheet1!$C$3:$Q$3,1))))</f>
        <v>0</v>
      </c>
      <c r="M1008" cm="1">
        <f t="array" ref="M1008" xml:space="preserve"> IF(E1008*J1008=0,0,(INDEX([2]Sheet1!$C$4:$Q$23,MATCH(K1008,[2]Sheet1!$B$4:$B$23,1),MATCH(D1008,[2]Sheet1!$C$3:$Q$3,1))
+ (K1008 - INDEX([2]Sheet1!$B$4:$B$23,MATCH(K1008,[2]Sheet1!$B$4:$B$23,1),1))/(INDEX([2]Sheet1!$B$4:$B$23,MATCH(K1008,[2]Sheet1!$B$4:$B$23,1)+1,1) - INDEX([2]Sheet1!$B$4:$B$23,MATCH(K1008,[2]Sheet1!$B$4:$B$23,1),1))*(INDEX([2]Sheet1!$C$4:$Q$23,MATCH(K1008,[2]Sheet1!$B$4:$B$23,1)+1,MATCH(D1008,[2]Sheet1!$C$3:$Q$3,1)) - INDEX([2]Sheet1!$C$4:$Q$23,MATCH(K1008,[2]Sheet1!$B$4:$B$23,1),MATCH(D1008,[2]Sheet1!$C$3:$Q$3,1)))
+ (D1008 - INDEX([2]Sheet1!$C$3:$Q$3,1,MATCH(D1008,[2]Sheet1!$C$3:$Q$3)))/(INDEX([2]Sheet1!$C$3:$Q$3,1,MATCH(D1008,[2]Sheet1!$C$3:$Q$3)+1) - INDEX([2]Sheet1!$C$3:$Q$3,1,MATCH(D1008,[2]Sheet1!$C$3:$Q$3)))*(
INDEX([2]Sheet1!$C$4:$Q$23,MATCH(K1008,[2]Sheet1!$B$4:$B$23,1),MATCH(D1008,[2]Sheet1!$C$3:$Q$3,1)+1) - INDEX([2]Sheet1!$C$4:$Q$23,MATCH(K1008,[2]Sheet1!$B$4:$B$23,1),MATCH(D1008,[2]Sheet1!$C$3:$Q$3,1)))))</f>
        <v>0</v>
      </c>
      <c r="N1008">
        <f t="shared" si="288"/>
        <v>12</v>
      </c>
      <c r="O1008">
        <v>374.02450568394102</v>
      </c>
      <c r="P1008" t="e">
        <f t="shared" si="289"/>
        <v>#DIV/0!</v>
      </c>
      <c r="Q1008">
        <f t="shared" si="290"/>
        <v>0</v>
      </c>
      <c r="R1008">
        <f t="shared" si="291"/>
        <v>741.9099431943954</v>
      </c>
      <c r="T1008" t="e">
        <f t="shared" si="292"/>
        <v>#DIV/0!</v>
      </c>
      <c r="U1008" t="e">
        <f t="shared" si="293"/>
        <v>#DIV/0!</v>
      </c>
      <c r="V1008">
        <f t="shared" si="294"/>
        <v>0</v>
      </c>
      <c r="W1008" t="e">
        <f t="shared" si="295"/>
        <v>#DIV/0!</v>
      </c>
    </row>
    <row r="1009" spans="1:23" x14ac:dyDescent="0.55000000000000004">
      <c r="A1009">
        <f t="shared" si="297"/>
        <v>97.499999999998735</v>
      </c>
      <c r="B1009">
        <f t="shared" si="298"/>
        <v>0.316</v>
      </c>
      <c r="C1009">
        <f t="shared" si="281"/>
        <v>-58.586956521738308</v>
      </c>
      <c r="D1009">
        <v>375.43984551913201</v>
      </c>
      <c r="E1009">
        <f t="shared" si="282"/>
        <v>0</v>
      </c>
      <c r="F1009">
        <f t="shared" si="283"/>
        <v>4.8605058816845369E-2</v>
      </c>
      <c r="G1009">
        <f t="shared" si="284"/>
        <v>39.513748498891111</v>
      </c>
      <c r="H1009">
        <f t="shared" si="285"/>
        <v>0</v>
      </c>
      <c r="I1009" s="1">
        <f t="shared" si="296"/>
        <v>0</v>
      </c>
      <c r="J1009">
        <f t="shared" si="286"/>
        <v>0</v>
      </c>
      <c r="K1009">
        <f t="shared" si="287"/>
        <v>0</v>
      </c>
      <c r="L1009" cm="1">
        <f t="array" ref="L1009">IF(E1009*J1009=0,0,$C$21*INDEX([3]Sheet1!$C$4:$Q$23,MATCH(K1009,[3]Sheet1!$B$4:$B$23,1),MATCH(D1009,[3]Sheet1!$C$3:$Q$3,1))
+(K1009-INDEX([3]Sheet1!$B$4:$B$23,MATCH(K1009,[3]Sheet1!$B$4:$B$23,1),1))/(INDEX([3]Sheet1!$B$4:$B$23,MATCH(K1009,[3]Sheet1!$B$4:$B$23,1)+1,1)-INDEX([3]Sheet1!$B$4:$B$23,
MATCH(K1009,[3]Sheet1!$B$4:$B$23,1),1))*(INDEX([3]Sheet1!$C$4:$Q$23,MATCH(K1009,[3]Sheet1!$B$4:$B$23,1)+1,MATCH(D1009,[3]Sheet1!$C$3:$Q$3,1))-INDEX([3]Sheet1!$C$4:$Q$23,
MATCH(K1009,[3]Sheet1!$B$4:$B$23,1),MATCH(D1009,[3]Sheet1!$C$3:$Q$3,1)))
+(D1009-INDEX([3]Sheet1!$C$3:$Q$3,1,MATCH(D1009,[3]Sheet1!$C$3:$Q$3)))/(INDEX([3]Sheet1!$C$3:$Q$3,1,MATCH(D1009,[3]Sheet1!$C$3:$Q$3)+1)-INDEX([3]Sheet1!$C$3:$Q$3,1,MATCH(
D1009,[3]Sheet1!$C$3:$Q$3)))*(INDEX([3]Sheet1!$C$4:$Q$23,MATCH(K1009,[3]Sheet1!$B$4:$B$23,1),MATCH(D1009,[3]Sheet1!$C$3:$Q$3,1)+1)-INDEX([3]Sheet1!$C$4:$Q$23,MATCH(K1009,[3]Sheet1!$B$4:$B$23,1),MATCH(D1009,[3]Sheet1!$C$3:$Q$3,1))))</f>
        <v>0</v>
      </c>
      <c r="M1009" cm="1">
        <f t="array" ref="M1009" xml:space="preserve"> IF(E1009*J1009=0,0,(INDEX([2]Sheet1!$C$4:$Q$23,MATCH(K1009,[2]Sheet1!$B$4:$B$23,1),MATCH(D1009,[2]Sheet1!$C$3:$Q$3,1))
+ (K1009 - INDEX([2]Sheet1!$B$4:$B$23,MATCH(K1009,[2]Sheet1!$B$4:$B$23,1),1))/(INDEX([2]Sheet1!$B$4:$B$23,MATCH(K1009,[2]Sheet1!$B$4:$B$23,1)+1,1) - INDEX([2]Sheet1!$B$4:$B$23,MATCH(K1009,[2]Sheet1!$B$4:$B$23,1),1))*(INDEX([2]Sheet1!$C$4:$Q$23,MATCH(K1009,[2]Sheet1!$B$4:$B$23,1)+1,MATCH(D1009,[2]Sheet1!$C$3:$Q$3,1)) - INDEX([2]Sheet1!$C$4:$Q$23,MATCH(K1009,[2]Sheet1!$B$4:$B$23,1),MATCH(D1009,[2]Sheet1!$C$3:$Q$3,1)))
+ (D1009 - INDEX([2]Sheet1!$C$3:$Q$3,1,MATCH(D1009,[2]Sheet1!$C$3:$Q$3)))/(INDEX([2]Sheet1!$C$3:$Q$3,1,MATCH(D1009,[2]Sheet1!$C$3:$Q$3)+1) - INDEX([2]Sheet1!$C$3:$Q$3,1,MATCH(D1009,[2]Sheet1!$C$3:$Q$3)))*(
INDEX([2]Sheet1!$C$4:$Q$23,MATCH(K1009,[2]Sheet1!$B$4:$B$23,1),MATCH(D1009,[2]Sheet1!$C$3:$Q$3,1)+1) - INDEX([2]Sheet1!$C$4:$Q$23,MATCH(K1009,[2]Sheet1!$B$4:$B$23,1),MATCH(D1009,[2]Sheet1!$C$3:$Q$3,1)))))</f>
        <v>0</v>
      </c>
      <c r="N1009">
        <f t="shared" si="288"/>
        <v>12</v>
      </c>
      <c r="O1009">
        <v>375.02450568394102</v>
      </c>
      <c r="P1009" t="e">
        <f t="shared" si="289"/>
        <v>#DIV/0!</v>
      </c>
      <c r="Q1009">
        <f t="shared" si="290"/>
        <v>0</v>
      </c>
      <c r="R1009">
        <f t="shared" si="291"/>
        <v>741.9099431943954</v>
      </c>
      <c r="T1009" t="e">
        <f t="shared" si="292"/>
        <v>#DIV/0!</v>
      </c>
      <c r="U1009" t="e">
        <f t="shared" si="293"/>
        <v>#DIV/0!</v>
      </c>
      <c r="V1009">
        <f t="shared" si="294"/>
        <v>0</v>
      </c>
      <c r="W1009" t="e">
        <f t="shared" si="295"/>
        <v>#DIV/0!</v>
      </c>
    </row>
    <row r="1010" spans="1:23" x14ac:dyDescent="0.55000000000000004">
      <c r="A1010">
        <f t="shared" si="297"/>
        <v>97.59999999999873</v>
      </c>
      <c r="B1010">
        <f t="shared" si="298"/>
        <v>0.316</v>
      </c>
      <c r="C1010">
        <f t="shared" si="281"/>
        <v>-58.65217391304266</v>
      </c>
      <c r="D1010">
        <v>376.43984551913201</v>
      </c>
      <c r="E1010">
        <f t="shared" si="282"/>
        <v>0</v>
      </c>
      <c r="F1010">
        <f t="shared" si="283"/>
        <v>4.8605058816845369E-2</v>
      </c>
      <c r="G1010">
        <f t="shared" si="284"/>
        <v>39.513748498891111</v>
      </c>
      <c r="H1010">
        <f t="shared" si="285"/>
        <v>0</v>
      </c>
      <c r="I1010" s="1">
        <f t="shared" si="296"/>
        <v>0</v>
      </c>
      <c r="J1010">
        <f t="shared" si="286"/>
        <v>0</v>
      </c>
      <c r="K1010">
        <f t="shared" si="287"/>
        <v>0</v>
      </c>
      <c r="L1010" cm="1">
        <f t="array" ref="L1010">IF(E1010*J1010=0,0,$C$21*INDEX([3]Sheet1!$C$4:$Q$23,MATCH(K1010,[3]Sheet1!$B$4:$B$23,1),MATCH(D1010,[3]Sheet1!$C$3:$Q$3,1))
+(K1010-INDEX([3]Sheet1!$B$4:$B$23,MATCH(K1010,[3]Sheet1!$B$4:$B$23,1),1))/(INDEX([3]Sheet1!$B$4:$B$23,MATCH(K1010,[3]Sheet1!$B$4:$B$23,1)+1,1)-INDEX([3]Sheet1!$B$4:$B$23,
MATCH(K1010,[3]Sheet1!$B$4:$B$23,1),1))*(INDEX([3]Sheet1!$C$4:$Q$23,MATCH(K1010,[3]Sheet1!$B$4:$B$23,1)+1,MATCH(D1010,[3]Sheet1!$C$3:$Q$3,1))-INDEX([3]Sheet1!$C$4:$Q$23,
MATCH(K1010,[3]Sheet1!$B$4:$B$23,1),MATCH(D1010,[3]Sheet1!$C$3:$Q$3,1)))
+(D1010-INDEX([3]Sheet1!$C$3:$Q$3,1,MATCH(D1010,[3]Sheet1!$C$3:$Q$3)))/(INDEX([3]Sheet1!$C$3:$Q$3,1,MATCH(D1010,[3]Sheet1!$C$3:$Q$3)+1)-INDEX([3]Sheet1!$C$3:$Q$3,1,MATCH(
D1010,[3]Sheet1!$C$3:$Q$3)))*(INDEX([3]Sheet1!$C$4:$Q$23,MATCH(K1010,[3]Sheet1!$B$4:$B$23,1),MATCH(D1010,[3]Sheet1!$C$3:$Q$3,1)+1)-INDEX([3]Sheet1!$C$4:$Q$23,MATCH(K1010,[3]Sheet1!$B$4:$B$23,1),MATCH(D1010,[3]Sheet1!$C$3:$Q$3,1))))</f>
        <v>0</v>
      </c>
      <c r="M1010" cm="1">
        <f t="array" ref="M1010" xml:space="preserve"> IF(E1010*J1010=0,0,(INDEX([2]Sheet1!$C$4:$Q$23,MATCH(K1010,[2]Sheet1!$B$4:$B$23,1),MATCH(D1010,[2]Sheet1!$C$3:$Q$3,1))
+ (K1010 - INDEX([2]Sheet1!$B$4:$B$23,MATCH(K1010,[2]Sheet1!$B$4:$B$23,1),1))/(INDEX([2]Sheet1!$B$4:$B$23,MATCH(K1010,[2]Sheet1!$B$4:$B$23,1)+1,1) - INDEX([2]Sheet1!$B$4:$B$23,MATCH(K1010,[2]Sheet1!$B$4:$B$23,1),1))*(INDEX([2]Sheet1!$C$4:$Q$23,MATCH(K1010,[2]Sheet1!$B$4:$B$23,1)+1,MATCH(D1010,[2]Sheet1!$C$3:$Q$3,1)) - INDEX([2]Sheet1!$C$4:$Q$23,MATCH(K1010,[2]Sheet1!$B$4:$B$23,1),MATCH(D1010,[2]Sheet1!$C$3:$Q$3,1)))
+ (D1010 - INDEX([2]Sheet1!$C$3:$Q$3,1,MATCH(D1010,[2]Sheet1!$C$3:$Q$3)))/(INDEX([2]Sheet1!$C$3:$Q$3,1,MATCH(D1010,[2]Sheet1!$C$3:$Q$3)+1) - INDEX([2]Sheet1!$C$3:$Q$3,1,MATCH(D1010,[2]Sheet1!$C$3:$Q$3)))*(
INDEX([2]Sheet1!$C$4:$Q$23,MATCH(K1010,[2]Sheet1!$B$4:$B$23,1),MATCH(D1010,[2]Sheet1!$C$3:$Q$3,1)+1) - INDEX([2]Sheet1!$C$4:$Q$23,MATCH(K1010,[2]Sheet1!$B$4:$B$23,1),MATCH(D1010,[2]Sheet1!$C$3:$Q$3,1)))))</f>
        <v>0</v>
      </c>
      <c r="N1010">
        <f t="shared" si="288"/>
        <v>12</v>
      </c>
      <c r="O1010">
        <v>376.02450568394102</v>
      </c>
      <c r="P1010" t="e">
        <f t="shared" si="289"/>
        <v>#DIV/0!</v>
      </c>
      <c r="Q1010">
        <f t="shared" si="290"/>
        <v>0</v>
      </c>
      <c r="R1010">
        <f t="shared" si="291"/>
        <v>741.9099431943954</v>
      </c>
      <c r="T1010" t="e">
        <f t="shared" si="292"/>
        <v>#DIV/0!</v>
      </c>
      <c r="U1010" t="e">
        <f t="shared" si="293"/>
        <v>#DIV/0!</v>
      </c>
      <c r="V1010">
        <f t="shared" si="294"/>
        <v>0</v>
      </c>
      <c r="W1010" t="e">
        <f t="shared" si="295"/>
        <v>#DIV/0!</v>
      </c>
    </row>
    <row r="1011" spans="1:23" x14ac:dyDescent="0.55000000000000004">
      <c r="A1011">
        <f t="shared" si="297"/>
        <v>97.699999999998724</v>
      </c>
      <c r="B1011">
        <f t="shared" si="298"/>
        <v>0.316</v>
      </c>
      <c r="C1011">
        <f t="shared" si="281"/>
        <v>-58.717391304346997</v>
      </c>
      <c r="D1011">
        <v>377.43984551913201</v>
      </c>
      <c r="E1011">
        <f t="shared" si="282"/>
        <v>0</v>
      </c>
      <c r="F1011">
        <f t="shared" si="283"/>
        <v>4.8605058816845369E-2</v>
      </c>
      <c r="G1011">
        <f t="shared" si="284"/>
        <v>39.513748498891111</v>
      </c>
      <c r="H1011">
        <f t="shared" si="285"/>
        <v>0</v>
      </c>
      <c r="I1011" s="1">
        <f t="shared" si="296"/>
        <v>0</v>
      </c>
      <c r="J1011">
        <f t="shared" si="286"/>
        <v>0</v>
      </c>
      <c r="K1011">
        <f t="shared" si="287"/>
        <v>0</v>
      </c>
      <c r="L1011" cm="1">
        <f t="array" ref="L1011">IF(E1011*J1011=0,0,$C$21*INDEX([3]Sheet1!$C$4:$Q$23,MATCH(K1011,[3]Sheet1!$B$4:$B$23,1),MATCH(D1011,[3]Sheet1!$C$3:$Q$3,1))
+(K1011-INDEX([3]Sheet1!$B$4:$B$23,MATCH(K1011,[3]Sheet1!$B$4:$B$23,1),1))/(INDEX([3]Sheet1!$B$4:$B$23,MATCH(K1011,[3]Sheet1!$B$4:$B$23,1)+1,1)-INDEX([3]Sheet1!$B$4:$B$23,
MATCH(K1011,[3]Sheet1!$B$4:$B$23,1),1))*(INDEX([3]Sheet1!$C$4:$Q$23,MATCH(K1011,[3]Sheet1!$B$4:$B$23,1)+1,MATCH(D1011,[3]Sheet1!$C$3:$Q$3,1))-INDEX([3]Sheet1!$C$4:$Q$23,
MATCH(K1011,[3]Sheet1!$B$4:$B$23,1),MATCH(D1011,[3]Sheet1!$C$3:$Q$3,1)))
+(D1011-INDEX([3]Sheet1!$C$3:$Q$3,1,MATCH(D1011,[3]Sheet1!$C$3:$Q$3)))/(INDEX([3]Sheet1!$C$3:$Q$3,1,MATCH(D1011,[3]Sheet1!$C$3:$Q$3)+1)-INDEX([3]Sheet1!$C$3:$Q$3,1,MATCH(
D1011,[3]Sheet1!$C$3:$Q$3)))*(INDEX([3]Sheet1!$C$4:$Q$23,MATCH(K1011,[3]Sheet1!$B$4:$B$23,1),MATCH(D1011,[3]Sheet1!$C$3:$Q$3,1)+1)-INDEX([3]Sheet1!$C$4:$Q$23,MATCH(K1011,[3]Sheet1!$B$4:$B$23,1),MATCH(D1011,[3]Sheet1!$C$3:$Q$3,1))))</f>
        <v>0</v>
      </c>
      <c r="M1011" cm="1">
        <f t="array" ref="M1011" xml:space="preserve"> IF(E1011*J1011=0,0,(INDEX([2]Sheet1!$C$4:$Q$23,MATCH(K1011,[2]Sheet1!$B$4:$B$23,1),MATCH(D1011,[2]Sheet1!$C$3:$Q$3,1))
+ (K1011 - INDEX([2]Sheet1!$B$4:$B$23,MATCH(K1011,[2]Sheet1!$B$4:$B$23,1),1))/(INDEX([2]Sheet1!$B$4:$B$23,MATCH(K1011,[2]Sheet1!$B$4:$B$23,1)+1,1) - INDEX([2]Sheet1!$B$4:$B$23,MATCH(K1011,[2]Sheet1!$B$4:$B$23,1),1))*(INDEX([2]Sheet1!$C$4:$Q$23,MATCH(K1011,[2]Sheet1!$B$4:$B$23,1)+1,MATCH(D1011,[2]Sheet1!$C$3:$Q$3,1)) - INDEX([2]Sheet1!$C$4:$Q$23,MATCH(K1011,[2]Sheet1!$B$4:$B$23,1),MATCH(D1011,[2]Sheet1!$C$3:$Q$3,1)))
+ (D1011 - INDEX([2]Sheet1!$C$3:$Q$3,1,MATCH(D1011,[2]Sheet1!$C$3:$Q$3)))/(INDEX([2]Sheet1!$C$3:$Q$3,1,MATCH(D1011,[2]Sheet1!$C$3:$Q$3)+1) - INDEX([2]Sheet1!$C$3:$Q$3,1,MATCH(D1011,[2]Sheet1!$C$3:$Q$3)))*(
INDEX([2]Sheet1!$C$4:$Q$23,MATCH(K1011,[2]Sheet1!$B$4:$B$23,1),MATCH(D1011,[2]Sheet1!$C$3:$Q$3,1)+1) - INDEX([2]Sheet1!$C$4:$Q$23,MATCH(K1011,[2]Sheet1!$B$4:$B$23,1),MATCH(D1011,[2]Sheet1!$C$3:$Q$3,1)))))</f>
        <v>0</v>
      </c>
      <c r="N1011">
        <f t="shared" si="288"/>
        <v>12</v>
      </c>
      <c r="O1011">
        <v>377.02450568394102</v>
      </c>
      <c r="P1011" t="e">
        <f t="shared" si="289"/>
        <v>#DIV/0!</v>
      </c>
      <c r="Q1011">
        <f t="shared" si="290"/>
        <v>0</v>
      </c>
      <c r="R1011">
        <f t="shared" si="291"/>
        <v>741.9099431943954</v>
      </c>
      <c r="T1011" t="e">
        <f t="shared" si="292"/>
        <v>#DIV/0!</v>
      </c>
      <c r="U1011" t="e">
        <f t="shared" si="293"/>
        <v>#DIV/0!</v>
      </c>
      <c r="V1011">
        <f t="shared" si="294"/>
        <v>0</v>
      </c>
      <c r="W1011" t="e">
        <f t="shared" si="295"/>
        <v>#DIV/0!</v>
      </c>
    </row>
    <row r="1012" spans="1:23" x14ac:dyDescent="0.55000000000000004">
      <c r="A1012">
        <f t="shared" si="297"/>
        <v>97.799999999998718</v>
      </c>
      <c r="B1012">
        <f t="shared" si="298"/>
        <v>0.316</v>
      </c>
      <c r="C1012">
        <f t="shared" si="281"/>
        <v>-58.782608695651348</v>
      </c>
      <c r="D1012">
        <v>378.43984551913201</v>
      </c>
      <c r="E1012">
        <f t="shared" si="282"/>
        <v>0</v>
      </c>
      <c r="F1012">
        <f t="shared" si="283"/>
        <v>4.8605058816845369E-2</v>
      </c>
      <c r="G1012">
        <f t="shared" si="284"/>
        <v>39.513748498891111</v>
      </c>
      <c r="H1012">
        <f t="shared" si="285"/>
        <v>0</v>
      </c>
      <c r="I1012" s="1">
        <f t="shared" si="296"/>
        <v>0</v>
      </c>
      <c r="J1012">
        <f t="shared" si="286"/>
        <v>0</v>
      </c>
      <c r="K1012">
        <f t="shared" si="287"/>
        <v>0</v>
      </c>
      <c r="L1012" cm="1">
        <f t="array" ref="L1012">IF(E1012*J1012=0,0,$C$21*INDEX([3]Sheet1!$C$4:$Q$23,MATCH(K1012,[3]Sheet1!$B$4:$B$23,1),MATCH(D1012,[3]Sheet1!$C$3:$Q$3,1))
+(K1012-INDEX([3]Sheet1!$B$4:$B$23,MATCH(K1012,[3]Sheet1!$B$4:$B$23,1),1))/(INDEX([3]Sheet1!$B$4:$B$23,MATCH(K1012,[3]Sheet1!$B$4:$B$23,1)+1,1)-INDEX([3]Sheet1!$B$4:$B$23,
MATCH(K1012,[3]Sheet1!$B$4:$B$23,1),1))*(INDEX([3]Sheet1!$C$4:$Q$23,MATCH(K1012,[3]Sheet1!$B$4:$B$23,1)+1,MATCH(D1012,[3]Sheet1!$C$3:$Q$3,1))-INDEX([3]Sheet1!$C$4:$Q$23,
MATCH(K1012,[3]Sheet1!$B$4:$B$23,1),MATCH(D1012,[3]Sheet1!$C$3:$Q$3,1)))
+(D1012-INDEX([3]Sheet1!$C$3:$Q$3,1,MATCH(D1012,[3]Sheet1!$C$3:$Q$3)))/(INDEX([3]Sheet1!$C$3:$Q$3,1,MATCH(D1012,[3]Sheet1!$C$3:$Q$3)+1)-INDEX([3]Sheet1!$C$3:$Q$3,1,MATCH(
D1012,[3]Sheet1!$C$3:$Q$3)))*(INDEX([3]Sheet1!$C$4:$Q$23,MATCH(K1012,[3]Sheet1!$B$4:$B$23,1),MATCH(D1012,[3]Sheet1!$C$3:$Q$3,1)+1)-INDEX([3]Sheet1!$C$4:$Q$23,MATCH(K1012,[3]Sheet1!$B$4:$B$23,1),MATCH(D1012,[3]Sheet1!$C$3:$Q$3,1))))</f>
        <v>0</v>
      </c>
      <c r="M1012" cm="1">
        <f t="array" ref="M1012" xml:space="preserve"> IF(E1012*J1012=0,0,(INDEX([2]Sheet1!$C$4:$Q$23,MATCH(K1012,[2]Sheet1!$B$4:$B$23,1),MATCH(D1012,[2]Sheet1!$C$3:$Q$3,1))
+ (K1012 - INDEX([2]Sheet1!$B$4:$B$23,MATCH(K1012,[2]Sheet1!$B$4:$B$23,1),1))/(INDEX([2]Sheet1!$B$4:$B$23,MATCH(K1012,[2]Sheet1!$B$4:$B$23,1)+1,1) - INDEX([2]Sheet1!$B$4:$B$23,MATCH(K1012,[2]Sheet1!$B$4:$B$23,1),1))*(INDEX([2]Sheet1!$C$4:$Q$23,MATCH(K1012,[2]Sheet1!$B$4:$B$23,1)+1,MATCH(D1012,[2]Sheet1!$C$3:$Q$3,1)) - INDEX([2]Sheet1!$C$4:$Q$23,MATCH(K1012,[2]Sheet1!$B$4:$B$23,1),MATCH(D1012,[2]Sheet1!$C$3:$Q$3,1)))
+ (D1012 - INDEX([2]Sheet1!$C$3:$Q$3,1,MATCH(D1012,[2]Sheet1!$C$3:$Q$3)))/(INDEX([2]Sheet1!$C$3:$Q$3,1,MATCH(D1012,[2]Sheet1!$C$3:$Q$3)+1) - INDEX([2]Sheet1!$C$3:$Q$3,1,MATCH(D1012,[2]Sheet1!$C$3:$Q$3)))*(
INDEX([2]Sheet1!$C$4:$Q$23,MATCH(K1012,[2]Sheet1!$B$4:$B$23,1),MATCH(D1012,[2]Sheet1!$C$3:$Q$3,1)+1) - INDEX([2]Sheet1!$C$4:$Q$23,MATCH(K1012,[2]Sheet1!$B$4:$B$23,1),MATCH(D1012,[2]Sheet1!$C$3:$Q$3,1)))))</f>
        <v>0</v>
      </c>
      <c r="N1012">
        <f t="shared" si="288"/>
        <v>12</v>
      </c>
      <c r="O1012">
        <v>378.02450568394102</v>
      </c>
      <c r="P1012" t="e">
        <f t="shared" si="289"/>
        <v>#DIV/0!</v>
      </c>
      <c r="Q1012">
        <f t="shared" si="290"/>
        <v>0</v>
      </c>
      <c r="R1012">
        <f t="shared" si="291"/>
        <v>741.9099431943954</v>
      </c>
      <c r="T1012" t="e">
        <f t="shared" si="292"/>
        <v>#DIV/0!</v>
      </c>
      <c r="U1012" t="e">
        <f t="shared" si="293"/>
        <v>#DIV/0!</v>
      </c>
      <c r="V1012">
        <f t="shared" si="294"/>
        <v>0</v>
      </c>
      <c r="W1012" t="e">
        <f t="shared" si="295"/>
        <v>#DIV/0!</v>
      </c>
    </row>
    <row r="1013" spans="1:23" x14ac:dyDescent="0.55000000000000004">
      <c r="A1013">
        <f t="shared" si="297"/>
        <v>97.899999999998712</v>
      </c>
      <c r="B1013">
        <f t="shared" si="298"/>
        <v>0.316</v>
      </c>
      <c r="C1013">
        <f t="shared" si="281"/>
        <v>-58.847826086955685</v>
      </c>
      <c r="D1013">
        <v>379.43984551913201</v>
      </c>
      <c r="E1013">
        <f t="shared" si="282"/>
        <v>0</v>
      </c>
      <c r="F1013">
        <f t="shared" si="283"/>
        <v>4.8605058816845369E-2</v>
      </c>
      <c r="G1013">
        <f t="shared" si="284"/>
        <v>39.513748498891111</v>
      </c>
      <c r="H1013">
        <f t="shared" si="285"/>
        <v>0</v>
      </c>
      <c r="I1013" s="1">
        <f t="shared" si="296"/>
        <v>0</v>
      </c>
      <c r="J1013">
        <f t="shared" si="286"/>
        <v>0</v>
      </c>
      <c r="K1013">
        <f t="shared" si="287"/>
        <v>0</v>
      </c>
      <c r="L1013" cm="1">
        <f t="array" ref="L1013">IF(E1013*J1013=0,0,$C$21*INDEX([3]Sheet1!$C$4:$Q$23,MATCH(K1013,[3]Sheet1!$B$4:$B$23,1),MATCH(D1013,[3]Sheet1!$C$3:$Q$3,1))
+(K1013-INDEX([3]Sheet1!$B$4:$B$23,MATCH(K1013,[3]Sheet1!$B$4:$B$23,1),1))/(INDEX([3]Sheet1!$B$4:$B$23,MATCH(K1013,[3]Sheet1!$B$4:$B$23,1)+1,1)-INDEX([3]Sheet1!$B$4:$B$23,
MATCH(K1013,[3]Sheet1!$B$4:$B$23,1),1))*(INDEX([3]Sheet1!$C$4:$Q$23,MATCH(K1013,[3]Sheet1!$B$4:$B$23,1)+1,MATCH(D1013,[3]Sheet1!$C$3:$Q$3,1))-INDEX([3]Sheet1!$C$4:$Q$23,
MATCH(K1013,[3]Sheet1!$B$4:$B$23,1),MATCH(D1013,[3]Sheet1!$C$3:$Q$3,1)))
+(D1013-INDEX([3]Sheet1!$C$3:$Q$3,1,MATCH(D1013,[3]Sheet1!$C$3:$Q$3)))/(INDEX([3]Sheet1!$C$3:$Q$3,1,MATCH(D1013,[3]Sheet1!$C$3:$Q$3)+1)-INDEX([3]Sheet1!$C$3:$Q$3,1,MATCH(
D1013,[3]Sheet1!$C$3:$Q$3)))*(INDEX([3]Sheet1!$C$4:$Q$23,MATCH(K1013,[3]Sheet1!$B$4:$B$23,1),MATCH(D1013,[3]Sheet1!$C$3:$Q$3,1)+1)-INDEX([3]Sheet1!$C$4:$Q$23,MATCH(K1013,[3]Sheet1!$B$4:$B$23,1),MATCH(D1013,[3]Sheet1!$C$3:$Q$3,1))))</f>
        <v>0</v>
      </c>
      <c r="M1013" cm="1">
        <f t="array" ref="M1013" xml:space="preserve"> IF(E1013*J1013=0,0,(INDEX([2]Sheet1!$C$4:$Q$23,MATCH(K1013,[2]Sheet1!$B$4:$B$23,1),MATCH(D1013,[2]Sheet1!$C$3:$Q$3,1))
+ (K1013 - INDEX([2]Sheet1!$B$4:$B$23,MATCH(K1013,[2]Sheet1!$B$4:$B$23,1),1))/(INDEX([2]Sheet1!$B$4:$B$23,MATCH(K1013,[2]Sheet1!$B$4:$B$23,1)+1,1) - INDEX([2]Sheet1!$B$4:$B$23,MATCH(K1013,[2]Sheet1!$B$4:$B$23,1),1))*(INDEX([2]Sheet1!$C$4:$Q$23,MATCH(K1013,[2]Sheet1!$B$4:$B$23,1)+1,MATCH(D1013,[2]Sheet1!$C$3:$Q$3,1)) - INDEX([2]Sheet1!$C$4:$Q$23,MATCH(K1013,[2]Sheet1!$B$4:$B$23,1),MATCH(D1013,[2]Sheet1!$C$3:$Q$3,1)))
+ (D1013 - INDEX([2]Sheet1!$C$3:$Q$3,1,MATCH(D1013,[2]Sheet1!$C$3:$Q$3)))/(INDEX([2]Sheet1!$C$3:$Q$3,1,MATCH(D1013,[2]Sheet1!$C$3:$Q$3)+1) - INDEX([2]Sheet1!$C$3:$Q$3,1,MATCH(D1013,[2]Sheet1!$C$3:$Q$3)))*(
INDEX([2]Sheet1!$C$4:$Q$23,MATCH(K1013,[2]Sheet1!$B$4:$B$23,1),MATCH(D1013,[2]Sheet1!$C$3:$Q$3,1)+1) - INDEX([2]Sheet1!$C$4:$Q$23,MATCH(K1013,[2]Sheet1!$B$4:$B$23,1),MATCH(D1013,[2]Sheet1!$C$3:$Q$3,1)))))</f>
        <v>0</v>
      </c>
      <c r="N1013">
        <f t="shared" si="288"/>
        <v>12</v>
      </c>
      <c r="O1013">
        <v>379.02450568394102</v>
      </c>
      <c r="P1013" t="e">
        <f t="shared" si="289"/>
        <v>#DIV/0!</v>
      </c>
      <c r="Q1013">
        <f t="shared" si="290"/>
        <v>0</v>
      </c>
      <c r="R1013">
        <f t="shared" si="291"/>
        <v>741.9099431943954</v>
      </c>
      <c r="T1013" t="e">
        <f t="shared" si="292"/>
        <v>#DIV/0!</v>
      </c>
      <c r="U1013" t="e">
        <f t="shared" si="293"/>
        <v>#DIV/0!</v>
      </c>
      <c r="V1013">
        <f t="shared" si="294"/>
        <v>0</v>
      </c>
      <c r="W1013" t="e">
        <f t="shared" si="295"/>
        <v>#DIV/0!</v>
      </c>
    </row>
    <row r="1014" spans="1:23" x14ac:dyDescent="0.55000000000000004">
      <c r="A1014">
        <f t="shared" si="297"/>
        <v>97.999999999998707</v>
      </c>
      <c r="B1014">
        <f t="shared" si="298"/>
        <v>0.316</v>
      </c>
      <c r="C1014">
        <f t="shared" si="281"/>
        <v>-58.913043478260036</v>
      </c>
      <c r="D1014">
        <v>380.43984551913201</v>
      </c>
      <c r="E1014">
        <f t="shared" si="282"/>
        <v>0</v>
      </c>
      <c r="F1014">
        <f t="shared" si="283"/>
        <v>4.8605058816845369E-2</v>
      </c>
      <c r="G1014">
        <f t="shared" si="284"/>
        <v>39.513748498891111</v>
      </c>
      <c r="H1014">
        <f t="shared" si="285"/>
        <v>0</v>
      </c>
      <c r="I1014" s="1">
        <f t="shared" si="296"/>
        <v>0</v>
      </c>
      <c r="J1014">
        <f t="shared" si="286"/>
        <v>0</v>
      </c>
      <c r="K1014">
        <f t="shared" si="287"/>
        <v>0</v>
      </c>
      <c r="L1014" cm="1">
        <f t="array" ref="L1014">IF(E1014*J1014=0,0,$C$21*INDEX([3]Sheet1!$C$4:$Q$23,MATCH(K1014,[3]Sheet1!$B$4:$B$23,1),MATCH(D1014,[3]Sheet1!$C$3:$Q$3,1))
+(K1014-INDEX([3]Sheet1!$B$4:$B$23,MATCH(K1014,[3]Sheet1!$B$4:$B$23,1),1))/(INDEX([3]Sheet1!$B$4:$B$23,MATCH(K1014,[3]Sheet1!$B$4:$B$23,1)+1,1)-INDEX([3]Sheet1!$B$4:$B$23,
MATCH(K1014,[3]Sheet1!$B$4:$B$23,1),1))*(INDEX([3]Sheet1!$C$4:$Q$23,MATCH(K1014,[3]Sheet1!$B$4:$B$23,1)+1,MATCH(D1014,[3]Sheet1!$C$3:$Q$3,1))-INDEX([3]Sheet1!$C$4:$Q$23,
MATCH(K1014,[3]Sheet1!$B$4:$B$23,1),MATCH(D1014,[3]Sheet1!$C$3:$Q$3,1)))
+(D1014-INDEX([3]Sheet1!$C$3:$Q$3,1,MATCH(D1014,[3]Sheet1!$C$3:$Q$3)))/(INDEX([3]Sheet1!$C$3:$Q$3,1,MATCH(D1014,[3]Sheet1!$C$3:$Q$3)+1)-INDEX([3]Sheet1!$C$3:$Q$3,1,MATCH(
D1014,[3]Sheet1!$C$3:$Q$3)))*(INDEX([3]Sheet1!$C$4:$Q$23,MATCH(K1014,[3]Sheet1!$B$4:$B$23,1),MATCH(D1014,[3]Sheet1!$C$3:$Q$3,1)+1)-INDEX([3]Sheet1!$C$4:$Q$23,MATCH(K1014,[3]Sheet1!$B$4:$B$23,1),MATCH(D1014,[3]Sheet1!$C$3:$Q$3,1))))</f>
        <v>0</v>
      </c>
      <c r="M1014" cm="1">
        <f t="array" ref="M1014" xml:space="preserve"> IF(E1014*J1014=0,0,(INDEX([2]Sheet1!$C$4:$Q$23,MATCH(K1014,[2]Sheet1!$B$4:$B$23,1),MATCH(D1014,[2]Sheet1!$C$3:$Q$3,1))
+ (K1014 - INDEX([2]Sheet1!$B$4:$B$23,MATCH(K1014,[2]Sheet1!$B$4:$B$23,1),1))/(INDEX([2]Sheet1!$B$4:$B$23,MATCH(K1014,[2]Sheet1!$B$4:$B$23,1)+1,1) - INDEX([2]Sheet1!$B$4:$B$23,MATCH(K1014,[2]Sheet1!$B$4:$B$23,1),1))*(INDEX([2]Sheet1!$C$4:$Q$23,MATCH(K1014,[2]Sheet1!$B$4:$B$23,1)+1,MATCH(D1014,[2]Sheet1!$C$3:$Q$3,1)) - INDEX([2]Sheet1!$C$4:$Q$23,MATCH(K1014,[2]Sheet1!$B$4:$B$23,1),MATCH(D1014,[2]Sheet1!$C$3:$Q$3,1)))
+ (D1014 - INDEX([2]Sheet1!$C$3:$Q$3,1,MATCH(D1014,[2]Sheet1!$C$3:$Q$3)))/(INDEX([2]Sheet1!$C$3:$Q$3,1,MATCH(D1014,[2]Sheet1!$C$3:$Q$3)+1) - INDEX([2]Sheet1!$C$3:$Q$3,1,MATCH(D1014,[2]Sheet1!$C$3:$Q$3)))*(
INDEX([2]Sheet1!$C$4:$Q$23,MATCH(K1014,[2]Sheet1!$B$4:$B$23,1),MATCH(D1014,[2]Sheet1!$C$3:$Q$3,1)+1) - INDEX([2]Sheet1!$C$4:$Q$23,MATCH(K1014,[2]Sheet1!$B$4:$B$23,1),MATCH(D1014,[2]Sheet1!$C$3:$Q$3,1)))))</f>
        <v>0</v>
      </c>
      <c r="N1014">
        <f t="shared" si="288"/>
        <v>12</v>
      </c>
      <c r="O1014">
        <v>380.02450568394102</v>
      </c>
      <c r="P1014" t="e">
        <f t="shared" si="289"/>
        <v>#DIV/0!</v>
      </c>
      <c r="Q1014">
        <f t="shared" si="290"/>
        <v>0</v>
      </c>
      <c r="R1014">
        <f t="shared" si="291"/>
        <v>741.9099431943954</v>
      </c>
      <c r="T1014" t="e">
        <f t="shared" si="292"/>
        <v>#DIV/0!</v>
      </c>
      <c r="U1014" t="e">
        <f t="shared" si="293"/>
        <v>#DIV/0!</v>
      </c>
      <c r="V1014">
        <f t="shared" si="294"/>
        <v>0</v>
      </c>
      <c r="W1014" t="e">
        <f t="shared" si="295"/>
        <v>#DIV/0!</v>
      </c>
    </row>
    <row r="1015" spans="1:23" x14ac:dyDescent="0.55000000000000004">
      <c r="A1015">
        <f t="shared" si="297"/>
        <v>98.099999999998701</v>
      </c>
      <c r="B1015">
        <f t="shared" si="298"/>
        <v>0.316</v>
      </c>
      <c r="C1015">
        <f t="shared" si="281"/>
        <v>-58.978260869564373</v>
      </c>
      <c r="D1015">
        <v>381.43984551913201</v>
      </c>
      <c r="E1015">
        <f t="shared" si="282"/>
        <v>0</v>
      </c>
      <c r="F1015">
        <f t="shared" si="283"/>
        <v>4.8605058816845369E-2</v>
      </c>
      <c r="G1015">
        <f t="shared" si="284"/>
        <v>39.513748498891111</v>
      </c>
      <c r="H1015">
        <f t="shared" si="285"/>
        <v>0</v>
      </c>
      <c r="I1015" s="1">
        <f t="shared" si="296"/>
        <v>0</v>
      </c>
      <c r="J1015">
        <f t="shared" si="286"/>
        <v>0</v>
      </c>
      <c r="K1015">
        <f t="shared" si="287"/>
        <v>0</v>
      </c>
      <c r="L1015" cm="1">
        <f t="array" ref="L1015">IF(E1015*J1015=0,0,$C$21*INDEX([3]Sheet1!$C$4:$Q$23,MATCH(K1015,[3]Sheet1!$B$4:$B$23,1),MATCH(D1015,[3]Sheet1!$C$3:$Q$3,1))
+(K1015-INDEX([3]Sheet1!$B$4:$B$23,MATCH(K1015,[3]Sheet1!$B$4:$B$23,1),1))/(INDEX([3]Sheet1!$B$4:$B$23,MATCH(K1015,[3]Sheet1!$B$4:$B$23,1)+1,1)-INDEX([3]Sheet1!$B$4:$B$23,
MATCH(K1015,[3]Sheet1!$B$4:$B$23,1),1))*(INDEX([3]Sheet1!$C$4:$Q$23,MATCH(K1015,[3]Sheet1!$B$4:$B$23,1)+1,MATCH(D1015,[3]Sheet1!$C$3:$Q$3,1))-INDEX([3]Sheet1!$C$4:$Q$23,
MATCH(K1015,[3]Sheet1!$B$4:$B$23,1),MATCH(D1015,[3]Sheet1!$C$3:$Q$3,1)))
+(D1015-INDEX([3]Sheet1!$C$3:$Q$3,1,MATCH(D1015,[3]Sheet1!$C$3:$Q$3)))/(INDEX([3]Sheet1!$C$3:$Q$3,1,MATCH(D1015,[3]Sheet1!$C$3:$Q$3)+1)-INDEX([3]Sheet1!$C$3:$Q$3,1,MATCH(
D1015,[3]Sheet1!$C$3:$Q$3)))*(INDEX([3]Sheet1!$C$4:$Q$23,MATCH(K1015,[3]Sheet1!$B$4:$B$23,1),MATCH(D1015,[3]Sheet1!$C$3:$Q$3,1)+1)-INDEX([3]Sheet1!$C$4:$Q$23,MATCH(K1015,[3]Sheet1!$B$4:$B$23,1),MATCH(D1015,[3]Sheet1!$C$3:$Q$3,1))))</f>
        <v>0</v>
      </c>
      <c r="M1015" cm="1">
        <f t="array" ref="M1015" xml:space="preserve"> IF(E1015*J1015=0,0,(INDEX([2]Sheet1!$C$4:$Q$23,MATCH(K1015,[2]Sheet1!$B$4:$B$23,1),MATCH(D1015,[2]Sheet1!$C$3:$Q$3,1))
+ (K1015 - INDEX([2]Sheet1!$B$4:$B$23,MATCH(K1015,[2]Sheet1!$B$4:$B$23,1),1))/(INDEX([2]Sheet1!$B$4:$B$23,MATCH(K1015,[2]Sheet1!$B$4:$B$23,1)+1,1) - INDEX([2]Sheet1!$B$4:$B$23,MATCH(K1015,[2]Sheet1!$B$4:$B$23,1),1))*(INDEX([2]Sheet1!$C$4:$Q$23,MATCH(K1015,[2]Sheet1!$B$4:$B$23,1)+1,MATCH(D1015,[2]Sheet1!$C$3:$Q$3,1)) - INDEX([2]Sheet1!$C$4:$Q$23,MATCH(K1015,[2]Sheet1!$B$4:$B$23,1),MATCH(D1015,[2]Sheet1!$C$3:$Q$3,1)))
+ (D1015 - INDEX([2]Sheet1!$C$3:$Q$3,1,MATCH(D1015,[2]Sheet1!$C$3:$Q$3)))/(INDEX([2]Sheet1!$C$3:$Q$3,1,MATCH(D1015,[2]Sheet1!$C$3:$Q$3)+1) - INDEX([2]Sheet1!$C$3:$Q$3,1,MATCH(D1015,[2]Sheet1!$C$3:$Q$3)))*(
INDEX([2]Sheet1!$C$4:$Q$23,MATCH(K1015,[2]Sheet1!$B$4:$B$23,1),MATCH(D1015,[2]Sheet1!$C$3:$Q$3,1)+1) - INDEX([2]Sheet1!$C$4:$Q$23,MATCH(K1015,[2]Sheet1!$B$4:$B$23,1),MATCH(D1015,[2]Sheet1!$C$3:$Q$3,1)))))</f>
        <v>0</v>
      </c>
      <c r="N1015">
        <f t="shared" si="288"/>
        <v>12</v>
      </c>
      <c r="O1015">
        <v>381.02450568394102</v>
      </c>
      <c r="P1015" t="e">
        <f t="shared" si="289"/>
        <v>#DIV/0!</v>
      </c>
      <c r="Q1015">
        <f t="shared" si="290"/>
        <v>0</v>
      </c>
      <c r="R1015">
        <f t="shared" si="291"/>
        <v>741.9099431943954</v>
      </c>
      <c r="T1015" t="e">
        <f t="shared" si="292"/>
        <v>#DIV/0!</v>
      </c>
      <c r="U1015" t="e">
        <f t="shared" si="293"/>
        <v>#DIV/0!</v>
      </c>
      <c r="V1015">
        <f t="shared" si="294"/>
        <v>0</v>
      </c>
      <c r="W1015" t="e">
        <f t="shared" si="295"/>
        <v>#DIV/0!</v>
      </c>
    </row>
    <row r="1016" spans="1:23" x14ac:dyDescent="0.55000000000000004">
      <c r="A1016">
        <f t="shared" si="297"/>
        <v>98.199999999998695</v>
      </c>
      <c r="B1016">
        <f t="shared" si="298"/>
        <v>0.316</v>
      </c>
      <c r="C1016">
        <f t="shared" si="281"/>
        <v>-59.043478260868724</v>
      </c>
      <c r="D1016">
        <v>382.43984551913201</v>
      </c>
      <c r="E1016">
        <f t="shared" si="282"/>
        <v>0</v>
      </c>
      <c r="F1016">
        <f t="shared" si="283"/>
        <v>4.8605058816845369E-2</v>
      </c>
      <c r="G1016">
        <f t="shared" si="284"/>
        <v>39.513748498891111</v>
      </c>
      <c r="H1016">
        <f t="shared" si="285"/>
        <v>0</v>
      </c>
      <c r="I1016" s="1">
        <f t="shared" si="296"/>
        <v>0</v>
      </c>
      <c r="J1016">
        <f t="shared" si="286"/>
        <v>0</v>
      </c>
      <c r="K1016">
        <f t="shared" si="287"/>
        <v>0</v>
      </c>
      <c r="L1016" cm="1">
        <f t="array" ref="L1016">IF(E1016*J1016=0,0,$C$21*INDEX([3]Sheet1!$C$4:$Q$23,MATCH(K1016,[3]Sheet1!$B$4:$B$23,1),MATCH(D1016,[3]Sheet1!$C$3:$Q$3,1))
+(K1016-INDEX([3]Sheet1!$B$4:$B$23,MATCH(K1016,[3]Sheet1!$B$4:$B$23,1),1))/(INDEX([3]Sheet1!$B$4:$B$23,MATCH(K1016,[3]Sheet1!$B$4:$B$23,1)+1,1)-INDEX([3]Sheet1!$B$4:$B$23,
MATCH(K1016,[3]Sheet1!$B$4:$B$23,1),1))*(INDEX([3]Sheet1!$C$4:$Q$23,MATCH(K1016,[3]Sheet1!$B$4:$B$23,1)+1,MATCH(D1016,[3]Sheet1!$C$3:$Q$3,1))-INDEX([3]Sheet1!$C$4:$Q$23,
MATCH(K1016,[3]Sheet1!$B$4:$B$23,1),MATCH(D1016,[3]Sheet1!$C$3:$Q$3,1)))
+(D1016-INDEX([3]Sheet1!$C$3:$Q$3,1,MATCH(D1016,[3]Sheet1!$C$3:$Q$3)))/(INDEX([3]Sheet1!$C$3:$Q$3,1,MATCH(D1016,[3]Sheet1!$C$3:$Q$3)+1)-INDEX([3]Sheet1!$C$3:$Q$3,1,MATCH(
D1016,[3]Sheet1!$C$3:$Q$3)))*(INDEX([3]Sheet1!$C$4:$Q$23,MATCH(K1016,[3]Sheet1!$B$4:$B$23,1),MATCH(D1016,[3]Sheet1!$C$3:$Q$3,1)+1)-INDEX([3]Sheet1!$C$4:$Q$23,MATCH(K1016,[3]Sheet1!$B$4:$B$23,1),MATCH(D1016,[3]Sheet1!$C$3:$Q$3,1))))</f>
        <v>0</v>
      </c>
      <c r="M1016" cm="1">
        <f t="array" ref="M1016" xml:space="preserve"> IF(E1016*J1016=0,0,(INDEX([2]Sheet1!$C$4:$Q$23,MATCH(K1016,[2]Sheet1!$B$4:$B$23,1),MATCH(D1016,[2]Sheet1!$C$3:$Q$3,1))
+ (K1016 - INDEX([2]Sheet1!$B$4:$B$23,MATCH(K1016,[2]Sheet1!$B$4:$B$23,1),1))/(INDEX([2]Sheet1!$B$4:$B$23,MATCH(K1016,[2]Sheet1!$B$4:$B$23,1)+1,1) - INDEX([2]Sheet1!$B$4:$B$23,MATCH(K1016,[2]Sheet1!$B$4:$B$23,1),1))*(INDEX([2]Sheet1!$C$4:$Q$23,MATCH(K1016,[2]Sheet1!$B$4:$B$23,1)+1,MATCH(D1016,[2]Sheet1!$C$3:$Q$3,1)) - INDEX([2]Sheet1!$C$4:$Q$23,MATCH(K1016,[2]Sheet1!$B$4:$B$23,1),MATCH(D1016,[2]Sheet1!$C$3:$Q$3,1)))
+ (D1016 - INDEX([2]Sheet1!$C$3:$Q$3,1,MATCH(D1016,[2]Sheet1!$C$3:$Q$3)))/(INDEX([2]Sheet1!$C$3:$Q$3,1,MATCH(D1016,[2]Sheet1!$C$3:$Q$3)+1) - INDEX([2]Sheet1!$C$3:$Q$3,1,MATCH(D1016,[2]Sheet1!$C$3:$Q$3)))*(
INDEX([2]Sheet1!$C$4:$Q$23,MATCH(K1016,[2]Sheet1!$B$4:$B$23,1),MATCH(D1016,[2]Sheet1!$C$3:$Q$3,1)+1) - INDEX([2]Sheet1!$C$4:$Q$23,MATCH(K1016,[2]Sheet1!$B$4:$B$23,1),MATCH(D1016,[2]Sheet1!$C$3:$Q$3,1)))))</f>
        <v>0</v>
      </c>
      <c r="N1016">
        <f t="shared" si="288"/>
        <v>12</v>
      </c>
      <c r="O1016">
        <v>382.02450568394102</v>
      </c>
      <c r="P1016" t="e">
        <f t="shared" si="289"/>
        <v>#DIV/0!</v>
      </c>
      <c r="Q1016">
        <f t="shared" si="290"/>
        <v>0</v>
      </c>
      <c r="R1016">
        <f t="shared" si="291"/>
        <v>741.9099431943954</v>
      </c>
      <c r="T1016" t="e">
        <f t="shared" si="292"/>
        <v>#DIV/0!</v>
      </c>
      <c r="U1016" t="e">
        <f t="shared" si="293"/>
        <v>#DIV/0!</v>
      </c>
      <c r="V1016">
        <f t="shared" si="294"/>
        <v>0</v>
      </c>
      <c r="W1016" t="e">
        <f t="shared" si="295"/>
        <v>#DIV/0!</v>
      </c>
    </row>
    <row r="1017" spans="1:23" x14ac:dyDescent="0.55000000000000004">
      <c r="A1017">
        <f t="shared" si="297"/>
        <v>98.29999999999869</v>
      </c>
      <c r="B1017">
        <f t="shared" si="298"/>
        <v>0.316</v>
      </c>
      <c r="C1017">
        <f t="shared" si="281"/>
        <v>-59.108695652173054</v>
      </c>
      <c r="D1017">
        <v>383.43984551913201</v>
      </c>
      <c r="E1017">
        <f t="shared" si="282"/>
        <v>0</v>
      </c>
      <c r="F1017">
        <f t="shared" si="283"/>
        <v>4.8605058816845369E-2</v>
      </c>
      <c r="G1017">
        <f t="shared" si="284"/>
        <v>39.513748498891111</v>
      </c>
      <c r="H1017">
        <f t="shared" si="285"/>
        <v>0</v>
      </c>
      <c r="I1017" s="1">
        <f t="shared" si="296"/>
        <v>0</v>
      </c>
      <c r="J1017">
        <f t="shared" si="286"/>
        <v>0</v>
      </c>
      <c r="K1017">
        <f t="shared" si="287"/>
        <v>0</v>
      </c>
      <c r="L1017" cm="1">
        <f t="array" ref="L1017">IF(E1017*J1017=0,0,$C$21*INDEX([3]Sheet1!$C$4:$Q$23,MATCH(K1017,[3]Sheet1!$B$4:$B$23,1),MATCH(D1017,[3]Sheet1!$C$3:$Q$3,1))
+(K1017-INDEX([3]Sheet1!$B$4:$B$23,MATCH(K1017,[3]Sheet1!$B$4:$B$23,1),1))/(INDEX([3]Sheet1!$B$4:$B$23,MATCH(K1017,[3]Sheet1!$B$4:$B$23,1)+1,1)-INDEX([3]Sheet1!$B$4:$B$23,
MATCH(K1017,[3]Sheet1!$B$4:$B$23,1),1))*(INDEX([3]Sheet1!$C$4:$Q$23,MATCH(K1017,[3]Sheet1!$B$4:$B$23,1)+1,MATCH(D1017,[3]Sheet1!$C$3:$Q$3,1))-INDEX([3]Sheet1!$C$4:$Q$23,
MATCH(K1017,[3]Sheet1!$B$4:$B$23,1),MATCH(D1017,[3]Sheet1!$C$3:$Q$3,1)))
+(D1017-INDEX([3]Sheet1!$C$3:$Q$3,1,MATCH(D1017,[3]Sheet1!$C$3:$Q$3)))/(INDEX([3]Sheet1!$C$3:$Q$3,1,MATCH(D1017,[3]Sheet1!$C$3:$Q$3)+1)-INDEX([3]Sheet1!$C$3:$Q$3,1,MATCH(
D1017,[3]Sheet1!$C$3:$Q$3)))*(INDEX([3]Sheet1!$C$4:$Q$23,MATCH(K1017,[3]Sheet1!$B$4:$B$23,1),MATCH(D1017,[3]Sheet1!$C$3:$Q$3,1)+1)-INDEX([3]Sheet1!$C$4:$Q$23,MATCH(K1017,[3]Sheet1!$B$4:$B$23,1),MATCH(D1017,[3]Sheet1!$C$3:$Q$3,1))))</f>
        <v>0</v>
      </c>
      <c r="M1017" cm="1">
        <f t="array" ref="M1017" xml:space="preserve"> IF(E1017*J1017=0,0,(INDEX([2]Sheet1!$C$4:$Q$23,MATCH(K1017,[2]Sheet1!$B$4:$B$23,1),MATCH(D1017,[2]Sheet1!$C$3:$Q$3,1))
+ (K1017 - INDEX([2]Sheet1!$B$4:$B$23,MATCH(K1017,[2]Sheet1!$B$4:$B$23,1),1))/(INDEX([2]Sheet1!$B$4:$B$23,MATCH(K1017,[2]Sheet1!$B$4:$B$23,1)+1,1) - INDEX([2]Sheet1!$B$4:$B$23,MATCH(K1017,[2]Sheet1!$B$4:$B$23,1),1))*(INDEX([2]Sheet1!$C$4:$Q$23,MATCH(K1017,[2]Sheet1!$B$4:$B$23,1)+1,MATCH(D1017,[2]Sheet1!$C$3:$Q$3,1)) - INDEX([2]Sheet1!$C$4:$Q$23,MATCH(K1017,[2]Sheet1!$B$4:$B$23,1),MATCH(D1017,[2]Sheet1!$C$3:$Q$3,1)))
+ (D1017 - INDEX([2]Sheet1!$C$3:$Q$3,1,MATCH(D1017,[2]Sheet1!$C$3:$Q$3)))/(INDEX([2]Sheet1!$C$3:$Q$3,1,MATCH(D1017,[2]Sheet1!$C$3:$Q$3)+1) - INDEX([2]Sheet1!$C$3:$Q$3,1,MATCH(D1017,[2]Sheet1!$C$3:$Q$3)))*(
INDEX([2]Sheet1!$C$4:$Q$23,MATCH(K1017,[2]Sheet1!$B$4:$B$23,1),MATCH(D1017,[2]Sheet1!$C$3:$Q$3,1)+1) - INDEX([2]Sheet1!$C$4:$Q$23,MATCH(K1017,[2]Sheet1!$B$4:$B$23,1),MATCH(D1017,[2]Sheet1!$C$3:$Q$3,1)))))</f>
        <v>0</v>
      </c>
      <c r="N1017">
        <f t="shared" si="288"/>
        <v>12</v>
      </c>
      <c r="O1017">
        <v>383.02450568394102</v>
      </c>
      <c r="P1017" t="e">
        <f t="shared" si="289"/>
        <v>#DIV/0!</v>
      </c>
      <c r="Q1017">
        <f t="shared" si="290"/>
        <v>0</v>
      </c>
      <c r="R1017">
        <f t="shared" si="291"/>
        <v>741.9099431943954</v>
      </c>
      <c r="T1017" t="e">
        <f t="shared" si="292"/>
        <v>#DIV/0!</v>
      </c>
      <c r="U1017" t="e">
        <f t="shared" si="293"/>
        <v>#DIV/0!</v>
      </c>
      <c r="V1017">
        <f t="shared" si="294"/>
        <v>0</v>
      </c>
      <c r="W1017" t="e">
        <f t="shared" si="295"/>
        <v>#DIV/0!</v>
      </c>
    </row>
    <row r="1018" spans="1:23" x14ac:dyDescent="0.55000000000000004">
      <c r="A1018">
        <f t="shared" si="297"/>
        <v>98.399999999998684</v>
      </c>
      <c r="B1018">
        <f t="shared" si="298"/>
        <v>0.316</v>
      </c>
      <c r="C1018">
        <f t="shared" si="281"/>
        <v>-59.173913043477413</v>
      </c>
      <c r="D1018">
        <v>384.43984551913201</v>
      </c>
      <c r="E1018">
        <f t="shared" si="282"/>
        <v>0</v>
      </c>
      <c r="F1018">
        <f t="shared" si="283"/>
        <v>4.8605058816845369E-2</v>
      </c>
      <c r="G1018">
        <f t="shared" si="284"/>
        <v>39.513748498891111</v>
      </c>
      <c r="H1018">
        <f t="shared" si="285"/>
        <v>0</v>
      </c>
      <c r="I1018" s="1">
        <f t="shared" si="296"/>
        <v>0</v>
      </c>
      <c r="J1018">
        <f t="shared" si="286"/>
        <v>0</v>
      </c>
      <c r="K1018">
        <f t="shared" si="287"/>
        <v>0</v>
      </c>
      <c r="L1018" cm="1">
        <f t="array" ref="L1018">IF(E1018*J1018=0,0,$C$21*INDEX([3]Sheet1!$C$4:$Q$23,MATCH(K1018,[3]Sheet1!$B$4:$B$23,1),MATCH(D1018,[3]Sheet1!$C$3:$Q$3,1))
+(K1018-INDEX([3]Sheet1!$B$4:$B$23,MATCH(K1018,[3]Sheet1!$B$4:$B$23,1),1))/(INDEX([3]Sheet1!$B$4:$B$23,MATCH(K1018,[3]Sheet1!$B$4:$B$23,1)+1,1)-INDEX([3]Sheet1!$B$4:$B$23,
MATCH(K1018,[3]Sheet1!$B$4:$B$23,1),1))*(INDEX([3]Sheet1!$C$4:$Q$23,MATCH(K1018,[3]Sheet1!$B$4:$B$23,1)+1,MATCH(D1018,[3]Sheet1!$C$3:$Q$3,1))-INDEX([3]Sheet1!$C$4:$Q$23,
MATCH(K1018,[3]Sheet1!$B$4:$B$23,1),MATCH(D1018,[3]Sheet1!$C$3:$Q$3,1)))
+(D1018-INDEX([3]Sheet1!$C$3:$Q$3,1,MATCH(D1018,[3]Sheet1!$C$3:$Q$3)))/(INDEX([3]Sheet1!$C$3:$Q$3,1,MATCH(D1018,[3]Sheet1!$C$3:$Q$3)+1)-INDEX([3]Sheet1!$C$3:$Q$3,1,MATCH(
D1018,[3]Sheet1!$C$3:$Q$3)))*(INDEX([3]Sheet1!$C$4:$Q$23,MATCH(K1018,[3]Sheet1!$B$4:$B$23,1),MATCH(D1018,[3]Sheet1!$C$3:$Q$3,1)+1)-INDEX([3]Sheet1!$C$4:$Q$23,MATCH(K1018,[3]Sheet1!$B$4:$B$23,1),MATCH(D1018,[3]Sheet1!$C$3:$Q$3,1))))</f>
        <v>0</v>
      </c>
      <c r="M1018" cm="1">
        <f t="array" ref="M1018" xml:space="preserve"> IF(E1018*J1018=0,0,(INDEX([2]Sheet1!$C$4:$Q$23,MATCH(K1018,[2]Sheet1!$B$4:$B$23,1),MATCH(D1018,[2]Sheet1!$C$3:$Q$3,1))
+ (K1018 - INDEX([2]Sheet1!$B$4:$B$23,MATCH(K1018,[2]Sheet1!$B$4:$B$23,1),1))/(INDEX([2]Sheet1!$B$4:$B$23,MATCH(K1018,[2]Sheet1!$B$4:$B$23,1)+1,1) - INDEX([2]Sheet1!$B$4:$B$23,MATCH(K1018,[2]Sheet1!$B$4:$B$23,1),1))*(INDEX([2]Sheet1!$C$4:$Q$23,MATCH(K1018,[2]Sheet1!$B$4:$B$23,1)+1,MATCH(D1018,[2]Sheet1!$C$3:$Q$3,1)) - INDEX([2]Sheet1!$C$4:$Q$23,MATCH(K1018,[2]Sheet1!$B$4:$B$23,1),MATCH(D1018,[2]Sheet1!$C$3:$Q$3,1)))
+ (D1018 - INDEX([2]Sheet1!$C$3:$Q$3,1,MATCH(D1018,[2]Sheet1!$C$3:$Q$3)))/(INDEX([2]Sheet1!$C$3:$Q$3,1,MATCH(D1018,[2]Sheet1!$C$3:$Q$3)+1) - INDEX([2]Sheet1!$C$3:$Q$3,1,MATCH(D1018,[2]Sheet1!$C$3:$Q$3)))*(
INDEX([2]Sheet1!$C$4:$Q$23,MATCH(K1018,[2]Sheet1!$B$4:$B$23,1),MATCH(D1018,[2]Sheet1!$C$3:$Q$3,1)+1) - INDEX([2]Sheet1!$C$4:$Q$23,MATCH(K1018,[2]Sheet1!$B$4:$B$23,1),MATCH(D1018,[2]Sheet1!$C$3:$Q$3,1)))))</f>
        <v>0</v>
      </c>
      <c r="N1018">
        <f t="shared" si="288"/>
        <v>12</v>
      </c>
      <c r="O1018">
        <v>384.02450568394102</v>
      </c>
      <c r="P1018" t="e">
        <f t="shared" si="289"/>
        <v>#DIV/0!</v>
      </c>
      <c r="Q1018">
        <f t="shared" si="290"/>
        <v>0</v>
      </c>
      <c r="R1018">
        <f t="shared" si="291"/>
        <v>741.9099431943954</v>
      </c>
      <c r="T1018" t="e">
        <f t="shared" si="292"/>
        <v>#DIV/0!</v>
      </c>
      <c r="U1018" t="e">
        <f t="shared" si="293"/>
        <v>#DIV/0!</v>
      </c>
      <c r="V1018">
        <f t="shared" si="294"/>
        <v>0</v>
      </c>
      <c r="W1018" t="e">
        <f t="shared" si="295"/>
        <v>#DIV/0!</v>
      </c>
    </row>
    <row r="1019" spans="1:23" x14ac:dyDescent="0.55000000000000004">
      <c r="A1019">
        <f t="shared" si="297"/>
        <v>98.499999999998678</v>
      </c>
      <c r="B1019">
        <f t="shared" si="298"/>
        <v>0.316</v>
      </c>
      <c r="C1019">
        <f t="shared" ref="C1019:C1034" si="299">($C$3-$C$2)*A1019/$C$4+$C$2</f>
        <v>-59.239130434781742</v>
      </c>
      <c r="D1019">
        <v>385.43984551913201</v>
      </c>
      <c r="E1019">
        <f t="shared" ref="E1019:E1034" si="300">IF(B1019&lt;($C$5*$C$6*10^-6),$C$9*(PI()/4*($C$8*0.001)^2)*SQRT(2*$C$6*IF(C1019&gt;D1019,(C1019-D1019),0)*10^6),0)</f>
        <v>0</v>
      </c>
      <c r="F1019">
        <f t="shared" ref="F1019:F1034" si="301">F1018+(J1018+J1017)*(A1019-A1018)/2</f>
        <v>4.8605058816845369E-2</v>
      </c>
      <c r="G1019">
        <f t="shared" ref="G1019:G1034" si="302">IF(SQRT(4*F1019/($C$15*PI()*$C$11*$C$12*0.001)+($C$13*0.001)^2)*1000&lt;$C$14,SQRT(4*F1019/($C$15*PI()*$C$11*$C$12*0.001)+($C$13*0.001)^2)*1000,$C$14)</f>
        <v>39.513748498891111</v>
      </c>
      <c r="H1019">
        <f t="shared" ref="H1019:H1034" si="303">4*E1019/($C$15*PI()*(G1019*0.001)^2)</f>
        <v>0</v>
      </c>
      <c r="I1019" s="1">
        <f t="shared" si="296"/>
        <v>0</v>
      </c>
      <c r="J1019">
        <f t="shared" ref="J1019:J1034" si="304">($C$12*10^-3)*PI()*(G1019*10^-3)*$C$11*(I1019*10^-3)*$C$15</f>
        <v>0</v>
      </c>
      <c r="K1019">
        <f t="shared" ref="K1019:K1034" si="305">IF(E1019*J1019=0,0,E1019/J1019)</f>
        <v>0</v>
      </c>
      <c r="L1019" cm="1">
        <f t="array" ref="L1019">IF(E1019*J1019=0,0,$C$21*INDEX([3]Sheet1!$C$4:$Q$23,MATCH(K1019,[3]Sheet1!$B$4:$B$23,1),MATCH(D1019,[3]Sheet1!$C$3:$Q$3,1))
+(K1019-INDEX([3]Sheet1!$B$4:$B$23,MATCH(K1019,[3]Sheet1!$B$4:$B$23,1),1))/(INDEX([3]Sheet1!$B$4:$B$23,MATCH(K1019,[3]Sheet1!$B$4:$B$23,1)+1,1)-INDEX([3]Sheet1!$B$4:$B$23,
MATCH(K1019,[3]Sheet1!$B$4:$B$23,1),1))*(INDEX([3]Sheet1!$C$4:$Q$23,MATCH(K1019,[3]Sheet1!$B$4:$B$23,1)+1,MATCH(D1019,[3]Sheet1!$C$3:$Q$3,1))-INDEX([3]Sheet1!$C$4:$Q$23,
MATCH(K1019,[3]Sheet1!$B$4:$B$23,1),MATCH(D1019,[3]Sheet1!$C$3:$Q$3,1)))
+(D1019-INDEX([3]Sheet1!$C$3:$Q$3,1,MATCH(D1019,[3]Sheet1!$C$3:$Q$3)))/(INDEX([3]Sheet1!$C$3:$Q$3,1,MATCH(D1019,[3]Sheet1!$C$3:$Q$3)+1)-INDEX([3]Sheet1!$C$3:$Q$3,1,MATCH(
D1019,[3]Sheet1!$C$3:$Q$3)))*(INDEX([3]Sheet1!$C$4:$Q$23,MATCH(K1019,[3]Sheet1!$B$4:$B$23,1),MATCH(D1019,[3]Sheet1!$C$3:$Q$3,1)+1)-INDEX([3]Sheet1!$C$4:$Q$23,MATCH(K1019,[3]Sheet1!$B$4:$B$23,1),MATCH(D1019,[3]Sheet1!$C$3:$Q$3,1))))</f>
        <v>0</v>
      </c>
      <c r="M1019" cm="1">
        <f t="array" ref="M1019" xml:space="preserve"> IF(E1019*J1019=0,0,(INDEX([2]Sheet1!$C$4:$Q$23,MATCH(K1019,[2]Sheet1!$B$4:$B$23,1),MATCH(D1019,[2]Sheet1!$C$3:$Q$3,1))
+ (K1019 - INDEX([2]Sheet1!$B$4:$B$23,MATCH(K1019,[2]Sheet1!$B$4:$B$23,1),1))/(INDEX([2]Sheet1!$B$4:$B$23,MATCH(K1019,[2]Sheet1!$B$4:$B$23,1)+1,1) - INDEX([2]Sheet1!$B$4:$B$23,MATCH(K1019,[2]Sheet1!$B$4:$B$23,1),1))*(INDEX([2]Sheet1!$C$4:$Q$23,MATCH(K1019,[2]Sheet1!$B$4:$B$23,1)+1,MATCH(D1019,[2]Sheet1!$C$3:$Q$3,1)) - INDEX([2]Sheet1!$C$4:$Q$23,MATCH(K1019,[2]Sheet1!$B$4:$B$23,1),MATCH(D1019,[2]Sheet1!$C$3:$Q$3,1)))
+ (D1019 - INDEX([2]Sheet1!$C$3:$Q$3,1,MATCH(D1019,[2]Sheet1!$C$3:$Q$3)))/(INDEX([2]Sheet1!$C$3:$Q$3,1,MATCH(D1019,[2]Sheet1!$C$3:$Q$3)+1) - INDEX([2]Sheet1!$C$3:$Q$3,1,MATCH(D1019,[2]Sheet1!$C$3:$Q$3)))*(
INDEX([2]Sheet1!$C$4:$Q$23,MATCH(K1019,[2]Sheet1!$B$4:$B$23,1),MATCH(D1019,[2]Sheet1!$C$3:$Q$3,1)+1) - INDEX([2]Sheet1!$C$4:$Q$23,MATCH(K1019,[2]Sheet1!$B$4:$B$23,1),MATCH(D1019,[2]Sheet1!$C$3:$Q$3,1)))))</f>
        <v>0</v>
      </c>
      <c r="N1019">
        <f t="shared" ref="N1019:N1034" si="306">C$23+$C$26*(A1020-A1019)</f>
        <v>12</v>
      </c>
      <c r="O1019">
        <v>385.02450568394102</v>
      </c>
      <c r="P1019" t="e">
        <f t="shared" ref="P1019:P1034" si="307">SQRT(2*(M1019^2)/(M1019-1)*((2/(M1019+1))^((M1019+1)/(M1019-1)))*(1-(O1019/D1019)^((M1019-1)/M1019)))+((O1019-$C$22)/D1019)*(($C$24^2)/($C$23^2))</f>
        <v>#DIV/0!</v>
      </c>
      <c r="Q1019">
        <f t="shared" ref="Q1019:Q1034" si="308">IF(E1019*J1019=0,0,((1+COS(RADIANS($C$25)))/2)*P1019*D1019*(PI()*($C$23^2)/4))</f>
        <v>0</v>
      </c>
      <c r="R1019">
        <f t="shared" ref="R1019:R1034" si="309">R1018+(Q1019+Q1018)*(A1019-A1018)/2</f>
        <v>741.9099431943954</v>
      </c>
      <c r="T1019" t="e">
        <f t="shared" ref="T1019:T1034" si="310">((2/(M1019+1))^(1/(M1019-1)))*((D1019/O1019)^(1/M1019))/SQRT(((M1019+1)/(M1019-1))*(1-(O1019/D1019)^((M1019-1)/M1019)))</f>
        <v>#DIV/0!</v>
      </c>
      <c r="U1019" t="e">
        <f t="shared" ref="U1019:U1034" si="311">(T1019-(($C$24^2)/(N1019^2)))/(($C$24^2)/(N1019^2))*100</f>
        <v>#DIV/0!</v>
      </c>
      <c r="V1019">
        <f t="shared" ref="V1019:V1034" si="312">4*L1019*(E1019+J1019)/(PI()*N1019^2)</f>
        <v>0</v>
      </c>
      <c r="W1019" t="e">
        <f t="shared" ref="W1019:W1034" si="313">(D1019-V1019)/V1019*100</f>
        <v>#DIV/0!</v>
      </c>
    </row>
    <row r="1020" spans="1:23" x14ac:dyDescent="0.55000000000000004">
      <c r="A1020">
        <f t="shared" si="297"/>
        <v>98.599999999998673</v>
      </c>
      <c r="B1020">
        <f t="shared" si="298"/>
        <v>0.316</v>
      </c>
      <c r="C1020">
        <f t="shared" si="299"/>
        <v>-59.304347826086101</v>
      </c>
      <c r="D1020">
        <v>386.43984551913201</v>
      </c>
      <c r="E1020">
        <f t="shared" si="300"/>
        <v>0</v>
      </c>
      <c r="F1020">
        <f t="shared" si="301"/>
        <v>4.8605058816845369E-2</v>
      </c>
      <c r="G1020">
        <f t="shared" si="302"/>
        <v>39.513748498891111</v>
      </c>
      <c r="H1020">
        <f t="shared" si="303"/>
        <v>0</v>
      </c>
      <c r="I1020" s="1">
        <f t="shared" si="296"/>
        <v>0</v>
      </c>
      <c r="J1020">
        <f t="shared" si="304"/>
        <v>0</v>
      </c>
      <c r="K1020">
        <f t="shared" si="305"/>
        <v>0</v>
      </c>
      <c r="L1020" cm="1">
        <f t="array" ref="L1020">IF(E1020*J1020=0,0,$C$21*INDEX([3]Sheet1!$C$4:$Q$23,MATCH(K1020,[3]Sheet1!$B$4:$B$23,1),MATCH(D1020,[3]Sheet1!$C$3:$Q$3,1))
+(K1020-INDEX([3]Sheet1!$B$4:$B$23,MATCH(K1020,[3]Sheet1!$B$4:$B$23,1),1))/(INDEX([3]Sheet1!$B$4:$B$23,MATCH(K1020,[3]Sheet1!$B$4:$B$23,1)+1,1)-INDEX([3]Sheet1!$B$4:$B$23,
MATCH(K1020,[3]Sheet1!$B$4:$B$23,1),1))*(INDEX([3]Sheet1!$C$4:$Q$23,MATCH(K1020,[3]Sheet1!$B$4:$B$23,1)+1,MATCH(D1020,[3]Sheet1!$C$3:$Q$3,1))-INDEX([3]Sheet1!$C$4:$Q$23,
MATCH(K1020,[3]Sheet1!$B$4:$B$23,1),MATCH(D1020,[3]Sheet1!$C$3:$Q$3,1)))
+(D1020-INDEX([3]Sheet1!$C$3:$Q$3,1,MATCH(D1020,[3]Sheet1!$C$3:$Q$3)))/(INDEX([3]Sheet1!$C$3:$Q$3,1,MATCH(D1020,[3]Sheet1!$C$3:$Q$3)+1)-INDEX([3]Sheet1!$C$3:$Q$3,1,MATCH(
D1020,[3]Sheet1!$C$3:$Q$3)))*(INDEX([3]Sheet1!$C$4:$Q$23,MATCH(K1020,[3]Sheet1!$B$4:$B$23,1),MATCH(D1020,[3]Sheet1!$C$3:$Q$3,1)+1)-INDEX([3]Sheet1!$C$4:$Q$23,MATCH(K1020,[3]Sheet1!$B$4:$B$23,1),MATCH(D1020,[3]Sheet1!$C$3:$Q$3,1))))</f>
        <v>0</v>
      </c>
      <c r="M1020" cm="1">
        <f t="array" ref="M1020" xml:space="preserve"> IF(E1020*J1020=0,0,(INDEX([2]Sheet1!$C$4:$Q$23,MATCH(K1020,[2]Sheet1!$B$4:$B$23,1),MATCH(D1020,[2]Sheet1!$C$3:$Q$3,1))
+ (K1020 - INDEX([2]Sheet1!$B$4:$B$23,MATCH(K1020,[2]Sheet1!$B$4:$B$23,1),1))/(INDEX([2]Sheet1!$B$4:$B$23,MATCH(K1020,[2]Sheet1!$B$4:$B$23,1)+1,1) - INDEX([2]Sheet1!$B$4:$B$23,MATCH(K1020,[2]Sheet1!$B$4:$B$23,1),1))*(INDEX([2]Sheet1!$C$4:$Q$23,MATCH(K1020,[2]Sheet1!$B$4:$B$23,1)+1,MATCH(D1020,[2]Sheet1!$C$3:$Q$3,1)) - INDEX([2]Sheet1!$C$4:$Q$23,MATCH(K1020,[2]Sheet1!$B$4:$B$23,1),MATCH(D1020,[2]Sheet1!$C$3:$Q$3,1)))
+ (D1020 - INDEX([2]Sheet1!$C$3:$Q$3,1,MATCH(D1020,[2]Sheet1!$C$3:$Q$3)))/(INDEX([2]Sheet1!$C$3:$Q$3,1,MATCH(D1020,[2]Sheet1!$C$3:$Q$3)+1) - INDEX([2]Sheet1!$C$3:$Q$3,1,MATCH(D1020,[2]Sheet1!$C$3:$Q$3)))*(
INDEX([2]Sheet1!$C$4:$Q$23,MATCH(K1020,[2]Sheet1!$B$4:$B$23,1),MATCH(D1020,[2]Sheet1!$C$3:$Q$3,1)+1) - INDEX([2]Sheet1!$C$4:$Q$23,MATCH(K1020,[2]Sheet1!$B$4:$B$23,1),MATCH(D1020,[2]Sheet1!$C$3:$Q$3,1)))))</f>
        <v>0</v>
      </c>
      <c r="N1020">
        <f t="shared" si="306"/>
        <v>12</v>
      </c>
      <c r="O1020">
        <v>386.02450568394102</v>
      </c>
      <c r="P1020" t="e">
        <f t="shared" si="307"/>
        <v>#DIV/0!</v>
      </c>
      <c r="Q1020">
        <f t="shared" si="308"/>
        <v>0</v>
      </c>
      <c r="R1020">
        <f t="shared" si="309"/>
        <v>741.9099431943954</v>
      </c>
      <c r="T1020" t="e">
        <f t="shared" si="310"/>
        <v>#DIV/0!</v>
      </c>
      <c r="U1020" t="e">
        <f t="shared" si="311"/>
        <v>#DIV/0!</v>
      </c>
      <c r="V1020">
        <f t="shared" si="312"/>
        <v>0</v>
      </c>
      <c r="W1020" t="e">
        <f t="shared" si="313"/>
        <v>#DIV/0!</v>
      </c>
    </row>
    <row r="1021" spans="1:23" x14ac:dyDescent="0.55000000000000004">
      <c r="A1021">
        <f t="shared" si="297"/>
        <v>98.699999999998667</v>
      </c>
      <c r="B1021">
        <f t="shared" si="298"/>
        <v>0.316</v>
      </c>
      <c r="C1021">
        <f t="shared" si="299"/>
        <v>-59.369565217390431</v>
      </c>
      <c r="D1021">
        <v>387.43984551913201</v>
      </c>
      <c r="E1021">
        <f t="shared" si="300"/>
        <v>0</v>
      </c>
      <c r="F1021">
        <f t="shared" si="301"/>
        <v>4.8605058816845369E-2</v>
      </c>
      <c r="G1021">
        <f t="shared" si="302"/>
        <v>39.513748498891111</v>
      </c>
      <c r="H1021">
        <f t="shared" si="303"/>
        <v>0</v>
      </c>
      <c r="I1021" s="1">
        <f t="shared" si="296"/>
        <v>0</v>
      </c>
      <c r="J1021">
        <f t="shared" si="304"/>
        <v>0</v>
      </c>
      <c r="K1021">
        <f t="shared" si="305"/>
        <v>0</v>
      </c>
      <c r="L1021" cm="1">
        <f t="array" ref="L1021">IF(E1021*J1021=0,0,$C$21*INDEX([3]Sheet1!$C$4:$Q$23,MATCH(K1021,[3]Sheet1!$B$4:$B$23,1),MATCH(D1021,[3]Sheet1!$C$3:$Q$3,1))
+(K1021-INDEX([3]Sheet1!$B$4:$B$23,MATCH(K1021,[3]Sheet1!$B$4:$B$23,1),1))/(INDEX([3]Sheet1!$B$4:$B$23,MATCH(K1021,[3]Sheet1!$B$4:$B$23,1)+1,1)-INDEX([3]Sheet1!$B$4:$B$23,
MATCH(K1021,[3]Sheet1!$B$4:$B$23,1),1))*(INDEX([3]Sheet1!$C$4:$Q$23,MATCH(K1021,[3]Sheet1!$B$4:$B$23,1)+1,MATCH(D1021,[3]Sheet1!$C$3:$Q$3,1))-INDEX([3]Sheet1!$C$4:$Q$23,
MATCH(K1021,[3]Sheet1!$B$4:$B$23,1),MATCH(D1021,[3]Sheet1!$C$3:$Q$3,1)))
+(D1021-INDEX([3]Sheet1!$C$3:$Q$3,1,MATCH(D1021,[3]Sheet1!$C$3:$Q$3)))/(INDEX([3]Sheet1!$C$3:$Q$3,1,MATCH(D1021,[3]Sheet1!$C$3:$Q$3)+1)-INDEX([3]Sheet1!$C$3:$Q$3,1,MATCH(
D1021,[3]Sheet1!$C$3:$Q$3)))*(INDEX([3]Sheet1!$C$4:$Q$23,MATCH(K1021,[3]Sheet1!$B$4:$B$23,1),MATCH(D1021,[3]Sheet1!$C$3:$Q$3,1)+1)-INDEX([3]Sheet1!$C$4:$Q$23,MATCH(K1021,[3]Sheet1!$B$4:$B$23,1),MATCH(D1021,[3]Sheet1!$C$3:$Q$3,1))))</f>
        <v>0</v>
      </c>
      <c r="M1021" cm="1">
        <f t="array" ref="M1021" xml:space="preserve"> IF(E1021*J1021=0,0,(INDEX([2]Sheet1!$C$4:$Q$23,MATCH(K1021,[2]Sheet1!$B$4:$B$23,1),MATCH(D1021,[2]Sheet1!$C$3:$Q$3,1))
+ (K1021 - INDEX([2]Sheet1!$B$4:$B$23,MATCH(K1021,[2]Sheet1!$B$4:$B$23,1),1))/(INDEX([2]Sheet1!$B$4:$B$23,MATCH(K1021,[2]Sheet1!$B$4:$B$23,1)+1,1) - INDEX([2]Sheet1!$B$4:$B$23,MATCH(K1021,[2]Sheet1!$B$4:$B$23,1),1))*(INDEX([2]Sheet1!$C$4:$Q$23,MATCH(K1021,[2]Sheet1!$B$4:$B$23,1)+1,MATCH(D1021,[2]Sheet1!$C$3:$Q$3,1)) - INDEX([2]Sheet1!$C$4:$Q$23,MATCH(K1021,[2]Sheet1!$B$4:$B$23,1),MATCH(D1021,[2]Sheet1!$C$3:$Q$3,1)))
+ (D1021 - INDEX([2]Sheet1!$C$3:$Q$3,1,MATCH(D1021,[2]Sheet1!$C$3:$Q$3)))/(INDEX([2]Sheet1!$C$3:$Q$3,1,MATCH(D1021,[2]Sheet1!$C$3:$Q$3)+1) - INDEX([2]Sheet1!$C$3:$Q$3,1,MATCH(D1021,[2]Sheet1!$C$3:$Q$3)))*(
INDEX([2]Sheet1!$C$4:$Q$23,MATCH(K1021,[2]Sheet1!$B$4:$B$23,1),MATCH(D1021,[2]Sheet1!$C$3:$Q$3,1)+1) - INDEX([2]Sheet1!$C$4:$Q$23,MATCH(K1021,[2]Sheet1!$B$4:$B$23,1),MATCH(D1021,[2]Sheet1!$C$3:$Q$3,1)))))</f>
        <v>0</v>
      </c>
      <c r="N1021">
        <f t="shared" si="306"/>
        <v>12</v>
      </c>
      <c r="O1021">
        <v>387.02450568394102</v>
      </c>
      <c r="P1021" t="e">
        <f t="shared" si="307"/>
        <v>#DIV/0!</v>
      </c>
      <c r="Q1021">
        <f t="shared" si="308"/>
        <v>0</v>
      </c>
      <c r="R1021">
        <f t="shared" si="309"/>
        <v>741.9099431943954</v>
      </c>
      <c r="T1021" t="e">
        <f t="shared" si="310"/>
        <v>#DIV/0!</v>
      </c>
      <c r="U1021" t="e">
        <f t="shared" si="311"/>
        <v>#DIV/0!</v>
      </c>
      <c r="V1021">
        <f t="shared" si="312"/>
        <v>0</v>
      </c>
      <c r="W1021" t="e">
        <f t="shared" si="313"/>
        <v>#DIV/0!</v>
      </c>
    </row>
    <row r="1022" spans="1:23" x14ac:dyDescent="0.55000000000000004">
      <c r="A1022">
        <f t="shared" si="297"/>
        <v>98.799999999998661</v>
      </c>
      <c r="B1022">
        <f t="shared" si="298"/>
        <v>0.316</v>
      </c>
      <c r="C1022">
        <f t="shared" si="299"/>
        <v>-59.434782608694789</v>
      </c>
      <c r="D1022">
        <v>388.43984551913201</v>
      </c>
      <c r="E1022">
        <f t="shared" si="300"/>
        <v>0</v>
      </c>
      <c r="F1022">
        <f t="shared" si="301"/>
        <v>4.8605058816845369E-2</v>
      </c>
      <c r="G1022">
        <f t="shared" si="302"/>
        <v>39.513748498891111</v>
      </c>
      <c r="H1022">
        <f t="shared" si="303"/>
        <v>0</v>
      </c>
      <c r="I1022" s="1">
        <f t="shared" si="296"/>
        <v>0</v>
      </c>
      <c r="J1022">
        <f t="shared" si="304"/>
        <v>0</v>
      </c>
      <c r="K1022">
        <f t="shared" si="305"/>
        <v>0</v>
      </c>
      <c r="L1022" cm="1">
        <f t="array" ref="L1022">IF(E1022*J1022=0,0,$C$21*INDEX([3]Sheet1!$C$4:$Q$23,MATCH(K1022,[3]Sheet1!$B$4:$B$23,1),MATCH(D1022,[3]Sheet1!$C$3:$Q$3,1))
+(K1022-INDEX([3]Sheet1!$B$4:$B$23,MATCH(K1022,[3]Sheet1!$B$4:$B$23,1),1))/(INDEX([3]Sheet1!$B$4:$B$23,MATCH(K1022,[3]Sheet1!$B$4:$B$23,1)+1,1)-INDEX([3]Sheet1!$B$4:$B$23,
MATCH(K1022,[3]Sheet1!$B$4:$B$23,1),1))*(INDEX([3]Sheet1!$C$4:$Q$23,MATCH(K1022,[3]Sheet1!$B$4:$B$23,1)+1,MATCH(D1022,[3]Sheet1!$C$3:$Q$3,1))-INDEX([3]Sheet1!$C$4:$Q$23,
MATCH(K1022,[3]Sheet1!$B$4:$B$23,1),MATCH(D1022,[3]Sheet1!$C$3:$Q$3,1)))
+(D1022-INDEX([3]Sheet1!$C$3:$Q$3,1,MATCH(D1022,[3]Sheet1!$C$3:$Q$3)))/(INDEX([3]Sheet1!$C$3:$Q$3,1,MATCH(D1022,[3]Sheet1!$C$3:$Q$3)+1)-INDEX([3]Sheet1!$C$3:$Q$3,1,MATCH(
D1022,[3]Sheet1!$C$3:$Q$3)))*(INDEX([3]Sheet1!$C$4:$Q$23,MATCH(K1022,[3]Sheet1!$B$4:$B$23,1),MATCH(D1022,[3]Sheet1!$C$3:$Q$3,1)+1)-INDEX([3]Sheet1!$C$4:$Q$23,MATCH(K1022,[3]Sheet1!$B$4:$B$23,1),MATCH(D1022,[3]Sheet1!$C$3:$Q$3,1))))</f>
        <v>0</v>
      </c>
      <c r="M1022" cm="1">
        <f t="array" ref="M1022" xml:space="preserve"> IF(E1022*J1022=0,0,(INDEX([2]Sheet1!$C$4:$Q$23,MATCH(K1022,[2]Sheet1!$B$4:$B$23,1),MATCH(D1022,[2]Sheet1!$C$3:$Q$3,1))
+ (K1022 - INDEX([2]Sheet1!$B$4:$B$23,MATCH(K1022,[2]Sheet1!$B$4:$B$23,1),1))/(INDEX([2]Sheet1!$B$4:$B$23,MATCH(K1022,[2]Sheet1!$B$4:$B$23,1)+1,1) - INDEX([2]Sheet1!$B$4:$B$23,MATCH(K1022,[2]Sheet1!$B$4:$B$23,1),1))*(INDEX([2]Sheet1!$C$4:$Q$23,MATCH(K1022,[2]Sheet1!$B$4:$B$23,1)+1,MATCH(D1022,[2]Sheet1!$C$3:$Q$3,1)) - INDEX([2]Sheet1!$C$4:$Q$23,MATCH(K1022,[2]Sheet1!$B$4:$B$23,1),MATCH(D1022,[2]Sheet1!$C$3:$Q$3,1)))
+ (D1022 - INDEX([2]Sheet1!$C$3:$Q$3,1,MATCH(D1022,[2]Sheet1!$C$3:$Q$3)))/(INDEX([2]Sheet1!$C$3:$Q$3,1,MATCH(D1022,[2]Sheet1!$C$3:$Q$3)+1) - INDEX([2]Sheet1!$C$3:$Q$3,1,MATCH(D1022,[2]Sheet1!$C$3:$Q$3)))*(
INDEX([2]Sheet1!$C$4:$Q$23,MATCH(K1022,[2]Sheet1!$B$4:$B$23,1),MATCH(D1022,[2]Sheet1!$C$3:$Q$3,1)+1) - INDEX([2]Sheet1!$C$4:$Q$23,MATCH(K1022,[2]Sheet1!$B$4:$B$23,1),MATCH(D1022,[2]Sheet1!$C$3:$Q$3,1)))))</f>
        <v>0</v>
      </c>
      <c r="N1022">
        <f t="shared" si="306"/>
        <v>12</v>
      </c>
      <c r="O1022">
        <v>388.02450568394102</v>
      </c>
      <c r="P1022" t="e">
        <f t="shared" si="307"/>
        <v>#DIV/0!</v>
      </c>
      <c r="Q1022">
        <f t="shared" si="308"/>
        <v>0</v>
      </c>
      <c r="R1022">
        <f t="shared" si="309"/>
        <v>741.9099431943954</v>
      </c>
      <c r="T1022" t="e">
        <f t="shared" si="310"/>
        <v>#DIV/0!</v>
      </c>
      <c r="U1022" t="e">
        <f t="shared" si="311"/>
        <v>#DIV/0!</v>
      </c>
      <c r="V1022">
        <f t="shared" si="312"/>
        <v>0</v>
      </c>
      <c r="W1022" t="e">
        <f t="shared" si="313"/>
        <v>#DIV/0!</v>
      </c>
    </row>
    <row r="1023" spans="1:23" x14ac:dyDescent="0.55000000000000004">
      <c r="A1023">
        <f t="shared" si="297"/>
        <v>98.899999999998656</v>
      </c>
      <c r="B1023">
        <f t="shared" si="298"/>
        <v>0.316</v>
      </c>
      <c r="C1023">
        <f t="shared" si="299"/>
        <v>-59.499999999999119</v>
      </c>
      <c r="D1023">
        <v>389.43984551913201</v>
      </c>
      <c r="E1023">
        <f t="shared" si="300"/>
        <v>0</v>
      </c>
      <c r="F1023">
        <f t="shared" si="301"/>
        <v>4.8605058816845369E-2</v>
      </c>
      <c r="G1023">
        <f t="shared" si="302"/>
        <v>39.513748498891111</v>
      </c>
      <c r="H1023">
        <f t="shared" si="303"/>
        <v>0</v>
      </c>
      <c r="I1023" s="1">
        <f t="shared" si="296"/>
        <v>0</v>
      </c>
      <c r="J1023">
        <f t="shared" si="304"/>
        <v>0</v>
      </c>
      <c r="K1023">
        <f t="shared" si="305"/>
        <v>0</v>
      </c>
      <c r="L1023" cm="1">
        <f t="array" ref="L1023">IF(E1023*J1023=0,0,$C$21*INDEX([3]Sheet1!$C$4:$Q$23,MATCH(K1023,[3]Sheet1!$B$4:$B$23,1),MATCH(D1023,[3]Sheet1!$C$3:$Q$3,1))
+(K1023-INDEX([3]Sheet1!$B$4:$B$23,MATCH(K1023,[3]Sheet1!$B$4:$B$23,1),1))/(INDEX([3]Sheet1!$B$4:$B$23,MATCH(K1023,[3]Sheet1!$B$4:$B$23,1)+1,1)-INDEX([3]Sheet1!$B$4:$B$23,
MATCH(K1023,[3]Sheet1!$B$4:$B$23,1),1))*(INDEX([3]Sheet1!$C$4:$Q$23,MATCH(K1023,[3]Sheet1!$B$4:$B$23,1)+1,MATCH(D1023,[3]Sheet1!$C$3:$Q$3,1))-INDEX([3]Sheet1!$C$4:$Q$23,
MATCH(K1023,[3]Sheet1!$B$4:$B$23,1),MATCH(D1023,[3]Sheet1!$C$3:$Q$3,1)))
+(D1023-INDEX([3]Sheet1!$C$3:$Q$3,1,MATCH(D1023,[3]Sheet1!$C$3:$Q$3)))/(INDEX([3]Sheet1!$C$3:$Q$3,1,MATCH(D1023,[3]Sheet1!$C$3:$Q$3)+1)-INDEX([3]Sheet1!$C$3:$Q$3,1,MATCH(
D1023,[3]Sheet1!$C$3:$Q$3)))*(INDEX([3]Sheet1!$C$4:$Q$23,MATCH(K1023,[3]Sheet1!$B$4:$B$23,1),MATCH(D1023,[3]Sheet1!$C$3:$Q$3,1)+1)-INDEX([3]Sheet1!$C$4:$Q$23,MATCH(K1023,[3]Sheet1!$B$4:$B$23,1),MATCH(D1023,[3]Sheet1!$C$3:$Q$3,1))))</f>
        <v>0</v>
      </c>
      <c r="M1023" cm="1">
        <f t="array" ref="M1023" xml:space="preserve"> IF(E1023*J1023=0,0,(INDEX([2]Sheet1!$C$4:$Q$23,MATCH(K1023,[2]Sheet1!$B$4:$B$23,1),MATCH(D1023,[2]Sheet1!$C$3:$Q$3,1))
+ (K1023 - INDEX([2]Sheet1!$B$4:$B$23,MATCH(K1023,[2]Sheet1!$B$4:$B$23,1),1))/(INDEX([2]Sheet1!$B$4:$B$23,MATCH(K1023,[2]Sheet1!$B$4:$B$23,1)+1,1) - INDEX([2]Sheet1!$B$4:$B$23,MATCH(K1023,[2]Sheet1!$B$4:$B$23,1),1))*(INDEX([2]Sheet1!$C$4:$Q$23,MATCH(K1023,[2]Sheet1!$B$4:$B$23,1)+1,MATCH(D1023,[2]Sheet1!$C$3:$Q$3,1)) - INDEX([2]Sheet1!$C$4:$Q$23,MATCH(K1023,[2]Sheet1!$B$4:$B$23,1),MATCH(D1023,[2]Sheet1!$C$3:$Q$3,1)))
+ (D1023 - INDEX([2]Sheet1!$C$3:$Q$3,1,MATCH(D1023,[2]Sheet1!$C$3:$Q$3)))/(INDEX([2]Sheet1!$C$3:$Q$3,1,MATCH(D1023,[2]Sheet1!$C$3:$Q$3)+1) - INDEX([2]Sheet1!$C$3:$Q$3,1,MATCH(D1023,[2]Sheet1!$C$3:$Q$3)))*(
INDEX([2]Sheet1!$C$4:$Q$23,MATCH(K1023,[2]Sheet1!$B$4:$B$23,1),MATCH(D1023,[2]Sheet1!$C$3:$Q$3,1)+1) - INDEX([2]Sheet1!$C$4:$Q$23,MATCH(K1023,[2]Sheet1!$B$4:$B$23,1),MATCH(D1023,[2]Sheet1!$C$3:$Q$3,1)))))</f>
        <v>0</v>
      </c>
      <c r="N1023">
        <f t="shared" si="306"/>
        <v>12</v>
      </c>
      <c r="O1023">
        <v>389.02450568394102</v>
      </c>
      <c r="P1023" t="e">
        <f t="shared" si="307"/>
        <v>#DIV/0!</v>
      </c>
      <c r="Q1023">
        <f t="shared" si="308"/>
        <v>0</v>
      </c>
      <c r="R1023">
        <f t="shared" si="309"/>
        <v>741.9099431943954</v>
      </c>
      <c r="T1023" t="e">
        <f t="shared" si="310"/>
        <v>#DIV/0!</v>
      </c>
      <c r="U1023" t="e">
        <f t="shared" si="311"/>
        <v>#DIV/0!</v>
      </c>
      <c r="V1023">
        <f t="shared" si="312"/>
        <v>0</v>
      </c>
      <c r="W1023" t="e">
        <f t="shared" si="313"/>
        <v>#DIV/0!</v>
      </c>
    </row>
    <row r="1024" spans="1:23" x14ac:dyDescent="0.55000000000000004">
      <c r="A1024">
        <f t="shared" si="297"/>
        <v>98.99999999999865</v>
      </c>
      <c r="B1024">
        <f t="shared" si="298"/>
        <v>0.316</v>
      </c>
      <c r="C1024">
        <f t="shared" si="299"/>
        <v>-59.565217391303477</v>
      </c>
      <c r="D1024">
        <v>390.43984551913201</v>
      </c>
      <c r="E1024">
        <f t="shared" si="300"/>
        <v>0</v>
      </c>
      <c r="F1024">
        <f t="shared" si="301"/>
        <v>4.8605058816845369E-2</v>
      </c>
      <c r="G1024">
        <f t="shared" si="302"/>
        <v>39.513748498891111</v>
      </c>
      <c r="H1024">
        <f t="shared" si="303"/>
        <v>0</v>
      </c>
      <c r="I1024" s="1">
        <f t="shared" si="296"/>
        <v>0</v>
      </c>
      <c r="J1024">
        <f t="shared" si="304"/>
        <v>0</v>
      </c>
      <c r="K1024">
        <f t="shared" si="305"/>
        <v>0</v>
      </c>
      <c r="L1024" cm="1">
        <f t="array" ref="L1024">IF(E1024*J1024=0,0,$C$21*INDEX([3]Sheet1!$C$4:$Q$23,MATCH(K1024,[3]Sheet1!$B$4:$B$23,1),MATCH(D1024,[3]Sheet1!$C$3:$Q$3,1))
+(K1024-INDEX([3]Sheet1!$B$4:$B$23,MATCH(K1024,[3]Sheet1!$B$4:$B$23,1),1))/(INDEX([3]Sheet1!$B$4:$B$23,MATCH(K1024,[3]Sheet1!$B$4:$B$23,1)+1,1)-INDEX([3]Sheet1!$B$4:$B$23,
MATCH(K1024,[3]Sheet1!$B$4:$B$23,1),1))*(INDEX([3]Sheet1!$C$4:$Q$23,MATCH(K1024,[3]Sheet1!$B$4:$B$23,1)+1,MATCH(D1024,[3]Sheet1!$C$3:$Q$3,1))-INDEX([3]Sheet1!$C$4:$Q$23,
MATCH(K1024,[3]Sheet1!$B$4:$B$23,1),MATCH(D1024,[3]Sheet1!$C$3:$Q$3,1)))
+(D1024-INDEX([3]Sheet1!$C$3:$Q$3,1,MATCH(D1024,[3]Sheet1!$C$3:$Q$3)))/(INDEX([3]Sheet1!$C$3:$Q$3,1,MATCH(D1024,[3]Sheet1!$C$3:$Q$3)+1)-INDEX([3]Sheet1!$C$3:$Q$3,1,MATCH(
D1024,[3]Sheet1!$C$3:$Q$3)))*(INDEX([3]Sheet1!$C$4:$Q$23,MATCH(K1024,[3]Sheet1!$B$4:$B$23,1),MATCH(D1024,[3]Sheet1!$C$3:$Q$3,1)+1)-INDEX([3]Sheet1!$C$4:$Q$23,MATCH(K1024,[3]Sheet1!$B$4:$B$23,1),MATCH(D1024,[3]Sheet1!$C$3:$Q$3,1))))</f>
        <v>0</v>
      </c>
      <c r="M1024" cm="1">
        <f t="array" ref="M1024" xml:space="preserve"> IF(E1024*J1024=0,0,(INDEX([2]Sheet1!$C$4:$Q$23,MATCH(K1024,[2]Sheet1!$B$4:$B$23,1),MATCH(D1024,[2]Sheet1!$C$3:$Q$3,1))
+ (K1024 - INDEX([2]Sheet1!$B$4:$B$23,MATCH(K1024,[2]Sheet1!$B$4:$B$23,1),1))/(INDEX([2]Sheet1!$B$4:$B$23,MATCH(K1024,[2]Sheet1!$B$4:$B$23,1)+1,1) - INDEX([2]Sheet1!$B$4:$B$23,MATCH(K1024,[2]Sheet1!$B$4:$B$23,1),1))*(INDEX([2]Sheet1!$C$4:$Q$23,MATCH(K1024,[2]Sheet1!$B$4:$B$23,1)+1,MATCH(D1024,[2]Sheet1!$C$3:$Q$3,1)) - INDEX([2]Sheet1!$C$4:$Q$23,MATCH(K1024,[2]Sheet1!$B$4:$B$23,1),MATCH(D1024,[2]Sheet1!$C$3:$Q$3,1)))
+ (D1024 - INDEX([2]Sheet1!$C$3:$Q$3,1,MATCH(D1024,[2]Sheet1!$C$3:$Q$3)))/(INDEX([2]Sheet1!$C$3:$Q$3,1,MATCH(D1024,[2]Sheet1!$C$3:$Q$3)+1) - INDEX([2]Sheet1!$C$3:$Q$3,1,MATCH(D1024,[2]Sheet1!$C$3:$Q$3)))*(
INDEX([2]Sheet1!$C$4:$Q$23,MATCH(K1024,[2]Sheet1!$B$4:$B$23,1),MATCH(D1024,[2]Sheet1!$C$3:$Q$3,1)+1) - INDEX([2]Sheet1!$C$4:$Q$23,MATCH(K1024,[2]Sheet1!$B$4:$B$23,1),MATCH(D1024,[2]Sheet1!$C$3:$Q$3,1)))))</f>
        <v>0</v>
      </c>
      <c r="N1024">
        <f t="shared" si="306"/>
        <v>12</v>
      </c>
      <c r="O1024">
        <v>390.02450568394102</v>
      </c>
      <c r="P1024" t="e">
        <f t="shared" si="307"/>
        <v>#DIV/0!</v>
      </c>
      <c r="Q1024">
        <f t="shared" si="308"/>
        <v>0</v>
      </c>
      <c r="R1024">
        <f t="shared" si="309"/>
        <v>741.9099431943954</v>
      </c>
      <c r="T1024" t="e">
        <f t="shared" si="310"/>
        <v>#DIV/0!</v>
      </c>
      <c r="U1024" t="e">
        <f t="shared" si="311"/>
        <v>#DIV/0!</v>
      </c>
      <c r="V1024">
        <f t="shared" si="312"/>
        <v>0</v>
      </c>
      <c r="W1024" t="e">
        <f t="shared" si="313"/>
        <v>#DIV/0!</v>
      </c>
    </row>
    <row r="1025" spans="1:23" x14ac:dyDescent="0.55000000000000004">
      <c r="A1025">
        <f t="shared" si="297"/>
        <v>99.099999999998644</v>
      </c>
      <c r="B1025">
        <f t="shared" si="298"/>
        <v>0.316</v>
      </c>
      <c r="C1025">
        <f t="shared" si="299"/>
        <v>-59.630434782607807</v>
      </c>
      <c r="D1025">
        <v>391.43984551913201</v>
      </c>
      <c r="E1025">
        <f t="shared" si="300"/>
        <v>0</v>
      </c>
      <c r="F1025">
        <f t="shared" si="301"/>
        <v>4.8605058816845369E-2</v>
      </c>
      <c r="G1025">
        <f t="shared" si="302"/>
        <v>39.513748498891111</v>
      </c>
      <c r="H1025">
        <f t="shared" si="303"/>
        <v>0</v>
      </c>
      <c r="I1025" s="1">
        <f t="shared" si="296"/>
        <v>0</v>
      </c>
      <c r="J1025">
        <f t="shared" si="304"/>
        <v>0</v>
      </c>
      <c r="K1025">
        <f t="shared" si="305"/>
        <v>0</v>
      </c>
      <c r="L1025" cm="1">
        <f t="array" ref="L1025">IF(E1025*J1025=0,0,$C$21*INDEX([3]Sheet1!$C$4:$Q$23,MATCH(K1025,[3]Sheet1!$B$4:$B$23,1),MATCH(D1025,[3]Sheet1!$C$3:$Q$3,1))
+(K1025-INDEX([3]Sheet1!$B$4:$B$23,MATCH(K1025,[3]Sheet1!$B$4:$B$23,1),1))/(INDEX([3]Sheet1!$B$4:$B$23,MATCH(K1025,[3]Sheet1!$B$4:$B$23,1)+1,1)-INDEX([3]Sheet1!$B$4:$B$23,
MATCH(K1025,[3]Sheet1!$B$4:$B$23,1),1))*(INDEX([3]Sheet1!$C$4:$Q$23,MATCH(K1025,[3]Sheet1!$B$4:$B$23,1)+1,MATCH(D1025,[3]Sheet1!$C$3:$Q$3,1))-INDEX([3]Sheet1!$C$4:$Q$23,
MATCH(K1025,[3]Sheet1!$B$4:$B$23,1),MATCH(D1025,[3]Sheet1!$C$3:$Q$3,1)))
+(D1025-INDEX([3]Sheet1!$C$3:$Q$3,1,MATCH(D1025,[3]Sheet1!$C$3:$Q$3)))/(INDEX([3]Sheet1!$C$3:$Q$3,1,MATCH(D1025,[3]Sheet1!$C$3:$Q$3)+1)-INDEX([3]Sheet1!$C$3:$Q$3,1,MATCH(
D1025,[3]Sheet1!$C$3:$Q$3)))*(INDEX([3]Sheet1!$C$4:$Q$23,MATCH(K1025,[3]Sheet1!$B$4:$B$23,1),MATCH(D1025,[3]Sheet1!$C$3:$Q$3,1)+1)-INDEX([3]Sheet1!$C$4:$Q$23,MATCH(K1025,[3]Sheet1!$B$4:$B$23,1),MATCH(D1025,[3]Sheet1!$C$3:$Q$3,1))))</f>
        <v>0</v>
      </c>
      <c r="M1025" cm="1">
        <f t="array" ref="M1025" xml:space="preserve"> IF(E1025*J1025=0,0,(INDEX([2]Sheet1!$C$4:$Q$23,MATCH(K1025,[2]Sheet1!$B$4:$B$23,1),MATCH(D1025,[2]Sheet1!$C$3:$Q$3,1))
+ (K1025 - INDEX([2]Sheet1!$B$4:$B$23,MATCH(K1025,[2]Sheet1!$B$4:$B$23,1),1))/(INDEX([2]Sheet1!$B$4:$B$23,MATCH(K1025,[2]Sheet1!$B$4:$B$23,1)+1,1) - INDEX([2]Sheet1!$B$4:$B$23,MATCH(K1025,[2]Sheet1!$B$4:$B$23,1),1))*(INDEX([2]Sheet1!$C$4:$Q$23,MATCH(K1025,[2]Sheet1!$B$4:$B$23,1)+1,MATCH(D1025,[2]Sheet1!$C$3:$Q$3,1)) - INDEX([2]Sheet1!$C$4:$Q$23,MATCH(K1025,[2]Sheet1!$B$4:$B$23,1),MATCH(D1025,[2]Sheet1!$C$3:$Q$3,1)))
+ (D1025 - INDEX([2]Sheet1!$C$3:$Q$3,1,MATCH(D1025,[2]Sheet1!$C$3:$Q$3)))/(INDEX([2]Sheet1!$C$3:$Q$3,1,MATCH(D1025,[2]Sheet1!$C$3:$Q$3)+1) - INDEX([2]Sheet1!$C$3:$Q$3,1,MATCH(D1025,[2]Sheet1!$C$3:$Q$3)))*(
INDEX([2]Sheet1!$C$4:$Q$23,MATCH(K1025,[2]Sheet1!$B$4:$B$23,1),MATCH(D1025,[2]Sheet1!$C$3:$Q$3,1)+1) - INDEX([2]Sheet1!$C$4:$Q$23,MATCH(K1025,[2]Sheet1!$B$4:$B$23,1),MATCH(D1025,[2]Sheet1!$C$3:$Q$3,1)))))</f>
        <v>0</v>
      </c>
      <c r="N1025">
        <f t="shared" si="306"/>
        <v>12</v>
      </c>
      <c r="O1025">
        <v>391.02450568394102</v>
      </c>
      <c r="P1025" t="e">
        <f t="shared" si="307"/>
        <v>#DIV/0!</v>
      </c>
      <c r="Q1025">
        <f t="shared" si="308"/>
        <v>0</v>
      </c>
      <c r="R1025">
        <f t="shared" si="309"/>
        <v>741.9099431943954</v>
      </c>
      <c r="T1025" t="e">
        <f t="shared" si="310"/>
        <v>#DIV/0!</v>
      </c>
      <c r="U1025" t="e">
        <f t="shared" si="311"/>
        <v>#DIV/0!</v>
      </c>
      <c r="V1025">
        <f t="shared" si="312"/>
        <v>0</v>
      </c>
      <c r="W1025" t="e">
        <f t="shared" si="313"/>
        <v>#DIV/0!</v>
      </c>
    </row>
    <row r="1026" spans="1:23" x14ac:dyDescent="0.55000000000000004">
      <c r="A1026">
        <f t="shared" si="297"/>
        <v>99.199999999998639</v>
      </c>
      <c r="B1026">
        <f t="shared" si="298"/>
        <v>0.316</v>
      </c>
      <c r="C1026">
        <f t="shared" si="299"/>
        <v>-59.695652173912165</v>
      </c>
      <c r="D1026">
        <v>392.43984551913201</v>
      </c>
      <c r="E1026">
        <f t="shared" si="300"/>
        <v>0</v>
      </c>
      <c r="F1026">
        <f t="shared" si="301"/>
        <v>4.8605058816845369E-2</v>
      </c>
      <c r="G1026">
        <f t="shared" si="302"/>
        <v>39.513748498891111</v>
      </c>
      <c r="H1026">
        <f t="shared" si="303"/>
        <v>0</v>
      </c>
      <c r="I1026" s="1">
        <f t="shared" si="296"/>
        <v>0</v>
      </c>
      <c r="J1026">
        <f t="shared" si="304"/>
        <v>0</v>
      </c>
      <c r="K1026">
        <f t="shared" si="305"/>
        <v>0</v>
      </c>
      <c r="L1026" cm="1">
        <f t="array" ref="L1026">IF(E1026*J1026=0,0,$C$21*INDEX([3]Sheet1!$C$4:$Q$23,MATCH(K1026,[3]Sheet1!$B$4:$B$23,1),MATCH(D1026,[3]Sheet1!$C$3:$Q$3,1))
+(K1026-INDEX([3]Sheet1!$B$4:$B$23,MATCH(K1026,[3]Sheet1!$B$4:$B$23,1),1))/(INDEX([3]Sheet1!$B$4:$B$23,MATCH(K1026,[3]Sheet1!$B$4:$B$23,1)+1,1)-INDEX([3]Sheet1!$B$4:$B$23,
MATCH(K1026,[3]Sheet1!$B$4:$B$23,1),1))*(INDEX([3]Sheet1!$C$4:$Q$23,MATCH(K1026,[3]Sheet1!$B$4:$B$23,1)+1,MATCH(D1026,[3]Sheet1!$C$3:$Q$3,1))-INDEX([3]Sheet1!$C$4:$Q$23,
MATCH(K1026,[3]Sheet1!$B$4:$B$23,1),MATCH(D1026,[3]Sheet1!$C$3:$Q$3,1)))
+(D1026-INDEX([3]Sheet1!$C$3:$Q$3,1,MATCH(D1026,[3]Sheet1!$C$3:$Q$3)))/(INDEX([3]Sheet1!$C$3:$Q$3,1,MATCH(D1026,[3]Sheet1!$C$3:$Q$3)+1)-INDEX([3]Sheet1!$C$3:$Q$3,1,MATCH(
D1026,[3]Sheet1!$C$3:$Q$3)))*(INDEX([3]Sheet1!$C$4:$Q$23,MATCH(K1026,[3]Sheet1!$B$4:$B$23,1),MATCH(D1026,[3]Sheet1!$C$3:$Q$3,1)+1)-INDEX([3]Sheet1!$C$4:$Q$23,MATCH(K1026,[3]Sheet1!$B$4:$B$23,1),MATCH(D1026,[3]Sheet1!$C$3:$Q$3,1))))</f>
        <v>0</v>
      </c>
      <c r="M1026" cm="1">
        <f t="array" ref="M1026" xml:space="preserve"> IF(E1026*J1026=0,0,(INDEX([2]Sheet1!$C$4:$Q$23,MATCH(K1026,[2]Sheet1!$B$4:$B$23,1),MATCH(D1026,[2]Sheet1!$C$3:$Q$3,1))
+ (K1026 - INDEX([2]Sheet1!$B$4:$B$23,MATCH(K1026,[2]Sheet1!$B$4:$B$23,1),1))/(INDEX([2]Sheet1!$B$4:$B$23,MATCH(K1026,[2]Sheet1!$B$4:$B$23,1)+1,1) - INDEX([2]Sheet1!$B$4:$B$23,MATCH(K1026,[2]Sheet1!$B$4:$B$23,1),1))*(INDEX([2]Sheet1!$C$4:$Q$23,MATCH(K1026,[2]Sheet1!$B$4:$B$23,1)+1,MATCH(D1026,[2]Sheet1!$C$3:$Q$3,1)) - INDEX([2]Sheet1!$C$4:$Q$23,MATCH(K1026,[2]Sheet1!$B$4:$B$23,1),MATCH(D1026,[2]Sheet1!$C$3:$Q$3,1)))
+ (D1026 - INDEX([2]Sheet1!$C$3:$Q$3,1,MATCH(D1026,[2]Sheet1!$C$3:$Q$3)))/(INDEX([2]Sheet1!$C$3:$Q$3,1,MATCH(D1026,[2]Sheet1!$C$3:$Q$3)+1) - INDEX([2]Sheet1!$C$3:$Q$3,1,MATCH(D1026,[2]Sheet1!$C$3:$Q$3)))*(
INDEX([2]Sheet1!$C$4:$Q$23,MATCH(K1026,[2]Sheet1!$B$4:$B$23,1),MATCH(D1026,[2]Sheet1!$C$3:$Q$3,1)+1) - INDEX([2]Sheet1!$C$4:$Q$23,MATCH(K1026,[2]Sheet1!$B$4:$B$23,1),MATCH(D1026,[2]Sheet1!$C$3:$Q$3,1)))))</f>
        <v>0</v>
      </c>
      <c r="N1026">
        <f t="shared" si="306"/>
        <v>12</v>
      </c>
      <c r="O1026">
        <v>392.02450568394102</v>
      </c>
      <c r="P1026" t="e">
        <f t="shared" si="307"/>
        <v>#DIV/0!</v>
      </c>
      <c r="Q1026">
        <f t="shared" si="308"/>
        <v>0</v>
      </c>
      <c r="R1026">
        <f t="shared" si="309"/>
        <v>741.9099431943954</v>
      </c>
      <c r="T1026" t="e">
        <f t="shared" si="310"/>
        <v>#DIV/0!</v>
      </c>
      <c r="U1026" t="e">
        <f t="shared" si="311"/>
        <v>#DIV/0!</v>
      </c>
      <c r="V1026">
        <f t="shared" si="312"/>
        <v>0</v>
      </c>
      <c r="W1026" t="e">
        <f t="shared" si="313"/>
        <v>#DIV/0!</v>
      </c>
    </row>
    <row r="1027" spans="1:23" x14ac:dyDescent="0.55000000000000004">
      <c r="A1027">
        <f t="shared" si="297"/>
        <v>99.299999999998633</v>
      </c>
      <c r="B1027">
        <f t="shared" si="298"/>
        <v>0.316</v>
      </c>
      <c r="C1027">
        <f t="shared" si="299"/>
        <v>-59.760869565216495</v>
      </c>
      <c r="D1027">
        <v>393.43984551913201</v>
      </c>
      <c r="E1027">
        <f t="shared" si="300"/>
        <v>0</v>
      </c>
      <c r="F1027">
        <f t="shared" si="301"/>
        <v>4.8605058816845369E-2</v>
      </c>
      <c r="G1027">
        <f t="shared" si="302"/>
        <v>39.513748498891111</v>
      </c>
      <c r="H1027">
        <f t="shared" si="303"/>
        <v>0</v>
      </c>
      <c r="I1027" s="1">
        <f t="shared" si="296"/>
        <v>0</v>
      </c>
      <c r="J1027">
        <f t="shared" si="304"/>
        <v>0</v>
      </c>
      <c r="K1027">
        <f t="shared" si="305"/>
        <v>0</v>
      </c>
      <c r="L1027" cm="1">
        <f t="array" ref="L1027">IF(E1027*J1027=0,0,$C$21*INDEX([3]Sheet1!$C$4:$Q$23,MATCH(K1027,[3]Sheet1!$B$4:$B$23,1),MATCH(D1027,[3]Sheet1!$C$3:$Q$3,1))
+(K1027-INDEX([3]Sheet1!$B$4:$B$23,MATCH(K1027,[3]Sheet1!$B$4:$B$23,1),1))/(INDEX([3]Sheet1!$B$4:$B$23,MATCH(K1027,[3]Sheet1!$B$4:$B$23,1)+1,1)-INDEX([3]Sheet1!$B$4:$B$23,
MATCH(K1027,[3]Sheet1!$B$4:$B$23,1),1))*(INDEX([3]Sheet1!$C$4:$Q$23,MATCH(K1027,[3]Sheet1!$B$4:$B$23,1)+1,MATCH(D1027,[3]Sheet1!$C$3:$Q$3,1))-INDEX([3]Sheet1!$C$4:$Q$23,
MATCH(K1027,[3]Sheet1!$B$4:$B$23,1),MATCH(D1027,[3]Sheet1!$C$3:$Q$3,1)))
+(D1027-INDEX([3]Sheet1!$C$3:$Q$3,1,MATCH(D1027,[3]Sheet1!$C$3:$Q$3)))/(INDEX([3]Sheet1!$C$3:$Q$3,1,MATCH(D1027,[3]Sheet1!$C$3:$Q$3)+1)-INDEX([3]Sheet1!$C$3:$Q$3,1,MATCH(
D1027,[3]Sheet1!$C$3:$Q$3)))*(INDEX([3]Sheet1!$C$4:$Q$23,MATCH(K1027,[3]Sheet1!$B$4:$B$23,1),MATCH(D1027,[3]Sheet1!$C$3:$Q$3,1)+1)-INDEX([3]Sheet1!$C$4:$Q$23,MATCH(K1027,[3]Sheet1!$B$4:$B$23,1),MATCH(D1027,[3]Sheet1!$C$3:$Q$3,1))))</f>
        <v>0</v>
      </c>
      <c r="M1027" cm="1">
        <f t="array" ref="M1027" xml:space="preserve"> IF(E1027*J1027=0,0,(INDEX([2]Sheet1!$C$4:$Q$23,MATCH(K1027,[2]Sheet1!$B$4:$B$23,1),MATCH(D1027,[2]Sheet1!$C$3:$Q$3,1))
+ (K1027 - INDEX([2]Sheet1!$B$4:$B$23,MATCH(K1027,[2]Sheet1!$B$4:$B$23,1),1))/(INDEX([2]Sheet1!$B$4:$B$23,MATCH(K1027,[2]Sheet1!$B$4:$B$23,1)+1,1) - INDEX([2]Sheet1!$B$4:$B$23,MATCH(K1027,[2]Sheet1!$B$4:$B$23,1),1))*(INDEX([2]Sheet1!$C$4:$Q$23,MATCH(K1027,[2]Sheet1!$B$4:$B$23,1)+1,MATCH(D1027,[2]Sheet1!$C$3:$Q$3,1)) - INDEX([2]Sheet1!$C$4:$Q$23,MATCH(K1027,[2]Sheet1!$B$4:$B$23,1),MATCH(D1027,[2]Sheet1!$C$3:$Q$3,1)))
+ (D1027 - INDEX([2]Sheet1!$C$3:$Q$3,1,MATCH(D1027,[2]Sheet1!$C$3:$Q$3)))/(INDEX([2]Sheet1!$C$3:$Q$3,1,MATCH(D1027,[2]Sheet1!$C$3:$Q$3)+1) - INDEX([2]Sheet1!$C$3:$Q$3,1,MATCH(D1027,[2]Sheet1!$C$3:$Q$3)))*(
INDEX([2]Sheet1!$C$4:$Q$23,MATCH(K1027,[2]Sheet1!$B$4:$B$23,1),MATCH(D1027,[2]Sheet1!$C$3:$Q$3,1)+1) - INDEX([2]Sheet1!$C$4:$Q$23,MATCH(K1027,[2]Sheet1!$B$4:$B$23,1),MATCH(D1027,[2]Sheet1!$C$3:$Q$3,1)))))</f>
        <v>0</v>
      </c>
      <c r="N1027">
        <f t="shared" si="306"/>
        <v>12</v>
      </c>
      <c r="O1027">
        <v>393.02450568394102</v>
      </c>
      <c r="P1027" t="e">
        <f t="shared" si="307"/>
        <v>#DIV/0!</v>
      </c>
      <c r="Q1027">
        <f t="shared" si="308"/>
        <v>0</v>
      </c>
      <c r="R1027">
        <f t="shared" si="309"/>
        <v>741.9099431943954</v>
      </c>
      <c r="T1027" t="e">
        <f t="shared" si="310"/>
        <v>#DIV/0!</v>
      </c>
      <c r="U1027" t="e">
        <f t="shared" si="311"/>
        <v>#DIV/0!</v>
      </c>
      <c r="V1027">
        <f t="shared" si="312"/>
        <v>0</v>
      </c>
      <c r="W1027" t="e">
        <f t="shared" si="313"/>
        <v>#DIV/0!</v>
      </c>
    </row>
    <row r="1028" spans="1:23" x14ac:dyDescent="0.55000000000000004">
      <c r="A1028">
        <f t="shared" si="297"/>
        <v>99.399999999998627</v>
      </c>
      <c r="B1028">
        <f t="shared" si="298"/>
        <v>0.316</v>
      </c>
      <c r="C1028">
        <f t="shared" si="299"/>
        <v>-59.826086956520854</v>
      </c>
      <c r="D1028">
        <v>394.43984551913201</v>
      </c>
      <c r="E1028">
        <f t="shared" si="300"/>
        <v>0</v>
      </c>
      <c r="F1028">
        <f t="shared" si="301"/>
        <v>4.8605058816845369E-2</v>
      </c>
      <c r="G1028">
        <f t="shared" si="302"/>
        <v>39.513748498891111</v>
      </c>
      <c r="H1028">
        <f t="shared" si="303"/>
        <v>0</v>
      </c>
      <c r="I1028" s="1">
        <f t="shared" si="296"/>
        <v>0</v>
      </c>
      <c r="J1028">
        <f t="shared" si="304"/>
        <v>0</v>
      </c>
      <c r="K1028">
        <f t="shared" si="305"/>
        <v>0</v>
      </c>
      <c r="L1028" cm="1">
        <f t="array" ref="L1028">IF(E1028*J1028=0,0,$C$21*INDEX([3]Sheet1!$C$4:$Q$23,MATCH(K1028,[3]Sheet1!$B$4:$B$23,1),MATCH(D1028,[3]Sheet1!$C$3:$Q$3,1))
+(K1028-INDEX([3]Sheet1!$B$4:$B$23,MATCH(K1028,[3]Sheet1!$B$4:$B$23,1),1))/(INDEX([3]Sheet1!$B$4:$B$23,MATCH(K1028,[3]Sheet1!$B$4:$B$23,1)+1,1)-INDEX([3]Sheet1!$B$4:$B$23,
MATCH(K1028,[3]Sheet1!$B$4:$B$23,1),1))*(INDEX([3]Sheet1!$C$4:$Q$23,MATCH(K1028,[3]Sheet1!$B$4:$B$23,1)+1,MATCH(D1028,[3]Sheet1!$C$3:$Q$3,1))-INDEX([3]Sheet1!$C$4:$Q$23,
MATCH(K1028,[3]Sheet1!$B$4:$B$23,1),MATCH(D1028,[3]Sheet1!$C$3:$Q$3,1)))
+(D1028-INDEX([3]Sheet1!$C$3:$Q$3,1,MATCH(D1028,[3]Sheet1!$C$3:$Q$3)))/(INDEX([3]Sheet1!$C$3:$Q$3,1,MATCH(D1028,[3]Sheet1!$C$3:$Q$3)+1)-INDEX([3]Sheet1!$C$3:$Q$3,1,MATCH(
D1028,[3]Sheet1!$C$3:$Q$3)))*(INDEX([3]Sheet1!$C$4:$Q$23,MATCH(K1028,[3]Sheet1!$B$4:$B$23,1),MATCH(D1028,[3]Sheet1!$C$3:$Q$3,1)+1)-INDEX([3]Sheet1!$C$4:$Q$23,MATCH(K1028,[3]Sheet1!$B$4:$B$23,1),MATCH(D1028,[3]Sheet1!$C$3:$Q$3,1))))</f>
        <v>0</v>
      </c>
      <c r="M1028" cm="1">
        <f t="array" ref="M1028" xml:space="preserve"> IF(E1028*J1028=0,0,(INDEX([2]Sheet1!$C$4:$Q$23,MATCH(K1028,[2]Sheet1!$B$4:$B$23,1),MATCH(D1028,[2]Sheet1!$C$3:$Q$3,1))
+ (K1028 - INDEX([2]Sheet1!$B$4:$B$23,MATCH(K1028,[2]Sheet1!$B$4:$B$23,1),1))/(INDEX([2]Sheet1!$B$4:$B$23,MATCH(K1028,[2]Sheet1!$B$4:$B$23,1)+1,1) - INDEX([2]Sheet1!$B$4:$B$23,MATCH(K1028,[2]Sheet1!$B$4:$B$23,1),1))*(INDEX([2]Sheet1!$C$4:$Q$23,MATCH(K1028,[2]Sheet1!$B$4:$B$23,1)+1,MATCH(D1028,[2]Sheet1!$C$3:$Q$3,1)) - INDEX([2]Sheet1!$C$4:$Q$23,MATCH(K1028,[2]Sheet1!$B$4:$B$23,1),MATCH(D1028,[2]Sheet1!$C$3:$Q$3,1)))
+ (D1028 - INDEX([2]Sheet1!$C$3:$Q$3,1,MATCH(D1028,[2]Sheet1!$C$3:$Q$3)))/(INDEX([2]Sheet1!$C$3:$Q$3,1,MATCH(D1028,[2]Sheet1!$C$3:$Q$3)+1) - INDEX([2]Sheet1!$C$3:$Q$3,1,MATCH(D1028,[2]Sheet1!$C$3:$Q$3)))*(
INDEX([2]Sheet1!$C$4:$Q$23,MATCH(K1028,[2]Sheet1!$B$4:$B$23,1),MATCH(D1028,[2]Sheet1!$C$3:$Q$3,1)+1) - INDEX([2]Sheet1!$C$4:$Q$23,MATCH(K1028,[2]Sheet1!$B$4:$B$23,1),MATCH(D1028,[2]Sheet1!$C$3:$Q$3,1)))))</f>
        <v>0</v>
      </c>
      <c r="N1028">
        <f t="shared" si="306"/>
        <v>12</v>
      </c>
      <c r="O1028">
        <v>394.02450568394102</v>
      </c>
      <c r="P1028" t="e">
        <f t="shared" si="307"/>
        <v>#DIV/0!</v>
      </c>
      <c r="Q1028">
        <f t="shared" si="308"/>
        <v>0</v>
      </c>
      <c r="R1028">
        <f t="shared" si="309"/>
        <v>741.9099431943954</v>
      </c>
      <c r="T1028" t="e">
        <f t="shared" si="310"/>
        <v>#DIV/0!</v>
      </c>
      <c r="U1028" t="e">
        <f t="shared" si="311"/>
        <v>#DIV/0!</v>
      </c>
      <c r="V1028">
        <f t="shared" si="312"/>
        <v>0</v>
      </c>
      <c r="W1028" t="e">
        <f t="shared" si="313"/>
        <v>#DIV/0!</v>
      </c>
    </row>
    <row r="1029" spans="1:23" x14ac:dyDescent="0.55000000000000004">
      <c r="A1029">
        <f t="shared" si="297"/>
        <v>99.499999999998622</v>
      </c>
      <c r="B1029">
        <f t="shared" si="298"/>
        <v>0.316</v>
      </c>
      <c r="C1029">
        <f t="shared" si="299"/>
        <v>-59.891304347825184</v>
      </c>
      <c r="D1029">
        <v>395.43984551913201</v>
      </c>
      <c r="E1029">
        <f t="shared" si="300"/>
        <v>0</v>
      </c>
      <c r="F1029">
        <f t="shared" si="301"/>
        <v>4.8605058816845369E-2</v>
      </c>
      <c r="G1029">
        <f t="shared" si="302"/>
        <v>39.513748498891111</v>
      </c>
      <c r="H1029">
        <f t="shared" si="303"/>
        <v>0</v>
      </c>
      <c r="I1029" s="1">
        <f t="shared" si="296"/>
        <v>0</v>
      </c>
      <c r="J1029">
        <f t="shared" si="304"/>
        <v>0</v>
      </c>
      <c r="K1029">
        <f t="shared" si="305"/>
        <v>0</v>
      </c>
      <c r="L1029" cm="1">
        <f t="array" ref="L1029">IF(E1029*J1029=0,0,$C$21*INDEX([3]Sheet1!$C$4:$Q$23,MATCH(K1029,[3]Sheet1!$B$4:$B$23,1),MATCH(D1029,[3]Sheet1!$C$3:$Q$3,1))
+(K1029-INDEX([3]Sheet1!$B$4:$B$23,MATCH(K1029,[3]Sheet1!$B$4:$B$23,1),1))/(INDEX([3]Sheet1!$B$4:$B$23,MATCH(K1029,[3]Sheet1!$B$4:$B$23,1)+1,1)-INDEX([3]Sheet1!$B$4:$B$23,
MATCH(K1029,[3]Sheet1!$B$4:$B$23,1),1))*(INDEX([3]Sheet1!$C$4:$Q$23,MATCH(K1029,[3]Sheet1!$B$4:$B$23,1)+1,MATCH(D1029,[3]Sheet1!$C$3:$Q$3,1))-INDEX([3]Sheet1!$C$4:$Q$23,
MATCH(K1029,[3]Sheet1!$B$4:$B$23,1),MATCH(D1029,[3]Sheet1!$C$3:$Q$3,1)))
+(D1029-INDEX([3]Sheet1!$C$3:$Q$3,1,MATCH(D1029,[3]Sheet1!$C$3:$Q$3)))/(INDEX([3]Sheet1!$C$3:$Q$3,1,MATCH(D1029,[3]Sheet1!$C$3:$Q$3)+1)-INDEX([3]Sheet1!$C$3:$Q$3,1,MATCH(
D1029,[3]Sheet1!$C$3:$Q$3)))*(INDEX([3]Sheet1!$C$4:$Q$23,MATCH(K1029,[3]Sheet1!$B$4:$B$23,1),MATCH(D1029,[3]Sheet1!$C$3:$Q$3,1)+1)-INDEX([3]Sheet1!$C$4:$Q$23,MATCH(K1029,[3]Sheet1!$B$4:$B$23,1),MATCH(D1029,[3]Sheet1!$C$3:$Q$3,1))))</f>
        <v>0</v>
      </c>
      <c r="M1029" cm="1">
        <f t="array" ref="M1029" xml:space="preserve"> IF(E1029*J1029=0,0,(INDEX([2]Sheet1!$C$4:$Q$23,MATCH(K1029,[2]Sheet1!$B$4:$B$23,1),MATCH(D1029,[2]Sheet1!$C$3:$Q$3,1))
+ (K1029 - INDEX([2]Sheet1!$B$4:$B$23,MATCH(K1029,[2]Sheet1!$B$4:$B$23,1),1))/(INDEX([2]Sheet1!$B$4:$B$23,MATCH(K1029,[2]Sheet1!$B$4:$B$23,1)+1,1) - INDEX([2]Sheet1!$B$4:$B$23,MATCH(K1029,[2]Sheet1!$B$4:$B$23,1),1))*(INDEX([2]Sheet1!$C$4:$Q$23,MATCH(K1029,[2]Sheet1!$B$4:$B$23,1)+1,MATCH(D1029,[2]Sheet1!$C$3:$Q$3,1)) - INDEX([2]Sheet1!$C$4:$Q$23,MATCH(K1029,[2]Sheet1!$B$4:$B$23,1),MATCH(D1029,[2]Sheet1!$C$3:$Q$3,1)))
+ (D1029 - INDEX([2]Sheet1!$C$3:$Q$3,1,MATCH(D1029,[2]Sheet1!$C$3:$Q$3)))/(INDEX([2]Sheet1!$C$3:$Q$3,1,MATCH(D1029,[2]Sheet1!$C$3:$Q$3)+1) - INDEX([2]Sheet1!$C$3:$Q$3,1,MATCH(D1029,[2]Sheet1!$C$3:$Q$3)))*(
INDEX([2]Sheet1!$C$4:$Q$23,MATCH(K1029,[2]Sheet1!$B$4:$B$23,1),MATCH(D1029,[2]Sheet1!$C$3:$Q$3,1)+1) - INDEX([2]Sheet1!$C$4:$Q$23,MATCH(K1029,[2]Sheet1!$B$4:$B$23,1),MATCH(D1029,[2]Sheet1!$C$3:$Q$3,1)))))</f>
        <v>0</v>
      </c>
      <c r="N1029">
        <f t="shared" si="306"/>
        <v>12</v>
      </c>
      <c r="O1029">
        <v>395.02450568394102</v>
      </c>
      <c r="P1029" t="e">
        <f t="shared" si="307"/>
        <v>#DIV/0!</v>
      </c>
      <c r="Q1029">
        <f t="shared" si="308"/>
        <v>0</v>
      </c>
      <c r="R1029">
        <f t="shared" si="309"/>
        <v>741.9099431943954</v>
      </c>
      <c r="T1029" t="e">
        <f t="shared" si="310"/>
        <v>#DIV/0!</v>
      </c>
      <c r="U1029" t="e">
        <f t="shared" si="311"/>
        <v>#DIV/0!</v>
      </c>
      <c r="V1029">
        <f t="shared" si="312"/>
        <v>0</v>
      </c>
      <c r="W1029" t="e">
        <f t="shared" si="313"/>
        <v>#DIV/0!</v>
      </c>
    </row>
    <row r="1030" spans="1:23" x14ac:dyDescent="0.55000000000000004">
      <c r="A1030">
        <f t="shared" si="297"/>
        <v>99.599999999998616</v>
      </c>
      <c r="B1030">
        <f t="shared" si="298"/>
        <v>0.316</v>
      </c>
      <c r="C1030">
        <f t="shared" si="299"/>
        <v>-59.956521739129542</v>
      </c>
      <c r="D1030">
        <v>396.43984551913201</v>
      </c>
      <c r="E1030">
        <f t="shared" si="300"/>
        <v>0</v>
      </c>
      <c r="F1030">
        <f t="shared" si="301"/>
        <v>4.8605058816845369E-2</v>
      </c>
      <c r="G1030">
        <f t="shared" si="302"/>
        <v>39.513748498891111</v>
      </c>
      <c r="H1030">
        <f t="shared" si="303"/>
        <v>0</v>
      </c>
      <c r="I1030" s="1">
        <f t="shared" si="296"/>
        <v>0</v>
      </c>
      <c r="J1030">
        <f t="shared" si="304"/>
        <v>0</v>
      </c>
      <c r="K1030">
        <f t="shared" si="305"/>
        <v>0</v>
      </c>
      <c r="L1030" cm="1">
        <f t="array" ref="L1030">IF(E1030*J1030=0,0,$C$21*INDEX([3]Sheet1!$C$4:$Q$23,MATCH(K1030,[3]Sheet1!$B$4:$B$23,1),MATCH(D1030,[3]Sheet1!$C$3:$Q$3,1))
+(K1030-INDEX([3]Sheet1!$B$4:$B$23,MATCH(K1030,[3]Sheet1!$B$4:$B$23,1),1))/(INDEX([3]Sheet1!$B$4:$B$23,MATCH(K1030,[3]Sheet1!$B$4:$B$23,1)+1,1)-INDEX([3]Sheet1!$B$4:$B$23,
MATCH(K1030,[3]Sheet1!$B$4:$B$23,1),1))*(INDEX([3]Sheet1!$C$4:$Q$23,MATCH(K1030,[3]Sheet1!$B$4:$B$23,1)+1,MATCH(D1030,[3]Sheet1!$C$3:$Q$3,1))-INDEX([3]Sheet1!$C$4:$Q$23,
MATCH(K1030,[3]Sheet1!$B$4:$B$23,1),MATCH(D1030,[3]Sheet1!$C$3:$Q$3,1)))
+(D1030-INDEX([3]Sheet1!$C$3:$Q$3,1,MATCH(D1030,[3]Sheet1!$C$3:$Q$3)))/(INDEX([3]Sheet1!$C$3:$Q$3,1,MATCH(D1030,[3]Sheet1!$C$3:$Q$3)+1)-INDEX([3]Sheet1!$C$3:$Q$3,1,MATCH(
D1030,[3]Sheet1!$C$3:$Q$3)))*(INDEX([3]Sheet1!$C$4:$Q$23,MATCH(K1030,[3]Sheet1!$B$4:$B$23,1),MATCH(D1030,[3]Sheet1!$C$3:$Q$3,1)+1)-INDEX([3]Sheet1!$C$4:$Q$23,MATCH(K1030,[3]Sheet1!$B$4:$B$23,1),MATCH(D1030,[3]Sheet1!$C$3:$Q$3,1))))</f>
        <v>0</v>
      </c>
      <c r="M1030" cm="1">
        <f t="array" ref="M1030" xml:space="preserve"> IF(E1030*J1030=0,0,(INDEX([2]Sheet1!$C$4:$Q$23,MATCH(K1030,[2]Sheet1!$B$4:$B$23,1),MATCH(D1030,[2]Sheet1!$C$3:$Q$3,1))
+ (K1030 - INDEX([2]Sheet1!$B$4:$B$23,MATCH(K1030,[2]Sheet1!$B$4:$B$23,1),1))/(INDEX([2]Sheet1!$B$4:$B$23,MATCH(K1030,[2]Sheet1!$B$4:$B$23,1)+1,1) - INDEX([2]Sheet1!$B$4:$B$23,MATCH(K1030,[2]Sheet1!$B$4:$B$23,1),1))*(INDEX([2]Sheet1!$C$4:$Q$23,MATCH(K1030,[2]Sheet1!$B$4:$B$23,1)+1,MATCH(D1030,[2]Sheet1!$C$3:$Q$3,1)) - INDEX([2]Sheet1!$C$4:$Q$23,MATCH(K1030,[2]Sheet1!$B$4:$B$23,1),MATCH(D1030,[2]Sheet1!$C$3:$Q$3,1)))
+ (D1030 - INDEX([2]Sheet1!$C$3:$Q$3,1,MATCH(D1030,[2]Sheet1!$C$3:$Q$3)))/(INDEX([2]Sheet1!$C$3:$Q$3,1,MATCH(D1030,[2]Sheet1!$C$3:$Q$3)+1) - INDEX([2]Sheet1!$C$3:$Q$3,1,MATCH(D1030,[2]Sheet1!$C$3:$Q$3)))*(
INDEX([2]Sheet1!$C$4:$Q$23,MATCH(K1030,[2]Sheet1!$B$4:$B$23,1),MATCH(D1030,[2]Sheet1!$C$3:$Q$3,1)+1) - INDEX([2]Sheet1!$C$4:$Q$23,MATCH(K1030,[2]Sheet1!$B$4:$B$23,1),MATCH(D1030,[2]Sheet1!$C$3:$Q$3,1)))))</f>
        <v>0</v>
      </c>
      <c r="N1030">
        <f t="shared" si="306"/>
        <v>12</v>
      </c>
      <c r="O1030">
        <v>396.02450568394102</v>
      </c>
      <c r="P1030" t="e">
        <f t="shared" si="307"/>
        <v>#DIV/0!</v>
      </c>
      <c r="Q1030">
        <f t="shared" si="308"/>
        <v>0</v>
      </c>
      <c r="R1030">
        <f t="shared" si="309"/>
        <v>741.9099431943954</v>
      </c>
      <c r="T1030" t="e">
        <f t="shared" si="310"/>
        <v>#DIV/0!</v>
      </c>
      <c r="U1030" t="e">
        <f t="shared" si="311"/>
        <v>#DIV/0!</v>
      </c>
      <c r="V1030">
        <f t="shared" si="312"/>
        <v>0</v>
      </c>
      <c r="W1030" t="e">
        <f t="shared" si="313"/>
        <v>#DIV/0!</v>
      </c>
    </row>
    <row r="1031" spans="1:23" x14ac:dyDescent="0.55000000000000004">
      <c r="A1031">
        <f>A1030+$C$29</f>
        <v>99.69999999999861</v>
      </c>
      <c r="B1031">
        <f t="shared" si="298"/>
        <v>0.316</v>
      </c>
      <c r="C1031">
        <f t="shared" si="299"/>
        <v>-60.021739130433872</v>
      </c>
      <c r="D1031">
        <v>397.43984551913201</v>
      </c>
      <c r="E1031">
        <f t="shared" si="300"/>
        <v>0</v>
      </c>
      <c r="F1031">
        <f t="shared" si="301"/>
        <v>4.8605058816845369E-2</v>
      </c>
      <c r="G1031">
        <f t="shared" si="302"/>
        <v>39.513748498891111</v>
      </c>
      <c r="H1031">
        <f t="shared" si="303"/>
        <v>0</v>
      </c>
      <c r="I1031" s="1">
        <f t="shared" si="296"/>
        <v>0</v>
      </c>
      <c r="J1031">
        <f t="shared" si="304"/>
        <v>0</v>
      </c>
      <c r="K1031">
        <f t="shared" si="305"/>
        <v>0</v>
      </c>
      <c r="L1031" cm="1">
        <f t="array" ref="L1031">IF(E1031*J1031=0,0,$C$21*INDEX([3]Sheet1!$C$4:$Q$23,MATCH(K1031,[3]Sheet1!$B$4:$B$23,1),MATCH(D1031,[3]Sheet1!$C$3:$Q$3,1))
+(K1031-INDEX([3]Sheet1!$B$4:$B$23,MATCH(K1031,[3]Sheet1!$B$4:$B$23,1),1))/(INDEX([3]Sheet1!$B$4:$B$23,MATCH(K1031,[3]Sheet1!$B$4:$B$23,1)+1,1)-INDEX([3]Sheet1!$B$4:$B$23,
MATCH(K1031,[3]Sheet1!$B$4:$B$23,1),1))*(INDEX([3]Sheet1!$C$4:$Q$23,MATCH(K1031,[3]Sheet1!$B$4:$B$23,1)+1,MATCH(D1031,[3]Sheet1!$C$3:$Q$3,1))-INDEX([3]Sheet1!$C$4:$Q$23,
MATCH(K1031,[3]Sheet1!$B$4:$B$23,1),MATCH(D1031,[3]Sheet1!$C$3:$Q$3,1)))
+(D1031-INDEX([3]Sheet1!$C$3:$Q$3,1,MATCH(D1031,[3]Sheet1!$C$3:$Q$3)))/(INDEX([3]Sheet1!$C$3:$Q$3,1,MATCH(D1031,[3]Sheet1!$C$3:$Q$3)+1)-INDEX([3]Sheet1!$C$3:$Q$3,1,MATCH(
D1031,[3]Sheet1!$C$3:$Q$3)))*(INDEX([3]Sheet1!$C$4:$Q$23,MATCH(K1031,[3]Sheet1!$B$4:$B$23,1),MATCH(D1031,[3]Sheet1!$C$3:$Q$3,1)+1)-INDEX([3]Sheet1!$C$4:$Q$23,MATCH(K1031,[3]Sheet1!$B$4:$B$23,1),MATCH(D1031,[3]Sheet1!$C$3:$Q$3,1))))</f>
        <v>0</v>
      </c>
      <c r="M1031" cm="1">
        <f t="array" ref="M1031" xml:space="preserve"> IF(E1031*J1031=0,0,(INDEX([2]Sheet1!$C$4:$Q$23,MATCH(K1031,[2]Sheet1!$B$4:$B$23,1),MATCH(D1031,[2]Sheet1!$C$3:$Q$3,1))
+ (K1031 - INDEX([2]Sheet1!$B$4:$B$23,MATCH(K1031,[2]Sheet1!$B$4:$B$23,1),1))/(INDEX([2]Sheet1!$B$4:$B$23,MATCH(K1031,[2]Sheet1!$B$4:$B$23,1)+1,1) - INDEX([2]Sheet1!$B$4:$B$23,MATCH(K1031,[2]Sheet1!$B$4:$B$23,1),1))*(INDEX([2]Sheet1!$C$4:$Q$23,MATCH(K1031,[2]Sheet1!$B$4:$B$23,1)+1,MATCH(D1031,[2]Sheet1!$C$3:$Q$3,1)) - INDEX([2]Sheet1!$C$4:$Q$23,MATCH(K1031,[2]Sheet1!$B$4:$B$23,1),MATCH(D1031,[2]Sheet1!$C$3:$Q$3,1)))
+ (D1031 - INDEX([2]Sheet1!$C$3:$Q$3,1,MATCH(D1031,[2]Sheet1!$C$3:$Q$3)))/(INDEX([2]Sheet1!$C$3:$Q$3,1,MATCH(D1031,[2]Sheet1!$C$3:$Q$3)+1) - INDEX([2]Sheet1!$C$3:$Q$3,1,MATCH(D1031,[2]Sheet1!$C$3:$Q$3)))*(
INDEX([2]Sheet1!$C$4:$Q$23,MATCH(K1031,[2]Sheet1!$B$4:$B$23,1),MATCH(D1031,[2]Sheet1!$C$3:$Q$3,1)+1) - INDEX([2]Sheet1!$C$4:$Q$23,MATCH(K1031,[2]Sheet1!$B$4:$B$23,1),MATCH(D1031,[2]Sheet1!$C$3:$Q$3,1)))))</f>
        <v>0</v>
      </c>
      <c r="N1031">
        <f t="shared" si="306"/>
        <v>12</v>
      </c>
      <c r="O1031">
        <v>397.02450568394102</v>
      </c>
      <c r="P1031" t="e">
        <f t="shared" si="307"/>
        <v>#DIV/0!</v>
      </c>
      <c r="Q1031">
        <f t="shared" si="308"/>
        <v>0</v>
      </c>
      <c r="R1031">
        <f t="shared" si="309"/>
        <v>741.9099431943954</v>
      </c>
      <c r="T1031" t="e">
        <f t="shared" si="310"/>
        <v>#DIV/0!</v>
      </c>
      <c r="U1031" t="e">
        <f t="shared" si="311"/>
        <v>#DIV/0!</v>
      </c>
      <c r="V1031">
        <f t="shared" si="312"/>
        <v>0</v>
      </c>
      <c r="W1031" t="e">
        <f t="shared" si="313"/>
        <v>#DIV/0!</v>
      </c>
    </row>
    <row r="1032" spans="1:23" x14ac:dyDescent="0.55000000000000004">
      <c r="A1032">
        <f>A1031+$C$29</f>
        <v>99.799999999998604</v>
      </c>
      <c r="B1032">
        <f t="shared" si="298"/>
        <v>0.316</v>
      </c>
      <c r="C1032">
        <f t="shared" si="299"/>
        <v>-60.08695652173823</v>
      </c>
      <c r="D1032">
        <v>398.43984551913201</v>
      </c>
      <c r="E1032">
        <f t="shared" si="300"/>
        <v>0</v>
      </c>
      <c r="F1032">
        <f t="shared" si="301"/>
        <v>4.8605058816845369E-2</v>
      </c>
      <c r="G1032">
        <f t="shared" si="302"/>
        <v>39.513748498891111</v>
      </c>
      <c r="H1032">
        <f t="shared" si="303"/>
        <v>0</v>
      </c>
      <c r="I1032" s="1">
        <f t="shared" si="296"/>
        <v>0</v>
      </c>
      <c r="J1032">
        <f t="shared" si="304"/>
        <v>0</v>
      </c>
      <c r="K1032">
        <f t="shared" si="305"/>
        <v>0</v>
      </c>
      <c r="L1032" cm="1">
        <f t="array" ref="L1032">IF(E1032*J1032=0,0,$C$21*INDEX([3]Sheet1!$C$4:$Q$23,MATCH(K1032,[3]Sheet1!$B$4:$B$23,1),MATCH(D1032,[3]Sheet1!$C$3:$Q$3,1))
+(K1032-INDEX([3]Sheet1!$B$4:$B$23,MATCH(K1032,[3]Sheet1!$B$4:$B$23,1),1))/(INDEX([3]Sheet1!$B$4:$B$23,MATCH(K1032,[3]Sheet1!$B$4:$B$23,1)+1,1)-INDEX([3]Sheet1!$B$4:$B$23,
MATCH(K1032,[3]Sheet1!$B$4:$B$23,1),1))*(INDEX([3]Sheet1!$C$4:$Q$23,MATCH(K1032,[3]Sheet1!$B$4:$B$23,1)+1,MATCH(D1032,[3]Sheet1!$C$3:$Q$3,1))-INDEX([3]Sheet1!$C$4:$Q$23,
MATCH(K1032,[3]Sheet1!$B$4:$B$23,1),MATCH(D1032,[3]Sheet1!$C$3:$Q$3,1)))
+(D1032-INDEX([3]Sheet1!$C$3:$Q$3,1,MATCH(D1032,[3]Sheet1!$C$3:$Q$3)))/(INDEX([3]Sheet1!$C$3:$Q$3,1,MATCH(D1032,[3]Sheet1!$C$3:$Q$3)+1)-INDEX([3]Sheet1!$C$3:$Q$3,1,MATCH(
D1032,[3]Sheet1!$C$3:$Q$3)))*(INDEX([3]Sheet1!$C$4:$Q$23,MATCH(K1032,[3]Sheet1!$B$4:$B$23,1),MATCH(D1032,[3]Sheet1!$C$3:$Q$3,1)+1)-INDEX([3]Sheet1!$C$4:$Q$23,MATCH(K1032,[3]Sheet1!$B$4:$B$23,1),MATCH(D1032,[3]Sheet1!$C$3:$Q$3,1))))</f>
        <v>0</v>
      </c>
      <c r="M1032" cm="1">
        <f t="array" ref="M1032" xml:space="preserve"> IF(E1032*J1032=0,0,(INDEX([2]Sheet1!$C$4:$Q$23,MATCH(K1032,[2]Sheet1!$B$4:$B$23,1),MATCH(D1032,[2]Sheet1!$C$3:$Q$3,1))
+ (K1032 - INDEX([2]Sheet1!$B$4:$B$23,MATCH(K1032,[2]Sheet1!$B$4:$B$23,1),1))/(INDEX([2]Sheet1!$B$4:$B$23,MATCH(K1032,[2]Sheet1!$B$4:$B$23,1)+1,1) - INDEX([2]Sheet1!$B$4:$B$23,MATCH(K1032,[2]Sheet1!$B$4:$B$23,1),1))*(INDEX([2]Sheet1!$C$4:$Q$23,MATCH(K1032,[2]Sheet1!$B$4:$B$23,1)+1,MATCH(D1032,[2]Sheet1!$C$3:$Q$3,1)) - INDEX([2]Sheet1!$C$4:$Q$23,MATCH(K1032,[2]Sheet1!$B$4:$B$23,1),MATCH(D1032,[2]Sheet1!$C$3:$Q$3,1)))
+ (D1032 - INDEX([2]Sheet1!$C$3:$Q$3,1,MATCH(D1032,[2]Sheet1!$C$3:$Q$3)))/(INDEX([2]Sheet1!$C$3:$Q$3,1,MATCH(D1032,[2]Sheet1!$C$3:$Q$3)+1) - INDEX([2]Sheet1!$C$3:$Q$3,1,MATCH(D1032,[2]Sheet1!$C$3:$Q$3)))*(
INDEX([2]Sheet1!$C$4:$Q$23,MATCH(K1032,[2]Sheet1!$B$4:$B$23,1),MATCH(D1032,[2]Sheet1!$C$3:$Q$3,1)+1) - INDEX([2]Sheet1!$C$4:$Q$23,MATCH(K1032,[2]Sheet1!$B$4:$B$23,1),MATCH(D1032,[2]Sheet1!$C$3:$Q$3,1)))))</f>
        <v>0</v>
      </c>
      <c r="N1032">
        <f t="shared" si="306"/>
        <v>12</v>
      </c>
      <c r="O1032">
        <v>398.02450568394102</v>
      </c>
      <c r="P1032" t="e">
        <f t="shared" si="307"/>
        <v>#DIV/0!</v>
      </c>
      <c r="Q1032">
        <f t="shared" si="308"/>
        <v>0</v>
      </c>
      <c r="R1032">
        <f t="shared" si="309"/>
        <v>741.9099431943954</v>
      </c>
      <c r="T1032" t="e">
        <f t="shared" si="310"/>
        <v>#DIV/0!</v>
      </c>
      <c r="U1032" t="e">
        <f t="shared" si="311"/>
        <v>#DIV/0!</v>
      </c>
      <c r="V1032">
        <f t="shared" si="312"/>
        <v>0</v>
      </c>
      <c r="W1032" t="e">
        <f t="shared" si="313"/>
        <v>#DIV/0!</v>
      </c>
    </row>
    <row r="1033" spans="1:23" x14ac:dyDescent="0.55000000000000004">
      <c r="A1033">
        <f>A1032+$C$29</f>
        <v>99.899999999998599</v>
      </c>
      <c r="B1033">
        <f t="shared" si="298"/>
        <v>0.316</v>
      </c>
      <c r="C1033">
        <f t="shared" si="299"/>
        <v>-60.15217391304256</v>
      </c>
      <c r="D1033">
        <v>399.43984551913201</v>
      </c>
      <c r="E1033">
        <f t="shared" si="300"/>
        <v>0</v>
      </c>
      <c r="F1033">
        <f t="shared" si="301"/>
        <v>4.8605058816845369E-2</v>
      </c>
      <c r="G1033">
        <f t="shared" si="302"/>
        <v>39.513748498891111</v>
      </c>
      <c r="H1033">
        <f t="shared" si="303"/>
        <v>0</v>
      </c>
      <c r="I1033" s="1">
        <f t="shared" si="296"/>
        <v>0</v>
      </c>
      <c r="J1033">
        <f t="shared" si="304"/>
        <v>0</v>
      </c>
      <c r="K1033">
        <f t="shared" si="305"/>
        <v>0</v>
      </c>
      <c r="L1033" cm="1">
        <f t="array" ref="L1033">IF(E1033*J1033=0,0,$C$21*INDEX([3]Sheet1!$C$4:$Q$23,MATCH(K1033,[3]Sheet1!$B$4:$B$23,1),MATCH(D1033,[3]Sheet1!$C$3:$Q$3,1))
+(K1033-INDEX([3]Sheet1!$B$4:$B$23,MATCH(K1033,[3]Sheet1!$B$4:$B$23,1),1))/(INDEX([3]Sheet1!$B$4:$B$23,MATCH(K1033,[3]Sheet1!$B$4:$B$23,1)+1,1)-INDEX([3]Sheet1!$B$4:$B$23,
MATCH(K1033,[3]Sheet1!$B$4:$B$23,1),1))*(INDEX([3]Sheet1!$C$4:$Q$23,MATCH(K1033,[3]Sheet1!$B$4:$B$23,1)+1,MATCH(D1033,[3]Sheet1!$C$3:$Q$3,1))-INDEX([3]Sheet1!$C$4:$Q$23,
MATCH(K1033,[3]Sheet1!$B$4:$B$23,1),MATCH(D1033,[3]Sheet1!$C$3:$Q$3,1)))
+(D1033-INDEX([3]Sheet1!$C$3:$Q$3,1,MATCH(D1033,[3]Sheet1!$C$3:$Q$3)))/(INDEX([3]Sheet1!$C$3:$Q$3,1,MATCH(D1033,[3]Sheet1!$C$3:$Q$3)+1)-INDEX([3]Sheet1!$C$3:$Q$3,1,MATCH(
D1033,[3]Sheet1!$C$3:$Q$3)))*(INDEX([3]Sheet1!$C$4:$Q$23,MATCH(K1033,[3]Sheet1!$B$4:$B$23,1),MATCH(D1033,[3]Sheet1!$C$3:$Q$3,1)+1)-INDEX([3]Sheet1!$C$4:$Q$23,MATCH(K1033,[3]Sheet1!$B$4:$B$23,1),MATCH(D1033,[3]Sheet1!$C$3:$Q$3,1))))</f>
        <v>0</v>
      </c>
      <c r="M1033" cm="1">
        <f t="array" ref="M1033" xml:space="preserve"> IF(E1033*J1033=0,0,(INDEX([2]Sheet1!$C$4:$Q$23,MATCH(K1033,[2]Sheet1!$B$4:$B$23,1),MATCH(D1033,[2]Sheet1!$C$3:$Q$3,1))
+ (K1033 - INDEX([2]Sheet1!$B$4:$B$23,MATCH(K1033,[2]Sheet1!$B$4:$B$23,1),1))/(INDEX([2]Sheet1!$B$4:$B$23,MATCH(K1033,[2]Sheet1!$B$4:$B$23,1)+1,1) - INDEX([2]Sheet1!$B$4:$B$23,MATCH(K1033,[2]Sheet1!$B$4:$B$23,1),1))*(INDEX([2]Sheet1!$C$4:$Q$23,MATCH(K1033,[2]Sheet1!$B$4:$B$23,1)+1,MATCH(D1033,[2]Sheet1!$C$3:$Q$3,1)) - INDEX([2]Sheet1!$C$4:$Q$23,MATCH(K1033,[2]Sheet1!$B$4:$B$23,1),MATCH(D1033,[2]Sheet1!$C$3:$Q$3,1)))
+ (D1033 - INDEX([2]Sheet1!$C$3:$Q$3,1,MATCH(D1033,[2]Sheet1!$C$3:$Q$3)))/(INDEX([2]Sheet1!$C$3:$Q$3,1,MATCH(D1033,[2]Sheet1!$C$3:$Q$3)+1) - INDEX([2]Sheet1!$C$3:$Q$3,1,MATCH(D1033,[2]Sheet1!$C$3:$Q$3)))*(
INDEX([2]Sheet1!$C$4:$Q$23,MATCH(K1033,[2]Sheet1!$B$4:$B$23,1),MATCH(D1033,[2]Sheet1!$C$3:$Q$3,1)+1) - INDEX([2]Sheet1!$C$4:$Q$23,MATCH(K1033,[2]Sheet1!$B$4:$B$23,1),MATCH(D1033,[2]Sheet1!$C$3:$Q$3,1)))))</f>
        <v>0</v>
      </c>
      <c r="N1033">
        <f t="shared" si="306"/>
        <v>12</v>
      </c>
      <c r="O1033">
        <v>399.02450568394102</v>
      </c>
      <c r="P1033" t="e">
        <f t="shared" si="307"/>
        <v>#DIV/0!</v>
      </c>
      <c r="Q1033">
        <f t="shared" si="308"/>
        <v>0</v>
      </c>
      <c r="R1033">
        <f t="shared" si="309"/>
        <v>741.9099431943954</v>
      </c>
      <c r="T1033" t="e">
        <f t="shared" si="310"/>
        <v>#DIV/0!</v>
      </c>
      <c r="U1033" t="e">
        <f t="shared" si="311"/>
        <v>#DIV/0!</v>
      </c>
      <c r="V1033">
        <f t="shared" si="312"/>
        <v>0</v>
      </c>
      <c r="W1033" t="e">
        <f t="shared" si="313"/>
        <v>#DIV/0!</v>
      </c>
    </row>
    <row r="1034" spans="1:23" x14ac:dyDescent="0.55000000000000004">
      <c r="A1034">
        <f>A1033+$C$29</f>
        <v>99.999999999998593</v>
      </c>
      <c r="B1034">
        <f t="shared" si="298"/>
        <v>0.316</v>
      </c>
      <c r="C1034">
        <f t="shared" si="299"/>
        <v>-60.217391304346918</v>
      </c>
      <c r="D1034">
        <v>400.43984551913201</v>
      </c>
      <c r="E1034">
        <f t="shared" si="300"/>
        <v>0</v>
      </c>
      <c r="F1034">
        <f t="shared" si="301"/>
        <v>4.8605058816845369E-2</v>
      </c>
      <c r="G1034">
        <f t="shared" si="302"/>
        <v>39.513748498891111</v>
      </c>
      <c r="H1034">
        <f t="shared" si="303"/>
        <v>0</v>
      </c>
      <c r="I1034" s="1">
        <f t="shared" si="296"/>
        <v>0</v>
      </c>
      <c r="J1034">
        <f t="shared" si="304"/>
        <v>0</v>
      </c>
      <c r="K1034">
        <f t="shared" si="305"/>
        <v>0</v>
      </c>
      <c r="L1034" cm="1">
        <f t="array" ref="L1034">IF(E1034*J1034=0,0,$C$21*INDEX([3]Sheet1!$C$4:$Q$23,MATCH(K1034,[3]Sheet1!$B$4:$B$23,1),MATCH(D1034,[3]Sheet1!$C$3:$Q$3,1))
+(K1034-INDEX([3]Sheet1!$B$4:$B$23,MATCH(K1034,[3]Sheet1!$B$4:$B$23,1),1))/(INDEX([3]Sheet1!$B$4:$B$23,MATCH(K1034,[3]Sheet1!$B$4:$B$23,1)+1,1)-INDEX([3]Sheet1!$B$4:$B$23,
MATCH(K1034,[3]Sheet1!$B$4:$B$23,1),1))*(INDEX([3]Sheet1!$C$4:$Q$23,MATCH(K1034,[3]Sheet1!$B$4:$B$23,1)+1,MATCH(D1034,[3]Sheet1!$C$3:$Q$3,1))-INDEX([3]Sheet1!$C$4:$Q$23,
MATCH(K1034,[3]Sheet1!$B$4:$B$23,1),MATCH(D1034,[3]Sheet1!$C$3:$Q$3,1)))
+(D1034-INDEX([3]Sheet1!$C$3:$Q$3,1,MATCH(D1034,[3]Sheet1!$C$3:$Q$3)))/(INDEX([3]Sheet1!$C$3:$Q$3,1,MATCH(D1034,[3]Sheet1!$C$3:$Q$3)+1)-INDEX([3]Sheet1!$C$3:$Q$3,1,MATCH(
D1034,[3]Sheet1!$C$3:$Q$3)))*(INDEX([3]Sheet1!$C$4:$Q$23,MATCH(K1034,[3]Sheet1!$B$4:$B$23,1),MATCH(D1034,[3]Sheet1!$C$3:$Q$3,1)+1)-INDEX([3]Sheet1!$C$4:$Q$23,MATCH(K1034,[3]Sheet1!$B$4:$B$23,1),MATCH(D1034,[3]Sheet1!$C$3:$Q$3,1))))</f>
        <v>0</v>
      </c>
      <c r="M1034" cm="1">
        <f t="array" ref="M1034" xml:space="preserve"> IF(E1034*J1034=0,0,(INDEX([2]Sheet1!$C$4:$Q$23,MATCH(K1034,[2]Sheet1!$B$4:$B$23,1),MATCH(D1034,[2]Sheet1!$C$3:$Q$3,1))
+ (K1034 - INDEX([2]Sheet1!$B$4:$B$23,MATCH(K1034,[2]Sheet1!$B$4:$B$23,1),1))/(INDEX([2]Sheet1!$B$4:$B$23,MATCH(K1034,[2]Sheet1!$B$4:$B$23,1)+1,1) - INDEX([2]Sheet1!$B$4:$B$23,MATCH(K1034,[2]Sheet1!$B$4:$B$23,1),1))*(INDEX([2]Sheet1!$C$4:$Q$23,MATCH(K1034,[2]Sheet1!$B$4:$B$23,1)+1,MATCH(D1034,[2]Sheet1!$C$3:$Q$3,1)) - INDEX([2]Sheet1!$C$4:$Q$23,MATCH(K1034,[2]Sheet1!$B$4:$B$23,1),MATCH(D1034,[2]Sheet1!$C$3:$Q$3,1)))
+ (D1034 - INDEX([2]Sheet1!$C$3:$Q$3,1,MATCH(D1034,[2]Sheet1!$C$3:$Q$3)))/(INDEX([2]Sheet1!$C$3:$Q$3,1,MATCH(D1034,[2]Sheet1!$C$3:$Q$3)+1) - INDEX([2]Sheet1!$C$3:$Q$3,1,MATCH(D1034,[2]Sheet1!$C$3:$Q$3)))*(
INDEX([2]Sheet1!$C$4:$Q$23,MATCH(K1034,[2]Sheet1!$B$4:$B$23,1),MATCH(D1034,[2]Sheet1!$C$3:$Q$3,1)+1) - INDEX([2]Sheet1!$C$4:$Q$23,MATCH(K1034,[2]Sheet1!$B$4:$B$23,1),MATCH(D1034,[2]Sheet1!$C$3:$Q$3,1)))))</f>
        <v>0</v>
      </c>
      <c r="N1034">
        <f t="shared" si="306"/>
        <v>12</v>
      </c>
      <c r="O1034">
        <v>400.02450568394102</v>
      </c>
      <c r="P1034" t="e">
        <f t="shared" si="307"/>
        <v>#DIV/0!</v>
      </c>
      <c r="Q1034">
        <f t="shared" si="308"/>
        <v>0</v>
      </c>
      <c r="R1034">
        <f t="shared" si="309"/>
        <v>741.9099431943954</v>
      </c>
      <c r="T1034" t="e">
        <f t="shared" si="310"/>
        <v>#DIV/0!</v>
      </c>
      <c r="U1034" t="e">
        <f t="shared" si="311"/>
        <v>#DIV/0!</v>
      </c>
      <c r="V1034">
        <f t="shared" si="312"/>
        <v>0</v>
      </c>
      <c r="W1034" t="e">
        <f t="shared" si="313"/>
        <v>#DIV/0!</v>
      </c>
    </row>
    <row r="1035" spans="1:23" x14ac:dyDescent="0.55000000000000004">
      <c r="I1035" s="1"/>
    </row>
  </sheetData>
  <mergeCells count="27">
    <mergeCell ref="D29:F29"/>
    <mergeCell ref="D30:F30"/>
    <mergeCell ref="D26:F26"/>
    <mergeCell ref="D1:F1"/>
    <mergeCell ref="D18:F18"/>
    <mergeCell ref="D19:F19"/>
    <mergeCell ref="D28:F28"/>
    <mergeCell ref="D21:F21"/>
    <mergeCell ref="D22:F22"/>
    <mergeCell ref="D23:F23"/>
    <mergeCell ref="D24:F24"/>
    <mergeCell ref="D25:F25"/>
    <mergeCell ref="D13:F13"/>
    <mergeCell ref="D14:F14"/>
    <mergeCell ref="D15:F15"/>
    <mergeCell ref="D16:F16"/>
    <mergeCell ref="D17:F17"/>
    <mergeCell ref="D7:F7"/>
    <mergeCell ref="D8:F8"/>
    <mergeCell ref="D9:F9"/>
    <mergeCell ref="D11:F11"/>
    <mergeCell ref="D12:F12"/>
    <mergeCell ref="D2:F2"/>
    <mergeCell ref="D3:F3"/>
    <mergeCell ref="D4:F4"/>
    <mergeCell ref="D5:F5"/>
    <mergeCell ref="D6:F6"/>
  </mergeCells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小田切勇樹</dc:creator>
  <cp:lastModifiedBy>INOUE Keishou</cp:lastModifiedBy>
  <dcterms:created xsi:type="dcterms:W3CDTF">2023-08-27T10:05:36Z</dcterms:created>
  <dcterms:modified xsi:type="dcterms:W3CDTF">2023-10-26T11:56:57Z</dcterms:modified>
</cp:coreProperties>
</file>